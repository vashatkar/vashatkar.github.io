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8.xml" ContentType="application/vnd.openxmlformats-officedocument.spreadsheetml.comments+xml"/>
  <Override PartName="/xl/theme/theme1.xml" ContentType="application/vnd.openxmlformats-officedocument.theme+xml"/>
  <Override PartName="/xl/comments6.xml" ContentType="application/vnd.openxmlformats-officedocument.spreadsheetml.comments+xml"/>
  <Override PartName="/xl/styles.xml" ContentType="application/vnd.openxmlformats-officedocument.spreadsheetml.styles+xml"/>
  <Override PartName="/xl/comments13.xml" ContentType="application/vnd.openxmlformats-officedocument.spreadsheetml.comments+xml"/>
  <Override PartName="/xl/drawings/drawing7.xml" ContentType="application/vnd.openxmlformats-officedocument.drawing+xml"/>
  <Override PartName="/xl/drawings/vmlDrawing6.vml" ContentType="application/vnd.openxmlformats-officedocument.vmlDrawing"/>
  <Override PartName="/xl/drawings/drawing6.xml" ContentType="application/vnd.openxmlformats-officedocument.drawing+xml"/>
  <Override PartName="/xl/drawings/vmlDrawing5.vml" ContentType="application/vnd.openxmlformats-officedocument.vmlDrawing"/>
  <Override PartName="/xl/drawings/drawing5.xml" ContentType="application/vnd.openxmlformats-officedocument.drawing+xml"/>
  <Override PartName="/xl/drawings/vmlDrawing4.vml" ContentType="application/vnd.openxmlformats-officedocument.vmlDrawing"/>
  <Override PartName="/xl/drawings/drawing4.xml" ContentType="application/vnd.openxmlformats-officedocument.drawing+xml"/>
  <Override PartName="/xl/drawings/vmlDrawing3.vml" ContentType="application/vnd.openxmlformats-officedocument.vmlDrawing"/>
  <Override PartName="/xl/drawings/vmlDrawing11.vml" ContentType="application/vnd.openxmlformats-officedocument.vmlDrawing"/>
  <Override PartName="/xl/drawings/vmlDrawing2.vml" ContentType="application/vnd.openxmlformats-officedocument.vmlDrawing"/>
  <Override PartName="/xl/drawings/drawing3.xml" ContentType="application/vnd.openxmlformats-officedocument.drawing+xml"/>
  <Override PartName="/xl/drawings/drawing12.xml" ContentType="application/vnd.openxmlformats-officedocument.drawing+xml"/>
  <Override PartName="/xl/drawings/vmlDrawing10.vml" ContentType="application/vnd.openxmlformats-officedocument.vmlDrawing"/>
  <Override PartName="/xl/drawings/vmlDrawing9.vml" ContentType="application/vnd.openxmlformats-officedocument.vmlDrawing"/>
  <Override PartName="/xl/drawings/vmlDrawing8.vml" ContentType="application/vnd.openxmlformats-officedocument.vmlDrawing"/>
  <Override PartName="/xl/drawings/drawing9.xml" ContentType="application/vnd.openxmlformats-officedocument.drawing+xml"/>
  <Override PartName="/xl/drawings/drawing8.xml" ContentType="application/vnd.openxmlformats-officedocument.drawing+xml"/>
  <Override PartName="/xl/drawings/vmlDrawing7.vml" ContentType="application/vnd.openxmlformats-officedocument.vmlDrawing"/>
  <Override PartName="/xl/drawings/drawing10.xml" ContentType="application/vnd.openxmlformats-officedocument.drawing+xml"/>
  <Override PartName="/xl/drawings/drawing1.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comments12.xml" ContentType="application/vnd.openxmlformats-officedocument.spreadsheetml.comments+xml"/>
  <Override PartName="/xl/comments11.xml" ContentType="application/vnd.openxmlformats-officedocument.spreadsheetml.comments+xml"/>
  <Override PartName="/xl/comments7.xml" ContentType="application/vnd.openxmlformats-officedocument.spreadsheetml.comments+xml"/>
  <Override PartName="/xl/worksheets/_rels/sheet3.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9.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comments9.xml" ContentType="application/vnd.openxmlformats-officedocument.spreadsheetml.comments+xml"/>
  <Override PartName="/xl/sharedStrings.xml" ContentType="application/vnd.openxmlformats-officedocument.spreadsheetml.sharedStrings+xml"/>
  <Override PartName="/xl/workbook.xml" ContentType="application/vnd.openxmlformats-officedocument.spreadsheetml.sheet.main+xml"/>
  <Override PartName="/xl/comments10.xml" ContentType="application/vnd.openxmlformats-officedocument.spreadsheetml.comments+xml"/>
  <Override PartName="/xl/comments14.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Decisions" sheetId="2" state="visible" r:id="rId4"/>
    <sheet name="Column guide" sheetId="3" state="visible" r:id="rId5"/>
    <sheet name="Products" sheetId="4" state="visible" r:id="rId6"/>
    <sheet name="Metrics" sheetId="5" state="visible" r:id="rId7"/>
    <sheet name="Metric to Product" sheetId="6" state="visible" r:id="rId8"/>
    <sheet name="Populations" sheetId="7" state="visible" r:id="rId9"/>
    <sheet name="Tables" sheetId="8" state="visible" r:id="rId10"/>
    <sheet name="Fields" sheetId="9" state="visible" r:id="rId11"/>
    <sheet name="Metric to Field" sheetId="10" state="visible" r:id="rId12"/>
    <sheet name="Dimensions" sheetId="11" state="visible" r:id="rId13"/>
    <sheet name="Dimension usage" sheetId="12" state="visible" r:id="rId14"/>
    <sheet name="Decision log" sheetId="13" state="visible" r:id="rId15"/>
    <sheet name="Questions" sheetId="14" state="visible" r:id="rId16"/>
  </sheets>
  <definedNames>
    <definedName function="false" hidden="true" localSheetId="2" name="_xlnm._FilterDatabase" vbProcedure="false">'Column guide'!$A$4:$D$125</definedName>
    <definedName function="false" hidden="true" localSheetId="12" name="_xlnm._FilterDatabase" vbProcedure="false">'Decision log'!$A$4:$G$304</definedName>
    <definedName function="false" hidden="true" localSheetId="11" name="_xlnm._FilterDatabase" vbProcedure="false">'Dimension usage'!$A$4:$K$404</definedName>
    <definedName function="false" hidden="true" localSheetId="10" name="_xlnm._FilterDatabase" vbProcedure="false">Dimensions!$A$4:$N$104</definedName>
    <definedName function="false" hidden="true" localSheetId="8" name="_xlnm._FilterDatabase" vbProcedure="false">Fields!$A$4:$V$604</definedName>
    <definedName function="false" hidden="true" localSheetId="9" name="_xlnm._FilterDatabase" vbProcedure="false">'Metric to Field'!$A$4:$I$804</definedName>
    <definedName function="false" hidden="true" localSheetId="5" name="_xlnm._FilterDatabase" vbProcedure="false">'Metric to Product'!$A$4:$H$504</definedName>
    <definedName function="false" hidden="true" localSheetId="4" name="_xlnm._FilterDatabase" vbProcedure="false">Metrics!$A$4:$S$254</definedName>
    <definedName function="false" hidden="true" localSheetId="6" name="_xlnm._FilterDatabase" vbProcedure="false">Populations!$A$4:$M$64</definedName>
    <definedName function="false" hidden="true" localSheetId="3" name="_xlnm._FilterDatabase" vbProcedure="false">Products!$A$4:$N$154</definedName>
    <definedName function="false" hidden="true" localSheetId="13" name="_xlnm._FilterDatabase" vbProcedure="false">Questions!$A$4:$J$404</definedName>
    <definedName function="false" hidden="true" localSheetId="7" name="_xlnm._FilterDatabase" vbProcedure="false">Tables!$A$4:$AC$254</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A short code you assign: P-001, P-002 and so on. Never changes once given. Other sheets use it to refer to the product.
Example: P-001</t>
        </r>
      </text>
    </comment>
    <comment ref="B4" authorId="0">
      <text>
        <r>
          <rPr>
            <sz val="10"/>
            <rFont val="Arial"/>
            <family val="2"/>
          </rPr>
          <t xml:space="preserve">The name people actually use.
Example: TA scorecard</t>
        </r>
      </text>
    </comment>
    <comment ref="C4" authorId="0">
      <text>
        <r>
          <rPr>
            <sz val="10"/>
            <rFont val="Arial"/>
            <family val="2"/>
          </rPr>
          <t xml:space="preserve">Scorecard = the executive view. Dashboard = a Tableau or QuickSight view people open. Sent report = something emailed or posted on a schedule. Data pull = a recurring extract. Table = a table other teams read directly.
Example: Dashboard</t>
        </r>
      </text>
    </comment>
    <comment ref="D4" authorId="0">
      <text>
        <r>
          <rPr>
            <sz val="10"/>
            <rFont val="Arial"/>
            <family val="2"/>
          </rPr>
          <t xml:space="preserve">Where it lives.
Example: Tableau</t>
        </r>
      </text>
    </comment>
    <comment ref="E4" authorId="0">
      <text>
        <r>
          <rPr>
            <sz val="10"/>
            <rFont val="Arial"/>
            <family val="2"/>
          </rPr>
          <t xml:space="preserve">Who looks at it.
Example: Recruiting leads</t>
        </r>
      </text>
    </comment>
    <comment ref="F4" authorId="0">
      <text>
        <r>
          <rPr>
            <sz val="10"/>
            <rFont val="Arial"/>
            <family val="2"/>
          </rPr>
          <t xml:space="preserve">The team responsible for keeping it working.
Example: Team Opportunity</t>
        </r>
      </text>
    </comment>
    <comment ref="G4" authorId="0">
      <text>
        <r>
          <rPr>
            <sz val="10"/>
            <rFont val="Arial"/>
            <family val="2"/>
          </rPr>
          <t xml:space="preserve">The person to call about it. Human-only.
Example: A. Patel</t>
        </r>
      </text>
    </comment>
    <comment ref="H4" authorId="0">
      <text>
        <r>
          <rPr>
            <sz val="10"/>
            <rFont val="Arial"/>
            <family val="2"/>
          </rPr>
          <t xml:space="preserve">How often the data behind it updates. For dashboards this is the extract or live refresh schedule.
Example: Daily</t>
        </r>
      </text>
    </comment>
    <comment ref="I4" authorId="0">
      <text>
        <r>
          <rPr>
            <sz val="10"/>
            <rFont val="Arial"/>
            <family val="2"/>
          </rPr>
          <t xml:space="preserve">Sent reports only: when and to whom it goes out. Leave blank for dashboards.
Example: Sent monthly to TA leadership</t>
        </r>
      </text>
    </comment>
    <comment ref="J4" authorId="0">
      <text>
        <r>
          <rPr>
            <sz val="10"/>
            <rFont val="Arial"/>
            <family val="2"/>
          </rPr>
          <t xml:space="preserve">Anything else worth knowing.
Example: Often questioned at QBR</t>
        </r>
      </text>
    </comment>
    <comment ref="K4" authorId="0">
      <text>
        <r>
          <rPr>
            <sz val="10"/>
            <rFont val="Arial"/>
            <family val="2"/>
          </rPr>
          <t xml:space="preserve">The file or place the row came from: a workbook file name, a repo path, a deck, a conversation.
Example: scorecard.twb</t>
        </r>
      </text>
    </comment>
    <comment ref="L4" authorId="0">
      <text>
        <r>
          <rPr>
            <sz val="10"/>
            <rFont val="Arial"/>
            <family val="2"/>
          </rPr>
          <t xml:space="preserve">Found = read directly from a file. Inferred = deduced from several files. Guessed = a best guess that must be verified. Human = a person entered or confirmed it.
Example: Found</t>
        </r>
      </text>
    </comment>
    <comment ref="M4" authorId="0">
      <text>
        <r>
          <rPr>
            <sz val="10"/>
            <rFont val="Arial"/>
            <family val="2"/>
          </rPr>
          <t xml:space="preserve">Date a person last confirmed the row is still true.
Example: 2026-10-07</t>
        </r>
      </text>
    </comment>
    <comment ref="N4" authorId="0">
      <text>
        <r>
          <rPr>
            <sz val="10"/>
            <rFont val="Arial"/>
            <family val="2"/>
          </rPr>
          <t xml:space="preserve">Who confirmed it.
Example: A. Patel</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A short code: M-001, M-002. If the same name is calculated two different ways today, each way gets its own ID.
Example: M-001</t>
        </r>
      </text>
    </comment>
    <comment ref="B4" authorId="0">
      <text>
        <r>
          <rPr>
            <sz val="10"/>
            <rFont val="Arial"/>
            <family val="2"/>
          </rPr>
          <t xml:space="preserve">The plain name people use, shared by every variant. All the cycle times are family Cycle time. If a family ends up with more than one definition, it appears on Decisions as something to align.
Example: Cycle time</t>
        </r>
      </text>
    </comment>
    <comment ref="C4" authorId="0">
      <text>
        <r>
          <rPr>
            <sz val="10"/>
            <rFont val="Arial"/>
            <family val="2"/>
          </rPr>
          <t xml:space="preserve">The specific name, with the distinguishing part in brackets when there is more than one version.
Example: Cycle time (approved to accepted)</t>
        </r>
      </text>
    </comment>
    <comment ref="D4" authorId="0">
      <text>
        <r>
          <rPr>
            <sz val="10"/>
            <rFont val="Arial"/>
            <family val="2"/>
          </rPr>
          <t xml:space="preserve">How the number is calculated, written so a recruiter would understand it. What starts the clock, what ends it, what happens on a transfer. No SQL. Do not restate who is counted; that is the Population.
Example: Calendar days from approval to offer accepted; transfers keep the original approval date</t>
        </r>
      </text>
    </comment>
    <comment ref="E4" authorId="0">
      <text>
        <r>
          <rPr>
            <sz val="10"/>
            <rFont val="Arial"/>
            <family val="2"/>
          </rPr>
          <t xml:space="preserve">Which standard population this metric counts. Pick from the Populations sheet.
Example: POP-001</t>
        </r>
      </text>
    </comment>
    <comment ref="F4" authorId="0">
      <text>
        <r>
          <rPr>
            <sz val="10"/>
            <rFont val="Arial"/>
            <family val="2"/>
          </rPr>
          <t xml:space="preserve">Filled automatically.
Example: Standard requisitions</t>
        </r>
      </text>
    </comment>
    <comment ref="G4" authorId="0">
      <text>
        <r>
          <rPr>
            <sz val="10"/>
            <rFont val="Arial"/>
            <family val="2"/>
          </rPr>
          <t xml:space="preserve">The thing you count or average over. Ask: if I listed this metric line by line, what is each line? A requisition? An opening (one req can have several)? An application? A hire? A req with three openings gives one number per req but three per opening, so this changes the answer.
Example: Opening</t>
        </r>
      </text>
    </comment>
    <comment ref="H4" authorId="0">
      <text>
        <r>
          <rPr>
            <sz val="10"/>
            <rFont val="Arial"/>
            <family val="2"/>
          </rPr>
          <t xml:space="preserve">Days, count, percent, dollars.
Example: Days</t>
        </r>
      </text>
    </comment>
    <comment ref="I4" authorId="0">
      <text>
        <r>
          <rPr>
            <sz val="10"/>
            <rFont val="Arial"/>
            <family val="2"/>
          </rPr>
          <t xml:space="preserve">Draft = our proposal. Under review = with TAAA. Agreed = both teams signed off. Certified = agreed and built into a certified table.
Example: Draft</t>
        </r>
      </text>
    </comment>
    <comment ref="J4" authorId="0">
      <text>
        <r>
          <rPr>
            <sz val="10"/>
            <rFont val="Arial"/>
            <family val="2"/>
          </rPr>
          <t xml:space="preserve">Who on our team owns the definition.
Example: A. Patel</t>
        </r>
      </text>
    </comment>
    <comment ref="K4" authorId="0">
      <text>
        <r>
          <rPr>
            <sz val="10"/>
            <rFont val="Arial"/>
            <family val="2"/>
          </rPr>
          <t xml:space="preserve">Filled automatically.
Example: 3</t>
        </r>
      </text>
    </comment>
    <comment ref="L4" authorId="0">
      <text>
        <r>
          <rPr>
            <sz val="10"/>
            <rFont val="Arial"/>
            <family val="2"/>
          </rPr>
          <t xml:space="preserve">Filled automatically.
Example: 5</t>
        </r>
      </text>
    </comment>
    <comment ref="M4" authorId="0">
      <text>
        <r>
          <rPr>
            <sz val="10"/>
            <rFont val="Arial"/>
            <family val="2"/>
          </rPr>
          <t xml:space="preserve">Filled automatically: how many metric rows share this family. More than one means the family needs aligning.
Example: 2</t>
        </r>
      </text>
    </comment>
    <comment ref="N4" authorId="0">
      <text>
        <r>
          <rPr>
            <sz val="10"/>
            <rFont val="Arial"/>
            <family val="2"/>
          </rPr>
          <t xml:space="preserve">Known disagreements, history, anything else.
Example: Recruiter view uses posted date</t>
        </r>
      </text>
    </comment>
    <comment ref="O4" authorId="0">
      <text>
        <r>
          <rPr>
            <sz val="10"/>
            <rFont val="Arial"/>
            <family val="2"/>
          </rPr>
          <t xml:space="preserve">The file or place the row came from.</t>
        </r>
      </text>
    </comment>
    <comment ref="P4" authorId="0">
      <text>
        <r>
          <rPr>
            <sz val="10"/>
            <rFont val="Arial"/>
            <family val="2"/>
          </rPr>
          <t xml:space="preserve">Found = read from a file. Inferred = deduced from several. Guessed = must be verified. Human = a person entered or confirmed it.</t>
        </r>
      </text>
    </comment>
    <comment ref="Q4" authorId="0">
      <text>
        <r>
          <rPr>
            <sz val="10"/>
            <rFont val="Arial"/>
            <family val="2"/>
          </rPr>
          <t xml:space="preserve">Date a person last confirmed this row.</t>
        </r>
      </text>
    </comment>
    <comment ref="R4" authorId="0">
      <text>
        <r>
          <rPr>
            <sz val="10"/>
            <rFont val="Arial"/>
            <family val="2"/>
          </rPr>
          <t xml:space="preserve">Who confirmed it.</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The metric's code from the Metrics sheet.
Example: M-001</t>
        </r>
      </text>
    </comment>
    <comment ref="B4" authorId="0">
      <text>
        <r>
          <rPr>
            <sz val="10"/>
            <rFont val="Arial"/>
            <family val="2"/>
          </rPr>
          <t xml:space="preserve">The product's code from the Products sheet.
Example: P-002</t>
        </r>
      </text>
    </comment>
    <comment ref="C4" authorId="0">
      <text>
        <r>
          <rPr>
            <sz val="10"/>
            <rFont val="Arial"/>
            <family val="2"/>
          </rPr>
          <t xml:space="preserve">Filled automatically. Shows ID not found if the code is mistyped.
Example: Cycle time (approved to accepted)</t>
        </r>
      </text>
    </comment>
    <comment ref="D4" authorId="0">
      <text>
        <r>
          <rPr>
            <sz val="10"/>
            <rFont val="Arial"/>
            <family val="2"/>
          </rPr>
          <t xml:space="preserve">Filled automatically.
Example: Recruiter view</t>
        </r>
      </text>
    </comment>
    <comment ref="E4" authorId="0">
      <text>
        <r>
          <rPr>
            <sz val="10"/>
            <rFont val="Arial"/>
            <family val="2"/>
          </rPr>
          <t xml:space="preserve">What the product does with it: headline tile, trend, table, filter.
Example: Trend by recruiter, monthly</t>
        </r>
      </text>
    </comment>
    <comment ref="F4" authorId="0">
      <text>
        <r>
          <rPr>
            <sz val="10"/>
            <rFont val="Arial"/>
            <family val="2"/>
          </rPr>
          <t xml:space="preserve">Anything else.</t>
        </r>
      </text>
    </comment>
    <comment ref="G4" authorId="0">
      <text>
        <r>
          <rPr>
            <sz val="10"/>
            <rFont val="Arial"/>
            <family val="2"/>
          </rPr>
          <t xml:space="preserve">The file or place the row came from.</t>
        </r>
      </text>
    </comment>
    <comment ref="H4" authorId="0">
      <text>
        <r>
          <rPr>
            <sz val="10"/>
            <rFont val="Arial"/>
            <family val="2"/>
          </rPr>
          <t xml:space="preserve">Found = read from a file. Inferred = deduced from several. Guessed = must be verified. Human = a person entered or confirmed it.</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A short code: POP-001, POP-002.
Example: POP-001</t>
        </r>
      </text>
    </comment>
    <comment ref="B4" authorId="0">
      <text>
        <r>
          <rPr>
            <sz val="10"/>
            <rFont val="Arial"/>
            <family val="2"/>
          </rPr>
          <t xml:space="preserve">A name people will recognise.
Example: Standard requisitions</t>
        </r>
      </text>
    </comment>
    <comment ref="C4" authorId="0">
      <text>
        <r>
          <rPr>
            <sz val="10"/>
            <rFont val="Arial"/>
            <family val="2"/>
          </rPr>
          <t xml:space="preserve">Who is in, in one or two sentences.
Example: Requisitions for a named role that go through normal approval</t>
        </r>
      </text>
    </comment>
    <comment ref="D4" authorId="0">
      <text>
        <r>
          <rPr>
            <sz val="10"/>
            <rFont val="Arial"/>
            <family val="2"/>
          </rPr>
          <t xml:space="preserve">Spell out what is in, especially the borderline cases.
Example: Internal and external, all levels</t>
        </r>
      </text>
    </comment>
    <comment ref="E4" authorId="0">
      <text>
        <r>
          <rPr>
            <sz val="10"/>
            <rFont val="Arial"/>
            <family val="2"/>
          </rPr>
          <t xml:space="preserve">Spell out what is out. This is where most disagreements hide.
Example: Evergreen and cancelled requisitions</t>
        </r>
      </text>
    </comment>
    <comment ref="F4" authorId="0">
      <text>
        <r>
          <rPr>
            <sz val="10"/>
            <rFont val="Arial"/>
            <family val="2"/>
          </rPr>
          <t xml:space="preserve">Draft = our proposal. Under review = with TAAA. Agreed = both teams signed off. Certified = agreed and built into the certified tables.
Example: Draft</t>
        </r>
      </text>
    </comment>
    <comment ref="G4" authorId="0">
      <text>
        <r>
          <rPr>
            <sz val="10"/>
            <rFont val="Arial"/>
            <family val="2"/>
          </rPr>
          <t xml:space="preserve">Who owns the definition.
Example: A. Patel</t>
        </r>
      </text>
    </comment>
    <comment ref="H4" authorId="0">
      <text>
        <r>
          <rPr>
            <sz val="10"/>
            <rFont val="Arial"/>
            <family val="2"/>
          </rPr>
          <t xml:space="preserve">Filled automatically: how many metrics reference this population.
Example: 4</t>
        </r>
      </text>
    </comment>
    <comment ref="I4" authorId="0">
      <text>
        <r>
          <rPr>
            <sz val="10"/>
            <rFont val="Arial"/>
            <family val="2"/>
          </rPr>
          <t xml:space="preserve">Anything else.</t>
        </r>
      </text>
    </comment>
    <comment ref="J4" authorId="0">
      <text>
        <r>
          <rPr>
            <sz val="10"/>
            <rFont val="Arial"/>
            <family val="2"/>
          </rPr>
          <t xml:space="preserve">The file or place the row came from.</t>
        </r>
      </text>
    </comment>
    <comment ref="K4" authorId="0">
      <text>
        <r>
          <rPr>
            <sz val="10"/>
            <rFont val="Arial"/>
            <family val="2"/>
          </rPr>
          <t xml:space="preserve">Found = read from a file. Inferred = deduced from several. Guessed = must be verified. Human = a person entered or confirmed it.</t>
        </r>
      </text>
    </comment>
    <comment ref="L4" authorId="0">
      <text>
        <r>
          <rPr>
            <sz val="10"/>
            <rFont val="Arial"/>
            <family val="2"/>
          </rPr>
          <t xml:space="preserve">Date a person last confirmed this row.</t>
        </r>
      </text>
    </comment>
    <comment ref="M4" authorId="0">
      <text>
        <r>
          <rPr>
            <sz val="10"/>
            <rFont val="Arial"/>
            <family val="2"/>
          </rPr>
          <t xml:space="preserve">Who confirmed it.</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A short code: T-001, T-002.
Example: T-004</t>
        </r>
      </text>
    </comment>
    <comment ref="B4" authorId="0">
      <text>
        <r>
          <rPr>
            <sz val="10"/>
            <rFont val="Arial"/>
            <family val="2"/>
          </rPr>
          <t xml:space="preserve">The name as it appears in Snowflake or our documentation.
Example: Requisition linkage table</t>
        </r>
      </text>
    </comment>
    <comment ref="C4" authorId="0">
      <text>
        <r>
          <rPr>
            <sz val="10"/>
            <rFont val="Arial"/>
            <family val="2"/>
          </rPr>
          <t xml:space="preserve">HRDW = a warehouse table we read as delivered. Team custom = a table our team builds on top. Platform = a direct feed from a recruiting system (Workday, Canvas); only used once we hold the source-to-target mapping from PDP.
Example: Team custom</t>
        </r>
      </text>
    </comment>
    <comment ref="D4" authorId="0">
      <text>
        <r>
          <rPr>
            <sz val="10"/>
            <rFont val="Arial"/>
            <family val="2"/>
          </rPr>
          <t xml:space="preserve">For Team custom tables: the codes of the tables it reads from, main parent first. Lineage chain follows the first parent, so order matters.
Example: T-004, T-001</t>
        </r>
      </text>
    </comment>
    <comment ref="E4" authorId="0">
      <text>
        <r>
          <rPr>
            <sz val="10"/>
            <rFont val="Arial"/>
            <family val="2"/>
          </rPr>
          <t xml:space="preserve">The reason the table was created, in one or two sentences. For HRDW tables, what it is the source of record for. For Team custom tables, what problem it solves that the table below it does not. If nobody can say, write Unknown and set Disposition = Retire.
Example: Maps a transferred req to its original so clocks keep running</t>
        </r>
      </text>
    </comment>
    <comment ref="F4" authorId="0">
      <text>
        <r>
          <rPr>
            <sz val="10"/>
            <rFont val="Arial"/>
            <family val="2"/>
          </rPr>
          <t xml:space="preserve">Team responsible for the table.
Example: Team Opportunity</t>
        </r>
      </text>
    </comment>
    <comment ref="G4" authorId="0">
      <text>
        <r>
          <rPr>
            <sz val="10"/>
            <rFont val="Arial"/>
            <family val="2"/>
          </rPr>
          <t xml:space="preserve">Team that runs the refresh job. Often the same as Owner; not always.
Example: PDP</t>
        </r>
      </text>
    </comment>
    <comment ref="H4" authorId="0">
      <text>
        <r>
          <rPr>
            <sz val="10"/>
            <rFont val="Arial"/>
            <family val="2"/>
          </rPr>
          <t xml:space="preserve">The person to call. Human-only.
Example: A. Patel</t>
        </r>
      </text>
    </comment>
    <comment ref="I4" authorId="0">
      <text>
        <r>
          <rPr>
            <sz val="10"/>
            <rFont val="Arial"/>
            <family val="2"/>
          </rPr>
          <t xml:space="preserve">How often it updates.
Example: Daily</t>
        </r>
      </text>
    </comment>
    <comment ref="J4" authorId="0">
      <text>
        <r>
          <rPr>
            <sz val="10"/>
            <rFont val="Arial"/>
            <family val="2"/>
          </rPr>
          <t xml:space="preserve">Active = in use. Proposed = planned, not built. Retire = candidate to remove. Unknown = not sure yet.
Example: Active</t>
        </r>
      </text>
    </comment>
    <comment ref="K4" authorId="0">
      <text>
        <r>
          <rPr>
            <sz val="10"/>
            <rFont val="Arial"/>
            <family val="2"/>
          </rPr>
          <t xml:space="preserve">Where this table belongs in the proposed architecture: Source tables (as delivered), Business rules (where our rules are applied), Certified tables (the agreed tables every product reads), Reporting (dashboards and pulls). Compare with Layer to see what moves.
Example: Business rules</t>
        </r>
      </text>
    </comment>
    <comment ref="L4" authorId="0">
      <text>
        <r>
          <rPr>
            <sz val="10"/>
            <rFont val="Arial"/>
            <family val="2"/>
          </rPr>
          <t xml:space="preserve">What happens to it. Keep as is. Build (proposed, not yet built). Fix upstream (problem belongs to the source, goes to PDP). Move to business rules (logic is somewhere else today, such as inside a dashboard). Merge into certified table. Retire. Undecided.
Example: Merge into certified table</t>
        </r>
      </text>
    </comment>
    <comment ref="M4" authorId="0">
      <text>
        <r>
          <rPr>
            <sz val="10"/>
            <rFont val="Arial"/>
            <family val="2"/>
          </rPr>
          <t xml:space="preserve">Filled automatically. 0 = warehouse table. 1 = built straight on warehouse tables. 2 = built on a table that is itself built on the warehouse. 2 and above is the layering problem; sort by this column to find the tallest stacks.
Example: 2</t>
        </r>
      </text>
    </comment>
    <comment ref="N4" authorId="0">
      <text>
        <r>
          <rPr>
            <sz val="10"/>
            <rFont val="Arial"/>
            <family val="2"/>
          </rPr>
          <t xml:space="preserve">Filled automatically. The table and the chain of first parents beneath it, back to the warehouse. (+ other parents) means it also reads other tables not shown in the chain.
Example: T-006 &lt;- T-005 &lt;- T-004 &lt;- T-002</t>
        </r>
      </text>
    </comment>
    <comment ref="O4" authorId="0">
      <text>
        <r>
          <rPr>
            <sz val="10"/>
            <rFont val="Arial"/>
            <family val="2"/>
          </rPr>
          <t xml:space="preserve">Filled automatically: how many fields on the Fields sheet point at this table.
Example: 3</t>
        </r>
      </text>
    </comment>
    <comment ref="P4" authorId="0">
      <text>
        <r>
          <rPr>
            <sz val="10"/>
            <rFont val="Arial"/>
            <family val="2"/>
          </rPr>
          <t xml:space="preserve">Filled automatically: how many metric-to-field links run through this table. Zero on an Active Team custom table is a strong retire signal.
Example: 3</t>
        </r>
      </text>
    </comment>
    <comment ref="Q4" authorId="0">
      <text>
        <r>
          <rPr>
            <sz val="10"/>
            <rFont val="Arial"/>
            <family val="2"/>
          </rPr>
          <t xml:space="preserve">Anything else.
Example: Breaks when a req is reopened</t>
        </r>
      </text>
    </comment>
    <comment ref="R4" authorId="0">
      <text>
        <r>
          <rPr>
            <sz val="10"/>
            <rFont val="Arial"/>
            <family val="2"/>
          </rPr>
          <t xml:space="preserve">The file or place the row came from.</t>
        </r>
      </text>
    </comment>
    <comment ref="S4" authorId="0">
      <text>
        <r>
          <rPr>
            <sz val="10"/>
            <rFont val="Arial"/>
            <family val="2"/>
          </rPr>
          <t xml:space="preserve">Found = read from a file. Inferred = deduced from several. Guessed = must be verified. Human = a person entered or confirmed it.</t>
        </r>
      </text>
    </comment>
    <comment ref="T4" authorId="0">
      <text>
        <r>
          <rPr>
            <sz val="10"/>
            <rFont val="Arial"/>
            <family val="2"/>
          </rPr>
          <t xml:space="preserve">Date a person last confirmed this row.</t>
        </r>
      </text>
    </comment>
    <comment ref="U4" authorId="0">
      <text>
        <r>
          <rPr>
            <sz val="10"/>
            <rFont val="Arial"/>
            <family val="2"/>
          </rPr>
          <t xml:space="preserve">Who confirmed it.</t>
        </r>
      </text>
    </comment>
  </commentList>
</comments>
</file>

<file path=xl/comments9.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A short code: F-001, F-002.
Example: F-008</t>
        </r>
      </text>
    </comment>
    <comment ref="B4" authorId="0">
      <text>
        <r>
          <rPr>
            <sz val="10"/>
            <rFont val="Arial"/>
            <family val="2"/>
          </rPr>
          <t xml:space="preserve">What the column is, in plain words. The business name, not the technical column name.
Example: Credited recruiter</t>
        </r>
      </text>
    </comment>
    <comment ref="C4" authorId="0">
      <text>
        <r>
          <rPr>
            <sz val="10"/>
            <rFont val="Arial"/>
            <family val="2"/>
          </rPr>
          <t xml:space="preserve">Raw = taken from a table exactly as it arrives. Derived = our team calculates it from other fields by a rule. Every Derived field is part of the business layer.
Example: Derived</t>
        </r>
      </text>
    </comment>
    <comment ref="D4" authorId="0">
      <text>
        <r>
          <rPr>
            <sz val="10"/>
            <rFont val="Arial"/>
            <family val="2"/>
          </rPr>
          <t xml:space="preserve">The code of the table the field lives in. For Raw fields, the table it comes from. For Derived fields, the table where we store the result.
Example: T-005</t>
        </r>
      </text>
    </comment>
    <comment ref="E4" authorId="0">
      <text>
        <r>
          <rPr>
            <sz val="10"/>
            <rFont val="Arial"/>
            <family val="2"/>
          </rPr>
          <t xml:space="preserve">Filled automatically.
Example: Recruiter scorecard base</t>
        </r>
      </text>
    </comment>
    <comment ref="F4" authorId="0">
      <text>
        <r>
          <rPr>
            <sz val="10"/>
            <rFont val="Arial"/>
            <family val="2"/>
          </rPr>
          <t xml:space="preserve">Filled automatically from the table.
Example: Team custom</t>
        </r>
      </text>
    </comment>
    <comment ref="G4" authorId="0">
      <text>
        <r>
          <rPr>
            <sz val="10"/>
            <rFont val="Arial"/>
            <family val="2"/>
          </rPr>
          <t xml:space="preserve">Derived fields only: the codes of the fields the rule uses.
Example: F-007, F-002</t>
        </r>
      </text>
    </comment>
    <comment ref="H4" authorId="0">
      <text>
        <r>
          <rPr>
            <sz val="10"/>
            <rFont val="Arial"/>
            <family val="2"/>
          </rPr>
          <t xml:space="preserve">Derived fields only: the rule in plain words, precise about what is chosen and what is not. This is the business decision TAAA needs to agree to.
Example: Recruiter who owned the req on the day the offer was accepted, not the one tagged today</t>
        </r>
      </text>
    </comment>
    <comment ref="I4" authorId="0">
      <text>
        <r>
          <rPr>
            <sz val="10"/>
            <rFont val="Arial"/>
            <family val="2"/>
          </rPr>
          <t xml:space="preserve">Clean = arrives correct and complete. Issue = known problem (blanks, wrong values, late). Unknown = not checked yet.
Example: Issue</t>
        </r>
      </text>
    </comment>
    <comment ref="J4" authorId="0">
      <text>
        <r>
          <rPr>
            <sz val="10"/>
            <rFont val="Arial"/>
            <family val="2"/>
          </rPr>
          <t xml:space="preserve">Where this field should live in the proposed architecture. Raw fields usually stay in Source tables. Derived fields belong in Business rules or, once agreed, in a Certified table. Reporting means the field exists only inside a dashboard today, which is what we are moving away from.
Example: Business rules</t>
        </r>
      </text>
    </comment>
    <comment ref="K4" authorId="0">
      <text>
        <r>
          <rPr>
            <sz val="10"/>
            <rFont val="Arial"/>
            <family val="2"/>
          </rPr>
          <t xml:space="preserve">What happens to it. Keep as is. Fix upstream (ask PDP to correct at source). Move to business rules (rule is computed inside a dashboard today). Merge into certified table. Retire. Undecided.
Example: Move to business rules</t>
        </r>
      </text>
    </comment>
    <comment ref="L4" authorId="0">
      <text>
        <r>
          <rPr>
            <sz val="10"/>
            <rFont val="Arial"/>
            <family val="2"/>
          </rPr>
          <t xml:space="preserve">Describe the data problem if there is one.
Example: Flag is blank for about a fifth of requisitions</t>
        </r>
      </text>
    </comment>
    <comment ref="M4" authorId="0">
      <text>
        <r>
          <rPr>
            <sz val="10"/>
            <rFont val="Arial"/>
            <family val="2"/>
          </rPr>
          <t xml:space="preserve">Anything else.</t>
        </r>
      </text>
    </comment>
    <comment ref="N4" authorId="0">
      <text>
        <r>
          <rPr>
            <sz val="10"/>
            <rFont val="Arial"/>
            <family val="2"/>
          </rPr>
          <t xml:space="preserve">Filled automatically.
Example: 2</t>
        </r>
      </text>
    </comment>
    <comment ref="O4" authorId="0">
      <text>
        <r>
          <rPr>
            <sz val="10"/>
            <rFont val="Arial"/>
            <family val="2"/>
          </rPr>
          <t xml:space="preserve">Filled automatically: how many product placements depend on this field through the metrics that use it.
Example: 4</t>
        </r>
      </text>
    </comment>
    <comment ref="P4" authorId="0">
      <text>
        <r>
          <rPr>
            <sz val="10"/>
            <rFont val="Arial"/>
            <family val="2"/>
          </rPr>
          <t xml:space="preserve">The file or place the row came from.</t>
        </r>
      </text>
    </comment>
    <comment ref="Q4" authorId="0">
      <text>
        <r>
          <rPr>
            <sz val="10"/>
            <rFont val="Arial"/>
            <family val="2"/>
          </rPr>
          <t xml:space="preserve">Found = read from a file. Inferred = deduced from several. Guessed = must be verified. Human = a person entered or confirmed it.</t>
        </r>
      </text>
    </comment>
    <comment ref="R4" authorId="0">
      <text>
        <r>
          <rPr>
            <sz val="10"/>
            <rFont val="Arial"/>
            <family val="2"/>
          </rPr>
          <t xml:space="preserve">Date a person last confirmed this row.</t>
        </r>
      </text>
    </comment>
    <comment ref="S4" authorId="0">
      <text>
        <r>
          <rPr>
            <sz val="10"/>
            <rFont val="Arial"/>
            <family val="2"/>
          </rPr>
          <t xml:space="preserve">Who confirmed it.</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The metric's code.
Example: M-001</t>
        </r>
      </text>
    </comment>
    <comment ref="B4" authorId="0">
      <text>
        <r>
          <rPr>
            <sz val="10"/>
            <rFont val="Arial"/>
            <family val="2"/>
          </rPr>
          <t xml:space="preserve">The field's code.
Example: F-001</t>
        </r>
      </text>
    </comment>
    <comment ref="C4" authorId="0">
      <text>
        <r>
          <rPr>
            <sz val="10"/>
            <rFont val="Arial"/>
            <family val="2"/>
          </rPr>
          <t xml:space="preserve">Filled automatically.
Example: Cycle time (approved to accepted)</t>
        </r>
      </text>
    </comment>
    <comment ref="D4" authorId="0">
      <text>
        <r>
          <rPr>
            <sz val="10"/>
            <rFont val="Arial"/>
            <family val="2"/>
          </rPr>
          <t xml:space="preserve">Filled automatically.
Example: Requisition approved date</t>
        </r>
      </text>
    </comment>
    <comment ref="E4" authorId="0">
      <text>
        <r>
          <rPr>
            <sz val="10"/>
            <rFont val="Arial"/>
            <family val="2"/>
          </rPr>
          <t xml:space="preserve">What the field does. Start of clock / End of clock = the two dates subtracted. Event counted = the thing being counted. Exclusion = decides which rows are left out. Attribution = decides who gets credit. Linkage = joins records, such as a transferred req to its original. Dimension = used only to slice.
Example: Start of clock</t>
        </r>
      </text>
    </comment>
    <comment ref="F4" authorId="0">
      <text>
        <r>
          <rPr>
            <sz val="10"/>
            <rFont val="Arial"/>
            <family val="2"/>
          </rPr>
          <t xml:space="preserve">Filled automatically.
Example: 3</t>
        </r>
      </text>
    </comment>
    <comment ref="G4" authorId="0">
      <text>
        <r>
          <rPr>
            <sz val="10"/>
            <rFont val="Arial"/>
            <family val="2"/>
          </rPr>
          <t xml:space="preserve">Anything else.</t>
        </r>
      </text>
    </comment>
    <comment ref="H4" authorId="0">
      <text>
        <r>
          <rPr>
            <sz val="10"/>
            <rFont val="Arial"/>
            <family val="2"/>
          </rPr>
          <t xml:space="preserve">The file or place the row came from.</t>
        </r>
      </text>
    </comment>
    <comment ref="I4" authorId="0">
      <text>
        <r>
          <rPr>
            <sz val="10"/>
            <rFont val="Arial"/>
            <family val="2"/>
          </rPr>
          <t xml:space="preserve">Found = read from a file. Inferred = deduced from several. Guessed = must be verified. Human = a person entered or confirmed it.</t>
        </r>
      </text>
    </comment>
  </commentList>
</comments>
</file>

<file path=xl/comments11.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A short code: D-001, D-002.
Example: D-001</t>
        </r>
      </text>
    </comment>
    <comment ref="B4" authorId="0">
      <text>
        <r>
          <rPr>
            <sz val="10"/>
            <rFont val="Arial"/>
            <family val="2"/>
          </rPr>
          <t xml:space="preserve">The cut as people name it in a filter: org, level, location, recruiter, source.
Example: Organisation</t>
        </r>
      </text>
    </comment>
    <comment ref="C4" authorId="0">
      <text>
        <r>
          <rPr>
            <sz val="10"/>
            <rFont val="Arial"/>
            <family val="2"/>
          </rPr>
          <t xml:space="preserve">The one table the mapping should come from, once agreed.
Example: T-001</t>
        </r>
      </text>
    </comment>
    <comment ref="D4" authorId="0">
      <text>
        <r>
          <rPr>
            <sz val="10"/>
            <rFont val="Arial"/>
            <family val="2"/>
          </rPr>
          <t xml:space="preserve">Filled automatically.
Example: HRDW requisition table</t>
        </r>
      </text>
    </comment>
    <comment ref="E4" authorId="0">
      <text>
        <r>
          <rPr>
            <sz val="10"/>
            <rFont val="Arial"/>
            <family val="2"/>
          </rPr>
          <t xml:space="preserve">Which column, and any rule, such as 'hiring org on the requisition, not the recruiter's org'.
Example: Hiring org as recorded on the requisition</t>
        </r>
      </text>
    </comment>
    <comment ref="F4" authorId="0">
      <text>
        <r>
          <rPr>
            <sz val="10"/>
            <rFont val="Arial"/>
            <family val="2"/>
          </rPr>
          <t xml:space="preserve">Draft, Under review, Agreed, Certified, as for metrics.
Example: Draft</t>
        </r>
      </text>
    </comment>
    <comment ref="G4" authorId="0">
      <text>
        <r>
          <rPr>
            <sz val="10"/>
            <rFont val="Arial"/>
            <family val="2"/>
          </rPr>
          <t xml:space="preserve">Who owns the agreement.</t>
        </r>
      </text>
    </comment>
    <comment ref="H4" authorId="0">
      <text>
        <r>
          <rPr>
            <sz val="10"/>
            <rFont val="Arial"/>
            <family val="2"/>
          </rPr>
          <t xml:space="preserve">Filled automatically: how many product usages are recorded.
Example: 3</t>
        </r>
      </text>
    </comment>
    <comment ref="I4" authorId="0">
      <text>
        <r>
          <rPr>
            <sz val="10"/>
            <rFont val="Arial"/>
            <family val="2"/>
          </rPr>
          <t xml:space="preserve">Filled automatically: how many products cut this dimension from a different table than the agreed one. Anything above zero is a place numbers can disagree even with one metric definition.
Example: 1</t>
        </r>
      </text>
    </comment>
    <comment ref="J4" authorId="0">
      <text>
        <r>
          <rPr>
            <sz val="10"/>
            <rFont val="Arial"/>
            <family val="2"/>
          </rPr>
          <t xml:space="preserve">Anything else.</t>
        </r>
      </text>
    </comment>
    <comment ref="K4" authorId="0">
      <text>
        <r>
          <rPr>
            <sz val="10"/>
            <rFont val="Arial"/>
            <family val="2"/>
          </rPr>
          <t xml:space="preserve">The file or place the row came from.</t>
        </r>
      </text>
    </comment>
    <comment ref="L4" authorId="0">
      <text>
        <r>
          <rPr>
            <sz val="10"/>
            <rFont val="Arial"/>
            <family val="2"/>
          </rPr>
          <t xml:space="preserve">Found = read from a file. Inferred = deduced from several. Guessed = must be verified. Human = a person entered or confirmed it.</t>
        </r>
      </text>
    </comment>
    <comment ref="M4" authorId="0">
      <text>
        <r>
          <rPr>
            <sz val="10"/>
            <rFont val="Arial"/>
            <family val="2"/>
          </rPr>
          <t xml:space="preserve">Date a person last confirmed this row.</t>
        </r>
      </text>
    </comment>
    <comment ref="N4" authorId="0">
      <text>
        <r>
          <rPr>
            <sz val="10"/>
            <rFont val="Arial"/>
            <family val="2"/>
          </rPr>
          <t xml:space="preserve">Who confirmed it.</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The product's code.
Example: P-002</t>
        </r>
      </text>
    </comment>
    <comment ref="B4" authorId="0">
      <text>
        <r>
          <rPr>
            <sz val="10"/>
            <rFont val="Arial"/>
            <family val="2"/>
          </rPr>
          <t xml:space="preserve">The dimension's code.
Example: D-001</t>
        </r>
      </text>
    </comment>
    <comment ref="C4" authorId="0">
      <text>
        <r>
          <rPr>
            <sz val="10"/>
            <rFont val="Arial"/>
            <family val="2"/>
          </rPr>
          <t xml:space="preserve">Filled automatically.
Example: Recruiter view</t>
        </r>
      </text>
    </comment>
    <comment ref="D4" authorId="0">
      <text>
        <r>
          <rPr>
            <sz val="10"/>
            <rFont val="Arial"/>
            <family val="2"/>
          </rPr>
          <t xml:space="preserve">Filled automatically.
Example: Organisation</t>
        </r>
      </text>
    </comment>
    <comment ref="E4" authorId="0">
      <text>
        <r>
          <rPr>
            <sz val="10"/>
            <rFont val="Arial"/>
            <family val="2"/>
          </rPr>
          <t xml:space="preserve">The table this product actually gets the cut from today. Found in the dashboard's data source or the SQL behind its extract.
Example: T-005</t>
        </r>
      </text>
    </comment>
    <comment ref="F4" authorId="0">
      <text>
        <r>
          <rPr>
            <sz val="10"/>
            <rFont val="Arial"/>
            <family val="2"/>
          </rPr>
          <t xml:space="preserve">Filled automatically.
Example: Recruiter scorecard base</t>
        </r>
      </text>
    </comment>
    <comment ref="G4" authorId="0">
      <text>
        <r>
          <rPr>
            <sz val="10"/>
            <rFont val="Arial"/>
            <family val="2"/>
          </rPr>
          <t xml:space="preserve">Filled automatically. No means this product slices from a different table than the agreed one, so its numbers can differ even when the metric definition matches.
Example: No</t>
        </r>
      </text>
    </comment>
    <comment ref="H4" authorId="0">
      <text>
        <r>
          <rPr>
            <sz val="10"/>
            <rFont val="Arial"/>
            <family val="2"/>
          </rPr>
          <t xml:space="preserve">Anything else.</t>
        </r>
      </text>
    </comment>
    <comment ref="I4" authorId="0">
      <text>
        <r>
          <rPr>
            <sz val="10"/>
            <rFont val="Arial"/>
            <family val="2"/>
          </rPr>
          <t xml:space="preserve">The file or place the row came from.</t>
        </r>
      </text>
    </comment>
    <comment ref="J4" authorId="0">
      <text>
        <r>
          <rPr>
            <sz val="10"/>
            <rFont val="Arial"/>
            <family val="2"/>
          </rPr>
          <t xml:space="preserve">Found = read from a file. Inferred = deduced from several. Guessed = must be verified. Human = a person entered or confirmed it.</t>
        </r>
      </text>
    </comment>
  </commentList>
</comments>
</file>

<file path=xl/comments13.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When it was decided.
Example: 2026-10-07</t>
        </r>
      </text>
    </comment>
    <comment ref="B4" authorId="0">
      <text>
        <r>
          <rPr>
            <sz val="10"/>
            <rFont val="Arial"/>
            <family val="2"/>
          </rPr>
          <t xml:space="preserve">What was agreed, in one or two sentences, specific enough to act on.
Example: Cycle time on the scorecard = approved to offer accepted</t>
        </r>
      </text>
    </comment>
    <comment ref="C4" authorId="0">
      <text>
        <r>
          <rPr>
            <sz val="10"/>
            <rFont val="Arial"/>
            <family val="2"/>
          </rPr>
          <t xml:space="preserve">The metric, table, field, population or dimension codes it affects.
Example: M-001, M-002</t>
        </r>
      </text>
    </comment>
    <comment ref="D4" authorId="0">
      <text>
        <r>
          <rPr>
            <sz val="10"/>
            <rFont val="Arial"/>
            <family val="2"/>
          </rPr>
          <t xml:space="preserve">Who made the call.
Example: Team Opportunity</t>
        </r>
      </text>
    </comment>
    <comment ref="E4" authorId="0">
      <text>
        <r>
          <rPr>
            <sz val="10"/>
            <rFont val="Arial"/>
            <family val="2"/>
          </rPr>
          <t xml:space="preserve">Who else signed off. Pending if not yet.
Example: TAAA</t>
        </r>
      </text>
    </comment>
    <comment ref="F4" authorId="0">
      <text>
        <r>
          <rPr>
            <sz val="10"/>
            <rFont val="Arial"/>
            <family val="2"/>
          </rPr>
          <t xml:space="preserve">What has to happen because of it.
Example: Rename M-002; update recruiter view</t>
        </r>
      </text>
    </comment>
    <comment ref="G4" authorId="0">
      <text>
        <r>
          <rPr>
            <sz val="10"/>
            <rFont val="Arial"/>
            <family val="2"/>
          </rPr>
          <t xml:space="preserve">Anything else.</t>
        </r>
      </text>
    </comment>
  </commentList>
</comments>
</file>

<file path=xl/comments14.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Q-001, Q-002.
Example: Q-001</t>
        </r>
      </text>
    </comment>
    <comment ref="B4" authorId="0">
      <text>
        <r>
          <rPr>
            <sz val="10"/>
            <rFont val="Arial"/>
            <family val="2"/>
          </rPr>
          <t xml:space="preserve">Date raised.
Example: 2026-10-07</t>
        </r>
      </text>
    </comment>
    <comment ref="C4" authorId="0">
      <text>
        <r>
          <rPr>
            <sz val="10"/>
            <rFont val="Arial"/>
            <family val="2"/>
          </rPr>
          <t xml:space="preserve">Which sheet the uncertainty is about.
Example: Metrics</t>
        </r>
      </text>
    </comment>
    <comment ref="D4" authorId="0">
      <text>
        <r>
          <rPr>
            <sz val="10"/>
            <rFont val="Arial"/>
            <family val="2"/>
          </rPr>
          <t xml:space="preserve">The row's code, if it exists yet.
Example: M-002</t>
        </r>
      </text>
    </comment>
    <comment ref="E4" authorId="0">
      <text>
        <r>
          <rPr>
            <sz val="10"/>
            <rFont val="Arial"/>
            <family val="2"/>
          </rPr>
          <t xml:space="preserve">The question, written so someone who was not there can answer it.
Example: Is this the same metric as the scorecard's cycle time?</t>
        </r>
      </text>
    </comment>
    <comment ref="F4" authorId="0">
      <text>
        <r>
          <rPr>
            <sz val="10"/>
            <rFont val="Arial"/>
            <family val="2"/>
          </rPr>
          <t xml:space="preserve">The evidence: the two formulas, the two values, the file names.
Example: DATEDIFF(approved, accepted) vs DATEDIFF(posted, start)</t>
        </r>
      </text>
    </comment>
    <comment ref="G4" authorId="0">
      <text>
        <r>
          <rPr>
            <sz val="10"/>
            <rFont val="Arial"/>
            <family val="2"/>
          </rPr>
          <t xml:space="preserve">Open, Answered, Dropped.
Example: Open</t>
        </r>
      </text>
    </comment>
    <comment ref="H4" authorId="0">
      <text>
        <r>
          <rPr>
            <sz val="10"/>
            <rFont val="Arial"/>
            <family val="2"/>
          </rPr>
          <t xml:space="preserve">The answer, once given.</t>
        </r>
      </text>
    </comment>
    <comment ref="I4" authorId="0">
      <text>
        <r>
          <rPr>
            <sz val="10"/>
            <rFont val="Arial"/>
            <family val="2"/>
          </rPr>
          <t xml:space="preserve">Who answered.</t>
        </r>
      </text>
    </comment>
    <comment ref="J4" authorId="0">
      <text>
        <r>
          <rPr>
            <sz val="10"/>
            <rFont val="Arial"/>
            <family val="2"/>
          </rPr>
          <t xml:space="preserve">Date answered.</t>
        </r>
      </text>
    </comment>
  </commentList>
</comments>
</file>

<file path=xl/sharedStrings.xml><?xml version="1.0" encoding="utf-8"?>
<sst xmlns="http://schemas.openxmlformats.org/spreadsheetml/2006/main" count="1248" uniqueCount="493">
  <si>
    <t xml:space="preserve">TA metric map</t>
  </si>
  <si>
    <t xml:space="preserve">The audit of what exists today, and where each piece lands in the proposed architecture. Fill the lists; the Decisions sheet reads them back as choices.</t>
  </si>
  <si>
    <t xml:space="preserve">How it fits together</t>
  </si>
  <si>
    <t xml:space="preserve">Products</t>
  </si>
  <si>
    <t xml:space="preserve">What people look at: scorecard, dashboards, reports that get sent, data pulls. One row per product.</t>
  </si>
  <si>
    <t xml:space="preserve">Metrics</t>
  </si>
  <si>
    <t xml:space="preserve">What is measured. One row per distinct definition. Variants of the same idea share a Metric family.</t>
  </si>
  <si>
    <t xml:space="preserve">Metric to Product</t>
  </si>
  <si>
    <t xml:space="preserve">Which products show which metrics. One row per metric per product.</t>
  </si>
  <si>
    <t xml:space="preserve">Populations</t>
  </si>
  <si>
    <t xml:space="preserve">The standard reporting populations: who is counted. Defined once here, referenced by every metric.</t>
  </si>
  <si>
    <t xml:space="preserve">Tables</t>
  </si>
  <si>
    <t xml:space="preserve">Every table we read from or build, what it is built from, why it exists, and how deep in the stack it sits.</t>
  </si>
  <si>
    <t xml:space="preserve">Fields</t>
  </si>
  <si>
    <t xml:space="preserve">The columns the metrics need. Raw fields come straight from a table. Derived fields carry a business rule in Logic.</t>
  </si>
  <si>
    <t xml:space="preserve">Metric to Field</t>
  </si>
  <si>
    <t xml:space="preserve">Which fields each metric needs and the role each plays.</t>
  </si>
  <si>
    <t xml:space="preserve">Dimensions</t>
  </si>
  <si>
    <t xml:space="preserve">The cuts: org, level, location, recruiter. One agreed source each.</t>
  </si>
  <si>
    <t xml:space="preserve">Dimension usage</t>
  </si>
  <si>
    <t xml:space="preserve">Which products cut by which dimension, using which mapping. Shows where two products slice the same way but from different tables.</t>
  </si>
  <si>
    <t xml:space="preserve">Decisions</t>
  </si>
  <si>
    <t xml:space="preserve">Read-only. Headline numbers phrased as decisions, each linked to the list of rows behind it.</t>
  </si>
  <si>
    <t xml:space="preserve">Decision log</t>
  </si>
  <si>
    <t xml:space="preserve">Every agreement, retirement or definition sign-off, with date and who agreed. The record that stops things being relitigated.</t>
  </si>
  <si>
    <t xml:space="preserve">Questions</t>
  </si>
  <si>
    <t xml:space="preserve">Open questions raised while filling the workbook. Anything uncertain goes here, never into a cell as a guess.</t>
  </si>
  <si>
    <t xml:space="preserve">Column guide</t>
  </si>
  <si>
    <t xml:space="preserve">Every column on every sheet explained in plain words, with an example. The same text is on each column header as a hover note.</t>
  </si>
  <si>
    <t xml:space="preserve">How to fill it in</t>
  </si>
  <si>
    <t xml:space="preserve">1</t>
  </si>
  <si>
    <t xml:space="preserve">Products first. It is the smallest list and everything keys off it.</t>
  </si>
  <si>
    <t xml:space="preserve">2</t>
  </si>
  <si>
    <t xml:space="preserve">Tables: what we read from (HRDW) and what we build (Team custom). Built from gives the lineage; put the main parent first. Why it exists is the column that matters.</t>
  </si>
  <si>
    <t xml:space="preserve">3</t>
  </si>
  <si>
    <t xml:space="preserve">Metrics, one row per distinct definition. Reference a Population ID rather than restating who is counted.</t>
  </si>
  <si>
    <t xml:space="preserve">4</t>
  </si>
  <si>
    <t xml:space="preserve">Fields, pointing each at a Table ID. Derived fields get the rule written in Logic.</t>
  </si>
  <si>
    <t xml:space="preserve">5</t>
  </si>
  <si>
    <t xml:space="preserve">The two join sheets: Metric to Product, Metric to Field. Then Dimensions and Dimension usage.</t>
  </si>
  <si>
    <t xml:space="preserve">6</t>
  </si>
  <si>
    <t xml:space="preserve">Target layer and Disposition on every table and field. This turns the audit into the architecture decision.</t>
  </si>
  <si>
    <t xml:space="preserve">7</t>
  </si>
  <si>
    <t xml:space="preserve">Read Decisions. Record what is agreed in Decision log.</t>
  </si>
  <si>
    <t xml:space="preserve">Who fills what</t>
  </si>
  <si>
    <t xml:space="preserve">Machine-fillable</t>
  </si>
  <si>
    <t xml:space="preserve">Anything visible in a file: products, which tables and fields a dashboard reads, calculated-field logic, lineage from SQL, refresh schedules. A Claude Code skill fills these and tags each row Found, Inferred or Guessed in Confidence.</t>
  </si>
  <si>
    <t xml:space="preserve">Human-only</t>
  </si>
  <si>
    <t xml:space="preserve">Why a table exists, whether a rule is right, the reporting population, data quality judgement, Target layer, Disposition, Status, points of contact. These stay blank until a person fills them and sets Confidence = Human.</t>
  </si>
  <si>
    <t xml:space="preserve">Rule</t>
  </si>
  <si>
    <t xml:space="preserve">A blank cell is fine. A guessed cell is a defect. Anything uncertain goes on the Questions sheet.</t>
  </si>
  <si>
    <t xml:space="preserve">Colour code</t>
  </si>
  <si>
    <t xml:space="preserve">Dark blue header</t>
  </si>
  <si>
    <t xml:space="preserve">Column names.</t>
  </si>
  <si>
    <t xml:space="preserve">Light blue cells</t>
  </si>
  <si>
    <t xml:space="preserve">IDs. Type them; they are the keys that join the sheets.</t>
  </si>
  <si>
    <t xml:space="preserve">Cream cells</t>
  </si>
  <si>
    <t xml:space="preserve">Free text or dropdowns for people to fill in.</t>
  </si>
  <si>
    <t xml:space="preserve">Green text</t>
  </si>
  <si>
    <t xml:space="preserve">Formulas. Do not type over them.</t>
  </si>
  <si>
    <t xml:space="preserve">Grey cells</t>
  </si>
  <si>
    <t xml:space="preserve">Helper columns used by the Decisions sheet. Leave them alone.</t>
  </si>
  <si>
    <t xml:space="preserve">Examples</t>
  </si>
  <si>
    <t xml:space="preserve">The first rows on each sheet are worked examples around cycle time, hires and recruiter credit. Replace or extend them. Each is marked Example in its notes.</t>
  </si>
  <si>
    <t xml:space="preserve">Read-only. Each headline is a choice to make; click it to jump to the rows behind it. Counts update as the other sheets are filled.</t>
  </si>
  <si>
    <t xml:space="preserve">Decision</t>
  </si>
  <si>
    <t xml:space="preserve">Count</t>
  </si>
  <si>
    <t xml:space="preserve">What it means</t>
  </si>
  <si>
    <t xml:space="preserve">Target layer</t>
  </si>
  <si>
    <t xml:space="preserve">Disposition</t>
  </si>
  <si>
    <t xml:space="preserve">Tables marked Retire, with what still depends on them</t>
  </si>
  <si>
    <t xml:space="preserve">Source tables</t>
  </si>
  <si>
    <t xml:space="preserve">Keep as is</t>
  </si>
  <si>
    <t xml:space="preserve">Proposed tables the dispositions call for</t>
  </si>
  <si>
    <t xml:space="preserve">Business rules</t>
  </si>
  <si>
    <t xml:space="preserve">Build</t>
  </si>
  <si>
    <t xml:space="preserve">Layers built on layers: the simplification candidates</t>
  </si>
  <si>
    <t xml:space="preserve">Certified tables</t>
  </si>
  <si>
    <t xml:space="preserve">Fix upstream</t>
  </si>
  <si>
    <t xml:space="preserve">Same name, different rule: the alignment agenda with TAAA</t>
  </si>
  <si>
    <t xml:space="preserve">Reporting</t>
  </si>
  <si>
    <t xml:space="preserve">Move to business rules</t>
  </si>
  <si>
    <t xml:space="preserve">Data problems that belong to the source, to take to PDP</t>
  </si>
  <si>
    <t xml:space="preserve">Not yet assigned</t>
  </si>
  <si>
    <t xml:space="preserve">Merge into certified table</t>
  </si>
  <si>
    <t xml:space="preserve">Logic that lives in a dashboard or a one-off table today</t>
  </si>
  <si>
    <t xml:space="preserve">Retire</t>
  </si>
  <si>
    <t xml:space="preserve">Same filter name, different mapping table</t>
  </si>
  <si>
    <t xml:space="preserve">Undecided</t>
  </si>
  <si>
    <t xml:space="preserve">No Target layer or Disposition yet</t>
  </si>
  <si>
    <t xml:space="preserve">Tables to retire</t>
  </si>
  <si>
    <t xml:space="preserve">Tables marked Retire, with what still depends on them.  Back to top: </t>
  </si>
  <si>
    <t xml:space="preserve">Table ID</t>
  </si>
  <si>
    <t xml:space="preserve">Table name</t>
  </si>
  <si>
    <t xml:space="preserve">Layer</t>
  </si>
  <si>
    <t xml:space="preserve">Depth</t>
  </si>
  <si>
    <t xml:space="preserve">Metrics depending</t>
  </si>
  <si>
    <t xml:space="preserve">Why it exists</t>
  </si>
  <si>
    <t xml:space="preserve">Tables to build</t>
  </si>
  <si>
    <t xml:space="preserve">Proposed tables the dispositions call for.  Back to top: </t>
  </si>
  <si>
    <t xml:space="preserve">Built from</t>
  </si>
  <si>
    <t xml:space="preserve">Status</t>
  </si>
  <si>
    <t xml:space="preserve">Stacked tables (depth 2 or more)</t>
  </si>
  <si>
    <t xml:space="preserve">Layers built on layers: the simplification candidates.  Back to top: </t>
  </si>
  <si>
    <t xml:space="preserve">Lineage chain</t>
  </si>
  <si>
    <t xml:space="preserve">Metric families with more than one definition</t>
  </si>
  <si>
    <t xml:space="preserve">Same name, different rule: the alignment agenda with TAAA.  Back to top: </t>
  </si>
  <si>
    <t xml:space="preserve">Metric ID</t>
  </si>
  <si>
    <t xml:space="preserve">Family</t>
  </si>
  <si>
    <t xml:space="preserve">Metric name</t>
  </si>
  <si>
    <t xml:space="preserve">Definition</t>
  </si>
  <si>
    <t xml:space="preserve">Products using it</t>
  </si>
  <si>
    <t xml:space="preserve">Fields to fix upstream</t>
  </si>
  <si>
    <t xml:space="preserve">Data problems that belong to the source, to take to PDP.  Back to top: </t>
  </si>
  <si>
    <t xml:space="preserve">Field ID</t>
  </si>
  <si>
    <t xml:space="preserve">Field name</t>
  </si>
  <si>
    <t xml:space="preserve">Table</t>
  </si>
  <si>
    <t xml:space="preserve">Issue</t>
  </si>
  <si>
    <t xml:space="preserve">Metrics using it</t>
  </si>
  <si>
    <t xml:space="preserve">Products reached</t>
  </si>
  <si>
    <t xml:space="preserve">Rules moving into the business layer</t>
  </si>
  <si>
    <t xml:space="preserve">Logic that lives in a dashboard or a one-off table today.  Back to top: </t>
  </si>
  <si>
    <t xml:space="preserve">Table today</t>
  </si>
  <si>
    <t xml:space="preserve">Logic</t>
  </si>
  <si>
    <t xml:space="preserve">Dimension usages off the agreed source</t>
  </si>
  <si>
    <t xml:space="preserve">Same filter name, different mapping table.  Back to top: </t>
  </si>
  <si>
    <t xml:space="preserve">Product</t>
  </si>
  <si>
    <t xml:space="preserve">Dimension</t>
  </si>
  <si>
    <t xml:space="preserve">Mapping source today</t>
  </si>
  <si>
    <t xml:space="preserve">Agreed source</t>
  </si>
  <si>
    <t xml:space="preserve">Notes</t>
  </si>
  <si>
    <t xml:space="preserve">Tables and fields still undecided</t>
  </si>
  <si>
    <t xml:space="preserve">No Target layer or Disposition yet.  Back to top: </t>
  </si>
  <si>
    <t xml:space="preserve">Kind</t>
  </si>
  <si>
    <t xml:space="preserve">ID</t>
  </si>
  <si>
    <t xml:space="preserve">Name</t>
  </si>
  <si>
    <t xml:space="preserve">Why it exists / logic</t>
  </si>
  <si>
    <t xml:space="preserve">What every column means and how to fill it. The same text appears as a hover note on each column header. Columns marked Filled automatically are formulas.</t>
  </si>
  <si>
    <t xml:space="preserve">Sheet</t>
  </si>
  <si>
    <t xml:space="preserve">Column</t>
  </si>
  <si>
    <t xml:space="preserve">What it means and how to fill it</t>
  </si>
  <si>
    <t xml:space="preserve">Example</t>
  </si>
  <si>
    <t xml:space="preserve">Product ID</t>
  </si>
  <si>
    <t xml:space="preserve">A short code you assign: P-001, P-002 and so on. Never changes once given. Other sheets use it to refer to the product.</t>
  </si>
  <si>
    <t xml:space="preserve">P-001</t>
  </si>
  <si>
    <t xml:space="preserve">Product name</t>
  </si>
  <si>
    <t xml:space="preserve">The name people actually use.</t>
  </si>
  <si>
    <t xml:space="preserve">TA scorecard</t>
  </si>
  <si>
    <t xml:space="preserve">Type</t>
  </si>
  <si>
    <t xml:space="preserve">Scorecard = the executive view. Dashboard = a Tableau or QuickSight view people open. Sent report = something emailed or posted on a schedule. Data pull = a recurring extract. Table = a table other teams read directly.</t>
  </si>
  <si>
    <t xml:space="preserve">Dashboard</t>
  </si>
  <si>
    <t xml:space="preserve">Tool</t>
  </si>
  <si>
    <t xml:space="preserve">Where it lives.</t>
  </si>
  <si>
    <t xml:space="preserve">Tableau</t>
  </si>
  <si>
    <t xml:space="preserve">Audience</t>
  </si>
  <si>
    <t xml:space="preserve">Who looks at it.</t>
  </si>
  <si>
    <t xml:space="preserve">Recruiting leads</t>
  </si>
  <si>
    <t xml:space="preserve">Owner (team)</t>
  </si>
  <si>
    <t xml:space="preserve">The team responsible for keeping it working.</t>
  </si>
  <si>
    <t xml:space="preserve">Team Opportunity</t>
  </si>
  <si>
    <t xml:space="preserve">Point of contact</t>
  </si>
  <si>
    <t xml:space="preserve">The person to call about it. Human-only.</t>
  </si>
  <si>
    <t xml:space="preserve">A. Patel</t>
  </si>
  <si>
    <t xml:space="preserve">Refresh frequency</t>
  </si>
  <si>
    <t xml:space="preserve">How often the data behind it updates. For dashboards this is the extract or live refresh schedule.</t>
  </si>
  <si>
    <t xml:space="preserve">Daily</t>
  </si>
  <si>
    <t xml:space="preserve">Delivery cadence</t>
  </si>
  <si>
    <t xml:space="preserve">Sent reports only: when and to whom it goes out. Leave blank for dashboards.</t>
  </si>
  <si>
    <t xml:space="preserve">Sent monthly to TA leadership</t>
  </si>
  <si>
    <t xml:space="preserve">Anything else worth knowing.</t>
  </si>
  <si>
    <t xml:space="preserve">Often questioned at QBR</t>
  </si>
  <si>
    <t xml:space="preserve">Source (where found)</t>
  </si>
  <si>
    <t xml:space="preserve">The file or place the row came from: a workbook file name, a repo path, a deck, a conversation.</t>
  </si>
  <si>
    <t xml:space="preserve">scorecard.twb</t>
  </si>
  <si>
    <t xml:space="preserve">Confidence</t>
  </si>
  <si>
    <t xml:space="preserve">Found = read directly from a file. Inferred = deduced from several files. Guessed = a best guess that must be verified. Human = a person entered or confirmed it.</t>
  </si>
  <si>
    <t xml:space="preserve">Found</t>
  </si>
  <si>
    <t xml:space="preserve">Last verified</t>
  </si>
  <si>
    <t xml:space="preserve">Date a person last confirmed the row is still true.</t>
  </si>
  <si>
    <t xml:space="preserve">2026-10-07</t>
  </si>
  <si>
    <t xml:space="preserve">Verified by</t>
  </si>
  <si>
    <t xml:space="preserve">Who confirmed it.</t>
  </si>
  <si>
    <t xml:space="preserve">Population ID</t>
  </si>
  <si>
    <t xml:space="preserve">A short code: POP-001, POP-002.</t>
  </si>
  <si>
    <t xml:space="preserve">POP-001</t>
  </si>
  <si>
    <t xml:space="preserve">Population name</t>
  </si>
  <si>
    <t xml:space="preserve">A name people will recognise.</t>
  </si>
  <si>
    <t xml:space="preserve">Standard requisitions</t>
  </si>
  <si>
    <t xml:space="preserve">Definition (plain words)</t>
  </si>
  <si>
    <t xml:space="preserve">Who is in, in one or two sentences.</t>
  </si>
  <si>
    <t xml:space="preserve">Requisitions for a named role that go through normal approval</t>
  </si>
  <si>
    <t xml:space="preserve">Includes</t>
  </si>
  <si>
    <t xml:space="preserve">Spell out what is in, especially the borderline cases.</t>
  </si>
  <si>
    <t xml:space="preserve">Internal and external, all levels</t>
  </si>
  <si>
    <t xml:space="preserve">Excludes</t>
  </si>
  <si>
    <t xml:space="preserve">Spell out what is out. This is where most disagreements hide.</t>
  </si>
  <si>
    <t xml:space="preserve">Evergreen and cancelled requisitions</t>
  </si>
  <si>
    <t xml:space="preserve">Draft = our proposal. Under review = with TAAA. Agreed = both teams signed off. Certified = agreed and built into the certified tables.</t>
  </si>
  <si>
    <t xml:space="preserve">Draft</t>
  </si>
  <si>
    <t xml:space="preserve">Owner</t>
  </si>
  <si>
    <t xml:space="preserve">Who owns the definition.</t>
  </si>
  <si>
    <t xml:space="preserve">Filled automatically: how many metrics reference this population.</t>
  </si>
  <si>
    <t xml:space="preserve">Anything else.</t>
  </si>
  <si>
    <t xml:space="preserve">A short code: M-001, M-002. If the same name is calculated two different ways today, each way gets its own ID.</t>
  </si>
  <si>
    <t xml:space="preserve">M-001</t>
  </si>
  <si>
    <t xml:space="preserve">Metric family</t>
  </si>
  <si>
    <t xml:space="preserve">The plain name people use, shared by every variant. All the cycle times are family Cycle time. If a family ends up with more than one definition, it appears on Decisions as something to align.</t>
  </si>
  <si>
    <t xml:space="preserve">Cycle time</t>
  </si>
  <si>
    <t xml:space="preserve">The specific name, with the distinguishing part in brackets when there is more than one version.</t>
  </si>
  <si>
    <t xml:space="preserve">Cycle time (approved to accepted)</t>
  </si>
  <si>
    <t xml:space="preserve">How the number is calculated, written so a recruiter would understand it. What starts the clock, what ends it, what happens on a transfer. No SQL. Do not restate who is counted; that is the Population.</t>
  </si>
  <si>
    <t xml:space="preserve">Calendar days from approval to offer accepted; transfers keep the original approval date</t>
  </si>
  <si>
    <t xml:space="preserve">Which standard population this metric counts. Pick from the Populations sheet.</t>
  </si>
  <si>
    <t xml:space="preserve">Population</t>
  </si>
  <si>
    <t xml:space="preserve">Filled automatically.</t>
  </si>
  <si>
    <t xml:space="preserve">Grain (one row per)</t>
  </si>
  <si>
    <t xml:space="preserve">The thing you count or average over. Ask: if I listed this metric line by line, what is each line? A requisition? An opening (one req can have several)? An application? A hire? A req with three openings gives one number per req but three per opening, so this changes the answer.</t>
  </si>
  <si>
    <t xml:space="preserve">Opening</t>
  </si>
  <si>
    <t xml:space="preserve">Unit</t>
  </si>
  <si>
    <t xml:space="preserve">Days, count, percent, dollars.</t>
  </si>
  <si>
    <t xml:space="preserve">Days</t>
  </si>
  <si>
    <t xml:space="preserve">Draft = our proposal. Under review = with TAAA. Agreed = both teams signed off. Certified = agreed and built into a certified table.</t>
  </si>
  <si>
    <t xml:space="preserve">Who on our team owns the definition.</t>
  </si>
  <si>
    <t xml:space="preserve">Fields needed</t>
  </si>
  <si>
    <t xml:space="preserve">Definitions in family</t>
  </si>
  <si>
    <t xml:space="preserve">Filled automatically: how many metric rows share this family. More than one means the family needs aligning.</t>
  </si>
  <si>
    <t xml:space="preserve">Known disagreements, history, anything else.</t>
  </si>
  <si>
    <t xml:space="preserve">Recruiter view uses posted date</t>
  </si>
  <si>
    <t xml:space="preserve">The metric's code from the Metrics sheet.</t>
  </si>
  <si>
    <t xml:space="preserve">The product's code from the Products sheet.</t>
  </si>
  <si>
    <t xml:space="preserve">P-002</t>
  </si>
  <si>
    <t xml:space="preserve">Filled automatically. Shows ID not found if the code is mistyped.</t>
  </si>
  <si>
    <t xml:space="preserve">Recruiter view</t>
  </si>
  <si>
    <t xml:space="preserve">How it is shown</t>
  </si>
  <si>
    <t xml:space="preserve">What the product does with it: headline tile, trend, table, filter.</t>
  </si>
  <si>
    <t xml:space="preserve">Trend by recruiter, monthly</t>
  </si>
  <si>
    <t xml:space="preserve">A short code: T-001, T-002.</t>
  </si>
  <si>
    <t xml:space="preserve">T-004</t>
  </si>
  <si>
    <t xml:space="preserve">The name as it appears in Snowflake or our documentation.</t>
  </si>
  <si>
    <t xml:space="preserve">Requisition linkage table</t>
  </si>
  <si>
    <t xml:space="preserve">HRDW = a warehouse table we read as delivered. Team custom = a table our team builds on top. Platform = a direct feed from a recruiting system (Workday, Canvas); only used once we hold the source-to-target mapping from PDP.</t>
  </si>
  <si>
    <t xml:space="preserve">Team custom</t>
  </si>
  <si>
    <t xml:space="preserve">Built from (table IDs, main parent first)</t>
  </si>
  <si>
    <t xml:space="preserve">For Team custom tables: the codes of the tables it reads from, main parent first. Lineage chain follows the first parent, so order matters.</t>
  </si>
  <si>
    <t xml:space="preserve">T-004, T-001</t>
  </si>
  <si>
    <t xml:space="preserve">The reason the table was created, in one or two sentences. For HRDW tables, what it is the source of record for. For Team custom tables, what problem it solves that the table below it does not. If nobody can say, write Unknown and set Disposition = Retire.</t>
  </si>
  <si>
    <t xml:space="preserve">Maps a transferred req to its original so clocks keep running</t>
  </si>
  <si>
    <t xml:space="preserve">Team responsible for the table.</t>
  </si>
  <si>
    <t xml:space="preserve">Refresh owner</t>
  </si>
  <si>
    <t xml:space="preserve">Team that runs the refresh job. Often the same as Owner; not always.</t>
  </si>
  <si>
    <t xml:space="preserve">PDP</t>
  </si>
  <si>
    <t xml:space="preserve">The person to call. Human-only.</t>
  </si>
  <si>
    <t xml:space="preserve">Refresh</t>
  </si>
  <si>
    <t xml:space="preserve">How often it updates.</t>
  </si>
  <si>
    <t xml:space="preserve">Active = in use. Proposed = planned, not built. Retire = candidate to remove. Unknown = not sure yet.</t>
  </si>
  <si>
    <t xml:space="preserve">Active</t>
  </si>
  <si>
    <t xml:space="preserve">Where this table belongs in the proposed architecture: Source tables (as delivered), Business rules (where our rules are applied), Certified tables (the agreed tables every product reads), Reporting (dashboards and pulls). Compare with Layer to see what moves.</t>
  </si>
  <si>
    <t xml:space="preserve">What happens to it. Keep as is. Build (proposed, not yet built). Fix upstream (problem belongs to the source, goes to PDP). Move to business rules (logic is somewhere else today, such as inside a dashboard). Merge into certified table. Retire. Undecided.</t>
  </si>
  <si>
    <t xml:space="preserve">Filled automatically. 0 = warehouse table. 1 = built straight on warehouse tables. 2 = built on a table that is itself built on the warehouse. 2 and above is the layering problem; sort by this column to find the tallest stacks.</t>
  </si>
  <si>
    <t xml:space="preserve">Filled automatically. The table and the chain of first parents beneath it, back to the warehouse. (+ other parents) means it also reads other tables not shown in the chain.</t>
  </si>
  <si>
    <t xml:space="preserve">T-006 &lt;- T-005 &lt;- T-004 &lt;- T-002</t>
  </si>
  <si>
    <t xml:space="preserve">Fields listed</t>
  </si>
  <si>
    <t xml:space="preserve">Filled automatically: how many fields on the Fields sheet point at this table.</t>
  </si>
  <si>
    <t xml:space="preserve">Filled automatically: how many metric-to-field links run through this table. Zero on an Active Team custom table is a strong retire signal.</t>
  </si>
  <si>
    <t xml:space="preserve">Breaks when a req is reopened</t>
  </si>
  <si>
    <t xml:space="preserve">A short code: F-001, F-002.</t>
  </si>
  <si>
    <t xml:space="preserve">F-008</t>
  </si>
  <si>
    <t xml:space="preserve">What the column is, in plain words. The business name, not the technical column name.</t>
  </si>
  <si>
    <t xml:space="preserve">Credited recruiter</t>
  </si>
  <si>
    <t xml:space="preserve">Raw = taken from a table exactly as it arrives. Derived = our team calculates it from other fields by a rule. Every Derived field is part of the business layer.</t>
  </si>
  <si>
    <t xml:space="preserve">Derived</t>
  </si>
  <si>
    <t xml:space="preserve">The code of the table the field lives in. For Raw fields, the table it comes from. For Derived fields, the table where we store the result.</t>
  </si>
  <si>
    <t xml:space="preserve">T-005</t>
  </si>
  <si>
    <t xml:space="preserve">Recruiter scorecard base</t>
  </si>
  <si>
    <t xml:space="preserve">Filled automatically from the table.</t>
  </si>
  <si>
    <t xml:space="preserve">Derived from (field IDs)</t>
  </si>
  <si>
    <t xml:space="preserve">Derived fields only: the codes of the fields the rule uses.</t>
  </si>
  <si>
    <t xml:space="preserve">F-007, F-002</t>
  </si>
  <si>
    <t xml:space="preserve">Logic (the business rule)</t>
  </si>
  <si>
    <t xml:space="preserve">Derived fields only: the rule in plain words, precise about what is chosen and what is not. This is the business decision TAAA needs to agree to.</t>
  </si>
  <si>
    <t xml:space="preserve">Recruiter who owned the req on the day the offer was accepted, not the one tagged today</t>
  </si>
  <si>
    <t xml:space="preserve">Data quality</t>
  </si>
  <si>
    <t xml:space="preserve">Clean = arrives correct and complete. Issue = known problem (blanks, wrong values, late). Unknown = not checked yet.</t>
  </si>
  <si>
    <t xml:space="preserve">Where this field should live in the proposed architecture. Raw fields usually stay in Source tables. Derived fields belong in Business rules or, once agreed, in a Certified table. Reporting means the field exists only inside a dashboard today, which is what we are moving away from.</t>
  </si>
  <si>
    <t xml:space="preserve">What happens to it. Keep as is. Fix upstream (ask PDP to correct at source). Move to business rules (rule is computed inside a dashboard today). Merge into certified table. Retire. Undecided.</t>
  </si>
  <si>
    <t xml:space="preserve">Issue / note</t>
  </si>
  <si>
    <t xml:space="preserve">Describe the data problem if there is one.</t>
  </si>
  <si>
    <t xml:space="preserve">Flag is blank for about a fifth of requisitions</t>
  </si>
  <si>
    <t xml:space="preserve">Filled automatically: how many product placements depend on this field through the metrics that use it.</t>
  </si>
  <si>
    <t xml:space="preserve">The metric's code.</t>
  </si>
  <si>
    <t xml:space="preserve">The field's code.</t>
  </si>
  <si>
    <t xml:space="preserve">F-001</t>
  </si>
  <si>
    <t xml:space="preserve">Requisition approved date</t>
  </si>
  <si>
    <t xml:space="preserve">Role in the metric</t>
  </si>
  <si>
    <t xml:space="preserve">What the field does. Start of clock / End of clock = the two dates subtracted. Event counted = the thing being counted. Exclusion = decides which rows are left out. Attribution = decides who gets credit. Linkage = joins records, such as a transferred req to its original. Dimension = used only to slice.</t>
  </si>
  <si>
    <t xml:space="preserve">Start of clock</t>
  </si>
  <si>
    <t xml:space="preserve">Products using this metric</t>
  </si>
  <si>
    <t xml:space="preserve">Dimension ID</t>
  </si>
  <si>
    <t xml:space="preserve">A short code: D-001, D-002.</t>
  </si>
  <si>
    <t xml:space="preserve">D-001</t>
  </si>
  <si>
    <t xml:space="preserve">Dimension name</t>
  </si>
  <si>
    <t xml:space="preserve">The cut as people name it in a filter: org, level, location, recruiter, source.</t>
  </si>
  <si>
    <t xml:space="preserve">Organisation</t>
  </si>
  <si>
    <t xml:space="preserve">Agreed source table ID</t>
  </si>
  <si>
    <t xml:space="preserve">The one table the mapping should come from, once agreed.</t>
  </si>
  <si>
    <t xml:space="preserve">T-001</t>
  </si>
  <si>
    <t xml:space="preserve">Agreed source table</t>
  </si>
  <si>
    <t xml:space="preserve">HRDW requisition table</t>
  </si>
  <si>
    <t xml:space="preserve">Agreed source field</t>
  </si>
  <si>
    <t xml:space="preserve">Which column, and any rule, such as 'hiring org on the requisition, not the recruiter's org'.</t>
  </si>
  <si>
    <t xml:space="preserve">Hiring org as recorded on the requisition</t>
  </si>
  <si>
    <t xml:space="preserve">Draft, Under review, Agreed, Certified, as for metrics.</t>
  </si>
  <si>
    <t xml:space="preserve">Who owns the agreement.</t>
  </si>
  <si>
    <t xml:space="preserve">Usages</t>
  </si>
  <si>
    <t xml:space="preserve">Filled automatically: how many product usages are recorded.</t>
  </si>
  <si>
    <t xml:space="preserve">Usages off the agreed source</t>
  </si>
  <si>
    <t xml:space="preserve">Filled automatically: how many products cut this dimension from a different table than the agreed one. Anything above zero is a place numbers can disagree even with one metric definition.</t>
  </si>
  <si>
    <t xml:space="preserve">The product's code.</t>
  </si>
  <si>
    <t xml:space="preserve">The dimension's code.</t>
  </si>
  <si>
    <t xml:space="preserve">Mapping source table ID</t>
  </si>
  <si>
    <t xml:space="preserve">The table this product actually gets the cut from today. Found in the dashboard's data source or the SQL behind its extract.</t>
  </si>
  <si>
    <t xml:space="preserve">Mapping source table</t>
  </si>
  <si>
    <t xml:space="preserve">Matches agreed source?</t>
  </si>
  <si>
    <t xml:space="preserve">Filled automatically. No means this product slices from a different table than the agreed one, so its numbers can differ even when the metric definition matches.</t>
  </si>
  <si>
    <t xml:space="preserve">No</t>
  </si>
  <si>
    <t xml:space="preserve">Date</t>
  </si>
  <si>
    <t xml:space="preserve">When it was decided.</t>
  </si>
  <si>
    <t xml:space="preserve">What was agreed, in one or two sentences, specific enough to act on.</t>
  </si>
  <si>
    <t xml:space="preserve">Cycle time on the scorecard = approved to offer accepted</t>
  </si>
  <si>
    <t xml:space="preserve">Relates to (IDs)</t>
  </si>
  <si>
    <t xml:space="preserve">The metric, table, field, population or dimension codes it affects.</t>
  </si>
  <si>
    <t xml:space="preserve">M-001, M-002</t>
  </si>
  <si>
    <t xml:space="preserve">Decided by</t>
  </si>
  <si>
    <t xml:space="preserve">Who made the call.</t>
  </si>
  <si>
    <t xml:space="preserve">Agreed with</t>
  </si>
  <si>
    <t xml:space="preserve">Who else signed off. Pending if not yet.</t>
  </si>
  <si>
    <t xml:space="preserve">TAAA</t>
  </si>
  <si>
    <t xml:space="preserve">Follow-up</t>
  </si>
  <si>
    <t xml:space="preserve">What has to happen because of it.</t>
  </si>
  <si>
    <t xml:space="preserve">Rename M-002; update recruiter view</t>
  </si>
  <si>
    <t xml:space="preserve">Question ID</t>
  </si>
  <si>
    <t xml:space="preserve">Q-001, Q-002.</t>
  </si>
  <si>
    <t xml:space="preserve">Q-001</t>
  </si>
  <si>
    <t xml:space="preserve">Raised on</t>
  </si>
  <si>
    <t xml:space="preserve">Date raised.</t>
  </si>
  <si>
    <t xml:space="preserve">Which sheet the uncertainty is about.</t>
  </si>
  <si>
    <t xml:space="preserve">Row ID</t>
  </si>
  <si>
    <t xml:space="preserve">The row's code, if it exists yet.</t>
  </si>
  <si>
    <t xml:space="preserve">M-002</t>
  </si>
  <si>
    <t xml:space="preserve">Question</t>
  </si>
  <si>
    <t xml:space="preserve">The question, written so someone who was not there can answer it.</t>
  </si>
  <si>
    <t xml:space="preserve">Is this the same metric as the scorecard's cycle time?</t>
  </si>
  <si>
    <t xml:space="preserve">What was seen</t>
  </si>
  <si>
    <t xml:space="preserve">The evidence: the two formulas, the two values, the file names.</t>
  </si>
  <si>
    <t xml:space="preserve">DATEDIFF(approved, accepted) vs DATEDIFF(posted, start)</t>
  </si>
  <si>
    <t xml:space="preserve">Open, Answered, Dropped.</t>
  </si>
  <si>
    <t xml:space="preserve">Open</t>
  </si>
  <si>
    <t xml:space="preserve">Answer</t>
  </si>
  <si>
    <t xml:space="preserve">The answer, once given.</t>
  </si>
  <si>
    <t xml:space="preserve">Answered by</t>
  </si>
  <si>
    <t xml:space="preserve">Who answered.</t>
  </si>
  <si>
    <t xml:space="preserve">Answered on</t>
  </si>
  <si>
    <t xml:space="preserve">Date answered.</t>
  </si>
  <si>
    <t xml:space="preserve">All sheets</t>
  </si>
  <si>
    <t xml:space="preserve">On every sheet: the file or place the row came from. A workbook file name, a repo path, a deck, 'conversation with X'.</t>
  </si>
  <si>
    <t xml:space="preserve">On every sheet. Found = read directly from a file. Inferred = deduced from more than one file. Guessed = best guess, must be verified. Human = a person entered or confirmed it.</t>
  </si>
  <si>
    <t xml:space="preserve">Date a person last confirmed the row is still true. Blank means nobody has.</t>
  </si>
  <si>
    <t xml:space="preserve">One row per thing people look at. ID is the key used on Metric to Product and Dimension usage.</t>
  </si>
  <si>
    <t xml:space="preserve">Scorecard</t>
  </si>
  <si>
    <t xml:space="preserve">Executives</t>
  </si>
  <si>
    <t xml:space="preserve">Weekly</t>
  </si>
  <si>
    <t xml:space="preserve">Example. One tab per org, same metrics; a few tabs with different metrics.</t>
  </si>
  <si>
    <t xml:space="preserve">Human</t>
  </si>
  <si>
    <t xml:space="preserve">Recruiting team</t>
  </si>
  <si>
    <t xml:space="preserve">Example.</t>
  </si>
  <si>
    <t xml:space="preserve">P-003</t>
  </si>
  <si>
    <t xml:space="preserve">Hiring manager view</t>
  </si>
  <si>
    <t xml:space="preserve">Hiring managers</t>
  </si>
  <si>
    <t xml:space="preserve">One row per distinct definition. Same idea, different rule = different row, same family. Same rule, different cut = one row (the cut is a dimension).</t>
  </si>
  <si>
    <t xml:space="preserve">h_conflict</t>
  </si>
  <si>
    <t xml:space="preserve">Calendar days from requisition approval to offer acceptance. If a requisition is transferred, the clock keeps running from the original approval date.</t>
  </si>
  <si>
    <t xml:space="preserve">Example. Proposed scorecard version.</t>
  </si>
  <si>
    <t xml:space="preserve">Cycle time (posted to start)</t>
  </si>
  <si>
    <t xml:space="preserve">Calendar days from the requisition being posted to the new hire's start date.</t>
  </si>
  <si>
    <t xml:space="preserve">Example. A second clock with the same name, found on the recruiter view. Family has two definitions, so it appears on Decisions.</t>
  </si>
  <si>
    <t xml:space="preserve">recruiter_view.twb</t>
  </si>
  <si>
    <t xml:space="preserve">M-003</t>
  </si>
  <si>
    <t xml:space="preserve">Hires</t>
  </si>
  <si>
    <t xml:space="preserve">Count of accepted offers in the period. Cut by recruiter, org or level as a dimension; the count itself does not change.</t>
  </si>
  <si>
    <t xml:space="preserve">POP-002</t>
  </si>
  <si>
    <t xml:space="preserve">Hire</t>
  </si>
  <si>
    <t xml:space="preserve">Example. Hires by recruiter is this metric cut by the recruiter dimension, not a separate metric.</t>
  </si>
  <si>
    <t xml:space="preserve">One row per place a metric appears. Type the two IDs; names fill in.</t>
  </si>
  <si>
    <t xml:space="preserve">Headline tile, quarterly average, one tab per org</t>
  </si>
  <si>
    <t xml:space="preserve">Average per hiring manager</t>
  </si>
  <si>
    <t xml:space="preserve">hm_view.twb</t>
  </si>
  <si>
    <t xml:space="preserve">Count, one tab per org</t>
  </si>
  <si>
    <t xml:space="preserve">Bar by recruiter, quarter to date</t>
  </si>
  <si>
    <t xml:space="preserve">Who is counted. Define each standard reporting population once here; metrics reference the ID instead of restating it.</t>
  </si>
  <si>
    <t xml:space="preserve">Requisitions for a named role that go through the normal approval process.</t>
  </si>
  <si>
    <t xml:space="preserve">Approved requisitions, internal and external, all levels</t>
  </si>
  <si>
    <t xml:space="preserve">Evergreen requisitions, cancelled requisitions, contingent worker requests</t>
  </si>
  <si>
    <t xml:space="preserve">Example. The population most TA metrics should share.</t>
  </si>
  <si>
    <t xml:space="preserve">All accepted offers</t>
  </si>
  <si>
    <t xml:space="preserve">Every offer accepted in the period, regardless of requisition type.</t>
  </si>
  <si>
    <t xml:space="preserve">Internal and external hires</t>
  </si>
  <si>
    <t xml:space="preserve">Rescinded offers</t>
  </si>
  <si>
    <t xml:space="preserve">Every table we read from or build. Built from gives the lineage; put the main parent first. Depth and Lineage chain are computed from it.</t>
  </si>
  <si>
    <t xml:space="preserve">h_p1</t>
  </si>
  <si>
    <t xml:space="preserve">h_p2</t>
  </si>
  <si>
    <t xml:space="preserve">h_p3</t>
  </si>
  <si>
    <t xml:space="preserve">h_p4</t>
  </si>
  <si>
    <t xml:space="preserve">h_retire</t>
  </si>
  <si>
    <t xml:space="preserve">h_build</t>
  </si>
  <si>
    <t xml:space="preserve">h_deep</t>
  </si>
  <si>
    <t xml:space="preserve">h_undecided</t>
  </si>
  <si>
    <t xml:space="preserve">HRDW</t>
  </si>
  <si>
    <t xml:space="preserve">Source of record for requisitions as delivered by the warehouse.</t>
  </si>
  <si>
    <t xml:space="preserve">T-002</t>
  </si>
  <si>
    <t xml:space="preserve">HRDW requisition history table</t>
  </si>
  <si>
    <t xml:space="preserve">Change history for requisitions: owner changes, transfers, status changes.</t>
  </si>
  <si>
    <t xml:space="preserve">T-003</t>
  </si>
  <si>
    <t xml:space="preserve">HRDW offer table</t>
  </si>
  <si>
    <t xml:space="preserve">Offers extended and their outcome.</t>
  </si>
  <si>
    <t xml:space="preserve">Maps a transferred requisition to its original so clocks keep running from the original approval. Nothing upstream provides this.</t>
  </si>
  <si>
    <t xml:space="preserve">Example. A rule no source system knows.</t>
  </si>
  <si>
    <t xml:space="preserve">repo/sql/req_linkage.sql</t>
  </si>
  <si>
    <t xml:space="preserve">T-004, T-001, T-003</t>
  </si>
  <si>
    <t xml:space="preserve">Built in 2023 for the recruiter view. Joins linkage, requisitions and offers and adds recruiter credit.</t>
  </si>
  <si>
    <t xml:space="preserve">Example. Depth 2: a layer on a layer. Candidate to fold into the certified table.</t>
  </si>
  <si>
    <t xml:space="preserve">repo/sql/recruiter_base.sql</t>
  </si>
  <si>
    <t xml:space="preserve">T-006</t>
  </si>
  <si>
    <t xml:space="preserve">Recruiter view extract</t>
  </si>
  <si>
    <t xml:space="preserve">Narrow copy of the recruiter base shaped for the Tableau extract.</t>
  </si>
  <si>
    <t xml:space="preserve">Example. Depth 3. Exists only to feed one dashboard; goes away when the dashboard reads the certified table.</t>
  </si>
  <si>
    <t xml:space="preserve">repo/sql/recruiter_extract.sql</t>
  </si>
  <si>
    <t xml:space="preserve">T-007</t>
  </si>
  <si>
    <t xml:space="preserve">Certified application table</t>
  </si>
  <si>
    <t xml:space="preserve">T-001, T-002, T-003, T-004</t>
  </si>
  <si>
    <t xml:space="preserve">One row per application with agreed attribution and exclusion flags applied, so every product reads the same rules.</t>
  </si>
  <si>
    <t xml:space="preserve">Proposed</t>
  </si>
  <si>
    <t xml:space="preserve">Example. Proposed; appears because dispositions above call for it.</t>
  </si>
  <si>
    <t xml:space="preserve">The columns the metrics need. Raw = taken as is. Derived = our team computes it by a rule written in Logic. Every Derived row is part of the business layer.</t>
  </si>
  <si>
    <t xml:space="preserve">h_fix</t>
  </si>
  <si>
    <t xml:space="preserve">h_move</t>
  </si>
  <si>
    <t xml:space="preserve">Raw</t>
  </si>
  <si>
    <t xml:space="preserve">Clean</t>
  </si>
  <si>
    <t xml:space="preserve">F-002</t>
  </si>
  <si>
    <t xml:space="preserve">Offer accepted date</t>
  </si>
  <si>
    <t xml:space="preserve">F-003</t>
  </si>
  <si>
    <t xml:space="preserve">Evergreen flag</t>
  </si>
  <si>
    <t xml:space="preserve">Flag arrives blank for some requisitions; PDP to fix at source.</t>
  </si>
  <si>
    <t xml:space="preserve">F-004</t>
  </si>
  <si>
    <t xml:space="preserve">Requisition status</t>
  </si>
  <si>
    <t xml:space="preserve">F-005</t>
  </si>
  <si>
    <t xml:space="preserve">Original requisition link</t>
  </si>
  <si>
    <t xml:space="preserve">F-006</t>
  </si>
  <si>
    <t xml:space="preserve">When a requisition is transferred, map the new requisition ID to the original so the clock continues from the original approval date.</t>
  </si>
  <si>
    <t xml:space="preserve">Unknown</t>
  </si>
  <si>
    <t xml:space="preserve">Example. Does not exist upstream; only our team builds it.</t>
  </si>
  <si>
    <t xml:space="preserve">Requisition transfer history</t>
  </si>
  <si>
    <t xml:space="preserve">F-007</t>
  </si>
  <si>
    <t xml:space="preserve">Requisition owner history</t>
  </si>
  <si>
    <t xml:space="preserve">Recruiter who owned the requisition on the day the offer was accepted. Not the recruiter tagged on the requisition today.</t>
  </si>
  <si>
    <t xml:space="preserve">Example. The attribution rule to agree with TAAA; lives in the recruiter base today, moves to the certified table.</t>
  </si>
  <si>
    <t xml:space="preserve">F-009</t>
  </si>
  <si>
    <t xml:space="preserve">Requisition posted date</t>
  </si>
  <si>
    <t xml:space="preserve">F-010</t>
  </si>
  <si>
    <t xml:space="preserve">Start date</t>
  </si>
  <si>
    <t xml:space="preserve">One row per field a metric needs. Type the two IDs; names fill in. Role says what the field does in the calculation.</t>
  </si>
  <si>
    <t xml:space="preserve">End of clock</t>
  </si>
  <si>
    <t xml:space="preserve">Exclusion</t>
  </si>
  <si>
    <t xml:space="preserve">Linkage</t>
  </si>
  <si>
    <t xml:space="preserve">Event counted</t>
  </si>
  <si>
    <t xml:space="preserve">Attribution</t>
  </si>
  <si>
    <t xml:space="preserve">The cuts people apply: org, level, location, recruiter. Each should have one agreed mapping source. Dimension usage shows who uses a different one.</t>
  </si>
  <si>
    <t xml:space="preserve">Example. Two products cut org differently today; see Dimension usage.</t>
  </si>
  <si>
    <t xml:space="preserve">D-002</t>
  </si>
  <si>
    <t xml:space="preserve">Recruiter</t>
  </si>
  <si>
    <t xml:space="preserve">Credited recruiter (F-008)</t>
  </si>
  <si>
    <t xml:space="preserve">Example. Depends on the attribution rule being agreed.</t>
  </si>
  <si>
    <t xml:space="preserve">One row per product per dimension it cuts by, and the table the mapping actually comes from today.</t>
  </si>
  <si>
    <t xml:space="preserve">h_off</t>
  </si>
  <si>
    <t xml:space="preserve">Example. Scorecard uses hiring org from the requisition.</t>
  </si>
  <si>
    <t xml:space="preserve">Example. Recruiter view uses the recruiting team mapping built into the recruiter base. Same filter label, different table.</t>
  </si>
  <si>
    <t xml:space="preserve">Every agreement, sign-off, retirement or rule change. Date, what was decided, who agreed. This is what stops decisions being relitigated.</t>
  </si>
  <si>
    <t xml:space="preserve">Example: proposed that cycle time on the scorecard means approved to offer accepted; posted-to-start version to be renamed.</t>
  </si>
  <si>
    <t xml:space="preserve">Pending TAAA</t>
  </si>
  <si>
    <t xml:space="preserve">Take to definitions session</t>
  </si>
  <si>
    <t xml:space="preserve">Example row.</t>
  </si>
  <si>
    <t xml:space="preserve">Anything uncertain while filling the workbook goes here, never into a cell as a guess. Work the Open rows down.</t>
  </si>
  <si>
    <t xml:space="preserve">Example: the recruiter view calls this field Cycle Time but its formula runs posted date to start date. Is this meant to be the same metric as the scorecard's cycle time, or a different one?</t>
  </si>
  <si>
    <t xml:space="preserve">scorecard.twb: DATEDIFF(approved, accepted). recruiter_view.twb: DATEDIFF(posted, start).</t>
  </si>
</sst>
</file>

<file path=xl/styles.xml><?xml version="1.0" encoding="utf-8"?>
<styleSheet xmlns="http://schemas.openxmlformats.org/spreadsheetml/2006/main">
  <numFmts count="2">
    <numFmt numFmtId="164" formatCode="General"/>
    <numFmt numFmtId="165" formatCode="General"/>
  </numFmts>
  <fonts count="20">
    <font>
      <sz val="11"/>
      <color theme="1"/>
      <name val="Calibri"/>
      <family val="2"/>
      <charset val="1"/>
    </font>
    <font>
      <sz val="10"/>
      <name val="Arial"/>
      <family val="0"/>
    </font>
    <font>
      <sz val="10"/>
      <name val="Arial"/>
      <family val="0"/>
    </font>
    <font>
      <sz val="10"/>
      <name val="Arial"/>
      <family val="0"/>
    </font>
    <font>
      <b val="true"/>
      <sz val="14"/>
      <color rgb="FF0B1F3A"/>
      <name val="Arial"/>
      <family val="0"/>
      <charset val="1"/>
    </font>
    <font>
      <i val="true"/>
      <sz val="10"/>
      <color rgb="FF6B7280"/>
      <name val="Arial"/>
      <family val="0"/>
      <charset val="1"/>
    </font>
    <font>
      <b val="true"/>
      <sz val="11"/>
      <color rgb="FF0B1F3A"/>
      <name val="Arial"/>
      <family val="0"/>
      <charset val="1"/>
    </font>
    <font>
      <sz val="10"/>
      <color rgb="FF1F2933"/>
      <name val="Arial"/>
      <family val="0"/>
      <charset val="1"/>
    </font>
    <font>
      <b val="true"/>
      <sz val="10"/>
      <color rgb="FF1F2933"/>
      <name val="Arial"/>
      <family val="0"/>
      <charset val="1"/>
    </font>
    <font>
      <b val="true"/>
      <sz val="10"/>
      <color rgb="FFFFFFFF"/>
      <name val="Arial"/>
      <family val="0"/>
      <charset val="1"/>
    </font>
    <font>
      <b val="true"/>
      <sz val="10"/>
      <color rgb="FF1E7B3A"/>
      <name val="Arial"/>
      <family val="0"/>
      <charset val="1"/>
    </font>
    <font>
      <b val="true"/>
      <u val="single"/>
      <sz val="11"/>
      <color rgb="FF0B1F3A"/>
      <name val="Arial"/>
      <family val="0"/>
      <charset val="1"/>
    </font>
    <font>
      <b val="true"/>
      <sz val="16"/>
      <color rgb="FF0B1F3A"/>
      <name val="Arial"/>
      <family val="0"/>
      <charset val="1"/>
    </font>
    <font>
      <sz val="10"/>
      <color rgb="FF6B7280"/>
      <name val="Arial"/>
      <family val="0"/>
      <charset val="1"/>
    </font>
    <font>
      <sz val="10"/>
      <color rgb="FF1E7B3A"/>
      <name val="Arial"/>
      <family val="0"/>
      <charset val="1"/>
    </font>
    <font>
      <i val="true"/>
      <sz val="9"/>
      <color rgb="FF6B7280"/>
      <name val="Arial"/>
      <family val="0"/>
      <charset val="1"/>
    </font>
    <font>
      <b val="true"/>
      <sz val="12"/>
      <color rgb="FF0B1F3A"/>
      <name val="Arial"/>
      <family val="0"/>
      <charset val="1"/>
    </font>
    <font>
      <u val="single"/>
      <sz val="9"/>
      <color rgb="FF0B1F3A"/>
      <name val="Arial"/>
      <family val="0"/>
      <charset val="1"/>
    </font>
    <font>
      <sz val="10"/>
      <name val="Arial"/>
      <family val="2"/>
    </font>
    <font>
      <sz val="8"/>
      <color rgb="FF6B7280"/>
      <name val="Arial"/>
      <family val="0"/>
      <charset val="1"/>
    </font>
  </fonts>
  <fills count="9">
    <fill>
      <patternFill patternType="none"/>
    </fill>
    <fill>
      <patternFill patternType="gray125"/>
    </fill>
    <fill>
      <patternFill patternType="solid">
        <fgColor rgb="FF0B1F3A"/>
        <bgColor rgb="FF1F2933"/>
      </patternFill>
    </fill>
    <fill>
      <patternFill patternType="solid">
        <fgColor rgb="FFEAF0F5"/>
        <bgColor rgb="FFF3F4F6"/>
      </patternFill>
    </fill>
    <fill>
      <patternFill patternType="solid">
        <fgColor rgb="FFFFF8DC"/>
        <bgColor rgb="FFF5F7F9"/>
      </patternFill>
    </fill>
    <fill>
      <patternFill patternType="solid">
        <fgColor rgb="FFF3F4F6"/>
        <bgColor rgb="FFF5F7F9"/>
      </patternFill>
    </fill>
    <fill>
      <patternFill patternType="solid">
        <fgColor rgb="FF1B3A5C"/>
        <bgColor rgb="FF1F2933"/>
      </patternFill>
    </fill>
    <fill>
      <patternFill patternType="solid">
        <fgColor rgb="FFF5F7F9"/>
        <bgColor rgb="FFF3F4F6"/>
      </patternFill>
    </fill>
    <fill>
      <patternFill patternType="solid">
        <fgColor rgb="FFD9E4EC"/>
        <bgColor rgb="FFD0D7DE"/>
      </patternFill>
    </fill>
  </fills>
  <borders count="2">
    <border diagonalUp="false" diagonalDown="false">
      <left/>
      <right/>
      <top/>
      <bottom/>
      <diagonal/>
    </border>
    <border diagonalUp="false" diagonalDown="false">
      <left style="thin">
        <color rgb="FFD0D7DE"/>
      </left>
      <right style="thin">
        <color rgb="FFD0D7DE"/>
      </right>
      <top style="thin">
        <color rgb="FFD0D7DE"/>
      </top>
      <bottom style="thin">
        <color rgb="FFD0D7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8" fillId="5" borderId="0" xfId="0" applyFont="true" applyBorder="false" applyAlignment="false" applyProtection="false">
      <alignment horizontal="general" vertical="bottom" textRotation="0" wrapText="false" indent="0" shrinkToFit="false"/>
      <protection locked="true" hidden="false"/>
    </xf>
    <xf numFmtId="164" fontId="9" fillId="6" borderId="1" xfId="0" applyFont="true" applyBorder="true" applyAlignment="true" applyProtection="false">
      <alignment horizontal="general" vertical="center" textRotation="0" wrapText="tru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5" fontId="12" fillId="0" borderId="1" xfId="0" applyFont="tru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14" fillId="0" borderId="1"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8" fillId="7"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14" fillId="7" borderId="1" xfId="0" applyFont="true" applyBorder="true" applyAlignment="true" applyProtection="false">
      <alignment horizontal="general" vertical="top" textRotation="0" wrapText="tru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4" fontId="8" fillId="8"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19" fillId="5" borderId="0" xfId="0" applyFont="true" applyBorder="false" applyAlignment="false" applyProtection="false">
      <alignment horizontal="general" vertical="bottom" textRotation="0" wrapText="false" indent="0" shrinkToFit="false"/>
      <protection locked="true" hidden="false"/>
    </xf>
    <xf numFmtId="165" fontId="14" fillId="0" borderId="1" xfId="0" applyFont="true" applyBorder="true" applyAlignment="true" applyProtection="false">
      <alignment horizontal="general" vertical="top" textRotation="0" wrapText="true" indent="0" shrinkToFit="false"/>
      <protection locked="true" hidden="false"/>
    </xf>
    <xf numFmtId="165" fontId="19" fillId="5" borderId="0" xfId="0" applyFont="true" applyBorder="false" applyAlignment="false" applyProtection="false">
      <alignment horizontal="general" vertical="bottom" textRotation="0" wrapText="false" indent="0" shrinkToFit="false"/>
      <protection locked="true" hidden="false"/>
    </xf>
    <xf numFmtId="164" fontId="19" fillId="5"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9">
    <dxf>
      <font>
        <name val="Arial"/>
        <charset val="1"/>
        <family val="0"/>
        <b val="1"/>
        <color rgb="FFB85042"/>
        <sz val="16"/>
      </font>
    </dxf>
    <dxf>
      <fill>
        <patternFill patternType="solid">
          <fgColor rgb="FF0B1F3A"/>
          <bgColor rgb="FF000000"/>
        </patternFill>
      </fill>
    </dxf>
    <dxf>
      <fill>
        <patternFill patternType="solid">
          <fgColor rgb="FFD9E4EC"/>
          <bgColor rgb="FF000000"/>
        </patternFill>
      </fill>
    </dxf>
    <dxf>
      <fill>
        <patternFill patternType="solid">
          <fgColor rgb="FFF5F7F9"/>
          <bgColor rgb="FF000000"/>
        </patternFill>
      </fill>
    </dxf>
    <dxf>
      <fill>
        <patternFill patternType="solid">
          <bgColor rgb="FF000000"/>
        </patternFill>
      </fill>
    </dxf>
    <dxf>
      <fill>
        <patternFill patternType="solid">
          <fgColor rgb="FF1F2933"/>
          <bgColor rgb="FF000000"/>
        </patternFill>
      </fill>
    </dxf>
    <dxf>
      <fill>
        <patternFill patternType="solid">
          <fgColor rgb="FFFFFFFF"/>
          <bgColor rgb="FF000000"/>
        </patternFill>
      </fill>
    </dxf>
    <dxf>
      <fill>
        <patternFill patternType="solid">
          <fgColor rgb="FF1E7B3A"/>
          <bgColor rgb="FF000000"/>
        </patternFill>
      </fill>
    </dxf>
    <dxf>
      <fill>
        <patternFill patternType="solid">
          <fgColor rgb="FFEAF0F5"/>
          <bgColor rgb="FF000000"/>
        </patternFill>
      </fill>
    </dxf>
    <dxf>
      <fill>
        <patternFill patternType="solid">
          <fgColor rgb="FFFFF8DC"/>
          <bgColor rgb="FF000000"/>
        </patternFill>
      </fill>
    </dxf>
    <dxf>
      <fill>
        <patternFill patternType="solid">
          <fgColor rgb="FFB7791F"/>
          <bgColor rgb="FF000000"/>
        </patternFill>
      </fill>
    </dxf>
    <dxf>
      <fill>
        <patternFill patternType="solid">
          <fgColor rgb="FFB85042"/>
          <bgColor rgb="FF000000"/>
        </patternFill>
      </fill>
    </dxf>
    <dxf>
      <fill>
        <patternFill patternType="solid">
          <fgColor rgb="FFF3F4F6"/>
          <bgColor rgb="FF000000"/>
        </patternFill>
      </fill>
    </dxf>
    <dxf>
      <fill>
        <patternFill patternType="solid">
          <fgColor rgb="FF6B7280"/>
          <bgColor rgb="FF000000"/>
        </patternFill>
      </fill>
    </dxf>
    <dxf>
      <font>
        <name val="Arial"/>
        <charset val="1"/>
        <family val="0"/>
        <b val="1"/>
        <color rgb="FF1E7B3A"/>
      </font>
    </dxf>
    <dxf>
      <font>
        <name val="Arial"/>
        <charset val="1"/>
        <family val="0"/>
        <b val="1"/>
        <color rgb="FFB7791F"/>
      </font>
    </dxf>
    <dxf>
      <font>
        <name val="Arial"/>
        <charset val="1"/>
        <family val="0"/>
        <b val="1"/>
        <color rgb="FFB85042"/>
      </font>
    </dxf>
    <dxf>
      <font>
        <name val="Arial"/>
        <charset val="1"/>
        <family val="0"/>
        <b val="1"/>
        <color rgb="FF0B1F3A"/>
      </font>
    </dxf>
    <dxf>
      <fill>
        <patternFill>
          <bgColor rgb="FFD9E4EC"/>
        </patternFill>
      </fill>
    </dxf>
  </dxfs>
  <colors>
    <indexedColors>
      <rgbColor rgb="FF000000"/>
      <rgbColor rgb="FFFFFFFF"/>
      <rgbColor rgb="FFFF0000"/>
      <rgbColor rgb="FF00FF00"/>
      <rgbColor rgb="FF0000FF"/>
      <rgbColor rgb="FFFFFF00"/>
      <rgbColor rgb="FFFF00FF"/>
      <rgbColor rgb="FF00FFFF"/>
      <rgbColor rgb="FF800000"/>
      <rgbColor rgb="FF1E7B3A"/>
      <rgbColor rgb="FF000080"/>
      <rgbColor rgb="FFB7791F"/>
      <rgbColor rgb="FF800080"/>
      <rgbColor rgb="FF008080"/>
      <rgbColor rgb="FFC0C0C0"/>
      <rgbColor rgb="FF808080"/>
      <rgbColor rgb="FF9999FF"/>
      <rgbColor rgb="FFB85042"/>
      <rgbColor rgb="FFFFF8DC"/>
      <rgbColor rgb="FFEAF0F5"/>
      <rgbColor rgb="FF660066"/>
      <rgbColor rgb="FFFF8080"/>
      <rgbColor rgb="FF0066CC"/>
      <rgbColor rgb="FFD0D7DE"/>
      <rgbColor rgb="FF000080"/>
      <rgbColor rgb="FFFF00FF"/>
      <rgbColor rgb="FFFFFF00"/>
      <rgbColor rgb="FF00FFFF"/>
      <rgbColor rgb="FF800080"/>
      <rgbColor rgb="FF800000"/>
      <rgbColor rgb="FF008080"/>
      <rgbColor rgb="FF0000FF"/>
      <rgbColor rgb="FF00CCFF"/>
      <rgbColor rgb="FFD9E4EC"/>
      <rgbColor rgb="FFF3F4F6"/>
      <rgbColor rgb="FFF5F7F9"/>
      <rgbColor rgb="FF99CCFF"/>
      <rgbColor rgb="FFFF99CC"/>
      <rgbColor rgb="FFCC99FF"/>
      <rgbColor rgb="FFFFCC99"/>
      <rgbColor rgb="FF3366FF"/>
      <rgbColor rgb="FF33CCCC"/>
      <rgbColor rgb="FF99CC00"/>
      <rgbColor rgb="FFFFCC00"/>
      <rgbColor rgb="FFFF9900"/>
      <rgbColor rgb="FFFF6600"/>
      <rgbColor rgb="FF6B7280"/>
      <rgbColor rgb="FF969696"/>
      <rgbColor rgb="FF1B3A5C"/>
      <rgbColor rgb="FF339966"/>
      <rgbColor rgb="FF0B1F3A"/>
      <rgbColor rgb="FF333300"/>
      <rgbColor rgb="FF993300"/>
      <rgbColor rgb="FF993366"/>
      <rgbColor rgb="FF333399"/>
      <rgbColor rgb="FF1F29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3.xml"/><Relationship Id="rId3"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4.xml"/><Relationship Id="rId3" Type="http://schemas.openxmlformats.org/officeDocument/2006/relationships/vmlDrawing" Target="../drawings/vmlDrawing3.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5.xml"/><Relationship Id="rId3" Type="http://schemas.openxmlformats.org/officeDocument/2006/relationships/vmlDrawing" Target="../drawings/vmlDrawing4.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6.xml"/><Relationship Id="rId3" Type="http://schemas.openxmlformats.org/officeDocument/2006/relationships/vmlDrawing" Target="../drawings/vmlDrawing5.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7.xml"/><Relationship Id="rId3" Type="http://schemas.openxmlformats.org/officeDocument/2006/relationships/vmlDrawing" Target="../drawings/vmlDrawing6.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8.xml"/><Relationship Id="rId3" Type="http://schemas.openxmlformats.org/officeDocument/2006/relationships/vmlDrawing" Target="../drawings/vmlDrawing7.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9.xml"/><Relationship Id="rId3" Type="http://schemas.openxmlformats.org/officeDocument/2006/relationships/vmlDrawing" Target="../drawings/vmlDrawing8.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0.xml"/><Relationship Id="rId3" Type="http://schemas.openxmlformats.org/officeDocument/2006/relationships/vmlDrawing" Target="../drawings/vmlDrawing9.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1.xml"/><Relationship Id="rId3" Type="http://schemas.openxmlformats.org/officeDocument/2006/relationships/vmlDrawing" Target="../drawings/vmlDrawing10.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2.xml"/><Relationship Id="rId3" Type="http://schemas.openxmlformats.org/officeDocument/2006/relationships/vmlDrawing" Target="../drawings/vmlDrawing1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F3A"/>
    <pageSetUpPr fitToPage="true"/>
  </sheetPr>
  <dimension ref="A1:B4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2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15" hidden="false" customHeight="false" outlineLevel="0" collapsed="false">
      <c r="A5" s="5" t="s">
        <v>3</v>
      </c>
      <c r="B5" s="4" t="s">
        <v>4</v>
      </c>
    </row>
    <row r="6" customFormat="false" ht="15" hidden="false" customHeight="false" outlineLevel="0" collapsed="false">
      <c r="A6" s="5" t="s">
        <v>5</v>
      </c>
      <c r="B6" s="4" t="s">
        <v>6</v>
      </c>
    </row>
    <row r="7" customFormat="false" ht="15" hidden="false" customHeight="false" outlineLevel="0" collapsed="false">
      <c r="A7" s="5" t="s">
        <v>7</v>
      </c>
      <c r="B7" s="4" t="s">
        <v>8</v>
      </c>
    </row>
    <row r="8" customFormat="false" ht="15" hidden="false" customHeight="false" outlineLevel="0" collapsed="false">
      <c r="A8" s="5" t="s">
        <v>9</v>
      </c>
      <c r="B8" s="4" t="s">
        <v>10</v>
      </c>
    </row>
    <row r="9" customFormat="false" ht="15" hidden="false" customHeight="false" outlineLevel="0" collapsed="false">
      <c r="A9" s="5" t="s">
        <v>11</v>
      </c>
      <c r="B9" s="4" t="s">
        <v>12</v>
      </c>
    </row>
    <row r="10" customFormat="false" ht="15" hidden="false" customHeight="false" outlineLevel="0" collapsed="false">
      <c r="A10" s="5" t="s">
        <v>13</v>
      </c>
      <c r="B10" s="4" t="s">
        <v>14</v>
      </c>
    </row>
    <row r="11" customFormat="false" ht="15" hidden="false" customHeight="false" outlineLevel="0" collapsed="false">
      <c r="A11" s="5" t="s">
        <v>15</v>
      </c>
      <c r="B11" s="4" t="s">
        <v>16</v>
      </c>
    </row>
    <row r="12" customFormat="false" ht="15" hidden="false" customHeight="false" outlineLevel="0" collapsed="false">
      <c r="A12" s="5" t="s">
        <v>17</v>
      </c>
      <c r="B12" s="4" t="s">
        <v>18</v>
      </c>
    </row>
    <row r="13" customFormat="false" ht="15" hidden="false" customHeight="false" outlineLevel="0" collapsed="false">
      <c r="A13" s="5" t="s">
        <v>19</v>
      </c>
      <c r="B13" s="4" t="s">
        <v>20</v>
      </c>
    </row>
    <row r="14" customFormat="false" ht="15" hidden="false" customHeight="false" outlineLevel="0" collapsed="false">
      <c r="A14" s="5" t="s">
        <v>21</v>
      </c>
      <c r="B14" s="4" t="s">
        <v>22</v>
      </c>
    </row>
    <row r="15" customFormat="false" ht="15" hidden="false" customHeight="false" outlineLevel="0" collapsed="false">
      <c r="A15" s="5" t="s">
        <v>23</v>
      </c>
      <c r="B15" s="4" t="s">
        <v>24</v>
      </c>
    </row>
    <row r="16" customFormat="false" ht="15" hidden="false" customHeight="false" outlineLevel="0" collapsed="false">
      <c r="A16" s="5" t="s">
        <v>25</v>
      </c>
      <c r="B16" s="4" t="s">
        <v>26</v>
      </c>
    </row>
    <row r="17" customFormat="false" ht="15" hidden="false" customHeight="false" outlineLevel="0" collapsed="false">
      <c r="A17" s="5" t="s">
        <v>27</v>
      </c>
      <c r="B17" s="4" t="s">
        <v>28</v>
      </c>
    </row>
    <row r="18" customFormat="false" ht="15" hidden="false" customHeight="false" outlineLevel="0" collapsed="false">
      <c r="A18" s="5"/>
      <c r="B18" s="4"/>
    </row>
    <row r="19" customFormat="false" ht="15" hidden="false" customHeight="false" outlineLevel="0" collapsed="false">
      <c r="A19" s="3" t="s">
        <v>29</v>
      </c>
      <c r="B19" s="4"/>
    </row>
    <row r="20" customFormat="false" ht="15" hidden="false" customHeight="false" outlineLevel="0" collapsed="false">
      <c r="A20" s="5" t="s">
        <v>30</v>
      </c>
      <c r="B20" s="4" t="s">
        <v>31</v>
      </c>
    </row>
    <row r="21" customFormat="false" ht="23.85" hidden="false" customHeight="false" outlineLevel="0" collapsed="false">
      <c r="A21" s="5" t="s">
        <v>32</v>
      </c>
      <c r="B21" s="4" t="s">
        <v>33</v>
      </c>
    </row>
    <row r="22" customFormat="false" ht="15" hidden="false" customHeight="false" outlineLevel="0" collapsed="false">
      <c r="A22" s="5" t="s">
        <v>34</v>
      </c>
      <c r="B22" s="4" t="s">
        <v>35</v>
      </c>
    </row>
    <row r="23" customFormat="false" ht="15" hidden="false" customHeight="false" outlineLevel="0" collapsed="false">
      <c r="A23" s="5" t="s">
        <v>36</v>
      </c>
      <c r="B23" s="4" t="s">
        <v>37</v>
      </c>
    </row>
    <row r="24" customFormat="false" ht="15" hidden="false" customHeight="false" outlineLevel="0" collapsed="false">
      <c r="A24" s="5" t="s">
        <v>38</v>
      </c>
      <c r="B24" s="4" t="s">
        <v>39</v>
      </c>
    </row>
    <row r="25" customFormat="false" ht="15" hidden="false" customHeight="false" outlineLevel="0" collapsed="false">
      <c r="A25" s="5" t="s">
        <v>40</v>
      </c>
      <c r="B25" s="4" t="s">
        <v>41</v>
      </c>
    </row>
    <row r="26" customFormat="false" ht="15" hidden="false" customHeight="false" outlineLevel="0" collapsed="false">
      <c r="A26" s="5" t="s">
        <v>42</v>
      </c>
      <c r="B26" s="4" t="s">
        <v>43</v>
      </c>
    </row>
    <row r="27" customFormat="false" ht="15" hidden="false" customHeight="false" outlineLevel="0" collapsed="false">
      <c r="A27" s="5"/>
      <c r="B27" s="4"/>
    </row>
    <row r="28" customFormat="false" ht="15" hidden="false" customHeight="false" outlineLevel="0" collapsed="false">
      <c r="A28" s="3" t="s">
        <v>44</v>
      </c>
      <c r="B28" s="4"/>
    </row>
    <row r="29" customFormat="false" ht="23.85" hidden="false" customHeight="false" outlineLevel="0" collapsed="false">
      <c r="A29" s="5" t="s">
        <v>45</v>
      </c>
      <c r="B29" s="4" t="s">
        <v>46</v>
      </c>
    </row>
    <row r="30" customFormat="false" ht="23.85" hidden="false" customHeight="false" outlineLevel="0" collapsed="false">
      <c r="A30" s="5" t="s">
        <v>47</v>
      </c>
      <c r="B30" s="4" t="s">
        <v>48</v>
      </c>
    </row>
    <row r="31" customFormat="false" ht="15" hidden="false" customHeight="false" outlineLevel="0" collapsed="false">
      <c r="A31" s="5" t="s">
        <v>49</v>
      </c>
      <c r="B31" s="4" t="s">
        <v>50</v>
      </c>
    </row>
    <row r="32" customFormat="false" ht="15" hidden="false" customHeight="false" outlineLevel="0" collapsed="false">
      <c r="A32" s="5"/>
      <c r="B32" s="4"/>
    </row>
    <row r="33" customFormat="false" ht="15" hidden="false" customHeight="false" outlineLevel="0" collapsed="false">
      <c r="A33" s="3" t="s">
        <v>51</v>
      </c>
      <c r="B33" s="4"/>
    </row>
    <row r="34" customFormat="false" ht="15" hidden="false" customHeight="false" outlineLevel="0" collapsed="false">
      <c r="A34" s="6" t="s">
        <v>52</v>
      </c>
      <c r="B34" s="4" t="s">
        <v>53</v>
      </c>
    </row>
    <row r="35" customFormat="false" ht="15" hidden="false" customHeight="false" outlineLevel="0" collapsed="false">
      <c r="A35" s="7" t="s">
        <v>54</v>
      </c>
      <c r="B35" s="4" t="s">
        <v>55</v>
      </c>
    </row>
    <row r="36" customFormat="false" ht="15" hidden="false" customHeight="false" outlineLevel="0" collapsed="false">
      <c r="A36" s="8" t="s">
        <v>56</v>
      </c>
      <c r="B36" s="4" t="s">
        <v>57</v>
      </c>
    </row>
    <row r="37" customFormat="false" ht="15" hidden="false" customHeight="false" outlineLevel="0" collapsed="false">
      <c r="A37" s="9" t="s">
        <v>58</v>
      </c>
      <c r="B37" s="4" t="s">
        <v>59</v>
      </c>
    </row>
    <row r="38" customFormat="false" ht="15" hidden="false" customHeight="false" outlineLevel="0" collapsed="false">
      <c r="A38" s="10" t="s">
        <v>60</v>
      </c>
      <c r="B38" s="4" t="s">
        <v>61</v>
      </c>
    </row>
    <row r="39" customFormat="false" ht="15" hidden="false" customHeight="false" outlineLevel="0" collapsed="false">
      <c r="A39" s="5"/>
      <c r="B39" s="4"/>
    </row>
    <row r="40" customFormat="false" ht="23.85" hidden="false" customHeight="false" outlineLevel="0" collapsed="false">
      <c r="A40" s="5" t="s">
        <v>62</v>
      </c>
      <c r="B40" s="4" t="s">
        <v>63</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F3A"/>
    <pageSetUpPr fitToPage="true"/>
  </sheetPr>
  <dimension ref="A1:K3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9"/>
    <col collapsed="false" customWidth="true" hidden="false" outlineLevel="0" max="3" min="3" style="0" width="48"/>
    <col collapsed="false" customWidth="true" hidden="false" outlineLevel="0" max="4" min="4" style="0" width="40"/>
    <col collapsed="false" customWidth="true" hidden="false" outlineLevel="0" max="6" min="5" style="0" width="30"/>
    <col collapsed="false" customWidth="true" hidden="false" outlineLevel="0" max="7" min="7" style="0" width="12"/>
    <col collapsed="false" customWidth="true" hidden="false" outlineLevel="0" max="8" min="8" style="0" width="3"/>
    <col collapsed="false" customWidth="true" hidden="false" outlineLevel="0" max="9" min="9" style="0" width="26"/>
    <col collapsed="false" customWidth="true" hidden="false" outlineLevel="0" max="11" min="10" style="0" width="10"/>
  </cols>
  <sheetData>
    <row r="1" customFormat="false" ht="17.35" hidden="false" customHeight="false" outlineLevel="0" collapsed="false">
      <c r="A1" s="1" t="s">
        <v>21</v>
      </c>
    </row>
    <row r="2" customFormat="false" ht="15" hidden="false" customHeight="false" outlineLevel="0" collapsed="false">
      <c r="A2" s="2" t="s">
        <v>64</v>
      </c>
    </row>
    <row r="4" customFormat="false" ht="31.5" hidden="false" customHeight="true" outlineLevel="0" collapsed="false">
      <c r="A4" s="11" t="s">
        <v>65</v>
      </c>
      <c r="B4" s="11" t="s">
        <v>66</v>
      </c>
      <c r="C4" s="11" t="s">
        <v>67</v>
      </c>
      <c r="E4" s="11" t="s">
        <v>68</v>
      </c>
      <c r="F4" s="11" t="s">
        <v>13</v>
      </c>
      <c r="G4" s="11" t="s">
        <v>11</v>
      </c>
      <c r="I4" s="11" t="s">
        <v>69</v>
      </c>
      <c r="J4" s="11" t="s">
        <v>13</v>
      </c>
      <c r="K4" s="11" t="s">
        <v>11</v>
      </c>
    </row>
    <row r="5" customFormat="false" ht="24" hidden="false" customHeight="true" outlineLevel="0" collapsed="false">
      <c r="A5" s="12" t="str">
        <f aca="false">HYPERLINK("#'Decisions'!A16","Tables to retire")</f>
        <v>Tables to retire</v>
      </c>
      <c r="B5" s="13" t="n">
        <f aca="false">COUNT(Tables!$Z$5:$Z$254)</f>
        <v>1</v>
      </c>
      <c r="C5" s="14" t="s">
        <v>70</v>
      </c>
      <c r="E5" s="15" t="s">
        <v>71</v>
      </c>
      <c r="F5" s="16" t="n">
        <f aca="false">COUNTIF(Fields!$J$5:$J$604,E5)</f>
        <v>8</v>
      </c>
      <c r="G5" s="16" t="n">
        <f aca="false">COUNTIF(Tables!$K$5:$K$254,E5)</f>
        <v>3</v>
      </c>
      <c r="I5" s="15" t="s">
        <v>72</v>
      </c>
      <c r="J5" s="16" t="n">
        <f aca="false">COUNTIF(Fields!$K$5:$K$604,I5)</f>
        <v>8</v>
      </c>
      <c r="K5" s="16" t="n">
        <f aca="false">COUNTIF(Tables!$L$5:$L$254,I5)</f>
        <v>4</v>
      </c>
    </row>
    <row r="6" customFormat="false" ht="24" hidden="false" customHeight="true" outlineLevel="0" collapsed="false">
      <c r="A6" s="12" t="str">
        <f aca="false">HYPERLINK("#'Decisions'!A60","Tables to build")</f>
        <v>Tables to build</v>
      </c>
      <c r="B6" s="13" t="n">
        <f aca="false">COUNT(Tables!$AA$5:$AA$254)</f>
        <v>1</v>
      </c>
      <c r="C6" s="14" t="s">
        <v>73</v>
      </c>
      <c r="E6" s="15" t="s">
        <v>74</v>
      </c>
      <c r="F6" s="16" t="n">
        <f aca="false">COUNTIF(Fields!$J$5:$J$604,E6)</f>
        <v>2</v>
      </c>
      <c r="G6" s="16" t="n">
        <f aca="false">COUNTIF(Tables!$K$5:$K$254,E6)</f>
        <v>2</v>
      </c>
      <c r="I6" s="15" t="s">
        <v>75</v>
      </c>
      <c r="J6" s="16" t="n">
        <f aca="false">COUNTIF(Fields!$K$5:$K$604,I6)</f>
        <v>0</v>
      </c>
      <c r="K6" s="16" t="n">
        <f aca="false">COUNTIF(Tables!$L$5:$L$254,I6)</f>
        <v>1</v>
      </c>
    </row>
    <row r="7" customFormat="false" ht="24" hidden="false" customHeight="true" outlineLevel="0" collapsed="false">
      <c r="A7" s="12" t="str">
        <f aca="false">HYPERLINK("#'Decisions'!A104","Stacked tables (depth 2 or more)")</f>
        <v>Stacked tables (depth 2 or more)</v>
      </c>
      <c r="B7" s="13" t="n">
        <f aca="false">COUNT(Tables!$AB$5:$AB$254)</f>
        <v>2</v>
      </c>
      <c r="C7" s="14" t="s">
        <v>76</v>
      </c>
      <c r="E7" s="15" t="s">
        <v>77</v>
      </c>
      <c r="F7" s="16" t="n">
        <f aca="false">COUNTIF(Fields!$J$5:$J$604,E7)</f>
        <v>0</v>
      </c>
      <c r="G7" s="16" t="n">
        <f aca="false">COUNTIF(Tables!$K$5:$K$254,E7)</f>
        <v>1</v>
      </c>
      <c r="I7" s="15" t="s">
        <v>78</v>
      </c>
      <c r="J7" s="16" t="n">
        <f aca="false">COUNTIF(Fields!$K$5:$K$604,I7)</f>
        <v>1</v>
      </c>
      <c r="K7" s="16" t="n">
        <f aca="false">COUNTIF(Tables!$L$5:$L$254,I7)</f>
        <v>0</v>
      </c>
    </row>
    <row r="8" customFormat="false" ht="24" hidden="false" customHeight="true" outlineLevel="0" collapsed="false">
      <c r="A8" s="12" t="str">
        <f aca="false">HYPERLINK("#'Decisions'!A148","Metric families with more than one definition")</f>
        <v>Metric families with more than one definition</v>
      </c>
      <c r="B8" s="13" t="n">
        <f aca="false">COUNTIF(Metrics!$S$5:$S$254,"&gt;0")</f>
        <v>2</v>
      </c>
      <c r="C8" s="14" t="s">
        <v>79</v>
      </c>
      <c r="E8" s="15" t="s">
        <v>80</v>
      </c>
      <c r="F8" s="16" t="n">
        <f aca="false">COUNTIF(Fields!$J$5:$J$604,E8)</f>
        <v>0</v>
      </c>
      <c r="G8" s="16" t="n">
        <f aca="false">COUNTIF(Tables!$K$5:$K$254,E8)</f>
        <v>1</v>
      </c>
      <c r="I8" s="15" t="s">
        <v>81</v>
      </c>
      <c r="J8" s="16" t="n">
        <f aca="false">COUNTIF(Fields!$K$5:$K$604,I8)</f>
        <v>1</v>
      </c>
      <c r="K8" s="16" t="n">
        <f aca="false">COUNTIF(Tables!$L$5:$L$254,I8)</f>
        <v>0</v>
      </c>
    </row>
    <row r="9" customFormat="false" ht="24" hidden="false" customHeight="true" outlineLevel="0" collapsed="false">
      <c r="A9" s="12" t="str">
        <f aca="false">HYPERLINK("#'Decisions'!A192","Fields to fix upstream")</f>
        <v>Fields to fix upstream</v>
      </c>
      <c r="B9" s="13" t="n">
        <f aca="false">COUNT(Fields!$T$5:$T$604)</f>
        <v>1</v>
      </c>
      <c r="C9" s="14" t="s">
        <v>82</v>
      </c>
      <c r="E9" s="15" t="s">
        <v>83</v>
      </c>
      <c r="F9" s="16" t="n">
        <f aca="false">COUNTA(Fields!$A$5:$A$604)-SUM(F5:F8)</f>
        <v>0</v>
      </c>
      <c r="G9" s="16" t="n">
        <f aca="false">COUNTA(Tables!$A$5:$A$254)-SUM(G5:G8)</f>
        <v>0</v>
      </c>
      <c r="I9" s="15" t="s">
        <v>84</v>
      </c>
      <c r="J9" s="16" t="n">
        <f aca="false">COUNTIF(Fields!$K$5:$K$604,I9)</f>
        <v>0</v>
      </c>
      <c r="K9" s="16" t="n">
        <f aca="false">COUNTIF(Tables!$L$5:$L$254,I9)</f>
        <v>1</v>
      </c>
    </row>
    <row r="10" customFormat="false" ht="24" hidden="false" customHeight="true" outlineLevel="0" collapsed="false">
      <c r="A10" s="12" t="str">
        <f aca="false">HYPERLINK("#'Decisions'!A236","Rules moving into the business layer")</f>
        <v>Rules moving into the business layer</v>
      </c>
      <c r="B10" s="13" t="n">
        <f aca="false">COUNT(Fields!$U$5:$U$604)</f>
        <v>1</v>
      </c>
      <c r="C10" s="14" t="s">
        <v>85</v>
      </c>
      <c r="I10" s="15" t="s">
        <v>86</v>
      </c>
      <c r="J10" s="16" t="n">
        <f aca="false">COUNTIF(Fields!$K$5:$K$604,I10)</f>
        <v>0</v>
      </c>
      <c r="K10" s="16" t="n">
        <f aca="false">COUNTIF(Tables!$L$5:$L$254,I10)</f>
        <v>1</v>
      </c>
    </row>
    <row r="11" customFormat="false" ht="24" hidden="false" customHeight="true" outlineLevel="0" collapsed="false">
      <c r="A11" s="12" t="str">
        <f aca="false">HYPERLINK("#'Decisions'!A280","Dimension usages off the agreed source")</f>
        <v>Dimension usages off the agreed source</v>
      </c>
      <c r="B11" s="13" t="n">
        <f aca="false">COUNT('Dimension usage'!$K$5:$K$404)</f>
        <v>1</v>
      </c>
      <c r="C11" s="14" t="s">
        <v>87</v>
      </c>
      <c r="I11" s="15" t="s">
        <v>88</v>
      </c>
      <c r="J11" s="16" t="n">
        <f aca="false">COUNTIF(Fields!$K$5:$K$604,I11)</f>
        <v>0</v>
      </c>
      <c r="K11" s="16" t="n">
        <f aca="false">COUNTIF(Tables!$L$5:$L$254,I11)</f>
        <v>0</v>
      </c>
    </row>
    <row r="12" customFormat="false" ht="24" hidden="false" customHeight="true" outlineLevel="0" collapsed="false">
      <c r="A12" s="12" t="str">
        <f aca="false">HYPERLINK("#'Decisions'!A324","Tables and fields still undecided")</f>
        <v>Tables and fields still undecided</v>
      </c>
      <c r="B12" s="13" t="n">
        <f aca="false">COUNT(Tables!$AC$5:$AC$254)+COUNT(Fields!$V$5:$V$604)</f>
        <v>0</v>
      </c>
      <c r="C12" s="14" t="s">
        <v>89</v>
      </c>
    </row>
    <row r="14" customFormat="false" ht="15" hidden="false" customHeight="false" outlineLevel="0" collapsed="false">
      <c r="A14" s="3"/>
      <c r="C14" s="17"/>
    </row>
    <row r="16" customFormat="false" ht="15" hidden="false" customHeight="false" outlineLevel="0" collapsed="false">
      <c r="A16" s="18" t="s">
        <v>90</v>
      </c>
    </row>
    <row r="17" customFormat="false" ht="15" hidden="false" customHeight="false" outlineLevel="0" collapsed="false">
      <c r="A17" s="17" t="s">
        <v>91</v>
      </c>
      <c r="C17" s="19" t="str">
        <f aca="false">HYPERLINK("#'Decisions'!A1","top")</f>
        <v>top</v>
      </c>
    </row>
    <row r="18" customFormat="false" ht="31.5" hidden="false" customHeight="true" outlineLevel="0" collapsed="false">
      <c r="A18" s="11" t="s">
        <v>92</v>
      </c>
      <c r="B18" s="11" t="s">
        <v>93</v>
      </c>
      <c r="C18" s="11" t="s">
        <v>94</v>
      </c>
      <c r="D18" s="11" t="s">
        <v>95</v>
      </c>
      <c r="E18" s="11" t="s">
        <v>96</v>
      </c>
      <c r="F18" s="11" t="s">
        <v>97</v>
      </c>
    </row>
    <row r="19" customFormat="false" ht="35.05" hidden="false" customHeight="false" outlineLevel="0" collapsed="false">
      <c r="A19" s="20" t="str">
        <f aca="false">IFERROR(INDEX(Tables!$A$5:$A$254,MATCH(1,Tables!$Z$5:$Z$254,0))&amp;"","")</f>
        <v>T-006</v>
      </c>
      <c r="B19" s="20" t="str">
        <f aca="false">IFERROR(INDEX(Tables!$B$5:$B$254,MATCH(1,Tables!$Z$5:$Z$254,0))&amp;"","")</f>
        <v>Recruiter view extract</v>
      </c>
      <c r="C19" s="20" t="str">
        <f aca="false">IFERROR(INDEX(Tables!$C$5:$C$254,MATCH(1,Tables!$Z$5:$Z$254,0))&amp;"","")</f>
        <v>Team custom</v>
      </c>
      <c r="D19" s="20" t="n">
        <f aca="false">IFERROR(INDEX(Tables!$M$5:$M$254,MATCH(1,Tables!$Z$5:$Z$254,0)),"")</f>
        <v>3</v>
      </c>
      <c r="E19" s="20" t="n">
        <f aca="false">IFERROR(INDEX(Tables!$P$5:$P$254,MATCH(1,Tables!$Z$5:$Z$254,0)),"")</f>
        <v>0</v>
      </c>
      <c r="F19" s="20" t="str">
        <f aca="false">IFERROR(INDEX(Tables!$E$5:$E$254,MATCH(1,Tables!$Z$5:$Z$254,0))&amp;"","")</f>
        <v>Narrow copy of the recruiter base shaped for the Tableau extract.</v>
      </c>
    </row>
    <row r="20" customFormat="false" ht="15" hidden="false" customHeight="false" outlineLevel="0" collapsed="false">
      <c r="A20" s="20" t="str">
        <f aca="false">IFERROR(INDEX(Tables!$A$5:$A$254,MATCH(2,Tables!$Z$5:$Z$254,0))&amp;"","")</f>
        <v/>
      </c>
      <c r="B20" s="20" t="str">
        <f aca="false">IFERROR(INDEX(Tables!$B$5:$B$254,MATCH(2,Tables!$Z$5:$Z$254,0))&amp;"","")</f>
        <v/>
      </c>
      <c r="C20" s="20" t="str">
        <f aca="false">IFERROR(INDEX(Tables!$C$5:$C$254,MATCH(2,Tables!$Z$5:$Z$254,0))&amp;"","")</f>
        <v/>
      </c>
      <c r="D20" s="20" t="str">
        <f aca="false">IFERROR(INDEX(Tables!$M$5:$M$254,MATCH(2,Tables!$Z$5:$Z$254,0)),"")</f>
        <v/>
      </c>
      <c r="E20" s="20" t="str">
        <f aca="false">IFERROR(INDEX(Tables!$P$5:$P$254,MATCH(2,Tables!$Z$5:$Z$254,0)),"")</f>
        <v/>
      </c>
      <c r="F20" s="20" t="str">
        <f aca="false">IFERROR(INDEX(Tables!$E$5:$E$254,MATCH(2,Tables!$Z$5:$Z$254,0))&amp;"","")</f>
        <v/>
      </c>
    </row>
    <row r="21" customFormat="false" ht="15" hidden="false" customHeight="false" outlineLevel="0" collapsed="false">
      <c r="A21" s="20" t="str">
        <f aca="false">IFERROR(INDEX(Tables!$A$5:$A$254,MATCH(3,Tables!$Z$5:$Z$254,0))&amp;"","")</f>
        <v/>
      </c>
      <c r="B21" s="20" t="str">
        <f aca="false">IFERROR(INDEX(Tables!$B$5:$B$254,MATCH(3,Tables!$Z$5:$Z$254,0))&amp;"","")</f>
        <v/>
      </c>
      <c r="C21" s="20" t="str">
        <f aca="false">IFERROR(INDEX(Tables!$C$5:$C$254,MATCH(3,Tables!$Z$5:$Z$254,0))&amp;"","")</f>
        <v/>
      </c>
      <c r="D21" s="20" t="str">
        <f aca="false">IFERROR(INDEX(Tables!$M$5:$M$254,MATCH(3,Tables!$Z$5:$Z$254,0)),"")</f>
        <v/>
      </c>
      <c r="E21" s="20" t="str">
        <f aca="false">IFERROR(INDEX(Tables!$P$5:$P$254,MATCH(3,Tables!$Z$5:$Z$254,0)),"")</f>
        <v/>
      </c>
      <c r="F21" s="20" t="str">
        <f aca="false">IFERROR(INDEX(Tables!$E$5:$E$254,MATCH(3,Tables!$Z$5:$Z$254,0))&amp;"","")</f>
        <v/>
      </c>
    </row>
    <row r="22" customFormat="false" ht="15" hidden="false" customHeight="false" outlineLevel="0" collapsed="false">
      <c r="A22" s="20" t="str">
        <f aca="false">IFERROR(INDEX(Tables!$A$5:$A$254,MATCH(4,Tables!$Z$5:$Z$254,0))&amp;"","")</f>
        <v/>
      </c>
      <c r="B22" s="20" t="str">
        <f aca="false">IFERROR(INDEX(Tables!$B$5:$B$254,MATCH(4,Tables!$Z$5:$Z$254,0))&amp;"","")</f>
        <v/>
      </c>
      <c r="C22" s="20" t="str">
        <f aca="false">IFERROR(INDEX(Tables!$C$5:$C$254,MATCH(4,Tables!$Z$5:$Z$254,0))&amp;"","")</f>
        <v/>
      </c>
      <c r="D22" s="20" t="str">
        <f aca="false">IFERROR(INDEX(Tables!$M$5:$M$254,MATCH(4,Tables!$Z$5:$Z$254,0)),"")</f>
        <v/>
      </c>
      <c r="E22" s="20" t="str">
        <f aca="false">IFERROR(INDEX(Tables!$P$5:$P$254,MATCH(4,Tables!$Z$5:$Z$254,0)),"")</f>
        <v/>
      </c>
      <c r="F22" s="20" t="str">
        <f aca="false">IFERROR(INDEX(Tables!$E$5:$E$254,MATCH(4,Tables!$Z$5:$Z$254,0))&amp;"","")</f>
        <v/>
      </c>
    </row>
    <row r="23" customFormat="false" ht="15" hidden="false" customHeight="false" outlineLevel="0" collapsed="false">
      <c r="A23" s="20" t="str">
        <f aca="false">IFERROR(INDEX(Tables!$A$5:$A$254,MATCH(5,Tables!$Z$5:$Z$254,0))&amp;"","")</f>
        <v/>
      </c>
      <c r="B23" s="20" t="str">
        <f aca="false">IFERROR(INDEX(Tables!$B$5:$B$254,MATCH(5,Tables!$Z$5:$Z$254,0))&amp;"","")</f>
        <v/>
      </c>
      <c r="C23" s="20" t="str">
        <f aca="false">IFERROR(INDEX(Tables!$C$5:$C$254,MATCH(5,Tables!$Z$5:$Z$254,0))&amp;"","")</f>
        <v/>
      </c>
      <c r="D23" s="20" t="str">
        <f aca="false">IFERROR(INDEX(Tables!$M$5:$M$254,MATCH(5,Tables!$Z$5:$Z$254,0)),"")</f>
        <v/>
      </c>
      <c r="E23" s="20" t="str">
        <f aca="false">IFERROR(INDEX(Tables!$P$5:$P$254,MATCH(5,Tables!$Z$5:$Z$254,0)),"")</f>
        <v/>
      </c>
      <c r="F23" s="20" t="str">
        <f aca="false">IFERROR(INDEX(Tables!$E$5:$E$254,MATCH(5,Tables!$Z$5:$Z$254,0))&amp;"","")</f>
        <v/>
      </c>
    </row>
    <row r="24" customFormat="false" ht="15" hidden="false" customHeight="false" outlineLevel="0" collapsed="false">
      <c r="A24" s="20" t="str">
        <f aca="false">IFERROR(INDEX(Tables!$A$5:$A$254,MATCH(6,Tables!$Z$5:$Z$254,0))&amp;"","")</f>
        <v/>
      </c>
      <c r="B24" s="20" t="str">
        <f aca="false">IFERROR(INDEX(Tables!$B$5:$B$254,MATCH(6,Tables!$Z$5:$Z$254,0))&amp;"","")</f>
        <v/>
      </c>
      <c r="C24" s="20" t="str">
        <f aca="false">IFERROR(INDEX(Tables!$C$5:$C$254,MATCH(6,Tables!$Z$5:$Z$254,0))&amp;"","")</f>
        <v/>
      </c>
      <c r="D24" s="20" t="str">
        <f aca="false">IFERROR(INDEX(Tables!$M$5:$M$254,MATCH(6,Tables!$Z$5:$Z$254,0)),"")</f>
        <v/>
      </c>
      <c r="E24" s="20" t="str">
        <f aca="false">IFERROR(INDEX(Tables!$P$5:$P$254,MATCH(6,Tables!$Z$5:$Z$254,0)),"")</f>
        <v/>
      </c>
      <c r="F24" s="20" t="str">
        <f aca="false">IFERROR(INDEX(Tables!$E$5:$E$254,MATCH(6,Tables!$Z$5:$Z$254,0))&amp;"","")</f>
        <v/>
      </c>
    </row>
    <row r="25" customFormat="false" ht="15" hidden="false" customHeight="false" outlineLevel="0" collapsed="false">
      <c r="A25" s="20" t="str">
        <f aca="false">IFERROR(INDEX(Tables!$A$5:$A$254,MATCH(7,Tables!$Z$5:$Z$254,0))&amp;"","")</f>
        <v/>
      </c>
      <c r="B25" s="20" t="str">
        <f aca="false">IFERROR(INDEX(Tables!$B$5:$B$254,MATCH(7,Tables!$Z$5:$Z$254,0))&amp;"","")</f>
        <v/>
      </c>
      <c r="C25" s="20" t="str">
        <f aca="false">IFERROR(INDEX(Tables!$C$5:$C$254,MATCH(7,Tables!$Z$5:$Z$254,0))&amp;"","")</f>
        <v/>
      </c>
      <c r="D25" s="20" t="str">
        <f aca="false">IFERROR(INDEX(Tables!$M$5:$M$254,MATCH(7,Tables!$Z$5:$Z$254,0)),"")</f>
        <v/>
      </c>
      <c r="E25" s="20" t="str">
        <f aca="false">IFERROR(INDEX(Tables!$P$5:$P$254,MATCH(7,Tables!$Z$5:$Z$254,0)),"")</f>
        <v/>
      </c>
      <c r="F25" s="20" t="str">
        <f aca="false">IFERROR(INDEX(Tables!$E$5:$E$254,MATCH(7,Tables!$Z$5:$Z$254,0))&amp;"","")</f>
        <v/>
      </c>
    </row>
    <row r="26" customFormat="false" ht="15" hidden="false" customHeight="false" outlineLevel="0" collapsed="false">
      <c r="A26" s="20" t="str">
        <f aca="false">IFERROR(INDEX(Tables!$A$5:$A$254,MATCH(8,Tables!$Z$5:$Z$254,0))&amp;"","")</f>
        <v/>
      </c>
      <c r="B26" s="20" t="str">
        <f aca="false">IFERROR(INDEX(Tables!$B$5:$B$254,MATCH(8,Tables!$Z$5:$Z$254,0))&amp;"","")</f>
        <v/>
      </c>
      <c r="C26" s="20" t="str">
        <f aca="false">IFERROR(INDEX(Tables!$C$5:$C$254,MATCH(8,Tables!$Z$5:$Z$254,0))&amp;"","")</f>
        <v/>
      </c>
      <c r="D26" s="20" t="str">
        <f aca="false">IFERROR(INDEX(Tables!$M$5:$M$254,MATCH(8,Tables!$Z$5:$Z$254,0)),"")</f>
        <v/>
      </c>
      <c r="E26" s="20" t="str">
        <f aca="false">IFERROR(INDEX(Tables!$P$5:$P$254,MATCH(8,Tables!$Z$5:$Z$254,0)),"")</f>
        <v/>
      </c>
      <c r="F26" s="20" t="str">
        <f aca="false">IFERROR(INDEX(Tables!$E$5:$E$254,MATCH(8,Tables!$Z$5:$Z$254,0))&amp;"","")</f>
        <v/>
      </c>
    </row>
    <row r="27" customFormat="false" ht="15" hidden="false" customHeight="false" outlineLevel="0" collapsed="false">
      <c r="A27" s="20" t="str">
        <f aca="false">IFERROR(INDEX(Tables!$A$5:$A$254,MATCH(9,Tables!$Z$5:$Z$254,0))&amp;"","")</f>
        <v/>
      </c>
      <c r="B27" s="20" t="str">
        <f aca="false">IFERROR(INDEX(Tables!$B$5:$B$254,MATCH(9,Tables!$Z$5:$Z$254,0))&amp;"","")</f>
        <v/>
      </c>
      <c r="C27" s="20" t="str">
        <f aca="false">IFERROR(INDEX(Tables!$C$5:$C$254,MATCH(9,Tables!$Z$5:$Z$254,0))&amp;"","")</f>
        <v/>
      </c>
      <c r="D27" s="20" t="str">
        <f aca="false">IFERROR(INDEX(Tables!$M$5:$M$254,MATCH(9,Tables!$Z$5:$Z$254,0)),"")</f>
        <v/>
      </c>
      <c r="E27" s="20" t="str">
        <f aca="false">IFERROR(INDEX(Tables!$P$5:$P$254,MATCH(9,Tables!$Z$5:$Z$254,0)),"")</f>
        <v/>
      </c>
      <c r="F27" s="20" t="str">
        <f aca="false">IFERROR(INDEX(Tables!$E$5:$E$254,MATCH(9,Tables!$Z$5:$Z$254,0))&amp;"","")</f>
        <v/>
      </c>
    </row>
    <row r="28" customFormat="false" ht="15" hidden="false" customHeight="false" outlineLevel="0" collapsed="false">
      <c r="A28" s="20" t="str">
        <f aca="false">IFERROR(INDEX(Tables!$A$5:$A$254,MATCH(10,Tables!$Z$5:$Z$254,0))&amp;"","")</f>
        <v/>
      </c>
      <c r="B28" s="20" t="str">
        <f aca="false">IFERROR(INDEX(Tables!$B$5:$B$254,MATCH(10,Tables!$Z$5:$Z$254,0))&amp;"","")</f>
        <v/>
      </c>
      <c r="C28" s="20" t="str">
        <f aca="false">IFERROR(INDEX(Tables!$C$5:$C$254,MATCH(10,Tables!$Z$5:$Z$254,0))&amp;"","")</f>
        <v/>
      </c>
      <c r="D28" s="20" t="str">
        <f aca="false">IFERROR(INDEX(Tables!$M$5:$M$254,MATCH(10,Tables!$Z$5:$Z$254,0)),"")</f>
        <v/>
      </c>
      <c r="E28" s="20" t="str">
        <f aca="false">IFERROR(INDEX(Tables!$P$5:$P$254,MATCH(10,Tables!$Z$5:$Z$254,0)),"")</f>
        <v/>
      </c>
      <c r="F28" s="20" t="str">
        <f aca="false">IFERROR(INDEX(Tables!$E$5:$E$254,MATCH(10,Tables!$Z$5:$Z$254,0))&amp;"","")</f>
        <v/>
      </c>
    </row>
    <row r="29" customFormat="false" ht="15" hidden="false" customHeight="false" outlineLevel="0" collapsed="false">
      <c r="A29" s="20" t="str">
        <f aca="false">IFERROR(INDEX(Tables!$A$5:$A$254,MATCH(11,Tables!$Z$5:$Z$254,0))&amp;"","")</f>
        <v/>
      </c>
      <c r="B29" s="20" t="str">
        <f aca="false">IFERROR(INDEX(Tables!$B$5:$B$254,MATCH(11,Tables!$Z$5:$Z$254,0))&amp;"","")</f>
        <v/>
      </c>
      <c r="C29" s="20" t="str">
        <f aca="false">IFERROR(INDEX(Tables!$C$5:$C$254,MATCH(11,Tables!$Z$5:$Z$254,0))&amp;"","")</f>
        <v/>
      </c>
      <c r="D29" s="20" t="str">
        <f aca="false">IFERROR(INDEX(Tables!$M$5:$M$254,MATCH(11,Tables!$Z$5:$Z$254,0)),"")</f>
        <v/>
      </c>
      <c r="E29" s="20" t="str">
        <f aca="false">IFERROR(INDEX(Tables!$P$5:$P$254,MATCH(11,Tables!$Z$5:$Z$254,0)),"")</f>
        <v/>
      </c>
      <c r="F29" s="20" t="str">
        <f aca="false">IFERROR(INDEX(Tables!$E$5:$E$254,MATCH(11,Tables!$Z$5:$Z$254,0))&amp;"","")</f>
        <v/>
      </c>
    </row>
    <row r="30" customFormat="false" ht="15" hidden="false" customHeight="false" outlineLevel="0" collapsed="false">
      <c r="A30" s="20" t="str">
        <f aca="false">IFERROR(INDEX(Tables!$A$5:$A$254,MATCH(12,Tables!$Z$5:$Z$254,0))&amp;"","")</f>
        <v/>
      </c>
      <c r="B30" s="20" t="str">
        <f aca="false">IFERROR(INDEX(Tables!$B$5:$B$254,MATCH(12,Tables!$Z$5:$Z$254,0))&amp;"","")</f>
        <v/>
      </c>
      <c r="C30" s="20" t="str">
        <f aca="false">IFERROR(INDEX(Tables!$C$5:$C$254,MATCH(12,Tables!$Z$5:$Z$254,0))&amp;"","")</f>
        <v/>
      </c>
      <c r="D30" s="20" t="str">
        <f aca="false">IFERROR(INDEX(Tables!$M$5:$M$254,MATCH(12,Tables!$Z$5:$Z$254,0)),"")</f>
        <v/>
      </c>
      <c r="E30" s="20" t="str">
        <f aca="false">IFERROR(INDEX(Tables!$P$5:$P$254,MATCH(12,Tables!$Z$5:$Z$254,0)),"")</f>
        <v/>
      </c>
      <c r="F30" s="20" t="str">
        <f aca="false">IFERROR(INDEX(Tables!$E$5:$E$254,MATCH(12,Tables!$Z$5:$Z$254,0))&amp;"","")</f>
        <v/>
      </c>
    </row>
    <row r="31" customFormat="false" ht="15" hidden="false" customHeight="false" outlineLevel="0" collapsed="false">
      <c r="A31" s="20" t="str">
        <f aca="false">IFERROR(INDEX(Tables!$A$5:$A$254,MATCH(13,Tables!$Z$5:$Z$254,0))&amp;"","")</f>
        <v/>
      </c>
      <c r="B31" s="20" t="str">
        <f aca="false">IFERROR(INDEX(Tables!$B$5:$B$254,MATCH(13,Tables!$Z$5:$Z$254,0))&amp;"","")</f>
        <v/>
      </c>
      <c r="C31" s="20" t="str">
        <f aca="false">IFERROR(INDEX(Tables!$C$5:$C$254,MATCH(13,Tables!$Z$5:$Z$254,0))&amp;"","")</f>
        <v/>
      </c>
      <c r="D31" s="20" t="str">
        <f aca="false">IFERROR(INDEX(Tables!$M$5:$M$254,MATCH(13,Tables!$Z$5:$Z$254,0)),"")</f>
        <v/>
      </c>
      <c r="E31" s="20" t="str">
        <f aca="false">IFERROR(INDEX(Tables!$P$5:$P$254,MATCH(13,Tables!$Z$5:$Z$254,0)),"")</f>
        <v/>
      </c>
      <c r="F31" s="20" t="str">
        <f aca="false">IFERROR(INDEX(Tables!$E$5:$E$254,MATCH(13,Tables!$Z$5:$Z$254,0))&amp;"","")</f>
        <v/>
      </c>
    </row>
    <row r="32" customFormat="false" ht="15" hidden="false" customHeight="false" outlineLevel="0" collapsed="false">
      <c r="A32" s="20" t="str">
        <f aca="false">IFERROR(INDEX(Tables!$A$5:$A$254,MATCH(14,Tables!$Z$5:$Z$254,0))&amp;"","")</f>
        <v/>
      </c>
      <c r="B32" s="20" t="str">
        <f aca="false">IFERROR(INDEX(Tables!$B$5:$B$254,MATCH(14,Tables!$Z$5:$Z$254,0))&amp;"","")</f>
        <v/>
      </c>
      <c r="C32" s="20" t="str">
        <f aca="false">IFERROR(INDEX(Tables!$C$5:$C$254,MATCH(14,Tables!$Z$5:$Z$254,0))&amp;"","")</f>
        <v/>
      </c>
      <c r="D32" s="20" t="str">
        <f aca="false">IFERROR(INDEX(Tables!$M$5:$M$254,MATCH(14,Tables!$Z$5:$Z$254,0)),"")</f>
        <v/>
      </c>
      <c r="E32" s="20" t="str">
        <f aca="false">IFERROR(INDEX(Tables!$P$5:$P$254,MATCH(14,Tables!$Z$5:$Z$254,0)),"")</f>
        <v/>
      </c>
      <c r="F32" s="20" t="str">
        <f aca="false">IFERROR(INDEX(Tables!$E$5:$E$254,MATCH(14,Tables!$Z$5:$Z$254,0))&amp;"","")</f>
        <v/>
      </c>
    </row>
    <row r="33" customFormat="false" ht="15" hidden="false" customHeight="false" outlineLevel="0" collapsed="false">
      <c r="A33" s="20" t="str">
        <f aca="false">IFERROR(INDEX(Tables!$A$5:$A$254,MATCH(15,Tables!$Z$5:$Z$254,0))&amp;"","")</f>
        <v/>
      </c>
      <c r="B33" s="20" t="str">
        <f aca="false">IFERROR(INDEX(Tables!$B$5:$B$254,MATCH(15,Tables!$Z$5:$Z$254,0))&amp;"","")</f>
        <v/>
      </c>
      <c r="C33" s="20" t="str">
        <f aca="false">IFERROR(INDEX(Tables!$C$5:$C$254,MATCH(15,Tables!$Z$5:$Z$254,0))&amp;"","")</f>
        <v/>
      </c>
      <c r="D33" s="20" t="str">
        <f aca="false">IFERROR(INDEX(Tables!$M$5:$M$254,MATCH(15,Tables!$Z$5:$Z$254,0)),"")</f>
        <v/>
      </c>
      <c r="E33" s="20" t="str">
        <f aca="false">IFERROR(INDEX(Tables!$P$5:$P$254,MATCH(15,Tables!$Z$5:$Z$254,0)),"")</f>
        <v/>
      </c>
      <c r="F33" s="20" t="str">
        <f aca="false">IFERROR(INDEX(Tables!$E$5:$E$254,MATCH(15,Tables!$Z$5:$Z$254,0))&amp;"","")</f>
        <v/>
      </c>
    </row>
    <row r="34" customFormat="false" ht="15" hidden="false" customHeight="false" outlineLevel="0" collapsed="false">
      <c r="A34" s="20" t="str">
        <f aca="false">IFERROR(INDEX(Tables!$A$5:$A$254,MATCH(16,Tables!$Z$5:$Z$254,0))&amp;"","")</f>
        <v/>
      </c>
      <c r="B34" s="20" t="str">
        <f aca="false">IFERROR(INDEX(Tables!$B$5:$B$254,MATCH(16,Tables!$Z$5:$Z$254,0))&amp;"","")</f>
        <v/>
      </c>
      <c r="C34" s="20" t="str">
        <f aca="false">IFERROR(INDEX(Tables!$C$5:$C$254,MATCH(16,Tables!$Z$5:$Z$254,0))&amp;"","")</f>
        <v/>
      </c>
      <c r="D34" s="20" t="str">
        <f aca="false">IFERROR(INDEX(Tables!$M$5:$M$254,MATCH(16,Tables!$Z$5:$Z$254,0)),"")</f>
        <v/>
      </c>
      <c r="E34" s="20" t="str">
        <f aca="false">IFERROR(INDEX(Tables!$P$5:$P$254,MATCH(16,Tables!$Z$5:$Z$254,0)),"")</f>
        <v/>
      </c>
      <c r="F34" s="20" t="str">
        <f aca="false">IFERROR(INDEX(Tables!$E$5:$E$254,MATCH(16,Tables!$Z$5:$Z$254,0))&amp;"","")</f>
        <v/>
      </c>
    </row>
    <row r="35" customFormat="false" ht="15" hidden="false" customHeight="false" outlineLevel="0" collapsed="false">
      <c r="A35" s="20" t="str">
        <f aca="false">IFERROR(INDEX(Tables!$A$5:$A$254,MATCH(17,Tables!$Z$5:$Z$254,0))&amp;"","")</f>
        <v/>
      </c>
      <c r="B35" s="20" t="str">
        <f aca="false">IFERROR(INDEX(Tables!$B$5:$B$254,MATCH(17,Tables!$Z$5:$Z$254,0))&amp;"","")</f>
        <v/>
      </c>
      <c r="C35" s="20" t="str">
        <f aca="false">IFERROR(INDEX(Tables!$C$5:$C$254,MATCH(17,Tables!$Z$5:$Z$254,0))&amp;"","")</f>
        <v/>
      </c>
      <c r="D35" s="20" t="str">
        <f aca="false">IFERROR(INDEX(Tables!$M$5:$M$254,MATCH(17,Tables!$Z$5:$Z$254,0)),"")</f>
        <v/>
      </c>
      <c r="E35" s="20" t="str">
        <f aca="false">IFERROR(INDEX(Tables!$P$5:$P$254,MATCH(17,Tables!$Z$5:$Z$254,0)),"")</f>
        <v/>
      </c>
      <c r="F35" s="20" t="str">
        <f aca="false">IFERROR(INDEX(Tables!$E$5:$E$254,MATCH(17,Tables!$Z$5:$Z$254,0))&amp;"","")</f>
        <v/>
      </c>
    </row>
    <row r="36" customFormat="false" ht="15" hidden="false" customHeight="false" outlineLevel="0" collapsed="false">
      <c r="A36" s="20" t="str">
        <f aca="false">IFERROR(INDEX(Tables!$A$5:$A$254,MATCH(18,Tables!$Z$5:$Z$254,0))&amp;"","")</f>
        <v/>
      </c>
      <c r="B36" s="20" t="str">
        <f aca="false">IFERROR(INDEX(Tables!$B$5:$B$254,MATCH(18,Tables!$Z$5:$Z$254,0))&amp;"","")</f>
        <v/>
      </c>
      <c r="C36" s="20" t="str">
        <f aca="false">IFERROR(INDEX(Tables!$C$5:$C$254,MATCH(18,Tables!$Z$5:$Z$254,0))&amp;"","")</f>
        <v/>
      </c>
      <c r="D36" s="20" t="str">
        <f aca="false">IFERROR(INDEX(Tables!$M$5:$M$254,MATCH(18,Tables!$Z$5:$Z$254,0)),"")</f>
        <v/>
      </c>
      <c r="E36" s="20" t="str">
        <f aca="false">IFERROR(INDEX(Tables!$P$5:$P$254,MATCH(18,Tables!$Z$5:$Z$254,0)),"")</f>
        <v/>
      </c>
      <c r="F36" s="20" t="str">
        <f aca="false">IFERROR(INDEX(Tables!$E$5:$E$254,MATCH(18,Tables!$Z$5:$Z$254,0))&amp;"","")</f>
        <v/>
      </c>
    </row>
    <row r="37" customFormat="false" ht="15" hidden="false" customHeight="false" outlineLevel="0" collapsed="false">
      <c r="A37" s="20" t="str">
        <f aca="false">IFERROR(INDEX(Tables!$A$5:$A$254,MATCH(19,Tables!$Z$5:$Z$254,0))&amp;"","")</f>
        <v/>
      </c>
      <c r="B37" s="20" t="str">
        <f aca="false">IFERROR(INDEX(Tables!$B$5:$B$254,MATCH(19,Tables!$Z$5:$Z$254,0))&amp;"","")</f>
        <v/>
      </c>
      <c r="C37" s="20" t="str">
        <f aca="false">IFERROR(INDEX(Tables!$C$5:$C$254,MATCH(19,Tables!$Z$5:$Z$254,0))&amp;"","")</f>
        <v/>
      </c>
      <c r="D37" s="20" t="str">
        <f aca="false">IFERROR(INDEX(Tables!$M$5:$M$254,MATCH(19,Tables!$Z$5:$Z$254,0)),"")</f>
        <v/>
      </c>
      <c r="E37" s="20" t="str">
        <f aca="false">IFERROR(INDEX(Tables!$P$5:$P$254,MATCH(19,Tables!$Z$5:$Z$254,0)),"")</f>
        <v/>
      </c>
      <c r="F37" s="20" t="str">
        <f aca="false">IFERROR(INDEX(Tables!$E$5:$E$254,MATCH(19,Tables!$Z$5:$Z$254,0))&amp;"","")</f>
        <v/>
      </c>
    </row>
    <row r="38" customFormat="false" ht="15" hidden="false" customHeight="false" outlineLevel="0" collapsed="false">
      <c r="A38" s="20" t="str">
        <f aca="false">IFERROR(INDEX(Tables!$A$5:$A$254,MATCH(20,Tables!$Z$5:$Z$254,0))&amp;"","")</f>
        <v/>
      </c>
      <c r="B38" s="20" t="str">
        <f aca="false">IFERROR(INDEX(Tables!$B$5:$B$254,MATCH(20,Tables!$Z$5:$Z$254,0))&amp;"","")</f>
        <v/>
      </c>
      <c r="C38" s="20" t="str">
        <f aca="false">IFERROR(INDEX(Tables!$C$5:$C$254,MATCH(20,Tables!$Z$5:$Z$254,0))&amp;"","")</f>
        <v/>
      </c>
      <c r="D38" s="20" t="str">
        <f aca="false">IFERROR(INDEX(Tables!$M$5:$M$254,MATCH(20,Tables!$Z$5:$Z$254,0)),"")</f>
        <v/>
      </c>
      <c r="E38" s="20" t="str">
        <f aca="false">IFERROR(INDEX(Tables!$P$5:$P$254,MATCH(20,Tables!$Z$5:$Z$254,0)),"")</f>
        <v/>
      </c>
      <c r="F38" s="20" t="str">
        <f aca="false">IFERROR(INDEX(Tables!$E$5:$E$254,MATCH(20,Tables!$Z$5:$Z$254,0))&amp;"","")</f>
        <v/>
      </c>
    </row>
    <row r="39" customFormat="false" ht="15" hidden="false" customHeight="false" outlineLevel="0" collapsed="false">
      <c r="A39" s="20" t="str">
        <f aca="false">IFERROR(INDEX(Tables!$A$5:$A$254,MATCH(21,Tables!$Z$5:$Z$254,0))&amp;"","")</f>
        <v/>
      </c>
      <c r="B39" s="20" t="str">
        <f aca="false">IFERROR(INDEX(Tables!$B$5:$B$254,MATCH(21,Tables!$Z$5:$Z$254,0))&amp;"","")</f>
        <v/>
      </c>
      <c r="C39" s="20" t="str">
        <f aca="false">IFERROR(INDEX(Tables!$C$5:$C$254,MATCH(21,Tables!$Z$5:$Z$254,0))&amp;"","")</f>
        <v/>
      </c>
      <c r="D39" s="20" t="str">
        <f aca="false">IFERROR(INDEX(Tables!$M$5:$M$254,MATCH(21,Tables!$Z$5:$Z$254,0)),"")</f>
        <v/>
      </c>
      <c r="E39" s="20" t="str">
        <f aca="false">IFERROR(INDEX(Tables!$P$5:$P$254,MATCH(21,Tables!$Z$5:$Z$254,0)),"")</f>
        <v/>
      </c>
      <c r="F39" s="20" t="str">
        <f aca="false">IFERROR(INDEX(Tables!$E$5:$E$254,MATCH(21,Tables!$Z$5:$Z$254,0))&amp;"","")</f>
        <v/>
      </c>
    </row>
    <row r="40" customFormat="false" ht="15" hidden="false" customHeight="false" outlineLevel="0" collapsed="false">
      <c r="A40" s="20" t="str">
        <f aca="false">IFERROR(INDEX(Tables!$A$5:$A$254,MATCH(22,Tables!$Z$5:$Z$254,0))&amp;"","")</f>
        <v/>
      </c>
      <c r="B40" s="20" t="str">
        <f aca="false">IFERROR(INDEX(Tables!$B$5:$B$254,MATCH(22,Tables!$Z$5:$Z$254,0))&amp;"","")</f>
        <v/>
      </c>
      <c r="C40" s="20" t="str">
        <f aca="false">IFERROR(INDEX(Tables!$C$5:$C$254,MATCH(22,Tables!$Z$5:$Z$254,0))&amp;"","")</f>
        <v/>
      </c>
      <c r="D40" s="20" t="str">
        <f aca="false">IFERROR(INDEX(Tables!$M$5:$M$254,MATCH(22,Tables!$Z$5:$Z$254,0)),"")</f>
        <v/>
      </c>
      <c r="E40" s="20" t="str">
        <f aca="false">IFERROR(INDEX(Tables!$P$5:$P$254,MATCH(22,Tables!$Z$5:$Z$254,0)),"")</f>
        <v/>
      </c>
      <c r="F40" s="20" t="str">
        <f aca="false">IFERROR(INDEX(Tables!$E$5:$E$254,MATCH(22,Tables!$Z$5:$Z$254,0))&amp;"","")</f>
        <v/>
      </c>
    </row>
    <row r="41" customFormat="false" ht="15" hidden="false" customHeight="false" outlineLevel="0" collapsed="false">
      <c r="A41" s="20" t="str">
        <f aca="false">IFERROR(INDEX(Tables!$A$5:$A$254,MATCH(23,Tables!$Z$5:$Z$254,0))&amp;"","")</f>
        <v/>
      </c>
      <c r="B41" s="20" t="str">
        <f aca="false">IFERROR(INDEX(Tables!$B$5:$B$254,MATCH(23,Tables!$Z$5:$Z$254,0))&amp;"","")</f>
        <v/>
      </c>
      <c r="C41" s="20" t="str">
        <f aca="false">IFERROR(INDEX(Tables!$C$5:$C$254,MATCH(23,Tables!$Z$5:$Z$254,0))&amp;"","")</f>
        <v/>
      </c>
      <c r="D41" s="20" t="str">
        <f aca="false">IFERROR(INDEX(Tables!$M$5:$M$254,MATCH(23,Tables!$Z$5:$Z$254,0)),"")</f>
        <v/>
      </c>
      <c r="E41" s="20" t="str">
        <f aca="false">IFERROR(INDEX(Tables!$P$5:$P$254,MATCH(23,Tables!$Z$5:$Z$254,0)),"")</f>
        <v/>
      </c>
      <c r="F41" s="20" t="str">
        <f aca="false">IFERROR(INDEX(Tables!$E$5:$E$254,MATCH(23,Tables!$Z$5:$Z$254,0))&amp;"","")</f>
        <v/>
      </c>
    </row>
    <row r="42" customFormat="false" ht="15" hidden="false" customHeight="false" outlineLevel="0" collapsed="false">
      <c r="A42" s="20" t="str">
        <f aca="false">IFERROR(INDEX(Tables!$A$5:$A$254,MATCH(24,Tables!$Z$5:$Z$254,0))&amp;"","")</f>
        <v/>
      </c>
      <c r="B42" s="20" t="str">
        <f aca="false">IFERROR(INDEX(Tables!$B$5:$B$254,MATCH(24,Tables!$Z$5:$Z$254,0))&amp;"","")</f>
        <v/>
      </c>
      <c r="C42" s="20" t="str">
        <f aca="false">IFERROR(INDEX(Tables!$C$5:$C$254,MATCH(24,Tables!$Z$5:$Z$254,0))&amp;"","")</f>
        <v/>
      </c>
      <c r="D42" s="20" t="str">
        <f aca="false">IFERROR(INDEX(Tables!$M$5:$M$254,MATCH(24,Tables!$Z$5:$Z$254,0)),"")</f>
        <v/>
      </c>
      <c r="E42" s="20" t="str">
        <f aca="false">IFERROR(INDEX(Tables!$P$5:$P$254,MATCH(24,Tables!$Z$5:$Z$254,0)),"")</f>
        <v/>
      </c>
      <c r="F42" s="20" t="str">
        <f aca="false">IFERROR(INDEX(Tables!$E$5:$E$254,MATCH(24,Tables!$Z$5:$Z$254,0))&amp;"","")</f>
        <v/>
      </c>
    </row>
    <row r="43" customFormat="false" ht="15" hidden="false" customHeight="false" outlineLevel="0" collapsed="false">
      <c r="A43" s="20" t="str">
        <f aca="false">IFERROR(INDEX(Tables!$A$5:$A$254,MATCH(25,Tables!$Z$5:$Z$254,0))&amp;"","")</f>
        <v/>
      </c>
      <c r="B43" s="20" t="str">
        <f aca="false">IFERROR(INDEX(Tables!$B$5:$B$254,MATCH(25,Tables!$Z$5:$Z$254,0))&amp;"","")</f>
        <v/>
      </c>
      <c r="C43" s="20" t="str">
        <f aca="false">IFERROR(INDEX(Tables!$C$5:$C$254,MATCH(25,Tables!$Z$5:$Z$254,0))&amp;"","")</f>
        <v/>
      </c>
      <c r="D43" s="20" t="str">
        <f aca="false">IFERROR(INDEX(Tables!$M$5:$M$254,MATCH(25,Tables!$Z$5:$Z$254,0)),"")</f>
        <v/>
      </c>
      <c r="E43" s="20" t="str">
        <f aca="false">IFERROR(INDEX(Tables!$P$5:$P$254,MATCH(25,Tables!$Z$5:$Z$254,0)),"")</f>
        <v/>
      </c>
      <c r="F43" s="20" t="str">
        <f aca="false">IFERROR(INDEX(Tables!$E$5:$E$254,MATCH(25,Tables!$Z$5:$Z$254,0))&amp;"","")</f>
        <v/>
      </c>
    </row>
    <row r="44" customFormat="false" ht="15" hidden="false" customHeight="false" outlineLevel="0" collapsed="false">
      <c r="A44" s="20" t="str">
        <f aca="false">IFERROR(INDEX(Tables!$A$5:$A$254,MATCH(26,Tables!$Z$5:$Z$254,0))&amp;"","")</f>
        <v/>
      </c>
      <c r="B44" s="20" t="str">
        <f aca="false">IFERROR(INDEX(Tables!$B$5:$B$254,MATCH(26,Tables!$Z$5:$Z$254,0))&amp;"","")</f>
        <v/>
      </c>
      <c r="C44" s="20" t="str">
        <f aca="false">IFERROR(INDEX(Tables!$C$5:$C$254,MATCH(26,Tables!$Z$5:$Z$254,0))&amp;"","")</f>
        <v/>
      </c>
      <c r="D44" s="20" t="str">
        <f aca="false">IFERROR(INDEX(Tables!$M$5:$M$254,MATCH(26,Tables!$Z$5:$Z$254,0)),"")</f>
        <v/>
      </c>
      <c r="E44" s="20" t="str">
        <f aca="false">IFERROR(INDEX(Tables!$P$5:$P$254,MATCH(26,Tables!$Z$5:$Z$254,0)),"")</f>
        <v/>
      </c>
      <c r="F44" s="20" t="str">
        <f aca="false">IFERROR(INDEX(Tables!$E$5:$E$254,MATCH(26,Tables!$Z$5:$Z$254,0))&amp;"","")</f>
        <v/>
      </c>
    </row>
    <row r="45" customFormat="false" ht="15" hidden="false" customHeight="false" outlineLevel="0" collapsed="false">
      <c r="A45" s="20" t="str">
        <f aca="false">IFERROR(INDEX(Tables!$A$5:$A$254,MATCH(27,Tables!$Z$5:$Z$254,0))&amp;"","")</f>
        <v/>
      </c>
      <c r="B45" s="20" t="str">
        <f aca="false">IFERROR(INDEX(Tables!$B$5:$B$254,MATCH(27,Tables!$Z$5:$Z$254,0))&amp;"","")</f>
        <v/>
      </c>
      <c r="C45" s="20" t="str">
        <f aca="false">IFERROR(INDEX(Tables!$C$5:$C$254,MATCH(27,Tables!$Z$5:$Z$254,0))&amp;"","")</f>
        <v/>
      </c>
      <c r="D45" s="20" t="str">
        <f aca="false">IFERROR(INDEX(Tables!$M$5:$M$254,MATCH(27,Tables!$Z$5:$Z$254,0)),"")</f>
        <v/>
      </c>
      <c r="E45" s="20" t="str">
        <f aca="false">IFERROR(INDEX(Tables!$P$5:$P$254,MATCH(27,Tables!$Z$5:$Z$254,0)),"")</f>
        <v/>
      </c>
      <c r="F45" s="20" t="str">
        <f aca="false">IFERROR(INDEX(Tables!$E$5:$E$254,MATCH(27,Tables!$Z$5:$Z$254,0))&amp;"","")</f>
        <v/>
      </c>
    </row>
    <row r="46" customFormat="false" ht="15" hidden="false" customHeight="false" outlineLevel="0" collapsed="false">
      <c r="A46" s="20" t="str">
        <f aca="false">IFERROR(INDEX(Tables!$A$5:$A$254,MATCH(28,Tables!$Z$5:$Z$254,0))&amp;"","")</f>
        <v/>
      </c>
      <c r="B46" s="20" t="str">
        <f aca="false">IFERROR(INDEX(Tables!$B$5:$B$254,MATCH(28,Tables!$Z$5:$Z$254,0))&amp;"","")</f>
        <v/>
      </c>
      <c r="C46" s="20" t="str">
        <f aca="false">IFERROR(INDEX(Tables!$C$5:$C$254,MATCH(28,Tables!$Z$5:$Z$254,0))&amp;"","")</f>
        <v/>
      </c>
      <c r="D46" s="20" t="str">
        <f aca="false">IFERROR(INDEX(Tables!$M$5:$M$254,MATCH(28,Tables!$Z$5:$Z$254,0)),"")</f>
        <v/>
      </c>
      <c r="E46" s="20" t="str">
        <f aca="false">IFERROR(INDEX(Tables!$P$5:$P$254,MATCH(28,Tables!$Z$5:$Z$254,0)),"")</f>
        <v/>
      </c>
      <c r="F46" s="20" t="str">
        <f aca="false">IFERROR(INDEX(Tables!$E$5:$E$254,MATCH(28,Tables!$Z$5:$Z$254,0))&amp;"","")</f>
        <v/>
      </c>
    </row>
    <row r="47" customFormat="false" ht="15" hidden="false" customHeight="false" outlineLevel="0" collapsed="false">
      <c r="A47" s="20" t="str">
        <f aca="false">IFERROR(INDEX(Tables!$A$5:$A$254,MATCH(29,Tables!$Z$5:$Z$254,0))&amp;"","")</f>
        <v/>
      </c>
      <c r="B47" s="20" t="str">
        <f aca="false">IFERROR(INDEX(Tables!$B$5:$B$254,MATCH(29,Tables!$Z$5:$Z$254,0))&amp;"","")</f>
        <v/>
      </c>
      <c r="C47" s="20" t="str">
        <f aca="false">IFERROR(INDEX(Tables!$C$5:$C$254,MATCH(29,Tables!$Z$5:$Z$254,0))&amp;"","")</f>
        <v/>
      </c>
      <c r="D47" s="20" t="str">
        <f aca="false">IFERROR(INDEX(Tables!$M$5:$M$254,MATCH(29,Tables!$Z$5:$Z$254,0)),"")</f>
        <v/>
      </c>
      <c r="E47" s="20" t="str">
        <f aca="false">IFERROR(INDEX(Tables!$P$5:$P$254,MATCH(29,Tables!$Z$5:$Z$254,0)),"")</f>
        <v/>
      </c>
      <c r="F47" s="20" t="str">
        <f aca="false">IFERROR(INDEX(Tables!$E$5:$E$254,MATCH(29,Tables!$Z$5:$Z$254,0))&amp;"","")</f>
        <v/>
      </c>
    </row>
    <row r="48" customFormat="false" ht="15" hidden="false" customHeight="false" outlineLevel="0" collapsed="false">
      <c r="A48" s="20" t="str">
        <f aca="false">IFERROR(INDEX(Tables!$A$5:$A$254,MATCH(30,Tables!$Z$5:$Z$254,0))&amp;"","")</f>
        <v/>
      </c>
      <c r="B48" s="20" t="str">
        <f aca="false">IFERROR(INDEX(Tables!$B$5:$B$254,MATCH(30,Tables!$Z$5:$Z$254,0))&amp;"","")</f>
        <v/>
      </c>
      <c r="C48" s="20" t="str">
        <f aca="false">IFERROR(INDEX(Tables!$C$5:$C$254,MATCH(30,Tables!$Z$5:$Z$254,0))&amp;"","")</f>
        <v/>
      </c>
      <c r="D48" s="20" t="str">
        <f aca="false">IFERROR(INDEX(Tables!$M$5:$M$254,MATCH(30,Tables!$Z$5:$Z$254,0)),"")</f>
        <v/>
      </c>
      <c r="E48" s="20" t="str">
        <f aca="false">IFERROR(INDEX(Tables!$P$5:$P$254,MATCH(30,Tables!$Z$5:$Z$254,0)),"")</f>
        <v/>
      </c>
      <c r="F48" s="20" t="str">
        <f aca="false">IFERROR(INDEX(Tables!$E$5:$E$254,MATCH(30,Tables!$Z$5:$Z$254,0))&amp;"","")</f>
        <v/>
      </c>
    </row>
    <row r="49" customFormat="false" ht="15" hidden="false" customHeight="false" outlineLevel="0" collapsed="false">
      <c r="A49" s="20" t="str">
        <f aca="false">IFERROR(INDEX(Tables!$A$5:$A$254,MATCH(31,Tables!$Z$5:$Z$254,0))&amp;"","")</f>
        <v/>
      </c>
      <c r="B49" s="20" t="str">
        <f aca="false">IFERROR(INDEX(Tables!$B$5:$B$254,MATCH(31,Tables!$Z$5:$Z$254,0))&amp;"","")</f>
        <v/>
      </c>
      <c r="C49" s="20" t="str">
        <f aca="false">IFERROR(INDEX(Tables!$C$5:$C$254,MATCH(31,Tables!$Z$5:$Z$254,0))&amp;"","")</f>
        <v/>
      </c>
      <c r="D49" s="20" t="str">
        <f aca="false">IFERROR(INDEX(Tables!$M$5:$M$254,MATCH(31,Tables!$Z$5:$Z$254,0)),"")</f>
        <v/>
      </c>
      <c r="E49" s="20" t="str">
        <f aca="false">IFERROR(INDEX(Tables!$P$5:$P$254,MATCH(31,Tables!$Z$5:$Z$254,0)),"")</f>
        <v/>
      </c>
      <c r="F49" s="20" t="str">
        <f aca="false">IFERROR(INDEX(Tables!$E$5:$E$254,MATCH(31,Tables!$Z$5:$Z$254,0))&amp;"","")</f>
        <v/>
      </c>
    </row>
    <row r="50" customFormat="false" ht="15" hidden="false" customHeight="false" outlineLevel="0" collapsed="false">
      <c r="A50" s="20" t="str">
        <f aca="false">IFERROR(INDEX(Tables!$A$5:$A$254,MATCH(32,Tables!$Z$5:$Z$254,0))&amp;"","")</f>
        <v/>
      </c>
      <c r="B50" s="20" t="str">
        <f aca="false">IFERROR(INDEX(Tables!$B$5:$B$254,MATCH(32,Tables!$Z$5:$Z$254,0))&amp;"","")</f>
        <v/>
      </c>
      <c r="C50" s="20" t="str">
        <f aca="false">IFERROR(INDEX(Tables!$C$5:$C$254,MATCH(32,Tables!$Z$5:$Z$254,0))&amp;"","")</f>
        <v/>
      </c>
      <c r="D50" s="20" t="str">
        <f aca="false">IFERROR(INDEX(Tables!$M$5:$M$254,MATCH(32,Tables!$Z$5:$Z$254,0)),"")</f>
        <v/>
      </c>
      <c r="E50" s="20" t="str">
        <f aca="false">IFERROR(INDEX(Tables!$P$5:$P$254,MATCH(32,Tables!$Z$5:$Z$254,0)),"")</f>
        <v/>
      </c>
      <c r="F50" s="20" t="str">
        <f aca="false">IFERROR(INDEX(Tables!$E$5:$E$254,MATCH(32,Tables!$Z$5:$Z$254,0))&amp;"","")</f>
        <v/>
      </c>
    </row>
    <row r="51" customFormat="false" ht="15" hidden="false" customHeight="false" outlineLevel="0" collapsed="false">
      <c r="A51" s="20" t="str">
        <f aca="false">IFERROR(INDEX(Tables!$A$5:$A$254,MATCH(33,Tables!$Z$5:$Z$254,0))&amp;"","")</f>
        <v/>
      </c>
      <c r="B51" s="20" t="str">
        <f aca="false">IFERROR(INDEX(Tables!$B$5:$B$254,MATCH(33,Tables!$Z$5:$Z$254,0))&amp;"","")</f>
        <v/>
      </c>
      <c r="C51" s="20" t="str">
        <f aca="false">IFERROR(INDEX(Tables!$C$5:$C$254,MATCH(33,Tables!$Z$5:$Z$254,0))&amp;"","")</f>
        <v/>
      </c>
      <c r="D51" s="20" t="str">
        <f aca="false">IFERROR(INDEX(Tables!$M$5:$M$254,MATCH(33,Tables!$Z$5:$Z$254,0)),"")</f>
        <v/>
      </c>
      <c r="E51" s="20" t="str">
        <f aca="false">IFERROR(INDEX(Tables!$P$5:$P$254,MATCH(33,Tables!$Z$5:$Z$254,0)),"")</f>
        <v/>
      </c>
      <c r="F51" s="20" t="str">
        <f aca="false">IFERROR(INDEX(Tables!$E$5:$E$254,MATCH(33,Tables!$Z$5:$Z$254,0))&amp;"","")</f>
        <v/>
      </c>
    </row>
    <row r="52" customFormat="false" ht="15" hidden="false" customHeight="false" outlineLevel="0" collapsed="false">
      <c r="A52" s="20" t="str">
        <f aca="false">IFERROR(INDEX(Tables!$A$5:$A$254,MATCH(34,Tables!$Z$5:$Z$254,0))&amp;"","")</f>
        <v/>
      </c>
      <c r="B52" s="20" t="str">
        <f aca="false">IFERROR(INDEX(Tables!$B$5:$B$254,MATCH(34,Tables!$Z$5:$Z$254,0))&amp;"","")</f>
        <v/>
      </c>
      <c r="C52" s="20" t="str">
        <f aca="false">IFERROR(INDEX(Tables!$C$5:$C$254,MATCH(34,Tables!$Z$5:$Z$254,0))&amp;"","")</f>
        <v/>
      </c>
      <c r="D52" s="20" t="str">
        <f aca="false">IFERROR(INDEX(Tables!$M$5:$M$254,MATCH(34,Tables!$Z$5:$Z$254,0)),"")</f>
        <v/>
      </c>
      <c r="E52" s="20" t="str">
        <f aca="false">IFERROR(INDEX(Tables!$P$5:$P$254,MATCH(34,Tables!$Z$5:$Z$254,0)),"")</f>
        <v/>
      </c>
      <c r="F52" s="20" t="str">
        <f aca="false">IFERROR(INDEX(Tables!$E$5:$E$254,MATCH(34,Tables!$Z$5:$Z$254,0))&amp;"","")</f>
        <v/>
      </c>
    </row>
    <row r="53" customFormat="false" ht="15" hidden="false" customHeight="false" outlineLevel="0" collapsed="false">
      <c r="A53" s="20" t="str">
        <f aca="false">IFERROR(INDEX(Tables!$A$5:$A$254,MATCH(35,Tables!$Z$5:$Z$254,0))&amp;"","")</f>
        <v/>
      </c>
      <c r="B53" s="20" t="str">
        <f aca="false">IFERROR(INDEX(Tables!$B$5:$B$254,MATCH(35,Tables!$Z$5:$Z$254,0))&amp;"","")</f>
        <v/>
      </c>
      <c r="C53" s="20" t="str">
        <f aca="false">IFERROR(INDEX(Tables!$C$5:$C$254,MATCH(35,Tables!$Z$5:$Z$254,0))&amp;"","")</f>
        <v/>
      </c>
      <c r="D53" s="20" t="str">
        <f aca="false">IFERROR(INDEX(Tables!$M$5:$M$254,MATCH(35,Tables!$Z$5:$Z$254,0)),"")</f>
        <v/>
      </c>
      <c r="E53" s="20" t="str">
        <f aca="false">IFERROR(INDEX(Tables!$P$5:$P$254,MATCH(35,Tables!$Z$5:$Z$254,0)),"")</f>
        <v/>
      </c>
      <c r="F53" s="20" t="str">
        <f aca="false">IFERROR(INDEX(Tables!$E$5:$E$254,MATCH(35,Tables!$Z$5:$Z$254,0))&amp;"","")</f>
        <v/>
      </c>
    </row>
    <row r="54" customFormat="false" ht="15" hidden="false" customHeight="false" outlineLevel="0" collapsed="false">
      <c r="A54" s="20" t="str">
        <f aca="false">IFERROR(INDEX(Tables!$A$5:$A$254,MATCH(36,Tables!$Z$5:$Z$254,0))&amp;"","")</f>
        <v/>
      </c>
      <c r="B54" s="20" t="str">
        <f aca="false">IFERROR(INDEX(Tables!$B$5:$B$254,MATCH(36,Tables!$Z$5:$Z$254,0))&amp;"","")</f>
        <v/>
      </c>
      <c r="C54" s="20" t="str">
        <f aca="false">IFERROR(INDEX(Tables!$C$5:$C$254,MATCH(36,Tables!$Z$5:$Z$254,0))&amp;"","")</f>
        <v/>
      </c>
      <c r="D54" s="20" t="str">
        <f aca="false">IFERROR(INDEX(Tables!$M$5:$M$254,MATCH(36,Tables!$Z$5:$Z$254,0)),"")</f>
        <v/>
      </c>
      <c r="E54" s="20" t="str">
        <f aca="false">IFERROR(INDEX(Tables!$P$5:$P$254,MATCH(36,Tables!$Z$5:$Z$254,0)),"")</f>
        <v/>
      </c>
      <c r="F54" s="20" t="str">
        <f aca="false">IFERROR(INDEX(Tables!$E$5:$E$254,MATCH(36,Tables!$Z$5:$Z$254,0))&amp;"","")</f>
        <v/>
      </c>
    </row>
    <row r="55" customFormat="false" ht="15" hidden="false" customHeight="false" outlineLevel="0" collapsed="false">
      <c r="A55" s="20" t="str">
        <f aca="false">IFERROR(INDEX(Tables!$A$5:$A$254,MATCH(37,Tables!$Z$5:$Z$254,0))&amp;"","")</f>
        <v/>
      </c>
      <c r="B55" s="20" t="str">
        <f aca="false">IFERROR(INDEX(Tables!$B$5:$B$254,MATCH(37,Tables!$Z$5:$Z$254,0))&amp;"","")</f>
        <v/>
      </c>
      <c r="C55" s="20" t="str">
        <f aca="false">IFERROR(INDEX(Tables!$C$5:$C$254,MATCH(37,Tables!$Z$5:$Z$254,0))&amp;"","")</f>
        <v/>
      </c>
      <c r="D55" s="20" t="str">
        <f aca="false">IFERROR(INDEX(Tables!$M$5:$M$254,MATCH(37,Tables!$Z$5:$Z$254,0)),"")</f>
        <v/>
      </c>
      <c r="E55" s="20" t="str">
        <f aca="false">IFERROR(INDEX(Tables!$P$5:$P$254,MATCH(37,Tables!$Z$5:$Z$254,0)),"")</f>
        <v/>
      </c>
      <c r="F55" s="20" t="str">
        <f aca="false">IFERROR(INDEX(Tables!$E$5:$E$254,MATCH(37,Tables!$Z$5:$Z$254,0))&amp;"","")</f>
        <v/>
      </c>
    </row>
    <row r="56" customFormat="false" ht="15" hidden="false" customHeight="false" outlineLevel="0" collapsed="false">
      <c r="A56" s="20" t="str">
        <f aca="false">IFERROR(INDEX(Tables!$A$5:$A$254,MATCH(38,Tables!$Z$5:$Z$254,0))&amp;"","")</f>
        <v/>
      </c>
      <c r="B56" s="20" t="str">
        <f aca="false">IFERROR(INDEX(Tables!$B$5:$B$254,MATCH(38,Tables!$Z$5:$Z$254,0))&amp;"","")</f>
        <v/>
      </c>
      <c r="C56" s="20" t="str">
        <f aca="false">IFERROR(INDEX(Tables!$C$5:$C$254,MATCH(38,Tables!$Z$5:$Z$254,0))&amp;"","")</f>
        <v/>
      </c>
      <c r="D56" s="20" t="str">
        <f aca="false">IFERROR(INDEX(Tables!$M$5:$M$254,MATCH(38,Tables!$Z$5:$Z$254,0)),"")</f>
        <v/>
      </c>
      <c r="E56" s="20" t="str">
        <f aca="false">IFERROR(INDEX(Tables!$P$5:$P$254,MATCH(38,Tables!$Z$5:$Z$254,0)),"")</f>
        <v/>
      </c>
      <c r="F56" s="20" t="str">
        <f aca="false">IFERROR(INDEX(Tables!$E$5:$E$254,MATCH(38,Tables!$Z$5:$Z$254,0))&amp;"","")</f>
        <v/>
      </c>
    </row>
    <row r="57" customFormat="false" ht="15" hidden="false" customHeight="false" outlineLevel="0" collapsed="false">
      <c r="A57" s="20" t="str">
        <f aca="false">IFERROR(INDEX(Tables!$A$5:$A$254,MATCH(39,Tables!$Z$5:$Z$254,0))&amp;"","")</f>
        <v/>
      </c>
      <c r="B57" s="20" t="str">
        <f aca="false">IFERROR(INDEX(Tables!$B$5:$B$254,MATCH(39,Tables!$Z$5:$Z$254,0))&amp;"","")</f>
        <v/>
      </c>
      <c r="C57" s="20" t="str">
        <f aca="false">IFERROR(INDEX(Tables!$C$5:$C$254,MATCH(39,Tables!$Z$5:$Z$254,0))&amp;"","")</f>
        <v/>
      </c>
      <c r="D57" s="20" t="str">
        <f aca="false">IFERROR(INDEX(Tables!$M$5:$M$254,MATCH(39,Tables!$Z$5:$Z$254,0)),"")</f>
        <v/>
      </c>
      <c r="E57" s="20" t="str">
        <f aca="false">IFERROR(INDEX(Tables!$P$5:$P$254,MATCH(39,Tables!$Z$5:$Z$254,0)),"")</f>
        <v/>
      </c>
      <c r="F57" s="20" t="str">
        <f aca="false">IFERROR(INDEX(Tables!$E$5:$E$254,MATCH(39,Tables!$Z$5:$Z$254,0))&amp;"","")</f>
        <v/>
      </c>
    </row>
    <row r="58" customFormat="false" ht="15" hidden="false" customHeight="false" outlineLevel="0" collapsed="false">
      <c r="A58" s="20" t="str">
        <f aca="false">IFERROR(INDEX(Tables!$A$5:$A$254,MATCH(40,Tables!$Z$5:$Z$254,0))&amp;"","")</f>
        <v/>
      </c>
      <c r="B58" s="20" t="str">
        <f aca="false">IFERROR(INDEX(Tables!$B$5:$B$254,MATCH(40,Tables!$Z$5:$Z$254,0))&amp;"","")</f>
        <v/>
      </c>
      <c r="C58" s="20" t="str">
        <f aca="false">IFERROR(INDEX(Tables!$C$5:$C$254,MATCH(40,Tables!$Z$5:$Z$254,0))&amp;"","")</f>
        <v/>
      </c>
      <c r="D58" s="20" t="str">
        <f aca="false">IFERROR(INDEX(Tables!$M$5:$M$254,MATCH(40,Tables!$Z$5:$Z$254,0)),"")</f>
        <v/>
      </c>
      <c r="E58" s="20" t="str">
        <f aca="false">IFERROR(INDEX(Tables!$P$5:$P$254,MATCH(40,Tables!$Z$5:$Z$254,0)),"")</f>
        <v/>
      </c>
      <c r="F58" s="20" t="str">
        <f aca="false">IFERROR(INDEX(Tables!$E$5:$E$254,MATCH(40,Tables!$Z$5:$Z$254,0))&amp;"","")</f>
        <v/>
      </c>
    </row>
    <row r="60" customFormat="false" ht="15" hidden="false" customHeight="false" outlineLevel="0" collapsed="false">
      <c r="A60" s="18" t="s">
        <v>98</v>
      </c>
    </row>
    <row r="61" customFormat="false" ht="15" hidden="false" customHeight="false" outlineLevel="0" collapsed="false">
      <c r="A61" s="17" t="s">
        <v>99</v>
      </c>
      <c r="C61" s="19" t="str">
        <f aca="false">HYPERLINK("#'Decisions'!A1","top")</f>
        <v>top</v>
      </c>
    </row>
    <row r="62" customFormat="false" ht="31.5" hidden="false" customHeight="true" outlineLevel="0" collapsed="false">
      <c r="A62" s="11" t="s">
        <v>92</v>
      </c>
      <c r="B62" s="11" t="s">
        <v>93</v>
      </c>
      <c r="C62" s="11" t="s">
        <v>68</v>
      </c>
      <c r="D62" s="11" t="s">
        <v>100</v>
      </c>
      <c r="E62" s="11" t="s">
        <v>97</v>
      </c>
      <c r="F62" s="11" t="s">
        <v>101</v>
      </c>
    </row>
    <row r="63" customFormat="false" ht="46.25" hidden="false" customHeight="false" outlineLevel="0" collapsed="false">
      <c r="A63" s="20" t="str">
        <f aca="false">IFERROR(INDEX(Tables!$A$5:$A$254,MATCH(1,Tables!$AA$5:$AA$254,0))&amp;"","")</f>
        <v>T-007</v>
      </c>
      <c r="B63" s="20" t="str">
        <f aca="false">IFERROR(INDEX(Tables!$B$5:$B$254,MATCH(1,Tables!$AA$5:$AA$254,0))&amp;"","")</f>
        <v>Certified application table</v>
      </c>
      <c r="C63" s="20" t="str">
        <f aca="false">IFERROR(INDEX(Tables!$K$5:$K$254,MATCH(1,Tables!$AA$5:$AA$254,0))&amp;"","")</f>
        <v>Certified tables</v>
      </c>
      <c r="D63" s="20" t="str">
        <f aca="false">IFERROR(INDEX(Tables!$D$5:$D$254,MATCH(1,Tables!$AA$5:$AA$254,0))&amp;"","")</f>
        <v>T-001, T-002, T-003, T-004</v>
      </c>
      <c r="E63" s="20" t="str">
        <f aca="false">IFERROR(INDEX(Tables!$E$5:$E$254,MATCH(1,Tables!$AA$5:$AA$254,0))&amp;"","")</f>
        <v>One row per application with agreed attribution and exclusion flags applied, so every product reads the same rules.</v>
      </c>
      <c r="F63" s="20" t="str">
        <f aca="false">IFERROR(INDEX(Tables!$J$5:$J$254,MATCH(1,Tables!$AA$5:$AA$254,0))&amp;"","")</f>
        <v>Proposed</v>
      </c>
    </row>
    <row r="64" customFormat="false" ht="15" hidden="false" customHeight="false" outlineLevel="0" collapsed="false">
      <c r="A64" s="20" t="str">
        <f aca="false">IFERROR(INDEX(Tables!$A$5:$A$254,MATCH(2,Tables!$AA$5:$AA$254,0))&amp;"","")</f>
        <v/>
      </c>
      <c r="B64" s="20" t="str">
        <f aca="false">IFERROR(INDEX(Tables!$B$5:$B$254,MATCH(2,Tables!$AA$5:$AA$254,0))&amp;"","")</f>
        <v/>
      </c>
      <c r="C64" s="20" t="str">
        <f aca="false">IFERROR(INDEX(Tables!$K$5:$K$254,MATCH(2,Tables!$AA$5:$AA$254,0))&amp;"","")</f>
        <v/>
      </c>
      <c r="D64" s="20" t="str">
        <f aca="false">IFERROR(INDEX(Tables!$D$5:$D$254,MATCH(2,Tables!$AA$5:$AA$254,0))&amp;"","")</f>
        <v/>
      </c>
      <c r="E64" s="20" t="str">
        <f aca="false">IFERROR(INDEX(Tables!$E$5:$E$254,MATCH(2,Tables!$AA$5:$AA$254,0))&amp;"","")</f>
        <v/>
      </c>
      <c r="F64" s="20" t="str">
        <f aca="false">IFERROR(INDEX(Tables!$J$5:$J$254,MATCH(2,Tables!$AA$5:$AA$254,0))&amp;"","")</f>
        <v/>
      </c>
    </row>
    <row r="65" customFormat="false" ht="15" hidden="false" customHeight="false" outlineLevel="0" collapsed="false">
      <c r="A65" s="20" t="str">
        <f aca="false">IFERROR(INDEX(Tables!$A$5:$A$254,MATCH(3,Tables!$AA$5:$AA$254,0))&amp;"","")</f>
        <v/>
      </c>
      <c r="B65" s="20" t="str">
        <f aca="false">IFERROR(INDEX(Tables!$B$5:$B$254,MATCH(3,Tables!$AA$5:$AA$254,0))&amp;"","")</f>
        <v/>
      </c>
      <c r="C65" s="20" t="str">
        <f aca="false">IFERROR(INDEX(Tables!$K$5:$K$254,MATCH(3,Tables!$AA$5:$AA$254,0))&amp;"","")</f>
        <v/>
      </c>
      <c r="D65" s="20" t="str">
        <f aca="false">IFERROR(INDEX(Tables!$D$5:$D$254,MATCH(3,Tables!$AA$5:$AA$254,0))&amp;"","")</f>
        <v/>
      </c>
      <c r="E65" s="20" t="str">
        <f aca="false">IFERROR(INDEX(Tables!$E$5:$E$254,MATCH(3,Tables!$AA$5:$AA$254,0))&amp;"","")</f>
        <v/>
      </c>
      <c r="F65" s="20" t="str">
        <f aca="false">IFERROR(INDEX(Tables!$J$5:$J$254,MATCH(3,Tables!$AA$5:$AA$254,0))&amp;"","")</f>
        <v/>
      </c>
    </row>
    <row r="66" customFormat="false" ht="15" hidden="false" customHeight="false" outlineLevel="0" collapsed="false">
      <c r="A66" s="20" t="str">
        <f aca="false">IFERROR(INDEX(Tables!$A$5:$A$254,MATCH(4,Tables!$AA$5:$AA$254,0))&amp;"","")</f>
        <v/>
      </c>
      <c r="B66" s="20" t="str">
        <f aca="false">IFERROR(INDEX(Tables!$B$5:$B$254,MATCH(4,Tables!$AA$5:$AA$254,0))&amp;"","")</f>
        <v/>
      </c>
      <c r="C66" s="20" t="str">
        <f aca="false">IFERROR(INDEX(Tables!$K$5:$K$254,MATCH(4,Tables!$AA$5:$AA$254,0))&amp;"","")</f>
        <v/>
      </c>
      <c r="D66" s="20" t="str">
        <f aca="false">IFERROR(INDEX(Tables!$D$5:$D$254,MATCH(4,Tables!$AA$5:$AA$254,0))&amp;"","")</f>
        <v/>
      </c>
      <c r="E66" s="20" t="str">
        <f aca="false">IFERROR(INDEX(Tables!$E$5:$E$254,MATCH(4,Tables!$AA$5:$AA$254,0))&amp;"","")</f>
        <v/>
      </c>
      <c r="F66" s="20" t="str">
        <f aca="false">IFERROR(INDEX(Tables!$J$5:$J$254,MATCH(4,Tables!$AA$5:$AA$254,0))&amp;"","")</f>
        <v/>
      </c>
    </row>
    <row r="67" customFormat="false" ht="15" hidden="false" customHeight="false" outlineLevel="0" collapsed="false">
      <c r="A67" s="20" t="str">
        <f aca="false">IFERROR(INDEX(Tables!$A$5:$A$254,MATCH(5,Tables!$AA$5:$AA$254,0))&amp;"","")</f>
        <v/>
      </c>
      <c r="B67" s="20" t="str">
        <f aca="false">IFERROR(INDEX(Tables!$B$5:$B$254,MATCH(5,Tables!$AA$5:$AA$254,0))&amp;"","")</f>
        <v/>
      </c>
      <c r="C67" s="20" t="str">
        <f aca="false">IFERROR(INDEX(Tables!$K$5:$K$254,MATCH(5,Tables!$AA$5:$AA$254,0))&amp;"","")</f>
        <v/>
      </c>
      <c r="D67" s="20" t="str">
        <f aca="false">IFERROR(INDEX(Tables!$D$5:$D$254,MATCH(5,Tables!$AA$5:$AA$254,0))&amp;"","")</f>
        <v/>
      </c>
      <c r="E67" s="20" t="str">
        <f aca="false">IFERROR(INDEX(Tables!$E$5:$E$254,MATCH(5,Tables!$AA$5:$AA$254,0))&amp;"","")</f>
        <v/>
      </c>
      <c r="F67" s="20" t="str">
        <f aca="false">IFERROR(INDEX(Tables!$J$5:$J$254,MATCH(5,Tables!$AA$5:$AA$254,0))&amp;"","")</f>
        <v/>
      </c>
    </row>
    <row r="68" customFormat="false" ht="15" hidden="false" customHeight="false" outlineLevel="0" collapsed="false">
      <c r="A68" s="20" t="str">
        <f aca="false">IFERROR(INDEX(Tables!$A$5:$A$254,MATCH(6,Tables!$AA$5:$AA$254,0))&amp;"","")</f>
        <v/>
      </c>
      <c r="B68" s="20" t="str">
        <f aca="false">IFERROR(INDEX(Tables!$B$5:$B$254,MATCH(6,Tables!$AA$5:$AA$254,0))&amp;"","")</f>
        <v/>
      </c>
      <c r="C68" s="20" t="str">
        <f aca="false">IFERROR(INDEX(Tables!$K$5:$K$254,MATCH(6,Tables!$AA$5:$AA$254,0))&amp;"","")</f>
        <v/>
      </c>
      <c r="D68" s="20" t="str">
        <f aca="false">IFERROR(INDEX(Tables!$D$5:$D$254,MATCH(6,Tables!$AA$5:$AA$254,0))&amp;"","")</f>
        <v/>
      </c>
      <c r="E68" s="20" t="str">
        <f aca="false">IFERROR(INDEX(Tables!$E$5:$E$254,MATCH(6,Tables!$AA$5:$AA$254,0))&amp;"","")</f>
        <v/>
      </c>
      <c r="F68" s="20" t="str">
        <f aca="false">IFERROR(INDEX(Tables!$J$5:$J$254,MATCH(6,Tables!$AA$5:$AA$254,0))&amp;"","")</f>
        <v/>
      </c>
    </row>
    <row r="69" customFormat="false" ht="15" hidden="false" customHeight="false" outlineLevel="0" collapsed="false">
      <c r="A69" s="20" t="str">
        <f aca="false">IFERROR(INDEX(Tables!$A$5:$A$254,MATCH(7,Tables!$AA$5:$AA$254,0))&amp;"","")</f>
        <v/>
      </c>
      <c r="B69" s="20" t="str">
        <f aca="false">IFERROR(INDEX(Tables!$B$5:$B$254,MATCH(7,Tables!$AA$5:$AA$254,0))&amp;"","")</f>
        <v/>
      </c>
      <c r="C69" s="20" t="str">
        <f aca="false">IFERROR(INDEX(Tables!$K$5:$K$254,MATCH(7,Tables!$AA$5:$AA$254,0))&amp;"","")</f>
        <v/>
      </c>
      <c r="D69" s="20" t="str">
        <f aca="false">IFERROR(INDEX(Tables!$D$5:$D$254,MATCH(7,Tables!$AA$5:$AA$254,0))&amp;"","")</f>
        <v/>
      </c>
      <c r="E69" s="20" t="str">
        <f aca="false">IFERROR(INDEX(Tables!$E$5:$E$254,MATCH(7,Tables!$AA$5:$AA$254,0))&amp;"","")</f>
        <v/>
      </c>
      <c r="F69" s="20" t="str">
        <f aca="false">IFERROR(INDEX(Tables!$J$5:$J$254,MATCH(7,Tables!$AA$5:$AA$254,0))&amp;"","")</f>
        <v/>
      </c>
    </row>
    <row r="70" customFormat="false" ht="15" hidden="false" customHeight="false" outlineLevel="0" collapsed="false">
      <c r="A70" s="20" t="str">
        <f aca="false">IFERROR(INDEX(Tables!$A$5:$A$254,MATCH(8,Tables!$AA$5:$AA$254,0))&amp;"","")</f>
        <v/>
      </c>
      <c r="B70" s="20" t="str">
        <f aca="false">IFERROR(INDEX(Tables!$B$5:$B$254,MATCH(8,Tables!$AA$5:$AA$254,0))&amp;"","")</f>
        <v/>
      </c>
      <c r="C70" s="20" t="str">
        <f aca="false">IFERROR(INDEX(Tables!$K$5:$K$254,MATCH(8,Tables!$AA$5:$AA$254,0))&amp;"","")</f>
        <v/>
      </c>
      <c r="D70" s="20" t="str">
        <f aca="false">IFERROR(INDEX(Tables!$D$5:$D$254,MATCH(8,Tables!$AA$5:$AA$254,0))&amp;"","")</f>
        <v/>
      </c>
      <c r="E70" s="20" t="str">
        <f aca="false">IFERROR(INDEX(Tables!$E$5:$E$254,MATCH(8,Tables!$AA$5:$AA$254,0))&amp;"","")</f>
        <v/>
      </c>
      <c r="F70" s="20" t="str">
        <f aca="false">IFERROR(INDEX(Tables!$J$5:$J$254,MATCH(8,Tables!$AA$5:$AA$254,0))&amp;"","")</f>
        <v/>
      </c>
    </row>
    <row r="71" customFormat="false" ht="15" hidden="false" customHeight="false" outlineLevel="0" collapsed="false">
      <c r="A71" s="20" t="str">
        <f aca="false">IFERROR(INDEX(Tables!$A$5:$A$254,MATCH(9,Tables!$AA$5:$AA$254,0))&amp;"","")</f>
        <v/>
      </c>
      <c r="B71" s="20" t="str">
        <f aca="false">IFERROR(INDEX(Tables!$B$5:$B$254,MATCH(9,Tables!$AA$5:$AA$254,0))&amp;"","")</f>
        <v/>
      </c>
      <c r="C71" s="20" t="str">
        <f aca="false">IFERROR(INDEX(Tables!$K$5:$K$254,MATCH(9,Tables!$AA$5:$AA$254,0))&amp;"","")</f>
        <v/>
      </c>
      <c r="D71" s="20" t="str">
        <f aca="false">IFERROR(INDEX(Tables!$D$5:$D$254,MATCH(9,Tables!$AA$5:$AA$254,0))&amp;"","")</f>
        <v/>
      </c>
      <c r="E71" s="20" t="str">
        <f aca="false">IFERROR(INDEX(Tables!$E$5:$E$254,MATCH(9,Tables!$AA$5:$AA$254,0))&amp;"","")</f>
        <v/>
      </c>
      <c r="F71" s="20" t="str">
        <f aca="false">IFERROR(INDEX(Tables!$J$5:$J$254,MATCH(9,Tables!$AA$5:$AA$254,0))&amp;"","")</f>
        <v/>
      </c>
    </row>
    <row r="72" customFormat="false" ht="15" hidden="false" customHeight="false" outlineLevel="0" collapsed="false">
      <c r="A72" s="20" t="str">
        <f aca="false">IFERROR(INDEX(Tables!$A$5:$A$254,MATCH(10,Tables!$AA$5:$AA$254,0))&amp;"","")</f>
        <v/>
      </c>
      <c r="B72" s="20" t="str">
        <f aca="false">IFERROR(INDEX(Tables!$B$5:$B$254,MATCH(10,Tables!$AA$5:$AA$254,0))&amp;"","")</f>
        <v/>
      </c>
      <c r="C72" s="20" t="str">
        <f aca="false">IFERROR(INDEX(Tables!$K$5:$K$254,MATCH(10,Tables!$AA$5:$AA$254,0))&amp;"","")</f>
        <v/>
      </c>
      <c r="D72" s="20" t="str">
        <f aca="false">IFERROR(INDEX(Tables!$D$5:$D$254,MATCH(10,Tables!$AA$5:$AA$254,0))&amp;"","")</f>
        <v/>
      </c>
      <c r="E72" s="20" t="str">
        <f aca="false">IFERROR(INDEX(Tables!$E$5:$E$254,MATCH(10,Tables!$AA$5:$AA$254,0))&amp;"","")</f>
        <v/>
      </c>
      <c r="F72" s="20" t="str">
        <f aca="false">IFERROR(INDEX(Tables!$J$5:$J$254,MATCH(10,Tables!$AA$5:$AA$254,0))&amp;"","")</f>
        <v/>
      </c>
    </row>
    <row r="73" customFormat="false" ht="15" hidden="false" customHeight="false" outlineLevel="0" collapsed="false">
      <c r="A73" s="20" t="str">
        <f aca="false">IFERROR(INDEX(Tables!$A$5:$A$254,MATCH(11,Tables!$AA$5:$AA$254,0))&amp;"","")</f>
        <v/>
      </c>
      <c r="B73" s="20" t="str">
        <f aca="false">IFERROR(INDEX(Tables!$B$5:$B$254,MATCH(11,Tables!$AA$5:$AA$254,0))&amp;"","")</f>
        <v/>
      </c>
      <c r="C73" s="20" t="str">
        <f aca="false">IFERROR(INDEX(Tables!$K$5:$K$254,MATCH(11,Tables!$AA$5:$AA$254,0))&amp;"","")</f>
        <v/>
      </c>
      <c r="D73" s="20" t="str">
        <f aca="false">IFERROR(INDEX(Tables!$D$5:$D$254,MATCH(11,Tables!$AA$5:$AA$254,0))&amp;"","")</f>
        <v/>
      </c>
      <c r="E73" s="20" t="str">
        <f aca="false">IFERROR(INDEX(Tables!$E$5:$E$254,MATCH(11,Tables!$AA$5:$AA$254,0))&amp;"","")</f>
        <v/>
      </c>
      <c r="F73" s="20" t="str">
        <f aca="false">IFERROR(INDEX(Tables!$J$5:$J$254,MATCH(11,Tables!$AA$5:$AA$254,0))&amp;"","")</f>
        <v/>
      </c>
    </row>
    <row r="74" customFormat="false" ht="15" hidden="false" customHeight="false" outlineLevel="0" collapsed="false">
      <c r="A74" s="20" t="str">
        <f aca="false">IFERROR(INDEX(Tables!$A$5:$A$254,MATCH(12,Tables!$AA$5:$AA$254,0))&amp;"","")</f>
        <v/>
      </c>
      <c r="B74" s="20" t="str">
        <f aca="false">IFERROR(INDEX(Tables!$B$5:$B$254,MATCH(12,Tables!$AA$5:$AA$254,0))&amp;"","")</f>
        <v/>
      </c>
      <c r="C74" s="20" t="str">
        <f aca="false">IFERROR(INDEX(Tables!$K$5:$K$254,MATCH(12,Tables!$AA$5:$AA$254,0))&amp;"","")</f>
        <v/>
      </c>
      <c r="D74" s="20" t="str">
        <f aca="false">IFERROR(INDEX(Tables!$D$5:$D$254,MATCH(12,Tables!$AA$5:$AA$254,0))&amp;"","")</f>
        <v/>
      </c>
      <c r="E74" s="20" t="str">
        <f aca="false">IFERROR(INDEX(Tables!$E$5:$E$254,MATCH(12,Tables!$AA$5:$AA$254,0))&amp;"","")</f>
        <v/>
      </c>
      <c r="F74" s="20" t="str">
        <f aca="false">IFERROR(INDEX(Tables!$J$5:$J$254,MATCH(12,Tables!$AA$5:$AA$254,0))&amp;"","")</f>
        <v/>
      </c>
    </row>
    <row r="75" customFormat="false" ht="15" hidden="false" customHeight="false" outlineLevel="0" collapsed="false">
      <c r="A75" s="20" t="str">
        <f aca="false">IFERROR(INDEX(Tables!$A$5:$A$254,MATCH(13,Tables!$AA$5:$AA$254,0))&amp;"","")</f>
        <v/>
      </c>
      <c r="B75" s="20" t="str">
        <f aca="false">IFERROR(INDEX(Tables!$B$5:$B$254,MATCH(13,Tables!$AA$5:$AA$254,0))&amp;"","")</f>
        <v/>
      </c>
      <c r="C75" s="20" t="str">
        <f aca="false">IFERROR(INDEX(Tables!$K$5:$K$254,MATCH(13,Tables!$AA$5:$AA$254,0))&amp;"","")</f>
        <v/>
      </c>
      <c r="D75" s="20" t="str">
        <f aca="false">IFERROR(INDEX(Tables!$D$5:$D$254,MATCH(13,Tables!$AA$5:$AA$254,0))&amp;"","")</f>
        <v/>
      </c>
      <c r="E75" s="20" t="str">
        <f aca="false">IFERROR(INDEX(Tables!$E$5:$E$254,MATCH(13,Tables!$AA$5:$AA$254,0))&amp;"","")</f>
        <v/>
      </c>
      <c r="F75" s="20" t="str">
        <f aca="false">IFERROR(INDEX(Tables!$J$5:$J$254,MATCH(13,Tables!$AA$5:$AA$254,0))&amp;"","")</f>
        <v/>
      </c>
    </row>
    <row r="76" customFormat="false" ht="15" hidden="false" customHeight="false" outlineLevel="0" collapsed="false">
      <c r="A76" s="20" t="str">
        <f aca="false">IFERROR(INDEX(Tables!$A$5:$A$254,MATCH(14,Tables!$AA$5:$AA$254,0))&amp;"","")</f>
        <v/>
      </c>
      <c r="B76" s="20" t="str">
        <f aca="false">IFERROR(INDEX(Tables!$B$5:$B$254,MATCH(14,Tables!$AA$5:$AA$254,0))&amp;"","")</f>
        <v/>
      </c>
      <c r="C76" s="20" t="str">
        <f aca="false">IFERROR(INDEX(Tables!$K$5:$K$254,MATCH(14,Tables!$AA$5:$AA$254,0))&amp;"","")</f>
        <v/>
      </c>
      <c r="D76" s="20" t="str">
        <f aca="false">IFERROR(INDEX(Tables!$D$5:$D$254,MATCH(14,Tables!$AA$5:$AA$254,0))&amp;"","")</f>
        <v/>
      </c>
      <c r="E76" s="20" t="str">
        <f aca="false">IFERROR(INDEX(Tables!$E$5:$E$254,MATCH(14,Tables!$AA$5:$AA$254,0))&amp;"","")</f>
        <v/>
      </c>
      <c r="F76" s="20" t="str">
        <f aca="false">IFERROR(INDEX(Tables!$J$5:$J$254,MATCH(14,Tables!$AA$5:$AA$254,0))&amp;"","")</f>
        <v/>
      </c>
    </row>
    <row r="77" customFormat="false" ht="15" hidden="false" customHeight="false" outlineLevel="0" collapsed="false">
      <c r="A77" s="20" t="str">
        <f aca="false">IFERROR(INDEX(Tables!$A$5:$A$254,MATCH(15,Tables!$AA$5:$AA$254,0))&amp;"","")</f>
        <v/>
      </c>
      <c r="B77" s="20" t="str">
        <f aca="false">IFERROR(INDEX(Tables!$B$5:$B$254,MATCH(15,Tables!$AA$5:$AA$254,0))&amp;"","")</f>
        <v/>
      </c>
      <c r="C77" s="20" t="str">
        <f aca="false">IFERROR(INDEX(Tables!$K$5:$K$254,MATCH(15,Tables!$AA$5:$AA$254,0))&amp;"","")</f>
        <v/>
      </c>
      <c r="D77" s="20" t="str">
        <f aca="false">IFERROR(INDEX(Tables!$D$5:$D$254,MATCH(15,Tables!$AA$5:$AA$254,0))&amp;"","")</f>
        <v/>
      </c>
      <c r="E77" s="20" t="str">
        <f aca="false">IFERROR(INDEX(Tables!$E$5:$E$254,MATCH(15,Tables!$AA$5:$AA$254,0))&amp;"","")</f>
        <v/>
      </c>
      <c r="F77" s="20" t="str">
        <f aca="false">IFERROR(INDEX(Tables!$J$5:$J$254,MATCH(15,Tables!$AA$5:$AA$254,0))&amp;"","")</f>
        <v/>
      </c>
    </row>
    <row r="78" customFormat="false" ht="15" hidden="false" customHeight="false" outlineLevel="0" collapsed="false">
      <c r="A78" s="20" t="str">
        <f aca="false">IFERROR(INDEX(Tables!$A$5:$A$254,MATCH(16,Tables!$AA$5:$AA$254,0))&amp;"","")</f>
        <v/>
      </c>
      <c r="B78" s="20" t="str">
        <f aca="false">IFERROR(INDEX(Tables!$B$5:$B$254,MATCH(16,Tables!$AA$5:$AA$254,0))&amp;"","")</f>
        <v/>
      </c>
      <c r="C78" s="20" t="str">
        <f aca="false">IFERROR(INDEX(Tables!$K$5:$K$254,MATCH(16,Tables!$AA$5:$AA$254,0))&amp;"","")</f>
        <v/>
      </c>
      <c r="D78" s="20" t="str">
        <f aca="false">IFERROR(INDEX(Tables!$D$5:$D$254,MATCH(16,Tables!$AA$5:$AA$254,0))&amp;"","")</f>
        <v/>
      </c>
      <c r="E78" s="20" t="str">
        <f aca="false">IFERROR(INDEX(Tables!$E$5:$E$254,MATCH(16,Tables!$AA$5:$AA$254,0))&amp;"","")</f>
        <v/>
      </c>
      <c r="F78" s="20" t="str">
        <f aca="false">IFERROR(INDEX(Tables!$J$5:$J$254,MATCH(16,Tables!$AA$5:$AA$254,0))&amp;"","")</f>
        <v/>
      </c>
    </row>
    <row r="79" customFormat="false" ht="15" hidden="false" customHeight="false" outlineLevel="0" collapsed="false">
      <c r="A79" s="20" t="str">
        <f aca="false">IFERROR(INDEX(Tables!$A$5:$A$254,MATCH(17,Tables!$AA$5:$AA$254,0))&amp;"","")</f>
        <v/>
      </c>
      <c r="B79" s="20" t="str">
        <f aca="false">IFERROR(INDEX(Tables!$B$5:$B$254,MATCH(17,Tables!$AA$5:$AA$254,0))&amp;"","")</f>
        <v/>
      </c>
      <c r="C79" s="20" t="str">
        <f aca="false">IFERROR(INDEX(Tables!$K$5:$K$254,MATCH(17,Tables!$AA$5:$AA$254,0))&amp;"","")</f>
        <v/>
      </c>
      <c r="D79" s="20" t="str">
        <f aca="false">IFERROR(INDEX(Tables!$D$5:$D$254,MATCH(17,Tables!$AA$5:$AA$254,0))&amp;"","")</f>
        <v/>
      </c>
      <c r="E79" s="20" t="str">
        <f aca="false">IFERROR(INDEX(Tables!$E$5:$E$254,MATCH(17,Tables!$AA$5:$AA$254,0))&amp;"","")</f>
        <v/>
      </c>
      <c r="F79" s="20" t="str">
        <f aca="false">IFERROR(INDEX(Tables!$J$5:$J$254,MATCH(17,Tables!$AA$5:$AA$254,0))&amp;"","")</f>
        <v/>
      </c>
    </row>
    <row r="80" customFormat="false" ht="15" hidden="false" customHeight="false" outlineLevel="0" collapsed="false">
      <c r="A80" s="20" t="str">
        <f aca="false">IFERROR(INDEX(Tables!$A$5:$A$254,MATCH(18,Tables!$AA$5:$AA$254,0))&amp;"","")</f>
        <v/>
      </c>
      <c r="B80" s="20" t="str">
        <f aca="false">IFERROR(INDEX(Tables!$B$5:$B$254,MATCH(18,Tables!$AA$5:$AA$254,0))&amp;"","")</f>
        <v/>
      </c>
      <c r="C80" s="20" t="str">
        <f aca="false">IFERROR(INDEX(Tables!$K$5:$K$254,MATCH(18,Tables!$AA$5:$AA$254,0))&amp;"","")</f>
        <v/>
      </c>
      <c r="D80" s="20" t="str">
        <f aca="false">IFERROR(INDEX(Tables!$D$5:$D$254,MATCH(18,Tables!$AA$5:$AA$254,0))&amp;"","")</f>
        <v/>
      </c>
      <c r="E80" s="20" t="str">
        <f aca="false">IFERROR(INDEX(Tables!$E$5:$E$254,MATCH(18,Tables!$AA$5:$AA$254,0))&amp;"","")</f>
        <v/>
      </c>
      <c r="F80" s="20" t="str">
        <f aca="false">IFERROR(INDEX(Tables!$J$5:$J$254,MATCH(18,Tables!$AA$5:$AA$254,0))&amp;"","")</f>
        <v/>
      </c>
    </row>
    <row r="81" customFormat="false" ht="15" hidden="false" customHeight="false" outlineLevel="0" collapsed="false">
      <c r="A81" s="20" t="str">
        <f aca="false">IFERROR(INDEX(Tables!$A$5:$A$254,MATCH(19,Tables!$AA$5:$AA$254,0))&amp;"","")</f>
        <v/>
      </c>
      <c r="B81" s="20" t="str">
        <f aca="false">IFERROR(INDEX(Tables!$B$5:$B$254,MATCH(19,Tables!$AA$5:$AA$254,0))&amp;"","")</f>
        <v/>
      </c>
      <c r="C81" s="20" t="str">
        <f aca="false">IFERROR(INDEX(Tables!$K$5:$K$254,MATCH(19,Tables!$AA$5:$AA$254,0))&amp;"","")</f>
        <v/>
      </c>
      <c r="D81" s="20" t="str">
        <f aca="false">IFERROR(INDEX(Tables!$D$5:$D$254,MATCH(19,Tables!$AA$5:$AA$254,0))&amp;"","")</f>
        <v/>
      </c>
      <c r="E81" s="20" t="str">
        <f aca="false">IFERROR(INDEX(Tables!$E$5:$E$254,MATCH(19,Tables!$AA$5:$AA$254,0))&amp;"","")</f>
        <v/>
      </c>
      <c r="F81" s="20" t="str">
        <f aca="false">IFERROR(INDEX(Tables!$J$5:$J$254,MATCH(19,Tables!$AA$5:$AA$254,0))&amp;"","")</f>
        <v/>
      </c>
    </row>
    <row r="82" customFormat="false" ht="15" hidden="false" customHeight="false" outlineLevel="0" collapsed="false">
      <c r="A82" s="20" t="str">
        <f aca="false">IFERROR(INDEX(Tables!$A$5:$A$254,MATCH(20,Tables!$AA$5:$AA$254,0))&amp;"","")</f>
        <v/>
      </c>
      <c r="B82" s="20" t="str">
        <f aca="false">IFERROR(INDEX(Tables!$B$5:$B$254,MATCH(20,Tables!$AA$5:$AA$254,0))&amp;"","")</f>
        <v/>
      </c>
      <c r="C82" s="20" t="str">
        <f aca="false">IFERROR(INDEX(Tables!$K$5:$K$254,MATCH(20,Tables!$AA$5:$AA$254,0))&amp;"","")</f>
        <v/>
      </c>
      <c r="D82" s="20" t="str">
        <f aca="false">IFERROR(INDEX(Tables!$D$5:$D$254,MATCH(20,Tables!$AA$5:$AA$254,0))&amp;"","")</f>
        <v/>
      </c>
      <c r="E82" s="20" t="str">
        <f aca="false">IFERROR(INDEX(Tables!$E$5:$E$254,MATCH(20,Tables!$AA$5:$AA$254,0))&amp;"","")</f>
        <v/>
      </c>
      <c r="F82" s="20" t="str">
        <f aca="false">IFERROR(INDEX(Tables!$J$5:$J$254,MATCH(20,Tables!$AA$5:$AA$254,0))&amp;"","")</f>
        <v/>
      </c>
    </row>
    <row r="83" customFormat="false" ht="15" hidden="false" customHeight="false" outlineLevel="0" collapsed="false">
      <c r="A83" s="20" t="str">
        <f aca="false">IFERROR(INDEX(Tables!$A$5:$A$254,MATCH(21,Tables!$AA$5:$AA$254,0))&amp;"","")</f>
        <v/>
      </c>
      <c r="B83" s="20" t="str">
        <f aca="false">IFERROR(INDEX(Tables!$B$5:$B$254,MATCH(21,Tables!$AA$5:$AA$254,0))&amp;"","")</f>
        <v/>
      </c>
      <c r="C83" s="20" t="str">
        <f aca="false">IFERROR(INDEX(Tables!$K$5:$K$254,MATCH(21,Tables!$AA$5:$AA$254,0))&amp;"","")</f>
        <v/>
      </c>
      <c r="D83" s="20" t="str">
        <f aca="false">IFERROR(INDEX(Tables!$D$5:$D$254,MATCH(21,Tables!$AA$5:$AA$254,0))&amp;"","")</f>
        <v/>
      </c>
      <c r="E83" s="20" t="str">
        <f aca="false">IFERROR(INDEX(Tables!$E$5:$E$254,MATCH(21,Tables!$AA$5:$AA$254,0))&amp;"","")</f>
        <v/>
      </c>
      <c r="F83" s="20" t="str">
        <f aca="false">IFERROR(INDEX(Tables!$J$5:$J$254,MATCH(21,Tables!$AA$5:$AA$254,0))&amp;"","")</f>
        <v/>
      </c>
    </row>
    <row r="84" customFormat="false" ht="15" hidden="false" customHeight="false" outlineLevel="0" collapsed="false">
      <c r="A84" s="20" t="str">
        <f aca="false">IFERROR(INDEX(Tables!$A$5:$A$254,MATCH(22,Tables!$AA$5:$AA$254,0))&amp;"","")</f>
        <v/>
      </c>
      <c r="B84" s="20" t="str">
        <f aca="false">IFERROR(INDEX(Tables!$B$5:$B$254,MATCH(22,Tables!$AA$5:$AA$254,0))&amp;"","")</f>
        <v/>
      </c>
      <c r="C84" s="20" t="str">
        <f aca="false">IFERROR(INDEX(Tables!$K$5:$K$254,MATCH(22,Tables!$AA$5:$AA$254,0))&amp;"","")</f>
        <v/>
      </c>
      <c r="D84" s="20" t="str">
        <f aca="false">IFERROR(INDEX(Tables!$D$5:$D$254,MATCH(22,Tables!$AA$5:$AA$254,0))&amp;"","")</f>
        <v/>
      </c>
      <c r="E84" s="20" t="str">
        <f aca="false">IFERROR(INDEX(Tables!$E$5:$E$254,MATCH(22,Tables!$AA$5:$AA$254,0))&amp;"","")</f>
        <v/>
      </c>
      <c r="F84" s="20" t="str">
        <f aca="false">IFERROR(INDEX(Tables!$J$5:$J$254,MATCH(22,Tables!$AA$5:$AA$254,0))&amp;"","")</f>
        <v/>
      </c>
    </row>
    <row r="85" customFormat="false" ht="15" hidden="false" customHeight="false" outlineLevel="0" collapsed="false">
      <c r="A85" s="20" t="str">
        <f aca="false">IFERROR(INDEX(Tables!$A$5:$A$254,MATCH(23,Tables!$AA$5:$AA$254,0))&amp;"","")</f>
        <v/>
      </c>
      <c r="B85" s="20" t="str">
        <f aca="false">IFERROR(INDEX(Tables!$B$5:$B$254,MATCH(23,Tables!$AA$5:$AA$254,0))&amp;"","")</f>
        <v/>
      </c>
      <c r="C85" s="20" t="str">
        <f aca="false">IFERROR(INDEX(Tables!$K$5:$K$254,MATCH(23,Tables!$AA$5:$AA$254,0))&amp;"","")</f>
        <v/>
      </c>
      <c r="D85" s="20" t="str">
        <f aca="false">IFERROR(INDEX(Tables!$D$5:$D$254,MATCH(23,Tables!$AA$5:$AA$254,0))&amp;"","")</f>
        <v/>
      </c>
      <c r="E85" s="20" t="str">
        <f aca="false">IFERROR(INDEX(Tables!$E$5:$E$254,MATCH(23,Tables!$AA$5:$AA$254,0))&amp;"","")</f>
        <v/>
      </c>
      <c r="F85" s="20" t="str">
        <f aca="false">IFERROR(INDEX(Tables!$J$5:$J$254,MATCH(23,Tables!$AA$5:$AA$254,0))&amp;"","")</f>
        <v/>
      </c>
    </row>
    <row r="86" customFormat="false" ht="15" hidden="false" customHeight="false" outlineLevel="0" collapsed="false">
      <c r="A86" s="20" t="str">
        <f aca="false">IFERROR(INDEX(Tables!$A$5:$A$254,MATCH(24,Tables!$AA$5:$AA$254,0))&amp;"","")</f>
        <v/>
      </c>
      <c r="B86" s="20" t="str">
        <f aca="false">IFERROR(INDEX(Tables!$B$5:$B$254,MATCH(24,Tables!$AA$5:$AA$254,0))&amp;"","")</f>
        <v/>
      </c>
      <c r="C86" s="20" t="str">
        <f aca="false">IFERROR(INDEX(Tables!$K$5:$K$254,MATCH(24,Tables!$AA$5:$AA$254,0))&amp;"","")</f>
        <v/>
      </c>
      <c r="D86" s="20" t="str">
        <f aca="false">IFERROR(INDEX(Tables!$D$5:$D$254,MATCH(24,Tables!$AA$5:$AA$254,0))&amp;"","")</f>
        <v/>
      </c>
      <c r="E86" s="20" t="str">
        <f aca="false">IFERROR(INDEX(Tables!$E$5:$E$254,MATCH(24,Tables!$AA$5:$AA$254,0))&amp;"","")</f>
        <v/>
      </c>
      <c r="F86" s="20" t="str">
        <f aca="false">IFERROR(INDEX(Tables!$J$5:$J$254,MATCH(24,Tables!$AA$5:$AA$254,0))&amp;"","")</f>
        <v/>
      </c>
    </row>
    <row r="87" customFormat="false" ht="15" hidden="false" customHeight="false" outlineLevel="0" collapsed="false">
      <c r="A87" s="20" t="str">
        <f aca="false">IFERROR(INDEX(Tables!$A$5:$A$254,MATCH(25,Tables!$AA$5:$AA$254,0))&amp;"","")</f>
        <v/>
      </c>
      <c r="B87" s="20" t="str">
        <f aca="false">IFERROR(INDEX(Tables!$B$5:$B$254,MATCH(25,Tables!$AA$5:$AA$254,0))&amp;"","")</f>
        <v/>
      </c>
      <c r="C87" s="20" t="str">
        <f aca="false">IFERROR(INDEX(Tables!$K$5:$K$254,MATCH(25,Tables!$AA$5:$AA$254,0))&amp;"","")</f>
        <v/>
      </c>
      <c r="D87" s="20" t="str">
        <f aca="false">IFERROR(INDEX(Tables!$D$5:$D$254,MATCH(25,Tables!$AA$5:$AA$254,0))&amp;"","")</f>
        <v/>
      </c>
      <c r="E87" s="20" t="str">
        <f aca="false">IFERROR(INDEX(Tables!$E$5:$E$254,MATCH(25,Tables!$AA$5:$AA$254,0))&amp;"","")</f>
        <v/>
      </c>
      <c r="F87" s="20" t="str">
        <f aca="false">IFERROR(INDEX(Tables!$J$5:$J$254,MATCH(25,Tables!$AA$5:$AA$254,0))&amp;"","")</f>
        <v/>
      </c>
    </row>
    <row r="88" customFormat="false" ht="15" hidden="false" customHeight="false" outlineLevel="0" collapsed="false">
      <c r="A88" s="20" t="str">
        <f aca="false">IFERROR(INDEX(Tables!$A$5:$A$254,MATCH(26,Tables!$AA$5:$AA$254,0))&amp;"","")</f>
        <v/>
      </c>
      <c r="B88" s="20" t="str">
        <f aca="false">IFERROR(INDEX(Tables!$B$5:$B$254,MATCH(26,Tables!$AA$5:$AA$254,0))&amp;"","")</f>
        <v/>
      </c>
      <c r="C88" s="20" t="str">
        <f aca="false">IFERROR(INDEX(Tables!$K$5:$K$254,MATCH(26,Tables!$AA$5:$AA$254,0))&amp;"","")</f>
        <v/>
      </c>
      <c r="D88" s="20" t="str">
        <f aca="false">IFERROR(INDEX(Tables!$D$5:$D$254,MATCH(26,Tables!$AA$5:$AA$254,0))&amp;"","")</f>
        <v/>
      </c>
      <c r="E88" s="20" t="str">
        <f aca="false">IFERROR(INDEX(Tables!$E$5:$E$254,MATCH(26,Tables!$AA$5:$AA$254,0))&amp;"","")</f>
        <v/>
      </c>
      <c r="F88" s="20" t="str">
        <f aca="false">IFERROR(INDEX(Tables!$J$5:$J$254,MATCH(26,Tables!$AA$5:$AA$254,0))&amp;"","")</f>
        <v/>
      </c>
    </row>
    <row r="89" customFormat="false" ht="15" hidden="false" customHeight="false" outlineLevel="0" collapsed="false">
      <c r="A89" s="20" t="str">
        <f aca="false">IFERROR(INDEX(Tables!$A$5:$A$254,MATCH(27,Tables!$AA$5:$AA$254,0))&amp;"","")</f>
        <v/>
      </c>
      <c r="B89" s="20" t="str">
        <f aca="false">IFERROR(INDEX(Tables!$B$5:$B$254,MATCH(27,Tables!$AA$5:$AA$254,0))&amp;"","")</f>
        <v/>
      </c>
      <c r="C89" s="20" t="str">
        <f aca="false">IFERROR(INDEX(Tables!$K$5:$K$254,MATCH(27,Tables!$AA$5:$AA$254,0))&amp;"","")</f>
        <v/>
      </c>
      <c r="D89" s="20" t="str">
        <f aca="false">IFERROR(INDEX(Tables!$D$5:$D$254,MATCH(27,Tables!$AA$5:$AA$254,0))&amp;"","")</f>
        <v/>
      </c>
      <c r="E89" s="20" t="str">
        <f aca="false">IFERROR(INDEX(Tables!$E$5:$E$254,MATCH(27,Tables!$AA$5:$AA$254,0))&amp;"","")</f>
        <v/>
      </c>
      <c r="F89" s="20" t="str">
        <f aca="false">IFERROR(INDEX(Tables!$J$5:$J$254,MATCH(27,Tables!$AA$5:$AA$254,0))&amp;"","")</f>
        <v/>
      </c>
    </row>
    <row r="90" customFormat="false" ht="15" hidden="false" customHeight="false" outlineLevel="0" collapsed="false">
      <c r="A90" s="20" t="str">
        <f aca="false">IFERROR(INDEX(Tables!$A$5:$A$254,MATCH(28,Tables!$AA$5:$AA$254,0))&amp;"","")</f>
        <v/>
      </c>
      <c r="B90" s="20" t="str">
        <f aca="false">IFERROR(INDEX(Tables!$B$5:$B$254,MATCH(28,Tables!$AA$5:$AA$254,0))&amp;"","")</f>
        <v/>
      </c>
      <c r="C90" s="20" t="str">
        <f aca="false">IFERROR(INDEX(Tables!$K$5:$K$254,MATCH(28,Tables!$AA$5:$AA$254,0))&amp;"","")</f>
        <v/>
      </c>
      <c r="D90" s="20" t="str">
        <f aca="false">IFERROR(INDEX(Tables!$D$5:$D$254,MATCH(28,Tables!$AA$5:$AA$254,0))&amp;"","")</f>
        <v/>
      </c>
      <c r="E90" s="20" t="str">
        <f aca="false">IFERROR(INDEX(Tables!$E$5:$E$254,MATCH(28,Tables!$AA$5:$AA$254,0))&amp;"","")</f>
        <v/>
      </c>
      <c r="F90" s="20" t="str">
        <f aca="false">IFERROR(INDEX(Tables!$J$5:$J$254,MATCH(28,Tables!$AA$5:$AA$254,0))&amp;"","")</f>
        <v/>
      </c>
    </row>
    <row r="91" customFormat="false" ht="15" hidden="false" customHeight="false" outlineLevel="0" collapsed="false">
      <c r="A91" s="20" t="str">
        <f aca="false">IFERROR(INDEX(Tables!$A$5:$A$254,MATCH(29,Tables!$AA$5:$AA$254,0))&amp;"","")</f>
        <v/>
      </c>
      <c r="B91" s="20" t="str">
        <f aca="false">IFERROR(INDEX(Tables!$B$5:$B$254,MATCH(29,Tables!$AA$5:$AA$254,0))&amp;"","")</f>
        <v/>
      </c>
      <c r="C91" s="20" t="str">
        <f aca="false">IFERROR(INDEX(Tables!$K$5:$K$254,MATCH(29,Tables!$AA$5:$AA$254,0))&amp;"","")</f>
        <v/>
      </c>
      <c r="D91" s="20" t="str">
        <f aca="false">IFERROR(INDEX(Tables!$D$5:$D$254,MATCH(29,Tables!$AA$5:$AA$254,0))&amp;"","")</f>
        <v/>
      </c>
      <c r="E91" s="20" t="str">
        <f aca="false">IFERROR(INDEX(Tables!$E$5:$E$254,MATCH(29,Tables!$AA$5:$AA$254,0))&amp;"","")</f>
        <v/>
      </c>
      <c r="F91" s="20" t="str">
        <f aca="false">IFERROR(INDEX(Tables!$J$5:$J$254,MATCH(29,Tables!$AA$5:$AA$254,0))&amp;"","")</f>
        <v/>
      </c>
    </row>
    <row r="92" customFormat="false" ht="15" hidden="false" customHeight="false" outlineLevel="0" collapsed="false">
      <c r="A92" s="20" t="str">
        <f aca="false">IFERROR(INDEX(Tables!$A$5:$A$254,MATCH(30,Tables!$AA$5:$AA$254,0))&amp;"","")</f>
        <v/>
      </c>
      <c r="B92" s="20" t="str">
        <f aca="false">IFERROR(INDEX(Tables!$B$5:$B$254,MATCH(30,Tables!$AA$5:$AA$254,0))&amp;"","")</f>
        <v/>
      </c>
      <c r="C92" s="20" t="str">
        <f aca="false">IFERROR(INDEX(Tables!$K$5:$K$254,MATCH(30,Tables!$AA$5:$AA$254,0))&amp;"","")</f>
        <v/>
      </c>
      <c r="D92" s="20" t="str">
        <f aca="false">IFERROR(INDEX(Tables!$D$5:$D$254,MATCH(30,Tables!$AA$5:$AA$254,0))&amp;"","")</f>
        <v/>
      </c>
      <c r="E92" s="20" t="str">
        <f aca="false">IFERROR(INDEX(Tables!$E$5:$E$254,MATCH(30,Tables!$AA$5:$AA$254,0))&amp;"","")</f>
        <v/>
      </c>
      <c r="F92" s="20" t="str">
        <f aca="false">IFERROR(INDEX(Tables!$J$5:$J$254,MATCH(30,Tables!$AA$5:$AA$254,0))&amp;"","")</f>
        <v/>
      </c>
    </row>
    <row r="93" customFormat="false" ht="15" hidden="false" customHeight="false" outlineLevel="0" collapsed="false">
      <c r="A93" s="20" t="str">
        <f aca="false">IFERROR(INDEX(Tables!$A$5:$A$254,MATCH(31,Tables!$AA$5:$AA$254,0))&amp;"","")</f>
        <v/>
      </c>
      <c r="B93" s="20" t="str">
        <f aca="false">IFERROR(INDEX(Tables!$B$5:$B$254,MATCH(31,Tables!$AA$5:$AA$254,0))&amp;"","")</f>
        <v/>
      </c>
      <c r="C93" s="20" t="str">
        <f aca="false">IFERROR(INDEX(Tables!$K$5:$K$254,MATCH(31,Tables!$AA$5:$AA$254,0))&amp;"","")</f>
        <v/>
      </c>
      <c r="D93" s="20" t="str">
        <f aca="false">IFERROR(INDEX(Tables!$D$5:$D$254,MATCH(31,Tables!$AA$5:$AA$254,0))&amp;"","")</f>
        <v/>
      </c>
      <c r="E93" s="20" t="str">
        <f aca="false">IFERROR(INDEX(Tables!$E$5:$E$254,MATCH(31,Tables!$AA$5:$AA$254,0))&amp;"","")</f>
        <v/>
      </c>
      <c r="F93" s="20" t="str">
        <f aca="false">IFERROR(INDEX(Tables!$J$5:$J$254,MATCH(31,Tables!$AA$5:$AA$254,0))&amp;"","")</f>
        <v/>
      </c>
    </row>
    <row r="94" customFormat="false" ht="15" hidden="false" customHeight="false" outlineLevel="0" collapsed="false">
      <c r="A94" s="20" t="str">
        <f aca="false">IFERROR(INDEX(Tables!$A$5:$A$254,MATCH(32,Tables!$AA$5:$AA$254,0))&amp;"","")</f>
        <v/>
      </c>
      <c r="B94" s="20" t="str">
        <f aca="false">IFERROR(INDEX(Tables!$B$5:$B$254,MATCH(32,Tables!$AA$5:$AA$254,0))&amp;"","")</f>
        <v/>
      </c>
      <c r="C94" s="20" t="str">
        <f aca="false">IFERROR(INDEX(Tables!$K$5:$K$254,MATCH(32,Tables!$AA$5:$AA$254,0))&amp;"","")</f>
        <v/>
      </c>
      <c r="D94" s="20" t="str">
        <f aca="false">IFERROR(INDEX(Tables!$D$5:$D$254,MATCH(32,Tables!$AA$5:$AA$254,0))&amp;"","")</f>
        <v/>
      </c>
      <c r="E94" s="20" t="str">
        <f aca="false">IFERROR(INDEX(Tables!$E$5:$E$254,MATCH(32,Tables!$AA$5:$AA$254,0))&amp;"","")</f>
        <v/>
      </c>
      <c r="F94" s="20" t="str">
        <f aca="false">IFERROR(INDEX(Tables!$J$5:$J$254,MATCH(32,Tables!$AA$5:$AA$254,0))&amp;"","")</f>
        <v/>
      </c>
    </row>
    <row r="95" customFormat="false" ht="15" hidden="false" customHeight="false" outlineLevel="0" collapsed="false">
      <c r="A95" s="20" t="str">
        <f aca="false">IFERROR(INDEX(Tables!$A$5:$A$254,MATCH(33,Tables!$AA$5:$AA$254,0))&amp;"","")</f>
        <v/>
      </c>
      <c r="B95" s="20" t="str">
        <f aca="false">IFERROR(INDEX(Tables!$B$5:$B$254,MATCH(33,Tables!$AA$5:$AA$254,0))&amp;"","")</f>
        <v/>
      </c>
      <c r="C95" s="20" t="str">
        <f aca="false">IFERROR(INDEX(Tables!$K$5:$K$254,MATCH(33,Tables!$AA$5:$AA$254,0))&amp;"","")</f>
        <v/>
      </c>
      <c r="D95" s="20" t="str">
        <f aca="false">IFERROR(INDEX(Tables!$D$5:$D$254,MATCH(33,Tables!$AA$5:$AA$254,0))&amp;"","")</f>
        <v/>
      </c>
      <c r="E95" s="20" t="str">
        <f aca="false">IFERROR(INDEX(Tables!$E$5:$E$254,MATCH(33,Tables!$AA$5:$AA$254,0))&amp;"","")</f>
        <v/>
      </c>
      <c r="F95" s="20" t="str">
        <f aca="false">IFERROR(INDEX(Tables!$J$5:$J$254,MATCH(33,Tables!$AA$5:$AA$254,0))&amp;"","")</f>
        <v/>
      </c>
    </row>
    <row r="96" customFormat="false" ht="15" hidden="false" customHeight="false" outlineLevel="0" collapsed="false">
      <c r="A96" s="20" t="str">
        <f aca="false">IFERROR(INDEX(Tables!$A$5:$A$254,MATCH(34,Tables!$AA$5:$AA$254,0))&amp;"","")</f>
        <v/>
      </c>
      <c r="B96" s="20" t="str">
        <f aca="false">IFERROR(INDEX(Tables!$B$5:$B$254,MATCH(34,Tables!$AA$5:$AA$254,0))&amp;"","")</f>
        <v/>
      </c>
      <c r="C96" s="20" t="str">
        <f aca="false">IFERROR(INDEX(Tables!$K$5:$K$254,MATCH(34,Tables!$AA$5:$AA$254,0))&amp;"","")</f>
        <v/>
      </c>
      <c r="D96" s="20" t="str">
        <f aca="false">IFERROR(INDEX(Tables!$D$5:$D$254,MATCH(34,Tables!$AA$5:$AA$254,0))&amp;"","")</f>
        <v/>
      </c>
      <c r="E96" s="20" t="str">
        <f aca="false">IFERROR(INDEX(Tables!$E$5:$E$254,MATCH(34,Tables!$AA$5:$AA$254,0))&amp;"","")</f>
        <v/>
      </c>
      <c r="F96" s="20" t="str">
        <f aca="false">IFERROR(INDEX(Tables!$J$5:$J$254,MATCH(34,Tables!$AA$5:$AA$254,0))&amp;"","")</f>
        <v/>
      </c>
    </row>
    <row r="97" customFormat="false" ht="15" hidden="false" customHeight="false" outlineLevel="0" collapsed="false">
      <c r="A97" s="20" t="str">
        <f aca="false">IFERROR(INDEX(Tables!$A$5:$A$254,MATCH(35,Tables!$AA$5:$AA$254,0))&amp;"","")</f>
        <v/>
      </c>
      <c r="B97" s="20" t="str">
        <f aca="false">IFERROR(INDEX(Tables!$B$5:$B$254,MATCH(35,Tables!$AA$5:$AA$254,0))&amp;"","")</f>
        <v/>
      </c>
      <c r="C97" s="20" t="str">
        <f aca="false">IFERROR(INDEX(Tables!$K$5:$K$254,MATCH(35,Tables!$AA$5:$AA$254,0))&amp;"","")</f>
        <v/>
      </c>
      <c r="D97" s="20" t="str">
        <f aca="false">IFERROR(INDEX(Tables!$D$5:$D$254,MATCH(35,Tables!$AA$5:$AA$254,0))&amp;"","")</f>
        <v/>
      </c>
      <c r="E97" s="20" t="str">
        <f aca="false">IFERROR(INDEX(Tables!$E$5:$E$254,MATCH(35,Tables!$AA$5:$AA$254,0))&amp;"","")</f>
        <v/>
      </c>
      <c r="F97" s="20" t="str">
        <f aca="false">IFERROR(INDEX(Tables!$J$5:$J$254,MATCH(35,Tables!$AA$5:$AA$254,0))&amp;"","")</f>
        <v/>
      </c>
    </row>
    <row r="98" customFormat="false" ht="15" hidden="false" customHeight="false" outlineLevel="0" collapsed="false">
      <c r="A98" s="20" t="str">
        <f aca="false">IFERROR(INDEX(Tables!$A$5:$A$254,MATCH(36,Tables!$AA$5:$AA$254,0))&amp;"","")</f>
        <v/>
      </c>
      <c r="B98" s="20" t="str">
        <f aca="false">IFERROR(INDEX(Tables!$B$5:$B$254,MATCH(36,Tables!$AA$5:$AA$254,0))&amp;"","")</f>
        <v/>
      </c>
      <c r="C98" s="20" t="str">
        <f aca="false">IFERROR(INDEX(Tables!$K$5:$K$254,MATCH(36,Tables!$AA$5:$AA$254,0))&amp;"","")</f>
        <v/>
      </c>
      <c r="D98" s="20" t="str">
        <f aca="false">IFERROR(INDEX(Tables!$D$5:$D$254,MATCH(36,Tables!$AA$5:$AA$254,0))&amp;"","")</f>
        <v/>
      </c>
      <c r="E98" s="20" t="str">
        <f aca="false">IFERROR(INDEX(Tables!$E$5:$E$254,MATCH(36,Tables!$AA$5:$AA$254,0))&amp;"","")</f>
        <v/>
      </c>
      <c r="F98" s="20" t="str">
        <f aca="false">IFERROR(INDEX(Tables!$J$5:$J$254,MATCH(36,Tables!$AA$5:$AA$254,0))&amp;"","")</f>
        <v/>
      </c>
    </row>
    <row r="99" customFormat="false" ht="15" hidden="false" customHeight="false" outlineLevel="0" collapsed="false">
      <c r="A99" s="20" t="str">
        <f aca="false">IFERROR(INDEX(Tables!$A$5:$A$254,MATCH(37,Tables!$AA$5:$AA$254,0))&amp;"","")</f>
        <v/>
      </c>
      <c r="B99" s="20" t="str">
        <f aca="false">IFERROR(INDEX(Tables!$B$5:$B$254,MATCH(37,Tables!$AA$5:$AA$254,0))&amp;"","")</f>
        <v/>
      </c>
      <c r="C99" s="20" t="str">
        <f aca="false">IFERROR(INDEX(Tables!$K$5:$K$254,MATCH(37,Tables!$AA$5:$AA$254,0))&amp;"","")</f>
        <v/>
      </c>
      <c r="D99" s="20" t="str">
        <f aca="false">IFERROR(INDEX(Tables!$D$5:$D$254,MATCH(37,Tables!$AA$5:$AA$254,0))&amp;"","")</f>
        <v/>
      </c>
      <c r="E99" s="20" t="str">
        <f aca="false">IFERROR(INDEX(Tables!$E$5:$E$254,MATCH(37,Tables!$AA$5:$AA$254,0))&amp;"","")</f>
        <v/>
      </c>
      <c r="F99" s="20" t="str">
        <f aca="false">IFERROR(INDEX(Tables!$J$5:$J$254,MATCH(37,Tables!$AA$5:$AA$254,0))&amp;"","")</f>
        <v/>
      </c>
    </row>
    <row r="100" customFormat="false" ht="15" hidden="false" customHeight="false" outlineLevel="0" collapsed="false">
      <c r="A100" s="20" t="str">
        <f aca="false">IFERROR(INDEX(Tables!$A$5:$A$254,MATCH(38,Tables!$AA$5:$AA$254,0))&amp;"","")</f>
        <v/>
      </c>
      <c r="B100" s="20" t="str">
        <f aca="false">IFERROR(INDEX(Tables!$B$5:$B$254,MATCH(38,Tables!$AA$5:$AA$254,0))&amp;"","")</f>
        <v/>
      </c>
      <c r="C100" s="20" t="str">
        <f aca="false">IFERROR(INDEX(Tables!$K$5:$K$254,MATCH(38,Tables!$AA$5:$AA$254,0))&amp;"","")</f>
        <v/>
      </c>
      <c r="D100" s="20" t="str">
        <f aca="false">IFERROR(INDEX(Tables!$D$5:$D$254,MATCH(38,Tables!$AA$5:$AA$254,0))&amp;"","")</f>
        <v/>
      </c>
      <c r="E100" s="20" t="str">
        <f aca="false">IFERROR(INDEX(Tables!$E$5:$E$254,MATCH(38,Tables!$AA$5:$AA$254,0))&amp;"","")</f>
        <v/>
      </c>
      <c r="F100" s="20" t="str">
        <f aca="false">IFERROR(INDEX(Tables!$J$5:$J$254,MATCH(38,Tables!$AA$5:$AA$254,0))&amp;"","")</f>
        <v/>
      </c>
    </row>
    <row r="101" customFormat="false" ht="15" hidden="false" customHeight="false" outlineLevel="0" collapsed="false">
      <c r="A101" s="20" t="str">
        <f aca="false">IFERROR(INDEX(Tables!$A$5:$A$254,MATCH(39,Tables!$AA$5:$AA$254,0))&amp;"","")</f>
        <v/>
      </c>
      <c r="B101" s="20" t="str">
        <f aca="false">IFERROR(INDEX(Tables!$B$5:$B$254,MATCH(39,Tables!$AA$5:$AA$254,0))&amp;"","")</f>
        <v/>
      </c>
      <c r="C101" s="20" t="str">
        <f aca="false">IFERROR(INDEX(Tables!$K$5:$K$254,MATCH(39,Tables!$AA$5:$AA$254,0))&amp;"","")</f>
        <v/>
      </c>
      <c r="D101" s="20" t="str">
        <f aca="false">IFERROR(INDEX(Tables!$D$5:$D$254,MATCH(39,Tables!$AA$5:$AA$254,0))&amp;"","")</f>
        <v/>
      </c>
      <c r="E101" s="20" t="str">
        <f aca="false">IFERROR(INDEX(Tables!$E$5:$E$254,MATCH(39,Tables!$AA$5:$AA$254,0))&amp;"","")</f>
        <v/>
      </c>
      <c r="F101" s="20" t="str">
        <f aca="false">IFERROR(INDEX(Tables!$J$5:$J$254,MATCH(39,Tables!$AA$5:$AA$254,0))&amp;"","")</f>
        <v/>
      </c>
    </row>
    <row r="102" customFormat="false" ht="15" hidden="false" customHeight="false" outlineLevel="0" collapsed="false">
      <c r="A102" s="20" t="str">
        <f aca="false">IFERROR(INDEX(Tables!$A$5:$A$254,MATCH(40,Tables!$AA$5:$AA$254,0))&amp;"","")</f>
        <v/>
      </c>
      <c r="B102" s="20" t="str">
        <f aca="false">IFERROR(INDEX(Tables!$B$5:$B$254,MATCH(40,Tables!$AA$5:$AA$254,0))&amp;"","")</f>
        <v/>
      </c>
      <c r="C102" s="20" t="str">
        <f aca="false">IFERROR(INDEX(Tables!$K$5:$K$254,MATCH(40,Tables!$AA$5:$AA$254,0))&amp;"","")</f>
        <v/>
      </c>
      <c r="D102" s="20" t="str">
        <f aca="false">IFERROR(INDEX(Tables!$D$5:$D$254,MATCH(40,Tables!$AA$5:$AA$254,0))&amp;"","")</f>
        <v/>
      </c>
      <c r="E102" s="20" t="str">
        <f aca="false">IFERROR(INDEX(Tables!$E$5:$E$254,MATCH(40,Tables!$AA$5:$AA$254,0))&amp;"","")</f>
        <v/>
      </c>
      <c r="F102" s="20" t="str">
        <f aca="false">IFERROR(INDEX(Tables!$J$5:$J$254,MATCH(40,Tables!$AA$5:$AA$254,0))&amp;"","")</f>
        <v/>
      </c>
    </row>
    <row r="104" customFormat="false" ht="15" hidden="false" customHeight="false" outlineLevel="0" collapsed="false">
      <c r="A104" s="18" t="s">
        <v>102</v>
      </c>
    </row>
    <row r="105" customFormat="false" ht="15" hidden="false" customHeight="false" outlineLevel="0" collapsed="false">
      <c r="A105" s="17" t="s">
        <v>103</v>
      </c>
      <c r="C105" s="19" t="str">
        <f aca="false">HYPERLINK("#'Decisions'!A1","top")</f>
        <v>top</v>
      </c>
    </row>
    <row r="106" customFormat="false" ht="31.5" hidden="false" customHeight="true" outlineLevel="0" collapsed="false">
      <c r="A106" s="11" t="s">
        <v>92</v>
      </c>
      <c r="B106" s="11" t="s">
        <v>93</v>
      </c>
      <c r="C106" s="11" t="s">
        <v>95</v>
      </c>
      <c r="D106" s="11" t="s">
        <v>104</v>
      </c>
      <c r="E106" s="11" t="s">
        <v>69</v>
      </c>
      <c r="F106" s="11" t="s">
        <v>96</v>
      </c>
    </row>
    <row r="107" customFormat="false" ht="35.05" hidden="false" customHeight="false" outlineLevel="0" collapsed="false">
      <c r="A107" s="20" t="str">
        <f aca="false">IFERROR(INDEX(Tables!$A$5:$A$254,MATCH(1,Tables!$AB$5:$AB$254,0))&amp;"","")</f>
        <v>T-005</v>
      </c>
      <c r="B107" s="20" t="str">
        <f aca="false">IFERROR(INDEX(Tables!$B$5:$B$254,MATCH(1,Tables!$AB$5:$AB$254,0))&amp;"","")</f>
        <v>Recruiter scorecard base</v>
      </c>
      <c r="C107" s="20" t="n">
        <f aca="false">IFERROR(INDEX(Tables!$M$5:$M$254,MATCH(1,Tables!$AB$5:$AB$254,0)),"")</f>
        <v>2</v>
      </c>
      <c r="D107" s="20" t="str">
        <f aca="false">IFERROR(INDEX(Tables!$N$5:$N$254,MATCH(1,Tables!$AB$5:$AB$254,0))&amp;"","")</f>
        <v>T-005 &lt;- T-004 &lt;- T-002 (+ other parents)</v>
      </c>
      <c r="E107" s="20" t="str">
        <f aca="false">IFERROR(INDEX(Tables!$L$5:$L$254,MATCH(1,Tables!$AB$5:$AB$254,0))&amp;"","")</f>
        <v>Merge into certified table</v>
      </c>
      <c r="F107" s="20" t="n">
        <f aca="false">IFERROR(INDEX(Tables!$P$5:$P$254,MATCH(1,Tables!$AB$5:$AB$254,0)),"")</f>
        <v>2</v>
      </c>
    </row>
    <row r="108" customFormat="false" ht="35.05" hidden="false" customHeight="false" outlineLevel="0" collapsed="false">
      <c r="A108" s="20" t="str">
        <f aca="false">IFERROR(INDEX(Tables!$A$5:$A$254,MATCH(2,Tables!$AB$5:$AB$254,0))&amp;"","")</f>
        <v>T-006</v>
      </c>
      <c r="B108" s="20" t="str">
        <f aca="false">IFERROR(INDEX(Tables!$B$5:$B$254,MATCH(2,Tables!$AB$5:$AB$254,0))&amp;"","")</f>
        <v>Recruiter view extract</v>
      </c>
      <c r="C108" s="20" t="n">
        <f aca="false">IFERROR(INDEX(Tables!$M$5:$M$254,MATCH(2,Tables!$AB$5:$AB$254,0)),"")</f>
        <v>3</v>
      </c>
      <c r="D108" s="20" t="str">
        <f aca="false">IFERROR(INDEX(Tables!$N$5:$N$254,MATCH(2,Tables!$AB$5:$AB$254,0))&amp;"","")</f>
        <v>T-006 &lt;- T-005 &lt;- T-004 &lt;- T-002</v>
      </c>
      <c r="E108" s="20" t="str">
        <f aca="false">IFERROR(INDEX(Tables!$L$5:$L$254,MATCH(2,Tables!$AB$5:$AB$254,0))&amp;"","")</f>
        <v>Retire</v>
      </c>
      <c r="F108" s="20" t="n">
        <f aca="false">IFERROR(INDEX(Tables!$P$5:$P$254,MATCH(2,Tables!$AB$5:$AB$254,0)),"")</f>
        <v>0</v>
      </c>
    </row>
    <row r="109" customFormat="false" ht="15" hidden="false" customHeight="false" outlineLevel="0" collapsed="false">
      <c r="A109" s="20" t="str">
        <f aca="false">IFERROR(INDEX(Tables!$A$5:$A$254,MATCH(3,Tables!$AB$5:$AB$254,0))&amp;"","")</f>
        <v/>
      </c>
      <c r="B109" s="20" t="str">
        <f aca="false">IFERROR(INDEX(Tables!$B$5:$B$254,MATCH(3,Tables!$AB$5:$AB$254,0))&amp;"","")</f>
        <v/>
      </c>
      <c r="C109" s="20" t="str">
        <f aca="false">IFERROR(INDEX(Tables!$M$5:$M$254,MATCH(3,Tables!$AB$5:$AB$254,0)),"")</f>
        <v/>
      </c>
      <c r="D109" s="20" t="str">
        <f aca="false">IFERROR(INDEX(Tables!$N$5:$N$254,MATCH(3,Tables!$AB$5:$AB$254,0))&amp;"","")</f>
        <v/>
      </c>
      <c r="E109" s="20" t="str">
        <f aca="false">IFERROR(INDEX(Tables!$L$5:$L$254,MATCH(3,Tables!$AB$5:$AB$254,0))&amp;"","")</f>
        <v/>
      </c>
      <c r="F109" s="20" t="str">
        <f aca="false">IFERROR(INDEX(Tables!$P$5:$P$254,MATCH(3,Tables!$AB$5:$AB$254,0)),"")</f>
        <v/>
      </c>
    </row>
    <row r="110" customFormat="false" ht="15" hidden="false" customHeight="false" outlineLevel="0" collapsed="false">
      <c r="A110" s="20" t="str">
        <f aca="false">IFERROR(INDEX(Tables!$A$5:$A$254,MATCH(4,Tables!$AB$5:$AB$254,0))&amp;"","")</f>
        <v/>
      </c>
      <c r="B110" s="20" t="str">
        <f aca="false">IFERROR(INDEX(Tables!$B$5:$B$254,MATCH(4,Tables!$AB$5:$AB$254,0))&amp;"","")</f>
        <v/>
      </c>
      <c r="C110" s="20" t="str">
        <f aca="false">IFERROR(INDEX(Tables!$M$5:$M$254,MATCH(4,Tables!$AB$5:$AB$254,0)),"")</f>
        <v/>
      </c>
      <c r="D110" s="20" t="str">
        <f aca="false">IFERROR(INDEX(Tables!$N$5:$N$254,MATCH(4,Tables!$AB$5:$AB$254,0))&amp;"","")</f>
        <v/>
      </c>
      <c r="E110" s="20" t="str">
        <f aca="false">IFERROR(INDEX(Tables!$L$5:$L$254,MATCH(4,Tables!$AB$5:$AB$254,0))&amp;"","")</f>
        <v/>
      </c>
      <c r="F110" s="20" t="str">
        <f aca="false">IFERROR(INDEX(Tables!$P$5:$P$254,MATCH(4,Tables!$AB$5:$AB$254,0)),"")</f>
        <v/>
      </c>
    </row>
    <row r="111" customFormat="false" ht="15" hidden="false" customHeight="false" outlineLevel="0" collapsed="false">
      <c r="A111" s="20" t="str">
        <f aca="false">IFERROR(INDEX(Tables!$A$5:$A$254,MATCH(5,Tables!$AB$5:$AB$254,0))&amp;"","")</f>
        <v/>
      </c>
      <c r="B111" s="20" t="str">
        <f aca="false">IFERROR(INDEX(Tables!$B$5:$B$254,MATCH(5,Tables!$AB$5:$AB$254,0))&amp;"","")</f>
        <v/>
      </c>
      <c r="C111" s="20" t="str">
        <f aca="false">IFERROR(INDEX(Tables!$M$5:$M$254,MATCH(5,Tables!$AB$5:$AB$254,0)),"")</f>
        <v/>
      </c>
      <c r="D111" s="20" t="str">
        <f aca="false">IFERROR(INDEX(Tables!$N$5:$N$254,MATCH(5,Tables!$AB$5:$AB$254,0))&amp;"","")</f>
        <v/>
      </c>
      <c r="E111" s="20" t="str">
        <f aca="false">IFERROR(INDEX(Tables!$L$5:$L$254,MATCH(5,Tables!$AB$5:$AB$254,0))&amp;"","")</f>
        <v/>
      </c>
      <c r="F111" s="20" t="str">
        <f aca="false">IFERROR(INDEX(Tables!$P$5:$P$254,MATCH(5,Tables!$AB$5:$AB$254,0)),"")</f>
        <v/>
      </c>
    </row>
    <row r="112" customFormat="false" ht="15" hidden="false" customHeight="false" outlineLevel="0" collapsed="false">
      <c r="A112" s="20" t="str">
        <f aca="false">IFERROR(INDEX(Tables!$A$5:$A$254,MATCH(6,Tables!$AB$5:$AB$254,0))&amp;"","")</f>
        <v/>
      </c>
      <c r="B112" s="20" t="str">
        <f aca="false">IFERROR(INDEX(Tables!$B$5:$B$254,MATCH(6,Tables!$AB$5:$AB$254,0))&amp;"","")</f>
        <v/>
      </c>
      <c r="C112" s="20" t="str">
        <f aca="false">IFERROR(INDEX(Tables!$M$5:$M$254,MATCH(6,Tables!$AB$5:$AB$254,0)),"")</f>
        <v/>
      </c>
      <c r="D112" s="20" t="str">
        <f aca="false">IFERROR(INDEX(Tables!$N$5:$N$254,MATCH(6,Tables!$AB$5:$AB$254,0))&amp;"","")</f>
        <v/>
      </c>
      <c r="E112" s="20" t="str">
        <f aca="false">IFERROR(INDEX(Tables!$L$5:$L$254,MATCH(6,Tables!$AB$5:$AB$254,0))&amp;"","")</f>
        <v/>
      </c>
      <c r="F112" s="20" t="str">
        <f aca="false">IFERROR(INDEX(Tables!$P$5:$P$254,MATCH(6,Tables!$AB$5:$AB$254,0)),"")</f>
        <v/>
      </c>
    </row>
    <row r="113" customFormat="false" ht="15" hidden="false" customHeight="false" outlineLevel="0" collapsed="false">
      <c r="A113" s="20" t="str">
        <f aca="false">IFERROR(INDEX(Tables!$A$5:$A$254,MATCH(7,Tables!$AB$5:$AB$254,0))&amp;"","")</f>
        <v/>
      </c>
      <c r="B113" s="20" t="str">
        <f aca="false">IFERROR(INDEX(Tables!$B$5:$B$254,MATCH(7,Tables!$AB$5:$AB$254,0))&amp;"","")</f>
        <v/>
      </c>
      <c r="C113" s="20" t="str">
        <f aca="false">IFERROR(INDEX(Tables!$M$5:$M$254,MATCH(7,Tables!$AB$5:$AB$254,0)),"")</f>
        <v/>
      </c>
      <c r="D113" s="20" t="str">
        <f aca="false">IFERROR(INDEX(Tables!$N$5:$N$254,MATCH(7,Tables!$AB$5:$AB$254,0))&amp;"","")</f>
        <v/>
      </c>
      <c r="E113" s="20" t="str">
        <f aca="false">IFERROR(INDEX(Tables!$L$5:$L$254,MATCH(7,Tables!$AB$5:$AB$254,0))&amp;"","")</f>
        <v/>
      </c>
      <c r="F113" s="20" t="str">
        <f aca="false">IFERROR(INDEX(Tables!$P$5:$P$254,MATCH(7,Tables!$AB$5:$AB$254,0)),"")</f>
        <v/>
      </c>
    </row>
    <row r="114" customFormat="false" ht="15" hidden="false" customHeight="false" outlineLevel="0" collapsed="false">
      <c r="A114" s="20" t="str">
        <f aca="false">IFERROR(INDEX(Tables!$A$5:$A$254,MATCH(8,Tables!$AB$5:$AB$254,0))&amp;"","")</f>
        <v/>
      </c>
      <c r="B114" s="20" t="str">
        <f aca="false">IFERROR(INDEX(Tables!$B$5:$B$254,MATCH(8,Tables!$AB$5:$AB$254,0))&amp;"","")</f>
        <v/>
      </c>
      <c r="C114" s="20" t="str">
        <f aca="false">IFERROR(INDEX(Tables!$M$5:$M$254,MATCH(8,Tables!$AB$5:$AB$254,0)),"")</f>
        <v/>
      </c>
      <c r="D114" s="20" t="str">
        <f aca="false">IFERROR(INDEX(Tables!$N$5:$N$254,MATCH(8,Tables!$AB$5:$AB$254,0))&amp;"","")</f>
        <v/>
      </c>
      <c r="E114" s="20" t="str">
        <f aca="false">IFERROR(INDEX(Tables!$L$5:$L$254,MATCH(8,Tables!$AB$5:$AB$254,0))&amp;"","")</f>
        <v/>
      </c>
      <c r="F114" s="20" t="str">
        <f aca="false">IFERROR(INDEX(Tables!$P$5:$P$254,MATCH(8,Tables!$AB$5:$AB$254,0)),"")</f>
        <v/>
      </c>
    </row>
    <row r="115" customFormat="false" ht="15" hidden="false" customHeight="false" outlineLevel="0" collapsed="false">
      <c r="A115" s="20" t="str">
        <f aca="false">IFERROR(INDEX(Tables!$A$5:$A$254,MATCH(9,Tables!$AB$5:$AB$254,0))&amp;"","")</f>
        <v/>
      </c>
      <c r="B115" s="20" t="str">
        <f aca="false">IFERROR(INDEX(Tables!$B$5:$B$254,MATCH(9,Tables!$AB$5:$AB$254,0))&amp;"","")</f>
        <v/>
      </c>
      <c r="C115" s="20" t="str">
        <f aca="false">IFERROR(INDEX(Tables!$M$5:$M$254,MATCH(9,Tables!$AB$5:$AB$254,0)),"")</f>
        <v/>
      </c>
      <c r="D115" s="20" t="str">
        <f aca="false">IFERROR(INDEX(Tables!$N$5:$N$254,MATCH(9,Tables!$AB$5:$AB$254,0))&amp;"","")</f>
        <v/>
      </c>
      <c r="E115" s="20" t="str">
        <f aca="false">IFERROR(INDEX(Tables!$L$5:$L$254,MATCH(9,Tables!$AB$5:$AB$254,0))&amp;"","")</f>
        <v/>
      </c>
      <c r="F115" s="20" t="str">
        <f aca="false">IFERROR(INDEX(Tables!$P$5:$P$254,MATCH(9,Tables!$AB$5:$AB$254,0)),"")</f>
        <v/>
      </c>
    </row>
    <row r="116" customFormat="false" ht="15" hidden="false" customHeight="false" outlineLevel="0" collapsed="false">
      <c r="A116" s="20" t="str">
        <f aca="false">IFERROR(INDEX(Tables!$A$5:$A$254,MATCH(10,Tables!$AB$5:$AB$254,0))&amp;"","")</f>
        <v/>
      </c>
      <c r="B116" s="20" t="str">
        <f aca="false">IFERROR(INDEX(Tables!$B$5:$B$254,MATCH(10,Tables!$AB$5:$AB$254,0))&amp;"","")</f>
        <v/>
      </c>
      <c r="C116" s="20" t="str">
        <f aca="false">IFERROR(INDEX(Tables!$M$5:$M$254,MATCH(10,Tables!$AB$5:$AB$254,0)),"")</f>
        <v/>
      </c>
      <c r="D116" s="20" t="str">
        <f aca="false">IFERROR(INDEX(Tables!$N$5:$N$254,MATCH(10,Tables!$AB$5:$AB$254,0))&amp;"","")</f>
        <v/>
      </c>
      <c r="E116" s="20" t="str">
        <f aca="false">IFERROR(INDEX(Tables!$L$5:$L$254,MATCH(10,Tables!$AB$5:$AB$254,0))&amp;"","")</f>
        <v/>
      </c>
      <c r="F116" s="20" t="str">
        <f aca="false">IFERROR(INDEX(Tables!$P$5:$P$254,MATCH(10,Tables!$AB$5:$AB$254,0)),"")</f>
        <v/>
      </c>
    </row>
    <row r="117" customFormat="false" ht="15" hidden="false" customHeight="false" outlineLevel="0" collapsed="false">
      <c r="A117" s="20" t="str">
        <f aca="false">IFERROR(INDEX(Tables!$A$5:$A$254,MATCH(11,Tables!$AB$5:$AB$254,0))&amp;"","")</f>
        <v/>
      </c>
      <c r="B117" s="20" t="str">
        <f aca="false">IFERROR(INDEX(Tables!$B$5:$B$254,MATCH(11,Tables!$AB$5:$AB$254,0))&amp;"","")</f>
        <v/>
      </c>
      <c r="C117" s="20" t="str">
        <f aca="false">IFERROR(INDEX(Tables!$M$5:$M$254,MATCH(11,Tables!$AB$5:$AB$254,0)),"")</f>
        <v/>
      </c>
      <c r="D117" s="20" t="str">
        <f aca="false">IFERROR(INDEX(Tables!$N$5:$N$254,MATCH(11,Tables!$AB$5:$AB$254,0))&amp;"","")</f>
        <v/>
      </c>
      <c r="E117" s="20" t="str">
        <f aca="false">IFERROR(INDEX(Tables!$L$5:$L$254,MATCH(11,Tables!$AB$5:$AB$254,0))&amp;"","")</f>
        <v/>
      </c>
      <c r="F117" s="20" t="str">
        <f aca="false">IFERROR(INDEX(Tables!$P$5:$P$254,MATCH(11,Tables!$AB$5:$AB$254,0)),"")</f>
        <v/>
      </c>
    </row>
    <row r="118" customFormat="false" ht="15" hidden="false" customHeight="false" outlineLevel="0" collapsed="false">
      <c r="A118" s="20" t="str">
        <f aca="false">IFERROR(INDEX(Tables!$A$5:$A$254,MATCH(12,Tables!$AB$5:$AB$254,0))&amp;"","")</f>
        <v/>
      </c>
      <c r="B118" s="20" t="str">
        <f aca="false">IFERROR(INDEX(Tables!$B$5:$B$254,MATCH(12,Tables!$AB$5:$AB$254,0))&amp;"","")</f>
        <v/>
      </c>
      <c r="C118" s="20" t="str">
        <f aca="false">IFERROR(INDEX(Tables!$M$5:$M$254,MATCH(12,Tables!$AB$5:$AB$254,0)),"")</f>
        <v/>
      </c>
      <c r="D118" s="20" t="str">
        <f aca="false">IFERROR(INDEX(Tables!$N$5:$N$254,MATCH(12,Tables!$AB$5:$AB$254,0))&amp;"","")</f>
        <v/>
      </c>
      <c r="E118" s="20" t="str">
        <f aca="false">IFERROR(INDEX(Tables!$L$5:$L$254,MATCH(12,Tables!$AB$5:$AB$254,0))&amp;"","")</f>
        <v/>
      </c>
      <c r="F118" s="20" t="str">
        <f aca="false">IFERROR(INDEX(Tables!$P$5:$P$254,MATCH(12,Tables!$AB$5:$AB$254,0)),"")</f>
        <v/>
      </c>
    </row>
    <row r="119" customFormat="false" ht="15" hidden="false" customHeight="false" outlineLevel="0" collapsed="false">
      <c r="A119" s="20" t="str">
        <f aca="false">IFERROR(INDEX(Tables!$A$5:$A$254,MATCH(13,Tables!$AB$5:$AB$254,0))&amp;"","")</f>
        <v/>
      </c>
      <c r="B119" s="20" t="str">
        <f aca="false">IFERROR(INDEX(Tables!$B$5:$B$254,MATCH(13,Tables!$AB$5:$AB$254,0))&amp;"","")</f>
        <v/>
      </c>
      <c r="C119" s="20" t="str">
        <f aca="false">IFERROR(INDEX(Tables!$M$5:$M$254,MATCH(13,Tables!$AB$5:$AB$254,0)),"")</f>
        <v/>
      </c>
      <c r="D119" s="20" t="str">
        <f aca="false">IFERROR(INDEX(Tables!$N$5:$N$254,MATCH(13,Tables!$AB$5:$AB$254,0))&amp;"","")</f>
        <v/>
      </c>
      <c r="E119" s="20" t="str">
        <f aca="false">IFERROR(INDEX(Tables!$L$5:$L$254,MATCH(13,Tables!$AB$5:$AB$254,0))&amp;"","")</f>
        <v/>
      </c>
      <c r="F119" s="20" t="str">
        <f aca="false">IFERROR(INDEX(Tables!$P$5:$P$254,MATCH(13,Tables!$AB$5:$AB$254,0)),"")</f>
        <v/>
      </c>
    </row>
    <row r="120" customFormat="false" ht="15" hidden="false" customHeight="false" outlineLevel="0" collapsed="false">
      <c r="A120" s="20" t="str">
        <f aca="false">IFERROR(INDEX(Tables!$A$5:$A$254,MATCH(14,Tables!$AB$5:$AB$254,0))&amp;"","")</f>
        <v/>
      </c>
      <c r="B120" s="20" t="str">
        <f aca="false">IFERROR(INDEX(Tables!$B$5:$B$254,MATCH(14,Tables!$AB$5:$AB$254,0))&amp;"","")</f>
        <v/>
      </c>
      <c r="C120" s="20" t="str">
        <f aca="false">IFERROR(INDEX(Tables!$M$5:$M$254,MATCH(14,Tables!$AB$5:$AB$254,0)),"")</f>
        <v/>
      </c>
      <c r="D120" s="20" t="str">
        <f aca="false">IFERROR(INDEX(Tables!$N$5:$N$254,MATCH(14,Tables!$AB$5:$AB$254,0))&amp;"","")</f>
        <v/>
      </c>
      <c r="E120" s="20" t="str">
        <f aca="false">IFERROR(INDEX(Tables!$L$5:$L$254,MATCH(14,Tables!$AB$5:$AB$254,0))&amp;"","")</f>
        <v/>
      </c>
      <c r="F120" s="20" t="str">
        <f aca="false">IFERROR(INDEX(Tables!$P$5:$P$254,MATCH(14,Tables!$AB$5:$AB$254,0)),"")</f>
        <v/>
      </c>
    </row>
    <row r="121" customFormat="false" ht="15" hidden="false" customHeight="false" outlineLevel="0" collapsed="false">
      <c r="A121" s="20" t="str">
        <f aca="false">IFERROR(INDEX(Tables!$A$5:$A$254,MATCH(15,Tables!$AB$5:$AB$254,0))&amp;"","")</f>
        <v/>
      </c>
      <c r="B121" s="20" t="str">
        <f aca="false">IFERROR(INDEX(Tables!$B$5:$B$254,MATCH(15,Tables!$AB$5:$AB$254,0))&amp;"","")</f>
        <v/>
      </c>
      <c r="C121" s="20" t="str">
        <f aca="false">IFERROR(INDEX(Tables!$M$5:$M$254,MATCH(15,Tables!$AB$5:$AB$254,0)),"")</f>
        <v/>
      </c>
      <c r="D121" s="20" t="str">
        <f aca="false">IFERROR(INDEX(Tables!$N$5:$N$254,MATCH(15,Tables!$AB$5:$AB$254,0))&amp;"","")</f>
        <v/>
      </c>
      <c r="E121" s="20" t="str">
        <f aca="false">IFERROR(INDEX(Tables!$L$5:$L$254,MATCH(15,Tables!$AB$5:$AB$254,0))&amp;"","")</f>
        <v/>
      </c>
      <c r="F121" s="20" t="str">
        <f aca="false">IFERROR(INDEX(Tables!$P$5:$P$254,MATCH(15,Tables!$AB$5:$AB$254,0)),"")</f>
        <v/>
      </c>
    </row>
    <row r="122" customFormat="false" ht="15" hidden="false" customHeight="false" outlineLevel="0" collapsed="false">
      <c r="A122" s="20" t="str">
        <f aca="false">IFERROR(INDEX(Tables!$A$5:$A$254,MATCH(16,Tables!$AB$5:$AB$254,0))&amp;"","")</f>
        <v/>
      </c>
      <c r="B122" s="20" t="str">
        <f aca="false">IFERROR(INDEX(Tables!$B$5:$B$254,MATCH(16,Tables!$AB$5:$AB$254,0))&amp;"","")</f>
        <v/>
      </c>
      <c r="C122" s="20" t="str">
        <f aca="false">IFERROR(INDEX(Tables!$M$5:$M$254,MATCH(16,Tables!$AB$5:$AB$254,0)),"")</f>
        <v/>
      </c>
      <c r="D122" s="20" t="str">
        <f aca="false">IFERROR(INDEX(Tables!$N$5:$N$254,MATCH(16,Tables!$AB$5:$AB$254,0))&amp;"","")</f>
        <v/>
      </c>
      <c r="E122" s="20" t="str">
        <f aca="false">IFERROR(INDEX(Tables!$L$5:$L$254,MATCH(16,Tables!$AB$5:$AB$254,0))&amp;"","")</f>
        <v/>
      </c>
      <c r="F122" s="20" t="str">
        <f aca="false">IFERROR(INDEX(Tables!$P$5:$P$254,MATCH(16,Tables!$AB$5:$AB$254,0)),"")</f>
        <v/>
      </c>
    </row>
    <row r="123" customFormat="false" ht="15" hidden="false" customHeight="false" outlineLevel="0" collapsed="false">
      <c r="A123" s="20" t="str">
        <f aca="false">IFERROR(INDEX(Tables!$A$5:$A$254,MATCH(17,Tables!$AB$5:$AB$254,0))&amp;"","")</f>
        <v/>
      </c>
      <c r="B123" s="20" t="str">
        <f aca="false">IFERROR(INDEX(Tables!$B$5:$B$254,MATCH(17,Tables!$AB$5:$AB$254,0))&amp;"","")</f>
        <v/>
      </c>
      <c r="C123" s="20" t="str">
        <f aca="false">IFERROR(INDEX(Tables!$M$5:$M$254,MATCH(17,Tables!$AB$5:$AB$254,0)),"")</f>
        <v/>
      </c>
      <c r="D123" s="20" t="str">
        <f aca="false">IFERROR(INDEX(Tables!$N$5:$N$254,MATCH(17,Tables!$AB$5:$AB$254,0))&amp;"","")</f>
        <v/>
      </c>
      <c r="E123" s="20" t="str">
        <f aca="false">IFERROR(INDEX(Tables!$L$5:$L$254,MATCH(17,Tables!$AB$5:$AB$254,0))&amp;"","")</f>
        <v/>
      </c>
      <c r="F123" s="20" t="str">
        <f aca="false">IFERROR(INDEX(Tables!$P$5:$P$254,MATCH(17,Tables!$AB$5:$AB$254,0)),"")</f>
        <v/>
      </c>
    </row>
    <row r="124" customFormat="false" ht="15" hidden="false" customHeight="false" outlineLevel="0" collapsed="false">
      <c r="A124" s="20" t="str">
        <f aca="false">IFERROR(INDEX(Tables!$A$5:$A$254,MATCH(18,Tables!$AB$5:$AB$254,0))&amp;"","")</f>
        <v/>
      </c>
      <c r="B124" s="20" t="str">
        <f aca="false">IFERROR(INDEX(Tables!$B$5:$B$254,MATCH(18,Tables!$AB$5:$AB$254,0))&amp;"","")</f>
        <v/>
      </c>
      <c r="C124" s="20" t="str">
        <f aca="false">IFERROR(INDEX(Tables!$M$5:$M$254,MATCH(18,Tables!$AB$5:$AB$254,0)),"")</f>
        <v/>
      </c>
      <c r="D124" s="20" t="str">
        <f aca="false">IFERROR(INDEX(Tables!$N$5:$N$254,MATCH(18,Tables!$AB$5:$AB$254,0))&amp;"","")</f>
        <v/>
      </c>
      <c r="E124" s="20" t="str">
        <f aca="false">IFERROR(INDEX(Tables!$L$5:$L$254,MATCH(18,Tables!$AB$5:$AB$254,0))&amp;"","")</f>
        <v/>
      </c>
      <c r="F124" s="20" t="str">
        <f aca="false">IFERROR(INDEX(Tables!$P$5:$P$254,MATCH(18,Tables!$AB$5:$AB$254,0)),"")</f>
        <v/>
      </c>
    </row>
    <row r="125" customFormat="false" ht="15" hidden="false" customHeight="false" outlineLevel="0" collapsed="false">
      <c r="A125" s="20" t="str">
        <f aca="false">IFERROR(INDEX(Tables!$A$5:$A$254,MATCH(19,Tables!$AB$5:$AB$254,0))&amp;"","")</f>
        <v/>
      </c>
      <c r="B125" s="20" t="str">
        <f aca="false">IFERROR(INDEX(Tables!$B$5:$B$254,MATCH(19,Tables!$AB$5:$AB$254,0))&amp;"","")</f>
        <v/>
      </c>
      <c r="C125" s="20" t="str">
        <f aca="false">IFERROR(INDEX(Tables!$M$5:$M$254,MATCH(19,Tables!$AB$5:$AB$254,0)),"")</f>
        <v/>
      </c>
      <c r="D125" s="20" t="str">
        <f aca="false">IFERROR(INDEX(Tables!$N$5:$N$254,MATCH(19,Tables!$AB$5:$AB$254,0))&amp;"","")</f>
        <v/>
      </c>
      <c r="E125" s="20" t="str">
        <f aca="false">IFERROR(INDEX(Tables!$L$5:$L$254,MATCH(19,Tables!$AB$5:$AB$254,0))&amp;"","")</f>
        <v/>
      </c>
      <c r="F125" s="20" t="str">
        <f aca="false">IFERROR(INDEX(Tables!$P$5:$P$254,MATCH(19,Tables!$AB$5:$AB$254,0)),"")</f>
        <v/>
      </c>
    </row>
    <row r="126" customFormat="false" ht="15" hidden="false" customHeight="false" outlineLevel="0" collapsed="false">
      <c r="A126" s="20" t="str">
        <f aca="false">IFERROR(INDEX(Tables!$A$5:$A$254,MATCH(20,Tables!$AB$5:$AB$254,0))&amp;"","")</f>
        <v/>
      </c>
      <c r="B126" s="20" t="str">
        <f aca="false">IFERROR(INDEX(Tables!$B$5:$B$254,MATCH(20,Tables!$AB$5:$AB$254,0))&amp;"","")</f>
        <v/>
      </c>
      <c r="C126" s="20" t="str">
        <f aca="false">IFERROR(INDEX(Tables!$M$5:$M$254,MATCH(20,Tables!$AB$5:$AB$254,0)),"")</f>
        <v/>
      </c>
      <c r="D126" s="20" t="str">
        <f aca="false">IFERROR(INDEX(Tables!$N$5:$N$254,MATCH(20,Tables!$AB$5:$AB$254,0))&amp;"","")</f>
        <v/>
      </c>
      <c r="E126" s="20" t="str">
        <f aca="false">IFERROR(INDEX(Tables!$L$5:$L$254,MATCH(20,Tables!$AB$5:$AB$254,0))&amp;"","")</f>
        <v/>
      </c>
      <c r="F126" s="20" t="str">
        <f aca="false">IFERROR(INDEX(Tables!$P$5:$P$254,MATCH(20,Tables!$AB$5:$AB$254,0)),"")</f>
        <v/>
      </c>
    </row>
    <row r="127" customFormat="false" ht="15" hidden="false" customHeight="false" outlineLevel="0" collapsed="false">
      <c r="A127" s="20" t="str">
        <f aca="false">IFERROR(INDEX(Tables!$A$5:$A$254,MATCH(21,Tables!$AB$5:$AB$254,0))&amp;"","")</f>
        <v/>
      </c>
      <c r="B127" s="20" t="str">
        <f aca="false">IFERROR(INDEX(Tables!$B$5:$B$254,MATCH(21,Tables!$AB$5:$AB$254,0))&amp;"","")</f>
        <v/>
      </c>
      <c r="C127" s="20" t="str">
        <f aca="false">IFERROR(INDEX(Tables!$M$5:$M$254,MATCH(21,Tables!$AB$5:$AB$254,0)),"")</f>
        <v/>
      </c>
      <c r="D127" s="20" t="str">
        <f aca="false">IFERROR(INDEX(Tables!$N$5:$N$254,MATCH(21,Tables!$AB$5:$AB$254,0))&amp;"","")</f>
        <v/>
      </c>
      <c r="E127" s="20" t="str">
        <f aca="false">IFERROR(INDEX(Tables!$L$5:$L$254,MATCH(21,Tables!$AB$5:$AB$254,0))&amp;"","")</f>
        <v/>
      </c>
      <c r="F127" s="20" t="str">
        <f aca="false">IFERROR(INDEX(Tables!$P$5:$P$254,MATCH(21,Tables!$AB$5:$AB$254,0)),"")</f>
        <v/>
      </c>
    </row>
    <row r="128" customFormat="false" ht="15" hidden="false" customHeight="false" outlineLevel="0" collapsed="false">
      <c r="A128" s="20" t="str">
        <f aca="false">IFERROR(INDEX(Tables!$A$5:$A$254,MATCH(22,Tables!$AB$5:$AB$254,0))&amp;"","")</f>
        <v/>
      </c>
      <c r="B128" s="20" t="str">
        <f aca="false">IFERROR(INDEX(Tables!$B$5:$B$254,MATCH(22,Tables!$AB$5:$AB$254,0))&amp;"","")</f>
        <v/>
      </c>
      <c r="C128" s="20" t="str">
        <f aca="false">IFERROR(INDEX(Tables!$M$5:$M$254,MATCH(22,Tables!$AB$5:$AB$254,0)),"")</f>
        <v/>
      </c>
      <c r="D128" s="20" t="str">
        <f aca="false">IFERROR(INDEX(Tables!$N$5:$N$254,MATCH(22,Tables!$AB$5:$AB$254,0))&amp;"","")</f>
        <v/>
      </c>
      <c r="E128" s="20" t="str">
        <f aca="false">IFERROR(INDEX(Tables!$L$5:$L$254,MATCH(22,Tables!$AB$5:$AB$254,0))&amp;"","")</f>
        <v/>
      </c>
      <c r="F128" s="20" t="str">
        <f aca="false">IFERROR(INDEX(Tables!$P$5:$P$254,MATCH(22,Tables!$AB$5:$AB$254,0)),"")</f>
        <v/>
      </c>
    </row>
    <row r="129" customFormat="false" ht="15" hidden="false" customHeight="false" outlineLevel="0" collapsed="false">
      <c r="A129" s="20" t="str">
        <f aca="false">IFERROR(INDEX(Tables!$A$5:$A$254,MATCH(23,Tables!$AB$5:$AB$254,0))&amp;"","")</f>
        <v/>
      </c>
      <c r="B129" s="20" t="str">
        <f aca="false">IFERROR(INDEX(Tables!$B$5:$B$254,MATCH(23,Tables!$AB$5:$AB$254,0))&amp;"","")</f>
        <v/>
      </c>
      <c r="C129" s="20" t="str">
        <f aca="false">IFERROR(INDEX(Tables!$M$5:$M$254,MATCH(23,Tables!$AB$5:$AB$254,0)),"")</f>
        <v/>
      </c>
      <c r="D129" s="20" t="str">
        <f aca="false">IFERROR(INDEX(Tables!$N$5:$N$254,MATCH(23,Tables!$AB$5:$AB$254,0))&amp;"","")</f>
        <v/>
      </c>
      <c r="E129" s="20" t="str">
        <f aca="false">IFERROR(INDEX(Tables!$L$5:$L$254,MATCH(23,Tables!$AB$5:$AB$254,0))&amp;"","")</f>
        <v/>
      </c>
      <c r="F129" s="20" t="str">
        <f aca="false">IFERROR(INDEX(Tables!$P$5:$P$254,MATCH(23,Tables!$AB$5:$AB$254,0)),"")</f>
        <v/>
      </c>
    </row>
    <row r="130" customFormat="false" ht="15" hidden="false" customHeight="false" outlineLevel="0" collapsed="false">
      <c r="A130" s="20" t="str">
        <f aca="false">IFERROR(INDEX(Tables!$A$5:$A$254,MATCH(24,Tables!$AB$5:$AB$254,0))&amp;"","")</f>
        <v/>
      </c>
      <c r="B130" s="20" t="str">
        <f aca="false">IFERROR(INDEX(Tables!$B$5:$B$254,MATCH(24,Tables!$AB$5:$AB$254,0))&amp;"","")</f>
        <v/>
      </c>
      <c r="C130" s="20" t="str">
        <f aca="false">IFERROR(INDEX(Tables!$M$5:$M$254,MATCH(24,Tables!$AB$5:$AB$254,0)),"")</f>
        <v/>
      </c>
      <c r="D130" s="20" t="str">
        <f aca="false">IFERROR(INDEX(Tables!$N$5:$N$254,MATCH(24,Tables!$AB$5:$AB$254,0))&amp;"","")</f>
        <v/>
      </c>
      <c r="E130" s="20" t="str">
        <f aca="false">IFERROR(INDEX(Tables!$L$5:$L$254,MATCH(24,Tables!$AB$5:$AB$254,0))&amp;"","")</f>
        <v/>
      </c>
      <c r="F130" s="20" t="str">
        <f aca="false">IFERROR(INDEX(Tables!$P$5:$P$254,MATCH(24,Tables!$AB$5:$AB$254,0)),"")</f>
        <v/>
      </c>
    </row>
    <row r="131" customFormat="false" ht="15" hidden="false" customHeight="false" outlineLevel="0" collapsed="false">
      <c r="A131" s="20" t="str">
        <f aca="false">IFERROR(INDEX(Tables!$A$5:$A$254,MATCH(25,Tables!$AB$5:$AB$254,0))&amp;"","")</f>
        <v/>
      </c>
      <c r="B131" s="20" t="str">
        <f aca="false">IFERROR(INDEX(Tables!$B$5:$B$254,MATCH(25,Tables!$AB$5:$AB$254,0))&amp;"","")</f>
        <v/>
      </c>
      <c r="C131" s="20" t="str">
        <f aca="false">IFERROR(INDEX(Tables!$M$5:$M$254,MATCH(25,Tables!$AB$5:$AB$254,0)),"")</f>
        <v/>
      </c>
      <c r="D131" s="20" t="str">
        <f aca="false">IFERROR(INDEX(Tables!$N$5:$N$254,MATCH(25,Tables!$AB$5:$AB$254,0))&amp;"","")</f>
        <v/>
      </c>
      <c r="E131" s="20" t="str">
        <f aca="false">IFERROR(INDEX(Tables!$L$5:$L$254,MATCH(25,Tables!$AB$5:$AB$254,0))&amp;"","")</f>
        <v/>
      </c>
      <c r="F131" s="20" t="str">
        <f aca="false">IFERROR(INDEX(Tables!$P$5:$P$254,MATCH(25,Tables!$AB$5:$AB$254,0)),"")</f>
        <v/>
      </c>
    </row>
    <row r="132" customFormat="false" ht="15" hidden="false" customHeight="false" outlineLevel="0" collapsed="false">
      <c r="A132" s="20" t="str">
        <f aca="false">IFERROR(INDEX(Tables!$A$5:$A$254,MATCH(26,Tables!$AB$5:$AB$254,0))&amp;"","")</f>
        <v/>
      </c>
      <c r="B132" s="20" t="str">
        <f aca="false">IFERROR(INDEX(Tables!$B$5:$B$254,MATCH(26,Tables!$AB$5:$AB$254,0))&amp;"","")</f>
        <v/>
      </c>
      <c r="C132" s="20" t="str">
        <f aca="false">IFERROR(INDEX(Tables!$M$5:$M$254,MATCH(26,Tables!$AB$5:$AB$254,0)),"")</f>
        <v/>
      </c>
      <c r="D132" s="20" t="str">
        <f aca="false">IFERROR(INDEX(Tables!$N$5:$N$254,MATCH(26,Tables!$AB$5:$AB$254,0))&amp;"","")</f>
        <v/>
      </c>
      <c r="E132" s="20" t="str">
        <f aca="false">IFERROR(INDEX(Tables!$L$5:$L$254,MATCH(26,Tables!$AB$5:$AB$254,0))&amp;"","")</f>
        <v/>
      </c>
      <c r="F132" s="20" t="str">
        <f aca="false">IFERROR(INDEX(Tables!$P$5:$P$254,MATCH(26,Tables!$AB$5:$AB$254,0)),"")</f>
        <v/>
      </c>
    </row>
    <row r="133" customFormat="false" ht="15" hidden="false" customHeight="false" outlineLevel="0" collapsed="false">
      <c r="A133" s="20" t="str">
        <f aca="false">IFERROR(INDEX(Tables!$A$5:$A$254,MATCH(27,Tables!$AB$5:$AB$254,0))&amp;"","")</f>
        <v/>
      </c>
      <c r="B133" s="20" t="str">
        <f aca="false">IFERROR(INDEX(Tables!$B$5:$B$254,MATCH(27,Tables!$AB$5:$AB$254,0))&amp;"","")</f>
        <v/>
      </c>
      <c r="C133" s="20" t="str">
        <f aca="false">IFERROR(INDEX(Tables!$M$5:$M$254,MATCH(27,Tables!$AB$5:$AB$254,0)),"")</f>
        <v/>
      </c>
      <c r="D133" s="20" t="str">
        <f aca="false">IFERROR(INDEX(Tables!$N$5:$N$254,MATCH(27,Tables!$AB$5:$AB$254,0))&amp;"","")</f>
        <v/>
      </c>
      <c r="E133" s="20" t="str">
        <f aca="false">IFERROR(INDEX(Tables!$L$5:$L$254,MATCH(27,Tables!$AB$5:$AB$254,0))&amp;"","")</f>
        <v/>
      </c>
      <c r="F133" s="20" t="str">
        <f aca="false">IFERROR(INDEX(Tables!$P$5:$P$254,MATCH(27,Tables!$AB$5:$AB$254,0)),"")</f>
        <v/>
      </c>
    </row>
    <row r="134" customFormat="false" ht="15" hidden="false" customHeight="false" outlineLevel="0" collapsed="false">
      <c r="A134" s="20" t="str">
        <f aca="false">IFERROR(INDEX(Tables!$A$5:$A$254,MATCH(28,Tables!$AB$5:$AB$254,0))&amp;"","")</f>
        <v/>
      </c>
      <c r="B134" s="20" t="str">
        <f aca="false">IFERROR(INDEX(Tables!$B$5:$B$254,MATCH(28,Tables!$AB$5:$AB$254,0))&amp;"","")</f>
        <v/>
      </c>
      <c r="C134" s="20" t="str">
        <f aca="false">IFERROR(INDEX(Tables!$M$5:$M$254,MATCH(28,Tables!$AB$5:$AB$254,0)),"")</f>
        <v/>
      </c>
      <c r="D134" s="20" t="str">
        <f aca="false">IFERROR(INDEX(Tables!$N$5:$N$254,MATCH(28,Tables!$AB$5:$AB$254,0))&amp;"","")</f>
        <v/>
      </c>
      <c r="E134" s="20" t="str">
        <f aca="false">IFERROR(INDEX(Tables!$L$5:$L$254,MATCH(28,Tables!$AB$5:$AB$254,0))&amp;"","")</f>
        <v/>
      </c>
      <c r="F134" s="20" t="str">
        <f aca="false">IFERROR(INDEX(Tables!$P$5:$P$254,MATCH(28,Tables!$AB$5:$AB$254,0)),"")</f>
        <v/>
      </c>
    </row>
    <row r="135" customFormat="false" ht="15" hidden="false" customHeight="false" outlineLevel="0" collapsed="false">
      <c r="A135" s="20" t="str">
        <f aca="false">IFERROR(INDEX(Tables!$A$5:$A$254,MATCH(29,Tables!$AB$5:$AB$254,0))&amp;"","")</f>
        <v/>
      </c>
      <c r="B135" s="20" t="str">
        <f aca="false">IFERROR(INDEX(Tables!$B$5:$B$254,MATCH(29,Tables!$AB$5:$AB$254,0))&amp;"","")</f>
        <v/>
      </c>
      <c r="C135" s="20" t="str">
        <f aca="false">IFERROR(INDEX(Tables!$M$5:$M$254,MATCH(29,Tables!$AB$5:$AB$254,0)),"")</f>
        <v/>
      </c>
      <c r="D135" s="20" t="str">
        <f aca="false">IFERROR(INDEX(Tables!$N$5:$N$254,MATCH(29,Tables!$AB$5:$AB$254,0))&amp;"","")</f>
        <v/>
      </c>
      <c r="E135" s="20" t="str">
        <f aca="false">IFERROR(INDEX(Tables!$L$5:$L$254,MATCH(29,Tables!$AB$5:$AB$254,0))&amp;"","")</f>
        <v/>
      </c>
      <c r="F135" s="20" t="str">
        <f aca="false">IFERROR(INDEX(Tables!$P$5:$P$254,MATCH(29,Tables!$AB$5:$AB$254,0)),"")</f>
        <v/>
      </c>
    </row>
    <row r="136" customFormat="false" ht="15" hidden="false" customHeight="false" outlineLevel="0" collapsed="false">
      <c r="A136" s="20" t="str">
        <f aca="false">IFERROR(INDEX(Tables!$A$5:$A$254,MATCH(30,Tables!$AB$5:$AB$254,0))&amp;"","")</f>
        <v/>
      </c>
      <c r="B136" s="20" t="str">
        <f aca="false">IFERROR(INDEX(Tables!$B$5:$B$254,MATCH(30,Tables!$AB$5:$AB$254,0))&amp;"","")</f>
        <v/>
      </c>
      <c r="C136" s="20" t="str">
        <f aca="false">IFERROR(INDEX(Tables!$M$5:$M$254,MATCH(30,Tables!$AB$5:$AB$254,0)),"")</f>
        <v/>
      </c>
      <c r="D136" s="20" t="str">
        <f aca="false">IFERROR(INDEX(Tables!$N$5:$N$254,MATCH(30,Tables!$AB$5:$AB$254,0))&amp;"","")</f>
        <v/>
      </c>
      <c r="E136" s="20" t="str">
        <f aca="false">IFERROR(INDEX(Tables!$L$5:$L$254,MATCH(30,Tables!$AB$5:$AB$254,0))&amp;"","")</f>
        <v/>
      </c>
      <c r="F136" s="20" t="str">
        <f aca="false">IFERROR(INDEX(Tables!$P$5:$P$254,MATCH(30,Tables!$AB$5:$AB$254,0)),"")</f>
        <v/>
      </c>
    </row>
    <row r="137" customFormat="false" ht="15" hidden="false" customHeight="false" outlineLevel="0" collapsed="false">
      <c r="A137" s="20" t="str">
        <f aca="false">IFERROR(INDEX(Tables!$A$5:$A$254,MATCH(31,Tables!$AB$5:$AB$254,0))&amp;"","")</f>
        <v/>
      </c>
      <c r="B137" s="20" t="str">
        <f aca="false">IFERROR(INDEX(Tables!$B$5:$B$254,MATCH(31,Tables!$AB$5:$AB$254,0))&amp;"","")</f>
        <v/>
      </c>
      <c r="C137" s="20" t="str">
        <f aca="false">IFERROR(INDEX(Tables!$M$5:$M$254,MATCH(31,Tables!$AB$5:$AB$254,0)),"")</f>
        <v/>
      </c>
      <c r="D137" s="20" t="str">
        <f aca="false">IFERROR(INDEX(Tables!$N$5:$N$254,MATCH(31,Tables!$AB$5:$AB$254,0))&amp;"","")</f>
        <v/>
      </c>
      <c r="E137" s="20" t="str">
        <f aca="false">IFERROR(INDEX(Tables!$L$5:$L$254,MATCH(31,Tables!$AB$5:$AB$254,0))&amp;"","")</f>
        <v/>
      </c>
      <c r="F137" s="20" t="str">
        <f aca="false">IFERROR(INDEX(Tables!$P$5:$P$254,MATCH(31,Tables!$AB$5:$AB$254,0)),"")</f>
        <v/>
      </c>
    </row>
    <row r="138" customFormat="false" ht="15" hidden="false" customHeight="false" outlineLevel="0" collapsed="false">
      <c r="A138" s="20" t="str">
        <f aca="false">IFERROR(INDEX(Tables!$A$5:$A$254,MATCH(32,Tables!$AB$5:$AB$254,0))&amp;"","")</f>
        <v/>
      </c>
      <c r="B138" s="20" t="str">
        <f aca="false">IFERROR(INDEX(Tables!$B$5:$B$254,MATCH(32,Tables!$AB$5:$AB$254,0))&amp;"","")</f>
        <v/>
      </c>
      <c r="C138" s="20" t="str">
        <f aca="false">IFERROR(INDEX(Tables!$M$5:$M$254,MATCH(32,Tables!$AB$5:$AB$254,0)),"")</f>
        <v/>
      </c>
      <c r="D138" s="20" t="str">
        <f aca="false">IFERROR(INDEX(Tables!$N$5:$N$254,MATCH(32,Tables!$AB$5:$AB$254,0))&amp;"","")</f>
        <v/>
      </c>
      <c r="E138" s="20" t="str">
        <f aca="false">IFERROR(INDEX(Tables!$L$5:$L$254,MATCH(32,Tables!$AB$5:$AB$254,0))&amp;"","")</f>
        <v/>
      </c>
      <c r="F138" s="20" t="str">
        <f aca="false">IFERROR(INDEX(Tables!$P$5:$P$254,MATCH(32,Tables!$AB$5:$AB$254,0)),"")</f>
        <v/>
      </c>
    </row>
    <row r="139" customFormat="false" ht="15" hidden="false" customHeight="false" outlineLevel="0" collapsed="false">
      <c r="A139" s="20" t="str">
        <f aca="false">IFERROR(INDEX(Tables!$A$5:$A$254,MATCH(33,Tables!$AB$5:$AB$254,0))&amp;"","")</f>
        <v/>
      </c>
      <c r="B139" s="20" t="str">
        <f aca="false">IFERROR(INDEX(Tables!$B$5:$B$254,MATCH(33,Tables!$AB$5:$AB$254,0))&amp;"","")</f>
        <v/>
      </c>
      <c r="C139" s="20" t="str">
        <f aca="false">IFERROR(INDEX(Tables!$M$5:$M$254,MATCH(33,Tables!$AB$5:$AB$254,0)),"")</f>
        <v/>
      </c>
      <c r="D139" s="20" t="str">
        <f aca="false">IFERROR(INDEX(Tables!$N$5:$N$254,MATCH(33,Tables!$AB$5:$AB$254,0))&amp;"","")</f>
        <v/>
      </c>
      <c r="E139" s="20" t="str">
        <f aca="false">IFERROR(INDEX(Tables!$L$5:$L$254,MATCH(33,Tables!$AB$5:$AB$254,0))&amp;"","")</f>
        <v/>
      </c>
      <c r="F139" s="20" t="str">
        <f aca="false">IFERROR(INDEX(Tables!$P$5:$P$254,MATCH(33,Tables!$AB$5:$AB$254,0)),"")</f>
        <v/>
      </c>
    </row>
    <row r="140" customFormat="false" ht="15" hidden="false" customHeight="false" outlineLevel="0" collapsed="false">
      <c r="A140" s="20" t="str">
        <f aca="false">IFERROR(INDEX(Tables!$A$5:$A$254,MATCH(34,Tables!$AB$5:$AB$254,0))&amp;"","")</f>
        <v/>
      </c>
      <c r="B140" s="20" t="str">
        <f aca="false">IFERROR(INDEX(Tables!$B$5:$B$254,MATCH(34,Tables!$AB$5:$AB$254,0))&amp;"","")</f>
        <v/>
      </c>
      <c r="C140" s="20" t="str">
        <f aca="false">IFERROR(INDEX(Tables!$M$5:$M$254,MATCH(34,Tables!$AB$5:$AB$254,0)),"")</f>
        <v/>
      </c>
      <c r="D140" s="20" t="str">
        <f aca="false">IFERROR(INDEX(Tables!$N$5:$N$254,MATCH(34,Tables!$AB$5:$AB$254,0))&amp;"","")</f>
        <v/>
      </c>
      <c r="E140" s="20" t="str">
        <f aca="false">IFERROR(INDEX(Tables!$L$5:$L$254,MATCH(34,Tables!$AB$5:$AB$254,0))&amp;"","")</f>
        <v/>
      </c>
      <c r="F140" s="20" t="str">
        <f aca="false">IFERROR(INDEX(Tables!$P$5:$P$254,MATCH(34,Tables!$AB$5:$AB$254,0)),"")</f>
        <v/>
      </c>
    </row>
    <row r="141" customFormat="false" ht="15" hidden="false" customHeight="false" outlineLevel="0" collapsed="false">
      <c r="A141" s="20" t="str">
        <f aca="false">IFERROR(INDEX(Tables!$A$5:$A$254,MATCH(35,Tables!$AB$5:$AB$254,0))&amp;"","")</f>
        <v/>
      </c>
      <c r="B141" s="20" t="str">
        <f aca="false">IFERROR(INDEX(Tables!$B$5:$B$254,MATCH(35,Tables!$AB$5:$AB$254,0))&amp;"","")</f>
        <v/>
      </c>
      <c r="C141" s="20" t="str">
        <f aca="false">IFERROR(INDEX(Tables!$M$5:$M$254,MATCH(35,Tables!$AB$5:$AB$254,0)),"")</f>
        <v/>
      </c>
      <c r="D141" s="20" t="str">
        <f aca="false">IFERROR(INDEX(Tables!$N$5:$N$254,MATCH(35,Tables!$AB$5:$AB$254,0))&amp;"","")</f>
        <v/>
      </c>
      <c r="E141" s="20" t="str">
        <f aca="false">IFERROR(INDEX(Tables!$L$5:$L$254,MATCH(35,Tables!$AB$5:$AB$254,0))&amp;"","")</f>
        <v/>
      </c>
      <c r="F141" s="20" t="str">
        <f aca="false">IFERROR(INDEX(Tables!$P$5:$P$254,MATCH(35,Tables!$AB$5:$AB$254,0)),"")</f>
        <v/>
      </c>
    </row>
    <row r="142" customFormat="false" ht="15" hidden="false" customHeight="false" outlineLevel="0" collapsed="false">
      <c r="A142" s="20" t="str">
        <f aca="false">IFERROR(INDEX(Tables!$A$5:$A$254,MATCH(36,Tables!$AB$5:$AB$254,0))&amp;"","")</f>
        <v/>
      </c>
      <c r="B142" s="20" t="str">
        <f aca="false">IFERROR(INDEX(Tables!$B$5:$B$254,MATCH(36,Tables!$AB$5:$AB$254,0))&amp;"","")</f>
        <v/>
      </c>
      <c r="C142" s="20" t="str">
        <f aca="false">IFERROR(INDEX(Tables!$M$5:$M$254,MATCH(36,Tables!$AB$5:$AB$254,0)),"")</f>
        <v/>
      </c>
      <c r="D142" s="20" t="str">
        <f aca="false">IFERROR(INDEX(Tables!$N$5:$N$254,MATCH(36,Tables!$AB$5:$AB$254,0))&amp;"","")</f>
        <v/>
      </c>
      <c r="E142" s="20" t="str">
        <f aca="false">IFERROR(INDEX(Tables!$L$5:$L$254,MATCH(36,Tables!$AB$5:$AB$254,0))&amp;"","")</f>
        <v/>
      </c>
      <c r="F142" s="20" t="str">
        <f aca="false">IFERROR(INDEX(Tables!$P$5:$P$254,MATCH(36,Tables!$AB$5:$AB$254,0)),"")</f>
        <v/>
      </c>
    </row>
    <row r="143" customFormat="false" ht="15" hidden="false" customHeight="false" outlineLevel="0" collapsed="false">
      <c r="A143" s="20" t="str">
        <f aca="false">IFERROR(INDEX(Tables!$A$5:$A$254,MATCH(37,Tables!$AB$5:$AB$254,0))&amp;"","")</f>
        <v/>
      </c>
      <c r="B143" s="20" t="str">
        <f aca="false">IFERROR(INDEX(Tables!$B$5:$B$254,MATCH(37,Tables!$AB$5:$AB$254,0))&amp;"","")</f>
        <v/>
      </c>
      <c r="C143" s="20" t="str">
        <f aca="false">IFERROR(INDEX(Tables!$M$5:$M$254,MATCH(37,Tables!$AB$5:$AB$254,0)),"")</f>
        <v/>
      </c>
      <c r="D143" s="20" t="str">
        <f aca="false">IFERROR(INDEX(Tables!$N$5:$N$254,MATCH(37,Tables!$AB$5:$AB$254,0))&amp;"","")</f>
        <v/>
      </c>
      <c r="E143" s="20" t="str">
        <f aca="false">IFERROR(INDEX(Tables!$L$5:$L$254,MATCH(37,Tables!$AB$5:$AB$254,0))&amp;"","")</f>
        <v/>
      </c>
      <c r="F143" s="20" t="str">
        <f aca="false">IFERROR(INDEX(Tables!$P$5:$P$254,MATCH(37,Tables!$AB$5:$AB$254,0)),"")</f>
        <v/>
      </c>
    </row>
    <row r="144" customFormat="false" ht="15" hidden="false" customHeight="false" outlineLevel="0" collapsed="false">
      <c r="A144" s="20" t="str">
        <f aca="false">IFERROR(INDEX(Tables!$A$5:$A$254,MATCH(38,Tables!$AB$5:$AB$254,0))&amp;"","")</f>
        <v/>
      </c>
      <c r="B144" s="20" t="str">
        <f aca="false">IFERROR(INDEX(Tables!$B$5:$B$254,MATCH(38,Tables!$AB$5:$AB$254,0))&amp;"","")</f>
        <v/>
      </c>
      <c r="C144" s="20" t="str">
        <f aca="false">IFERROR(INDEX(Tables!$M$5:$M$254,MATCH(38,Tables!$AB$5:$AB$254,0)),"")</f>
        <v/>
      </c>
      <c r="D144" s="20" t="str">
        <f aca="false">IFERROR(INDEX(Tables!$N$5:$N$254,MATCH(38,Tables!$AB$5:$AB$254,0))&amp;"","")</f>
        <v/>
      </c>
      <c r="E144" s="20" t="str">
        <f aca="false">IFERROR(INDEX(Tables!$L$5:$L$254,MATCH(38,Tables!$AB$5:$AB$254,0))&amp;"","")</f>
        <v/>
      </c>
      <c r="F144" s="20" t="str">
        <f aca="false">IFERROR(INDEX(Tables!$P$5:$P$254,MATCH(38,Tables!$AB$5:$AB$254,0)),"")</f>
        <v/>
      </c>
    </row>
    <row r="145" customFormat="false" ht="15" hidden="false" customHeight="false" outlineLevel="0" collapsed="false">
      <c r="A145" s="20" t="str">
        <f aca="false">IFERROR(INDEX(Tables!$A$5:$A$254,MATCH(39,Tables!$AB$5:$AB$254,0))&amp;"","")</f>
        <v/>
      </c>
      <c r="B145" s="20" t="str">
        <f aca="false">IFERROR(INDEX(Tables!$B$5:$B$254,MATCH(39,Tables!$AB$5:$AB$254,0))&amp;"","")</f>
        <v/>
      </c>
      <c r="C145" s="20" t="str">
        <f aca="false">IFERROR(INDEX(Tables!$M$5:$M$254,MATCH(39,Tables!$AB$5:$AB$254,0)),"")</f>
        <v/>
      </c>
      <c r="D145" s="20" t="str">
        <f aca="false">IFERROR(INDEX(Tables!$N$5:$N$254,MATCH(39,Tables!$AB$5:$AB$254,0))&amp;"","")</f>
        <v/>
      </c>
      <c r="E145" s="20" t="str">
        <f aca="false">IFERROR(INDEX(Tables!$L$5:$L$254,MATCH(39,Tables!$AB$5:$AB$254,0))&amp;"","")</f>
        <v/>
      </c>
      <c r="F145" s="20" t="str">
        <f aca="false">IFERROR(INDEX(Tables!$P$5:$P$254,MATCH(39,Tables!$AB$5:$AB$254,0)),"")</f>
        <v/>
      </c>
    </row>
    <row r="146" customFormat="false" ht="15" hidden="false" customHeight="false" outlineLevel="0" collapsed="false">
      <c r="A146" s="20" t="str">
        <f aca="false">IFERROR(INDEX(Tables!$A$5:$A$254,MATCH(40,Tables!$AB$5:$AB$254,0))&amp;"","")</f>
        <v/>
      </c>
      <c r="B146" s="20" t="str">
        <f aca="false">IFERROR(INDEX(Tables!$B$5:$B$254,MATCH(40,Tables!$AB$5:$AB$254,0))&amp;"","")</f>
        <v/>
      </c>
      <c r="C146" s="20" t="str">
        <f aca="false">IFERROR(INDEX(Tables!$M$5:$M$254,MATCH(40,Tables!$AB$5:$AB$254,0)),"")</f>
        <v/>
      </c>
      <c r="D146" s="20" t="str">
        <f aca="false">IFERROR(INDEX(Tables!$N$5:$N$254,MATCH(40,Tables!$AB$5:$AB$254,0))&amp;"","")</f>
        <v/>
      </c>
      <c r="E146" s="20" t="str">
        <f aca="false">IFERROR(INDEX(Tables!$L$5:$L$254,MATCH(40,Tables!$AB$5:$AB$254,0))&amp;"","")</f>
        <v/>
      </c>
      <c r="F146" s="20" t="str">
        <f aca="false">IFERROR(INDEX(Tables!$P$5:$P$254,MATCH(40,Tables!$AB$5:$AB$254,0)),"")</f>
        <v/>
      </c>
    </row>
    <row r="148" customFormat="false" ht="15" hidden="false" customHeight="false" outlineLevel="0" collapsed="false">
      <c r="A148" s="18" t="s">
        <v>105</v>
      </c>
    </row>
    <row r="149" customFormat="false" ht="15" hidden="false" customHeight="false" outlineLevel="0" collapsed="false">
      <c r="A149" s="17" t="s">
        <v>106</v>
      </c>
      <c r="C149" s="19" t="str">
        <f aca="false">HYPERLINK("#'Decisions'!A1","top")</f>
        <v>top</v>
      </c>
    </row>
    <row r="150" customFormat="false" ht="31.5" hidden="false" customHeight="true" outlineLevel="0" collapsed="false">
      <c r="A150" s="11" t="s">
        <v>107</v>
      </c>
      <c r="B150" s="11" t="s">
        <v>108</v>
      </c>
      <c r="C150" s="11" t="s">
        <v>109</v>
      </c>
      <c r="D150" s="11" t="s">
        <v>110</v>
      </c>
      <c r="E150" s="11" t="s">
        <v>101</v>
      </c>
      <c r="F150" s="11" t="s">
        <v>111</v>
      </c>
    </row>
    <row r="151" customFormat="false" ht="46.25" hidden="false" customHeight="false" outlineLevel="0" collapsed="false">
      <c r="A151" s="20" t="str">
        <f aca="false">IFERROR(INDEX(Metrics!$A$5:$A$254,MATCH(1,Metrics!$S$5:$S$254,0))&amp;"","")</f>
        <v>M-001</v>
      </c>
      <c r="B151" s="20" t="str">
        <f aca="false">IFERROR(INDEX(Metrics!$B$5:$B$254,MATCH(1,Metrics!$S$5:$S$254,0))&amp;"","")</f>
        <v>Cycle time</v>
      </c>
      <c r="C151" s="20" t="str">
        <f aca="false">IFERROR(INDEX(Metrics!$C$5:$C$254,MATCH(1,Metrics!$S$5:$S$254,0))&amp;"","")</f>
        <v>Cycle time (approved to accepted)</v>
      </c>
      <c r="D151" s="20" t="str">
        <f aca="false">IFERROR(INDEX(Metrics!$D$5:$D$254,MATCH(1,Metrics!$S$5:$S$254,0))&amp;"","")</f>
        <v>Calendar days from requisition approval to offer acceptance. If a requisition is transferred, the clock keeps running from the original approval date.</v>
      </c>
      <c r="E151" s="20" t="str">
        <f aca="false">IFERROR(INDEX(Metrics!$I$5:$I$254,MATCH(1,Metrics!$S$5:$S$254,0))&amp;"","")</f>
        <v>Draft</v>
      </c>
      <c r="F151" s="20" t="n">
        <f aca="false">IFERROR(INDEX(Metrics!$K$5:$K$254,MATCH(1,Metrics!$S$5:$S$254,0)),"")</f>
        <v>2</v>
      </c>
    </row>
    <row r="152" customFormat="false" ht="23.85" hidden="false" customHeight="false" outlineLevel="0" collapsed="false">
      <c r="A152" s="20" t="str">
        <f aca="false">IFERROR(INDEX(Metrics!$A$5:$A$254,MATCH(2,Metrics!$S$5:$S$254,0))&amp;"","")</f>
        <v>M-002</v>
      </c>
      <c r="B152" s="20" t="str">
        <f aca="false">IFERROR(INDEX(Metrics!$B$5:$B$254,MATCH(2,Metrics!$S$5:$S$254,0))&amp;"","")</f>
        <v>Cycle time</v>
      </c>
      <c r="C152" s="20" t="str">
        <f aca="false">IFERROR(INDEX(Metrics!$C$5:$C$254,MATCH(2,Metrics!$S$5:$S$254,0))&amp;"","")</f>
        <v>Cycle time (posted to start)</v>
      </c>
      <c r="D152" s="20" t="str">
        <f aca="false">IFERROR(INDEX(Metrics!$D$5:$D$254,MATCH(2,Metrics!$S$5:$S$254,0))&amp;"","")</f>
        <v>Calendar days from the requisition being posted to the new hire's start date.</v>
      </c>
      <c r="E152" s="20" t="str">
        <f aca="false">IFERROR(INDEX(Metrics!$I$5:$I$254,MATCH(2,Metrics!$S$5:$S$254,0))&amp;"","")</f>
        <v>Draft</v>
      </c>
      <c r="F152" s="20" t="n">
        <f aca="false">IFERROR(INDEX(Metrics!$K$5:$K$254,MATCH(2,Metrics!$S$5:$S$254,0)),"")</f>
        <v>1</v>
      </c>
    </row>
    <row r="153" customFormat="false" ht="15" hidden="false" customHeight="false" outlineLevel="0" collapsed="false">
      <c r="A153" s="20" t="str">
        <f aca="false">IFERROR(INDEX(Metrics!$A$5:$A$254,MATCH(3,Metrics!$S$5:$S$254,0))&amp;"","")</f>
        <v/>
      </c>
      <c r="B153" s="20" t="str">
        <f aca="false">IFERROR(INDEX(Metrics!$B$5:$B$254,MATCH(3,Metrics!$S$5:$S$254,0))&amp;"","")</f>
        <v/>
      </c>
      <c r="C153" s="20" t="str">
        <f aca="false">IFERROR(INDEX(Metrics!$C$5:$C$254,MATCH(3,Metrics!$S$5:$S$254,0))&amp;"","")</f>
        <v/>
      </c>
      <c r="D153" s="20" t="str">
        <f aca="false">IFERROR(INDEX(Metrics!$D$5:$D$254,MATCH(3,Metrics!$S$5:$S$254,0))&amp;"","")</f>
        <v/>
      </c>
      <c r="E153" s="20" t="str">
        <f aca="false">IFERROR(INDEX(Metrics!$I$5:$I$254,MATCH(3,Metrics!$S$5:$S$254,0))&amp;"","")</f>
        <v/>
      </c>
      <c r="F153" s="20" t="str">
        <f aca="false">IFERROR(INDEX(Metrics!$K$5:$K$254,MATCH(3,Metrics!$S$5:$S$254,0)),"")</f>
        <v/>
      </c>
    </row>
    <row r="154" customFormat="false" ht="15" hidden="false" customHeight="false" outlineLevel="0" collapsed="false">
      <c r="A154" s="20" t="str">
        <f aca="false">IFERROR(INDEX(Metrics!$A$5:$A$254,MATCH(4,Metrics!$S$5:$S$254,0))&amp;"","")</f>
        <v/>
      </c>
      <c r="B154" s="20" t="str">
        <f aca="false">IFERROR(INDEX(Metrics!$B$5:$B$254,MATCH(4,Metrics!$S$5:$S$254,0))&amp;"","")</f>
        <v/>
      </c>
      <c r="C154" s="20" t="str">
        <f aca="false">IFERROR(INDEX(Metrics!$C$5:$C$254,MATCH(4,Metrics!$S$5:$S$254,0))&amp;"","")</f>
        <v/>
      </c>
      <c r="D154" s="20" t="str">
        <f aca="false">IFERROR(INDEX(Metrics!$D$5:$D$254,MATCH(4,Metrics!$S$5:$S$254,0))&amp;"","")</f>
        <v/>
      </c>
      <c r="E154" s="20" t="str">
        <f aca="false">IFERROR(INDEX(Metrics!$I$5:$I$254,MATCH(4,Metrics!$S$5:$S$254,0))&amp;"","")</f>
        <v/>
      </c>
      <c r="F154" s="20" t="str">
        <f aca="false">IFERROR(INDEX(Metrics!$K$5:$K$254,MATCH(4,Metrics!$S$5:$S$254,0)),"")</f>
        <v/>
      </c>
    </row>
    <row r="155" customFormat="false" ht="15" hidden="false" customHeight="false" outlineLevel="0" collapsed="false">
      <c r="A155" s="20" t="str">
        <f aca="false">IFERROR(INDEX(Metrics!$A$5:$A$254,MATCH(5,Metrics!$S$5:$S$254,0))&amp;"","")</f>
        <v/>
      </c>
      <c r="B155" s="20" t="str">
        <f aca="false">IFERROR(INDEX(Metrics!$B$5:$B$254,MATCH(5,Metrics!$S$5:$S$254,0))&amp;"","")</f>
        <v/>
      </c>
      <c r="C155" s="20" t="str">
        <f aca="false">IFERROR(INDEX(Metrics!$C$5:$C$254,MATCH(5,Metrics!$S$5:$S$254,0))&amp;"","")</f>
        <v/>
      </c>
      <c r="D155" s="20" t="str">
        <f aca="false">IFERROR(INDEX(Metrics!$D$5:$D$254,MATCH(5,Metrics!$S$5:$S$254,0))&amp;"","")</f>
        <v/>
      </c>
      <c r="E155" s="20" t="str">
        <f aca="false">IFERROR(INDEX(Metrics!$I$5:$I$254,MATCH(5,Metrics!$S$5:$S$254,0))&amp;"","")</f>
        <v/>
      </c>
      <c r="F155" s="20" t="str">
        <f aca="false">IFERROR(INDEX(Metrics!$K$5:$K$254,MATCH(5,Metrics!$S$5:$S$254,0)),"")</f>
        <v/>
      </c>
    </row>
    <row r="156" customFormat="false" ht="15" hidden="false" customHeight="false" outlineLevel="0" collapsed="false">
      <c r="A156" s="20" t="str">
        <f aca="false">IFERROR(INDEX(Metrics!$A$5:$A$254,MATCH(6,Metrics!$S$5:$S$254,0))&amp;"","")</f>
        <v/>
      </c>
      <c r="B156" s="20" t="str">
        <f aca="false">IFERROR(INDEX(Metrics!$B$5:$B$254,MATCH(6,Metrics!$S$5:$S$254,0))&amp;"","")</f>
        <v/>
      </c>
      <c r="C156" s="20" t="str">
        <f aca="false">IFERROR(INDEX(Metrics!$C$5:$C$254,MATCH(6,Metrics!$S$5:$S$254,0))&amp;"","")</f>
        <v/>
      </c>
      <c r="D156" s="20" t="str">
        <f aca="false">IFERROR(INDEX(Metrics!$D$5:$D$254,MATCH(6,Metrics!$S$5:$S$254,0))&amp;"","")</f>
        <v/>
      </c>
      <c r="E156" s="20" t="str">
        <f aca="false">IFERROR(INDEX(Metrics!$I$5:$I$254,MATCH(6,Metrics!$S$5:$S$254,0))&amp;"","")</f>
        <v/>
      </c>
      <c r="F156" s="20" t="str">
        <f aca="false">IFERROR(INDEX(Metrics!$K$5:$K$254,MATCH(6,Metrics!$S$5:$S$254,0)),"")</f>
        <v/>
      </c>
    </row>
    <row r="157" customFormat="false" ht="15" hidden="false" customHeight="false" outlineLevel="0" collapsed="false">
      <c r="A157" s="20" t="str">
        <f aca="false">IFERROR(INDEX(Metrics!$A$5:$A$254,MATCH(7,Metrics!$S$5:$S$254,0))&amp;"","")</f>
        <v/>
      </c>
      <c r="B157" s="20" t="str">
        <f aca="false">IFERROR(INDEX(Metrics!$B$5:$B$254,MATCH(7,Metrics!$S$5:$S$254,0))&amp;"","")</f>
        <v/>
      </c>
      <c r="C157" s="20" t="str">
        <f aca="false">IFERROR(INDEX(Metrics!$C$5:$C$254,MATCH(7,Metrics!$S$5:$S$254,0))&amp;"","")</f>
        <v/>
      </c>
      <c r="D157" s="20" t="str">
        <f aca="false">IFERROR(INDEX(Metrics!$D$5:$D$254,MATCH(7,Metrics!$S$5:$S$254,0))&amp;"","")</f>
        <v/>
      </c>
      <c r="E157" s="20" t="str">
        <f aca="false">IFERROR(INDEX(Metrics!$I$5:$I$254,MATCH(7,Metrics!$S$5:$S$254,0))&amp;"","")</f>
        <v/>
      </c>
      <c r="F157" s="20" t="str">
        <f aca="false">IFERROR(INDEX(Metrics!$K$5:$K$254,MATCH(7,Metrics!$S$5:$S$254,0)),"")</f>
        <v/>
      </c>
    </row>
    <row r="158" customFormat="false" ht="15" hidden="false" customHeight="false" outlineLevel="0" collapsed="false">
      <c r="A158" s="20" t="str">
        <f aca="false">IFERROR(INDEX(Metrics!$A$5:$A$254,MATCH(8,Metrics!$S$5:$S$254,0))&amp;"","")</f>
        <v/>
      </c>
      <c r="B158" s="20" t="str">
        <f aca="false">IFERROR(INDEX(Metrics!$B$5:$B$254,MATCH(8,Metrics!$S$5:$S$254,0))&amp;"","")</f>
        <v/>
      </c>
      <c r="C158" s="20" t="str">
        <f aca="false">IFERROR(INDEX(Metrics!$C$5:$C$254,MATCH(8,Metrics!$S$5:$S$254,0))&amp;"","")</f>
        <v/>
      </c>
      <c r="D158" s="20" t="str">
        <f aca="false">IFERROR(INDEX(Metrics!$D$5:$D$254,MATCH(8,Metrics!$S$5:$S$254,0))&amp;"","")</f>
        <v/>
      </c>
      <c r="E158" s="20" t="str">
        <f aca="false">IFERROR(INDEX(Metrics!$I$5:$I$254,MATCH(8,Metrics!$S$5:$S$254,0))&amp;"","")</f>
        <v/>
      </c>
      <c r="F158" s="20" t="str">
        <f aca="false">IFERROR(INDEX(Metrics!$K$5:$K$254,MATCH(8,Metrics!$S$5:$S$254,0)),"")</f>
        <v/>
      </c>
    </row>
    <row r="159" customFormat="false" ht="15" hidden="false" customHeight="false" outlineLevel="0" collapsed="false">
      <c r="A159" s="20" t="str">
        <f aca="false">IFERROR(INDEX(Metrics!$A$5:$A$254,MATCH(9,Metrics!$S$5:$S$254,0))&amp;"","")</f>
        <v/>
      </c>
      <c r="B159" s="20" t="str">
        <f aca="false">IFERROR(INDEX(Metrics!$B$5:$B$254,MATCH(9,Metrics!$S$5:$S$254,0))&amp;"","")</f>
        <v/>
      </c>
      <c r="C159" s="20" t="str">
        <f aca="false">IFERROR(INDEX(Metrics!$C$5:$C$254,MATCH(9,Metrics!$S$5:$S$254,0))&amp;"","")</f>
        <v/>
      </c>
      <c r="D159" s="20" t="str">
        <f aca="false">IFERROR(INDEX(Metrics!$D$5:$D$254,MATCH(9,Metrics!$S$5:$S$254,0))&amp;"","")</f>
        <v/>
      </c>
      <c r="E159" s="20" t="str">
        <f aca="false">IFERROR(INDEX(Metrics!$I$5:$I$254,MATCH(9,Metrics!$S$5:$S$254,0))&amp;"","")</f>
        <v/>
      </c>
      <c r="F159" s="20" t="str">
        <f aca="false">IFERROR(INDEX(Metrics!$K$5:$K$254,MATCH(9,Metrics!$S$5:$S$254,0)),"")</f>
        <v/>
      </c>
    </row>
    <row r="160" customFormat="false" ht="15" hidden="false" customHeight="false" outlineLevel="0" collapsed="false">
      <c r="A160" s="20" t="str">
        <f aca="false">IFERROR(INDEX(Metrics!$A$5:$A$254,MATCH(10,Metrics!$S$5:$S$254,0))&amp;"","")</f>
        <v/>
      </c>
      <c r="B160" s="20" t="str">
        <f aca="false">IFERROR(INDEX(Metrics!$B$5:$B$254,MATCH(10,Metrics!$S$5:$S$254,0))&amp;"","")</f>
        <v/>
      </c>
      <c r="C160" s="20" t="str">
        <f aca="false">IFERROR(INDEX(Metrics!$C$5:$C$254,MATCH(10,Metrics!$S$5:$S$254,0))&amp;"","")</f>
        <v/>
      </c>
      <c r="D160" s="20" t="str">
        <f aca="false">IFERROR(INDEX(Metrics!$D$5:$D$254,MATCH(10,Metrics!$S$5:$S$254,0))&amp;"","")</f>
        <v/>
      </c>
      <c r="E160" s="20" t="str">
        <f aca="false">IFERROR(INDEX(Metrics!$I$5:$I$254,MATCH(10,Metrics!$S$5:$S$254,0))&amp;"","")</f>
        <v/>
      </c>
      <c r="F160" s="20" t="str">
        <f aca="false">IFERROR(INDEX(Metrics!$K$5:$K$254,MATCH(10,Metrics!$S$5:$S$254,0)),"")</f>
        <v/>
      </c>
    </row>
    <row r="161" customFormat="false" ht="15" hidden="false" customHeight="false" outlineLevel="0" collapsed="false">
      <c r="A161" s="20" t="str">
        <f aca="false">IFERROR(INDEX(Metrics!$A$5:$A$254,MATCH(11,Metrics!$S$5:$S$254,0))&amp;"","")</f>
        <v/>
      </c>
      <c r="B161" s="20" t="str">
        <f aca="false">IFERROR(INDEX(Metrics!$B$5:$B$254,MATCH(11,Metrics!$S$5:$S$254,0))&amp;"","")</f>
        <v/>
      </c>
      <c r="C161" s="20" t="str">
        <f aca="false">IFERROR(INDEX(Metrics!$C$5:$C$254,MATCH(11,Metrics!$S$5:$S$254,0))&amp;"","")</f>
        <v/>
      </c>
      <c r="D161" s="20" t="str">
        <f aca="false">IFERROR(INDEX(Metrics!$D$5:$D$254,MATCH(11,Metrics!$S$5:$S$254,0))&amp;"","")</f>
        <v/>
      </c>
      <c r="E161" s="20" t="str">
        <f aca="false">IFERROR(INDEX(Metrics!$I$5:$I$254,MATCH(11,Metrics!$S$5:$S$254,0))&amp;"","")</f>
        <v/>
      </c>
      <c r="F161" s="20" t="str">
        <f aca="false">IFERROR(INDEX(Metrics!$K$5:$K$254,MATCH(11,Metrics!$S$5:$S$254,0)),"")</f>
        <v/>
      </c>
    </row>
    <row r="162" customFormat="false" ht="15" hidden="false" customHeight="false" outlineLevel="0" collapsed="false">
      <c r="A162" s="20" t="str">
        <f aca="false">IFERROR(INDEX(Metrics!$A$5:$A$254,MATCH(12,Metrics!$S$5:$S$254,0))&amp;"","")</f>
        <v/>
      </c>
      <c r="B162" s="20" t="str">
        <f aca="false">IFERROR(INDEX(Metrics!$B$5:$B$254,MATCH(12,Metrics!$S$5:$S$254,0))&amp;"","")</f>
        <v/>
      </c>
      <c r="C162" s="20" t="str">
        <f aca="false">IFERROR(INDEX(Metrics!$C$5:$C$254,MATCH(12,Metrics!$S$5:$S$254,0))&amp;"","")</f>
        <v/>
      </c>
      <c r="D162" s="20" t="str">
        <f aca="false">IFERROR(INDEX(Metrics!$D$5:$D$254,MATCH(12,Metrics!$S$5:$S$254,0))&amp;"","")</f>
        <v/>
      </c>
      <c r="E162" s="20" t="str">
        <f aca="false">IFERROR(INDEX(Metrics!$I$5:$I$254,MATCH(12,Metrics!$S$5:$S$254,0))&amp;"","")</f>
        <v/>
      </c>
      <c r="F162" s="20" t="str">
        <f aca="false">IFERROR(INDEX(Metrics!$K$5:$K$254,MATCH(12,Metrics!$S$5:$S$254,0)),"")</f>
        <v/>
      </c>
    </row>
    <row r="163" customFormat="false" ht="15" hidden="false" customHeight="false" outlineLevel="0" collapsed="false">
      <c r="A163" s="20" t="str">
        <f aca="false">IFERROR(INDEX(Metrics!$A$5:$A$254,MATCH(13,Metrics!$S$5:$S$254,0))&amp;"","")</f>
        <v/>
      </c>
      <c r="B163" s="20" t="str">
        <f aca="false">IFERROR(INDEX(Metrics!$B$5:$B$254,MATCH(13,Metrics!$S$5:$S$254,0))&amp;"","")</f>
        <v/>
      </c>
      <c r="C163" s="20" t="str">
        <f aca="false">IFERROR(INDEX(Metrics!$C$5:$C$254,MATCH(13,Metrics!$S$5:$S$254,0))&amp;"","")</f>
        <v/>
      </c>
      <c r="D163" s="20" t="str">
        <f aca="false">IFERROR(INDEX(Metrics!$D$5:$D$254,MATCH(13,Metrics!$S$5:$S$254,0))&amp;"","")</f>
        <v/>
      </c>
      <c r="E163" s="20" t="str">
        <f aca="false">IFERROR(INDEX(Metrics!$I$5:$I$254,MATCH(13,Metrics!$S$5:$S$254,0))&amp;"","")</f>
        <v/>
      </c>
      <c r="F163" s="20" t="str">
        <f aca="false">IFERROR(INDEX(Metrics!$K$5:$K$254,MATCH(13,Metrics!$S$5:$S$254,0)),"")</f>
        <v/>
      </c>
    </row>
    <row r="164" customFormat="false" ht="15" hidden="false" customHeight="false" outlineLevel="0" collapsed="false">
      <c r="A164" s="20" t="str">
        <f aca="false">IFERROR(INDEX(Metrics!$A$5:$A$254,MATCH(14,Metrics!$S$5:$S$254,0))&amp;"","")</f>
        <v/>
      </c>
      <c r="B164" s="20" t="str">
        <f aca="false">IFERROR(INDEX(Metrics!$B$5:$B$254,MATCH(14,Metrics!$S$5:$S$254,0))&amp;"","")</f>
        <v/>
      </c>
      <c r="C164" s="20" t="str">
        <f aca="false">IFERROR(INDEX(Metrics!$C$5:$C$254,MATCH(14,Metrics!$S$5:$S$254,0))&amp;"","")</f>
        <v/>
      </c>
      <c r="D164" s="20" t="str">
        <f aca="false">IFERROR(INDEX(Metrics!$D$5:$D$254,MATCH(14,Metrics!$S$5:$S$254,0))&amp;"","")</f>
        <v/>
      </c>
      <c r="E164" s="20" t="str">
        <f aca="false">IFERROR(INDEX(Metrics!$I$5:$I$254,MATCH(14,Metrics!$S$5:$S$254,0))&amp;"","")</f>
        <v/>
      </c>
      <c r="F164" s="20" t="str">
        <f aca="false">IFERROR(INDEX(Metrics!$K$5:$K$254,MATCH(14,Metrics!$S$5:$S$254,0)),"")</f>
        <v/>
      </c>
    </row>
    <row r="165" customFormat="false" ht="15" hidden="false" customHeight="false" outlineLevel="0" collapsed="false">
      <c r="A165" s="20" t="str">
        <f aca="false">IFERROR(INDEX(Metrics!$A$5:$A$254,MATCH(15,Metrics!$S$5:$S$254,0))&amp;"","")</f>
        <v/>
      </c>
      <c r="B165" s="20" t="str">
        <f aca="false">IFERROR(INDEX(Metrics!$B$5:$B$254,MATCH(15,Metrics!$S$5:$S$254,0))&amp;"","")</f>
        <v/>
      </c>
      <c r="C165" s="20" t="str">
        <f aca="false">IFERROR(INDEX(Metrics!$C$5:$C$254,MATCH(15,Metrics!$S$5:$S$254,0))&amp;"","")</f>
        <v/>
      </c>
      <c r="D165" s="20" t="str">
        <f aca="false">IFERROR(INDEX(Metrics!$D$5:$D$254,MATCH(15,Metrics!$S$5:$S$254,0))&amp;"","")</f>
        <v/>
      </c>
      <c r="E165" s="20" t="str">
        <f aca="false">IFERROR(INDEX(Metrics!$I$5:$I$254,MATCH(15,Metrics!$S$5:$S$254,0))&amp;"","")</f>
        <v/>
      </c>
      <c r="F165" s="20" t="str">
        <f aca="false">IFERROR(INDEX(Metrics!$K$5:$K$254,MATCH(15,Metrics!$S$5:$S$254,0)),"")</f>
        <v/>
      </c>
    </row>
    <row r="166" customFormat="false" ht="15" hidden="false" customHeight="false" outlineLevel="0" collapsed="false">
      <c r="A166" s="20" t="str">
        <f aca="false">IFERROR(INDEX(Metrics!$A$5:$A$254,MATCH(16,Metrics!$S$5:$S$254,0))&amp;"","")</f>
        <v/>
      </c>
      <c r="B166" s="20" t="str">
        <f aca="false">IFERROR(INDEX(Metrics!$B$5:$B$254,MATCH(16,Metrics!$S$5:$S$254,0))&amp;"","")</f>
        <v/>
      </c>
      <c r="C166" s="20" t="str">
        <f aca="false">IFERROR(INDEX(Metrics!$C$5:$C$254,MATCH(16,Metrics!$S$5:$S$254,0))&amp;"","")</f>
        <v/>
      </c>
      <c r="D166" s="20" t="str">
        <f aca="false">IFERROR(INDEX(Metrics!$D$5:$D$254,MATCH(16,Metrics!$S$5:$S$254,0))&amp;"","")</f>
        <v/>
      </c>
      <c r="E166" s="20" t="str">
        <f aca="false">IFERROR(INDEX(Metrics!$I$5:$I$254,MATCH(16,Metrics!$S$5:$S$254,0))&amp;"","")</f>
        <v/>
      </c>
      <c r="F166" s="20" t="str">
        <f aca="false">IFERROR(INDEX(Metrics!$K$5:$K$254,MATCH(16,Metrics!$S$5:$S$254,0)),"")</f>
        <v/>
      </c>
    </row>
    <row r="167" customFormat="false" ht="15" hidden="false" customHeight="false" outlineLevel="0" collapsed="false">
      <c r="A167" s="20" t="str">
        <f aca="false">IFERROR(INDEX(Metrics!$A$5:$A$254,MATCH(17,Metrics!$S$5:$S$254,0))&amp;"","")</f>
        <v/>
      </c>
      <c r="B167" s="20" t="str">
        <f aca="false">IFERROR(INDEX(Metrics!$B$5:$B$254,MATCH(17,Metrics!$S$5:$S$254,0))&amp;"","")</f>
        <v/>
      </c>
      <c r="C167" s="20" t="str">
        <f aca="false">IFERROR(INDEX(Metrics!$C$5:$C$254,MATCH(17,Metrics!$S$5:$S$254,0))&amp;"","")</f>
        <v/>
      </c>
      <c r="D167" s="20" t="str">
        <f aca="false">IFERROR(INDEX(Metrics!$D$5:$D$254,MATCH(17,Metrics!$S$5:$S$254,0))&amp;"","")</f>
        <v/>
      </c>
      <c r="E167" s="20" t="str">
        <f aca="false">IFERROR(INDEX(Metrics!$I$5:$I$254,MATCH(17,Metrics!$S$5:$S$254,0))&amp;"","")</f>
        <v/>
      </c>
      <c r="F167" s="20" t="str">
        <f aca="false">IFERROR(INDEX(Metrics!$K$5:$K$254,MATCH(17,Metrics!$S$5:$S$254,0)),"")</f>
        <v/>
      </c>
    </row>
    <row r="168" customFormat="false" ht="15" hidden="false" customHeight="false" outlineLevel="0" collapsed="false">
      <c r="A168" s="20" t="str">
        <f aca="false">IFERROR(INDEX(Metrics!$A$5:$A$254,MATCH(18,Metrics!$S$5:$S$254,0))&amp;"","")</f>
        <v/>
      </c>
      <c r="B168" s="20" t="str">
        <f aca="false">IFERROR(INDEX(Metrics!$B$5:$B$254,MATCH(18,Metrics!$S$5:$S$254,0))&amp;"","")</f>
        <v/>
      </c>
      <c r="C168" s="20" t="str">
        <f aca="false">IFERROR(INDEX(Metrics!$C$5:$C$254,MATCH(18,Metrics!$S$5:$S$254,0))&amp;"","")</f>
        <v/>
      </c>
      <c r="D168" s="20" t="str">
        <f aca="false">IFERROR(INDEX(Metrics!$D$5:$D$254,MATCH(18,Metrics!$S$5:$S$254,0))&amp;"","")</f>
        <v/>
      </c>
      <c r="E168" s="20" t="str">
        <f aca="false">IFERROR(INDEX(Metrics!$I$5:$I$254,MATCH(18,Metrics!$S$5:$S$254,0))&amp;"","")</f>
        <v/>
      </c>
      <c r="F168" s="20" t="str">
        <f aca="false">IFERROR(INDEX(Metrics!$K$5:$K$254,MATCH(18,Metrics!$S$5:$S$254,0)),"")</f>
        <v/>
      </c>
    </row>
    <row r="169" customFormat="false" ht="15" hidden="false" customHeight="false" outlineLevel="0" collapsed="false">
      <c r="A169" s="20" t="str">
        <f aca="false">IFERROR(INDEX(Metrics!$A$5:$A$254,MATCH(19,Metrics!$S$5:$S$254,0))&amp;"","")</f>
        <v/>
      </c>
      <c r="B169" s="20" t="str">
        <f aca="false">IFERROR(INDEX(Metrics!$B$5:$B$254,MATCH(19,Metrics!$S$5:$S$254,0))&amp;"","")</f>
        <v/>
      </c>
      <c r="C169" s="20" t="str">
        <f aca="false">IFERROR(INDEX(Metrics!$C$5:$C$254,MATCH(19,Metrics!$S$5:$S$254,0))&amp;"","")</f>
        <v/>
      </c>
      <c r="D169" s="20" t="str">
        <f aca="false">IFERROR(INDEX(Metrics!$D$5:$D$254,MATCH(19,Metrics!$S$5:$S$254,0))&amp;"","")</f>
        <v/>
      </c>
      <c r="E169" s="20" t="str">
        <f aca="false">IFERROR(INDEX(Metrics!$I$5:$I$254,MATCH(19,Metrics!$S$5:$S$254,0))&amp;"","")</f>
        <v/>
      </c>
      <c r="F169" s="20" t="str">
        <f aca="false">IFERROR(INDEX(Metrics!$K$5:$K$254,MATCH(19,Metrics!$S$5:$S$254,0)),"")</f>
        <v/>
      </c>
    </row>
    <row r="170" customFormat="false" ht="15" hidden="false" customHeight="false" outlineLevel="0" collapsed="false">
      <c r="A170" s="20" t="str">
        <f aca="false">IFERROR(INDEX(Metrics!$A$5:$A$254,MATCH(20,Metrics!$S$5:$S$254,0))&amp;"","")</f>
        <v/>
      </c>
      <c r="B170" s="20" t="str">
        <f aca="false">IFERROR(INDEX(Metrics!$B$5:$B$254,MATCH(20,Metrics!$S$5:$S$254,0))&amp;"","")</f>
        <v/>
      </c>
      <c r="C170" s="20" t="str">
        <f aca="false">IFERROR(INDEX(Metrics!$C$5:$C$254,MATCH(20,Metrics!$S$5:$S$254,0))&amp;"","")</f>
        <v/>
      </c>
      <c r="D170" s="20" t="str">
        <f aca="false">IFERROR(INDEX(Metrics!$D$5:$D$254,MATCH(20,Metrics!$S$5:$S$254,0))&amp;"","")</f>
        <v/>
      </c>
      <c r="E170" s="20" t="str">
        <f aca="false">IFERROR(INDEX(Metrics!$I$5:$I$254,MATCH(20,Metrics!$S$5:$S$254,0))&amp;"","")</f>
        <v/>
      </c>
      <c r="F170" s="20" t="str">
        <f aca="false">IFERROR(INDEX(Metrics!$K$5:$K$254,MATCH(20,Metrics!$S$5:$S$254,0)),"")</f>
        <v/>
      </c>
    </row>
    <row r="171" customFormat="false" ht="15" hidden="false" customHeight="false" outlineLevel="0" collapsed="false">
      <c r="A171" s="20" t="str">
        <f aca="false">IFERROR(INDEX(Metrics!$A$5:$A$254,MATCH(21,Metrics!$S$5:$S$254,0))&amp;"","")</f>
        <v/>
      </c>
      <c r="B171" s="20" t="str">
        <f aca="false">IFERROR(INDEX(Metrics!$B$5:$B$254,MATCH(21,Metrics!$S$5:$S$254,0))&amp;"","")</f>
        <v/>
      </c>
      <c r="C171" s="20" t="str">
        <f aca="false">IFERROR(INDEX(Metrics!$C$5:$C$254,MATCH(21,Metrics!$S$5:$S$254,0))&amp;"","")</f>
        <v/>
      </c>
      <c r="D171" s="20" t="str">
        <f aca="false">IFERROR(INDEX(Metrics!$D$5:$D$254,MATCH(21,Metrics!$S$5:$S$254,0))&amp;"","")</f>
        <v/>
      </c>
      <c r="E171" s="20" t="str">
        <f aca="false">IFERROR(INDEX(Metrics!$I$5:$I$254,MATCH(21,Metrics!$S$5:$S$254,0))&amp;"","")</f>
        <v/>
      </c>
      <c r="F171" s="20" t="str">
        <f aca="false">IFERROR(INDEX(Metrics!$K$5:$K$254,MATCH(21,Metrics!$S$5:$S$254,0)),"")</f>
        <v/>
      </c>
    </row>
    <row r="172" customFormat="false" ht="15" hidden="false" customHeight="false" outlineLevel="0" collapsed="false">
      <c r="A172" s="20" t="str">
        <f aca="false">IFERROR(INDEX(Metrics!$A$5:$A$254,MATCH(22,Metrics!$S$5:$S$254,0))&amp;"","")</f>
        <v/>
      </c>
      <c r="B172" s="20" t="str">
        <f aca="false">IFERROR(INDEX(Metrics!$B$5:$B$254,MATCH(22,Metrics!$S$5:$S$254,0))&amp;"","")</f>
        <v/>
      </c>
      <c r="C172" s="20" t="str">
        <f aca="false">IFERROR(INDEX(Metrics!$C$5:$C$254,MATCH(22,Metrics!$S$5:$S$254,0))&amp;"","")</f>
        <v/>
      </c>
      <c r="D172" s="20" t="str">
        <f aca="false">IFERROR(INDEX(Metrics!$D$5:$D$254,MATCH(22,Metrics!$S$5:$S$254,0))&amp;"","")</f>
        <v/>
      </c>
      <c r="E172" s="20" t="str">
        <f aca="false">IFERROR(INDEX(Metrics!$I$5:$I$254,MATCH(22,Metrics!$S$5:$S$254,0))&amp;"","")</f>
        <v/>
      </c>
      <c r="F172" s="20" t="str">
        <f aca="false">IFERROR(INDEX(Metrics!$K$5:$K$254,MATCH(22,Metrics!$S$5:$S$254,0)),"")</f>
        <v/>
      </c>
    </row>
    <row r="173" customFormat="false" ht="15" hidden="false" customHeight="false" outlineLevel="0" collapsed="false">
      <c r="A173" s="20" t="str">
        <f aca="false">IFERROR(INDEX(Metrics!$A$5:$A$254,MATCH(23,Metrics!$S$5:$S$254,0))&amp;"","")</f>
        <v/>
      </c>
      <c r="B173" s="20" t="str">
        <f aca="false">IFERROR(INDEX(Metrics!$B$5:$B$254,MATCH(23,Metrics!$S$5:$S$254,0))&amp;"","")</f>
        <v/>
      </c>
      <c r="C173" s="20" t="str">
        <f aca="false">IFERROR(INDEX(Metrics!$C$5:$C$254,MATCH(23,Metrics!$S$5:$S$254,0))&amp;"","")</f>
        <v/>
      </c>
      <c r="D173" s="20" t="str">
        <f aca="false">IFERROR(INDEX(Metrics!$D$5:$D$254,MATCH(23,Metrics!$S$5:$S$254,0))&amp;"","")</f>
        <v/>
      </c>
      <c r="E173" s="20" t="str">
        <f aca="false">IFERROR(INDEX(Metrics!$I$5:$I$254,MATCH(23,Metrics!$S$5:$S$254,0))&amp;"","")</f>
        <v/>
      </c>
      <c r="F173" s="20" t="str">
        <f aca="false">IFERROR(INDEX(Metrics!$K$5:$K$254,MATCH(23,Metrics!$S$5:$S$254,0)),"")</f>
        <v/>
      </c>
    </row>
    <row r="174" customFormat="false" ht="15" hidden="false" customHeight="false" outlineLevel="0" collapsed="false">
      <c r="A174" s="20" t="str">
        <f aca="false">IFERROR(INDEX(Metrics!$A$5:$A$254,MATCH(24,Metrics!$S$5:$S$254,0))&amp;"","")</f>
        <v/>
      </c>
      <c r="B174" s="20" t="str">
        <f aca="false">IFERROR(INDEX(Metrics!$B$5:$B$254,MATCH(24,Metrics!$S$5:$S$254,0))&amp;"","")</f>
        <v/>
      </c>
      <c r="C174" s="20" t="str">
        <f aca="false">IFERROR(INDEX(Metrics!$C$5:$C$254,MATCH(24,Metrics!$S$5:$S$254,0))&amp;"","")</f>
        <v/>
      </c>
      <c r="D174" s="20" t="str">
        <f aca="false">IFERROR(INDEX(Metrics!$D$5:$D$254,MATCH(24,Metrics!$S$5:$S$254,0))&amp;"","")</f>
        <v/>
      </c>
      <c r="E174" s="20" t="str">
        <f aca="false">IFERROR(INDEX(Metrics!$I$5:$I$254,MATCH(24,Metrics!$S$5:$S$254,0))&amp;"","")</f>
        <v/>
      </c>
      <c r="F174" s="20" t="str">
        <f aca="false">IFERROR(INDEX(Metrics!$K$5:$K$254,MATCH(24,Metrics!$S$5:$S$254,0)),"")</f>
        <v/>
      </c>
    </row>
    <row r="175" customFormat="false" ht="15" hidden="false" customHeight="false" outlineLevel="0" collapsed="false">
      <c r="A175" s="20" t="str">
        <f aca="false">IFERROR(INDEX(Metrics!$A$5:$A$254,MATCH(25,Metrics!$S$5:$S$254,0))&amp;"","")</f>
        <v/>
      </c>
      <c r="B175" s="20" t="str">
        <f aca="false">IFERROR(INDEX(Metrics!$B$5:$B$254,MATCH(25,Metrics!$S$5:$S$254,0))&amp;"","")</f>
        <v/>
      </c>
      <c r="C175" s="20" t="str">
        <f aca="false">IFERROR(INDEX(Metrics!$C$5:$C$254,MATCH(25,Metrics!$S$5:$S$254,0))&amp;"","")</f>
        <v/>
      </c>
      <c r="D175" s="20" t="str">
        <f aca="false">IFERROR(INDEX(Metrics!$D$5:$D$254,MATCH(25,Metrics!$S$5:$S$254,0))&amp;"","")</f>
        <v/>
      </c>
      <c r="E175" s="20" t="str">
        <f aca="false">IFERROR(INDEX(Metrics!$I$5:$I$254,MATCH(25,Metrics!$S$5:$S$254,0))&amp;"","")</f>
        <v/>
      </c>
      <c r="F175" s="20" t="str">
        <f aca="false">IFERROR(INDEX(Metrics!$K$5:$K$254,MATCH(25,Metrics!$S$5:$S$254,0)),"")</f>
        <v/>
      </c>
    </row>
    <row r="176" customFormat="false" ht="15" hidden="false" customHeight="false" outlineLevel="0" collapsed="false">
      <c r="A176" s="20" t="str">
        <f aca="false">IFERROR(INDEX(Metrics!$A$5:$A$254,MATCH(26,Metrics!$S$5:$S$254,0))&amp;"","")</f>
        <v/>
      </c>
      <c r="B176" s="20" t="str">
        <f aca="false">IFERROR(INDEX(Metrics!$B$5:$B$254,MATCH(26,Metrics!$S$5:$S$254,0))&amp;"","")</f>
        <v/>
      </c>
      <c r="C176" s="20" t="str">
        <f aca="false">IFERROR(INDEX(Metrics!$C$5:$C$254,MATCH(26,Metrics!$S$5:$S$254,0))&amp;"","")</f>
        <v/>
      </c>
      <c r="D176" s="20" t="str">
        <f aca="false">IFERROR(INDEX(Metrics!$D$5:$D$254,MATCH(26,Metrics!$S$5:$S$254,0))&amp;"","")</f>
        <v/>
      </c>
      <c r="E176" s="20" t="str">
        <f aca="false">IFERROR(INDEX(Metrics!$I$5:$I$254,MATCH(26,Metrics!$S$5:$S$254,0))&amp;"","")</f>
        <v/>
      </c>
      <c r="F176" s="20" t="str">
        <f aca="false">IFERROR(INDEX(Metrics!$K$5:$K$254,MATCH(26,Metrics!$S$5:$S$254,0)),"")</f>
        <v/>
      </c>
    </row>
    <row r="177" customFormat="false" ht="15" hidden="false" customHeight="false" outlineLevel="0" collapsed="false">
      <c r="A177" s="20" t="str">
        <f aca="false">IFERROR(INDEX(Metrics!$A$5:$A$254,MATCH(27,Metrics!$S$5:$S$254,0))&amp;"","")</f>
        <v/>
      </c>
      <c r="B177" s="20" t="str">
        <f aca="false">IFERROR(INDEX(Metrics!$B$5:$B$254,MATCH(27,Metrics!$S$5:$S$254,0))&amp;"","")</f>
        <v/>
      </c>
      <c r="C177" s="20" t="str">
        <f aca="false">IFERROR(INDEX(Metrics!$C$5:$C$254,MATCH(27,Metrics!$S$5:$S$254,0))&amp;"","")</f>
        <v/>
      </c>
      <c r="D177" s="20" t="str">
        <f aca="false">IFERROR(INDEX(Metrics!$D$5:$D$254,MATCH(27,Metrics!$S$5:$S$254,0))&amp;"","")</f>
        <v/>
      </c>
      <c r="E177" s="20" t="str">
        <f aca="false">IFERROR(INDEX(Metrics!$I$5:$I$254,MATCH(27,Metrics!$S$5:$S$254,0))&amp;"","")</f>
        <v/>
      </c>
      <c r="F177" s="20" t="str">
        <f aca="false">IFERROR(INDEX(Metrics!$K$5:$K$254,MATCH(27,Metrics!$S$5:$S$254,0)),"")</f>
        <v/>
      </c>
    </row>
    <row r="178" customFormat="false" ht="15" hidden="false" customHeight="false" outlineLevel="0" collapsed="false">
      <c r="A178" s="20" t="str">
        <f aca="false">IFERROR(INDEX(Metrics!$A$5:$A$254,MATCH(28,Metrics!$S$5:$S$254,0))&amp;"","")</f>
        <v/>
      </c>
      <c r="B178" s="20" t="str">
        <f aca="false">IFERROR(INDEX(Metrics!$B$5:$B$254,MATCH(28,Metrics!$S$5:$S$254,0))&amp;"","")</f>
        <v/>
      </c>
      <c r="C178" s="20" t="str">
        <f aca="false">IFERROR(INDEX(Metrics!$C$5:$C$254,MATCH(28,Metrics!$S$5:$S$254,0))&amp;"","")</f>
        <v/>
      </c>
      <c r="D178" s="20" t="str">
        <f aca="false">IFERROR(INDEX(Metrics!$D$5:$D$254,MATCH(28,Metrics!$S$5:$S$254,0))&amp;"","")</f>
        <v/>
      </c>
      <c r="E178" s="20" t="str">
        <f aca="false">IFERROR(INDEX(Metrics!$I$5:$I$254,MATCH(28,Metrics!$S$5:$S$254,0))&amp;"","")</f>
        <v/>
      </c>
      <c r="F178" s="20" t="str">
        <f aca="false">IFERROR(INDEX(Metrics!$K$5:$K$254,MATCH(28,Metrics!$S$5:$S$254,0)),"")</f>
        <v/>
      </c>
    </row>
    <row r="179" customFormat="false" ht="15" hidden="false" customHeight="false" outlineLevel="0" collapsed="false">
      <c r="A179" s="20" t="str">
        <f aca="false">IFERROR(INDEX(Metrics!$A$5:$A$254,MATCH(29,Metrics!$S$5:$S$254,0))&amp;"","")</f>
        <v/>
      </c>
      <c r="B179" s="20" t="str">
        <f aca="false">IFERROR(INDEX(Metrics!$B$5:$B$254,MATCH(29,Metrics!$S$5:$S$254,0))&amp;"","")</f>
        <v/>
      </c>
      <c r="C179" s="20" t="str">
        <f aca="false">IFERROR(INDEX(Metrics!$C$5:$C$254,MATCH(29,Metrics!$S$5:$S$254,0))&amp;"","")</f>
        <v/>
      </c>
      <c r="D179" s="20" t="str">
        <f aca="false">IFERROR(INDEX(Metrics!$D$5:$D$254,MATCH(29,Metrics!$S$5:$S$254,0))&amp;"","")</f>
        <v/>
      </c>
      <c r="E179" s="20" t="str">
        <f aca="false">IFERROR(INDEX(Metrics!$I$5:$I$254,MATCH(29,Metrics!$S$5:$S$254,0))&amp;"","")</f>
        <v/>
      </c>
      <c r="F179" s="20" t="str">
        <f aca="false">IFERROR(INDEX(Metrics!$K$5:$K$254,MATCH(29,Metrics!$S$5:$S$254,0)),"")</f>
        <v/>
      </c>
    </row>
    <row r="180" customFormat="false" ht="15" hidden="false" customHeight="false" outlineLevel="0" collapsed="false">
      <c r="A180" s="20" t="str">
        <f aca="false">IFERROR(INDEX(Metrics!$A$5:$A$254,MATCH(30,Metrics!$S$5:$S$254,0))&amp;"","")</f>
        <v/>
      </c>
      <c r="B180" s="20" t="str">
        <f aca="false">IFERROR(INDEX(Metrics!$B$5:$B$254,MATCH(30,Metrics!$S$5:$S$254,0))&amp;"","")</f>
        <v/>
      </c>
      <c r="C180" s="20" t="str">
        <f aca="false">IFERROR(INDEX(Metrics!$C$5:$C$254,MATCH(30,Metrics!$S$5:$S$254,0))&amp;"","")</f>
        <v/>
      </c>
      <c r="D180" s="20" t="str">
        <f aca="false">IFERROR(INDEX(Metrics!$D$5:$D$254,MATCH(30,Metrics!$S$5:$S$254,0))&amp;"","")</f>
        <v/>
      </c>
      <c r="E180" s="20" t="str">
        <f aca="false">IFERROR(INDEX(Metrics!$I$5:$I$254,MATCH(30,Metrics!$S$5:$S$254,0))&amp;"","")</f>
        <v/>
      </c>
      <c r="F180" s="20" t="str">
        <f aca="false">IFERROR(INDEX(Metrics!$K$5:$K$254,MATCH(30,Metrics!$S$5:$S$254,0)),"")</f>
        <v/>
      </c>
    </row>
    <row r="181" customFormat="false" ht="15" hidden="false" customHeight="false" outlineLevel="0" collapsed="false">
      <c r="A181" s="20" t="str">
        <f aca="false">IFERROR(INDEX(Metrics!$A$5:$A$254,MATCH(31,Metrics!$S$5:$S$254,0))&amp;"","")</f>
        <v/>
      </c>
      <c r="B181" s="20" t="str">
        <f aca="false">IFERROR(INDEX(Metrics!$B$5:$B$254,MATCH(31,Metrics!$S$5:$S$254,0))&amp;"","")</f>
        <v/>
      </c>
      <c r="C181" s="20" t="str">
        <f aca="false">IFERROR(INDEX(Metrics!$C$5:$C$254,MATCH(31,Metrics!$S$5:$S$254,0))&amp;"","")</f>
        <v/>
      </c>
      <c r="D181" s="20" t="str">
        <f aca="false">IFERROR(INDEX(Metrics!$D$5:$D$254,MATCH(31,Metrics!$S$5:$S$254,0))&amp;"","")</f>
        <v/>
      </c>
      <c r="E181" s="20" t="str">
        <f aca="false">IFERROR(INDEX(Metrics!$I$5:$I$254,MATCH(31,Metrics!$S$5:$S$254,0))&amp;"","")</f>
        <v/>
      </c>
      <c r="F181" s="20" t="str">
        <f aca="false">IFERROR(INDEX(Metrics!$K$5:$K$254,MATCH(31,Metrics!$S$5:$S$254,0)),"")</f>
        <v/>
      </c>
    </row>
    <row r="182" customFormat="false" ht="15" hidden="false" customHeight="false" outlineLevel="0" collapsed="false">
      <c r="A182" s="20" t="str">
        <f aca="false">IFERROR(INDEX(Metrics!$A$5:$A$254,MATCH(32,Metrics!$S$5:$S$254,0))&amp;"","")</f>
        <v/>
      </c>
      <c r="B182" s="20" t="str">
        <f aca="false">IFERROR(INDEX(Metrics!$B$5:$B$254,MATCH(32,Metrics!$S$5:$S$254,0))&amp;"","")</f>
        <v/>
      </c>
      <c r="C182" s="20" t="str">
        <f aca="false">IFERROR(INDEX(Metrics!$C$5:$C$254,MATCH(32,Metrics!$S$5:$S$254,0))&amp;"","")</f>
        <v/>
      </c>
      <c r="D182" s="20" t="str">
        <f aca="false">IFERROR(INDEX(Metrics!$D$5:$D$254,MATCH(32,Metrics!$S$5:$S$254,0))&amp;"","")</f>
        <v/>
      </c>
      <c r="E182" s="20" t="str">
        <f aca="false">IFERROR(INDEX(Metrics!$I$5:$I$254,MATCH(32,Metrics!$S$5:$S$254,0))&amp;"","")</f>
        <v/>
      </c>
      <c r="F182" s="20" t="str">
        <f aca="false">IFERROR(INDEX(Metrics!$K$5:$K$254,MATCH(32,Metrics!$S$5:$S$254,0)),"")</f>
        <v/>
      </c>
    </row>
    <row r="183" customFormat="false" ht="15" hidden="false" customHeight="false" outlineLevel="0" collapsed="false">
      <c r="A183" s="20" t="str">
        <f aca="false">IFERROR(INDEX(Metrics!$A$5:$A$254,MATCH(33,Metrics!$S$5:$S$254,0))&amp;"","")</f>
        <v/>
      </c>
      <c r="B183" s="20" t="str">
        <f aca="false">IFERROR(INDEX(Metrics!$B$5:$B$254,MATCH(33,Metrics!$S$5:$S$254,0))&amp;"","")</f>
        <v/>
      </c>
      <c r="C183" s="20" t="str">
        <f aca="false">IFERROR(INDEX(Metrics!$C$5:$C$254,MATCH(33,Metrics!$S$5:$S$254,0))&amp;"","")</f>
        <v/>
      </c>
      <c r="D183" s="20" t="str">
        <f aca="false">IFERROR(INDEX(Metrics!$D$5:$D$254,MATCH(33,Metrics!$S$5:$S$254,0))&amp;"","")</f>
        <v/>
      </c>
      <c r="E183" s="20" t="str">
        <f aca="false">IFERROR(INDEX(Metrics!$I$5:$I$254,MATCH(33,Metrics!$S$5:$S$254,0))&amp;"","")</f>
        <v/>
      </c>
      <c r="F183" s="20" t="str">
        <f aca="false">IFERROR(INDEX(Metrics!$K$5:$K$254,MATCH(33,Metrics!$S$5:$S$254,0)),"")</f>
        <v/>
      </c>
    </row>
    <row r="184" customFormat="false" ht="15" hidden="false" customHeight="false" outlineLevel="0" collapsed="false">
      <c r="A184" s="20" t="str">
        <f aca="false">IFERROR(INDEX(Metrics!$A$5:$A$254,MATCH(34,Metrics!$S$5:$S$254,0))&amp;"","")</f>
        <v/>
      </c>
      <c r="B184" s="20" t="str">
        <f aca="false">IFERROR(INDEX(Metrics!$B$5:$B$254,MATCH(34,Metrics!$S$5:$S$254,0))&amp;"","")</f>
        <v/>
      </c>
      <c r="C184" s="20" t="str">
        <f aca="false">IFERROR(INDEX(Metrics!$C$5:$C$254,MATCH(34,Metrics!$S$5:$S$254,0))&amp;"","")</f>
        <v/>
      </c>
      <c r="D184" s="20" t="str">
        <f aca="false">IFERROR(INDEX(Metrics!$D$5:$D$254,MATCH(34,Metrics!$S$5:$S$254,0))&amp;"","")</f>
        <v/>
      </c>
      <c r="E184" s="20" t="str">
        <f aca="false">IFERROR(INDEX(Metrics!$I$5:$I$254,MATCH(34,Metrics!$S$5:$S$254,0))&amp;"","")</f>
        <v/>
      </c>
      <c r="F184" s="20" t="str">
        <f aca="false">IFERROR(INDEX(Metrics!$K$5:$K$254,MATCH(34,Metrics!$S$5:$S$254,0)),"")</f>
        <v/>
      </c>
    </row>
    <row r="185" customFormat="false" ht="15" hidden="false" customHeight="false" outlineLevel="0" collapsed="false">
      <c r="A185" s="20" t="str">
        <f aca="false">IFERROR(INDEX(Metrics!$A$5:$A$254,MATCH(35,Metrics!$S$5:$S$254,0))&amp;"","")</f>
        <v/>
      </c>
      <c r="B185" s="20" t="str">
        <f aca="false">IFERROR(INDEX(Metrics!$B$5:$B$254,MATCH(35,Metrics!$S$5:$S$254,0))&amp;"","")</f>
        <v/>
      </c>
      <c r="C185" s="20" t="str">
        <f aca="false">IFERROR(INDEX(Metrics!$C$5:$C$254,MATCH(35,Metrics!$S$5:$S$254,0))&amp;"","")</f>
        <v/>
      </c>
      <c r="D185" s="20" t="str">
        <f aca="false">IFERROR(INDEX(Metrics!$D$5:$D$254,MATCH(35,Metrics!$S$5:$S$254,0))&amp;"","")</f>
        <v/>
      </c>
      <c r="E185" s="20" t="str">
        <f aca="false">IFERROR(INDEX(Metrics!$I$5:$I$254,MATCH(35,Metrics!$S$5:$S$254,0))&amp;"","")</f>
        <v/>
      </c>
      <c r="F185" s="20" t="str">
        <f aca="false">IFERROR(INDEX(Metrics!$K$5:$K$254,MATCH(35,Metrics!$S$5:$S$254,0)),"")</f>
        <v/>
      </c>
    </row>
    <row r="186" customFormat="false" ht="15" hidden="false" customHeight="false" outlineLevel="0" collapsed="false">
      <c r="A186" s="20" t="str">
        <f aca="false">IFERROR(INDEX(Metrics!$A$5:$A$254,MATCH(36,Metrics!$S$5:$S$254,0))&amp;"","")</f>
        <v/>
      </c>
      <c r="B186" s="20" t="str">
        <f aca="false">IFERROR(INDEX(Metrics!$B$5:$B$254,MATCH(36,Metrics!$S$5:$S$254,0))&amp;"","")</f>
        <v/>
      </c>
      <c r="C186" s="20" t="str">
        <f aca="false">IFERROR(INDEX(Metrics!$C$5:$C$254,MATCH(36,Metrics!$S$5:$S$254,0))&amp;"","")</f>
        <v/>
      </c>
      <c r="D186" s="20" t="str">
        <f aca="false">IFERROR(INDEX(Metrics!$D$5:$D$254,MATCH(36,Metrics!$S$5:$S$254,0))&amp;"","")</f>
        <v/>
      </c>
      <c r="E186" s="20" t="str">
        <f aca="false">IFERROR(INDEX(Metrics!$I$5:$I$254,MATCH(36,Metrics!$S$5:$S$254,0))&amp;"","")</f>
        <v/>
      </c>
      <c r="F186" s="20" t="str">
        <f aca="false">IFERROR(INDEX(Metrics!$K$5:$K$254,MATCH(36,Metrics!$S$5:$S$254,0)),"")</f>
        <v/>
      </c>
    </row>
    <row r="187" customFormat="false" ht="15" hidden="false" customHeight="false" outlineLevel="0" collapsed="false">
      <c r="A187" s="20" t="str">
        <f aca="false">IFERROR(INDEX(Metrics!$A$5:$A$254,MATCH(37,Metrics!$S$5:$S$254,0))&amp;"","")</f>
        <v/>
      </c>
      <c r="B187" s="20" t="str">
        <f aca="false">IFERROR(INDEX(Metrics!$B$5:$B$254,MATCH(37,Metrics!$S$5:$S$254,0))&amp;"","")</f>
        <v/>
      </c>
      <c r="C187" s="20" t="str">
        <f aca="false">IFERROR(INDEX(Metrics!$C$5:$C$254,MATCH(37,Metrics!$S$5:$S$254,0))&amp;"","")</f>
        <v/>
      </c>
      <c r="D187" s="20" t="str">
        <f aca="false">IFERROR(INDEX(Metrics!$D$5:$D$254,MATCH(37,Metrics!$S$5:$S$254,0))&amp;"","")</f>
        <v/>
      </c>
      <c r="E187" s="20" t="str">
        <f aca="false">IFERROR(INDEX(Metrics!$I$5:$I$254,MATCH(37,Metrics!$S$5:$S$254,0))&amp;"","")</f>
        <v/>
      </c>
      <c r="F187" s="20" t="str">
        <f aca="false">IFERROR(INDEX(Metrics!$K$5:$K$254,MATCH(37,Metrics!$S$5:$S$254,0)),"")</f>
        <v/>
      </c>
    </row>
    <row r="188" customFormat="false" ht="15" hidden="false" customHeight="false" outlineLevel="0" collapsed="false">
      <c r="A188" s="20" t="str">
        <f aca="false">IFERROR(INDEX(Metrics!$A$5:$A$254,MATCH(38,Metrics!$S$5:$S$254,0))&amp;"","")</f>
        <v/>
      </c>
      <c r="B188" s="20" t="str">
        <f aca="false">IFERROR(INDEX(Metrics!$B$5:$B$254,MATCH(38,Metrics!$S$5:$S$254,0))&amp;"","")</f>
        <v/>
      </c>
      <c r="C188" s="20" t="str">
        <f aca="false">IFERROR(INDEX(Metrics!$C$5:$C$254,MATCH(38,Metrics!$S$5:$S$254,0))&amp;"","")</f>
        <v/>
      </c>
      <c r="D188" s="20" t="str">
        <f aca="false">IFERROR(INDEX(Metrics!$D$5:$D$254,MATCH(38,Metrics!$S$5:$S$254,0))&amp;"","")</f>
        <v/>
      </c>
      <c r="E188" s="20" t="str">
        <f aca="false">IFERROR(INDEX(Metrics!$I$5:$I$254,MATCH(38,Metrics!$S$5:$S$254,0))&amp;"","")</f>
        <v/>
      </c>
      <c r="F188" s="20" t="str">
        <f aca="false">IFERROR(INDEX(Metrics!$K$5:$K$254,MATCH(38,Metrics!$S$5:$S$254,0)),"")</f>
        <v/>
      </c>
    </row>
    <row r="189" customFormat="false" ht="15" hidden="false" customHeight="false" outlineLevel="0" collapsed="false">
      <c r="A189" s="20" t="str">
        <f aca="false">IFERROR(INDEX(Metrics!$A$5:$A$254,MATCH(39,Metrics!$S$5:$S$254,0))&amp;"","")</f>
        <v/>
      </c>
      <c r="B189" s="20" t="str">
        <f aca="false">IFERROR(INDEX(Metrics!$B$5:$B$254,MATCH(39,Metrics!$S$5:$S$254,0))&amp;"","")</f>
        <v/>
      </c>
      <c r="C189" s="20" t="str">
        <f aca="false">IFERROR(INDEX(Metrics!$C$5:$C$254,MATCH(39,Metrics!$S$5:$S$254,0))&amp;"","")</f>
        <v/>
      </c>
      <c r="D189" s="20" t="str">
        <f aca="false">IFERROR(INDEX(Metrics!$D$5:$D$254,MATCH(39,Metrics!$S$5:$S$254,0))&amp;"","")</f>
        <v/>
      </c>
      <c r="E189" s="20" t="str">
        <f aca="false">IFERROR(INDEX(Metrics!$I$5:$I$254,MATCH(39,Metrics!$S$5:$S$254,0))&amp;"","")</f>
        <v/>
      </c>
      <c r="F189" s="20" t="str">
        <f aca="false">IFERROR(INDEX(Metrics!$K$5:$K$254,MATCH(39,Metrics!$S$5:$S$254,0)),"")</f>
        <v/>
      </c>
    </row>
    <row r="190" customFormat="false" ht="15" hidden="false" customHeight="false" outlineLevel="0" collapsed="false">
      <c r="A190" s="20" t="str">
        <f aca="false">IFERROR(INDEX(Metrics!$A$5:$A$254,MATCH(40,Metrics!$S$5:$S$254,0))&amp;"","")</f>
        <v/>
      </c>
      <c r="B190" s="20" t="str">
        <f aca="false">IFERROR(INDEX(Metrics!$B$5:$B$254,MATCH(40,Metrics!$S$5:$S$254,0))&amp;"","")</f>
        <v/>
      </c>
      <c r="C190" s="20" t="str">
        <f aca="false">IFERROR(INDEX(Metrics!$C$5:$C$254,MATCH(40,Metrics!$S$5:$S$254,0))&amp;"","")</f>
        <v/>
      </c>
      <c r="D190" s="20" t="str">
        <f aca="false">IFERROR(INDEX(Metrics!$D$5:$D$254,MATCH(40,Metrics!$S$5:$S$254,0))&amp;"","")</f>
        <v/>
      </c>
      <c r="E190" s="20" t="str">
        <f aca="false">IFERROR(INDEX(Metrics!$I$5:$I$254,MATCH(40,Metrics!$S$5:$S$254,0))&amp;"","")</f>
        <v/>
      </c>
      <c r="F190" s="20" t="str">
        <f aca="false">IFERROR(INDEX(Metrics!$K$5:$K$254,MATCH(40,Metrics!$S$5:$S$254,0)),"")</f>
        <v/>
      </c>
    </row>
    <row r="192" customFormat="false" ht="15" hidden="false" customHeight="false" outlineLevel="0" collapsed="false">
      <c r="A192" s="18" t="s">
        <v>112</v>
      </c>
    </row>
    <row r="193" customFormat="false" ht="15" hidden="false" customHeight="false" outlineLevel="0" collapsed="false">
      <c r="A193" s="17" t="s">
        <v>113</v>
      </c>
      <c r="C193" s="19" t="str">
        <f aca="false">HYPERLINK("#'Decisions'!A1","top")</f>
        <v>top</v>
      </c>
    </row>
    <row r="194" customFormat="false" ht="31.5" hidden="false" customHeight="true" outlineLevel="0" collapsed="false">
      <c r="A194" s="11" t="s">
        <v>114</v>
      </c>
      <c r="B194" s="11" t="s">
        <v>115</v>
      </c>
      <c r="C194" s="11" t="s">
        <v>116</v>
      </c>
      <c r="D194" s="11" t="s">
        <v>117</v>
      </c>
      <c r="E194" s="11" t="s">
        <v>118</v>
      </c>
      <c r="F194" s="11" t="s">
        <v>119</v>
      </c>
    </row>
    <row r="195" customFormat="false" ht="23.85" hidden="false" customHeight="false" outlineLevel="0" collapsed="false">
      <c r="A195" s="20" t="str">
        <f aca="false">IFERROR(INDEX(Fields!$A$5:$A$604,MATCH(1,Fields!$T$5:$T$604,0))&amp;"","")</f>
        <v>F-003</v>
      </c>
      <c r="B195" s="20" t="str">
        <f aca="false">IFERROR(INDEX(Fields!$B$5:$B$604,MATCH(1,Fields!$T$5:$T$604,0))&amp;"","")</f>
        <v>Evergreen flag</v>
      </c>
      <c r="C195" s="20" t="str">
        <f aca="false">IFERROR(INDEX(Fields!$E$5:$E$604,MATCH(1,Fields!$T$5:$T$604,0))&amp;"","")</f>
        <v>HRDW requisition table</v>
      </c>
      <c r="D195" s="20" t="str">
        <f aca="false">IFERROR(INDEX(Fields!$L$5:$L$604,MATCH(1,Fields!$T$5:$T$604,0))&amp;"","")</f>
        <v>Flag arrives blank for some requisitions; PDP to fix at source.</v>
      </c>
      <c r="E195" s="20" t="n">
        <f aca="false">IFERROR(INDEX(Fields!$N$5:$N$604,MATCH(1,Fields!$T$5:$T$604,0)),"")</f>
        <v>2</v>
      </c>
      <c r="F195" s="20" t="n">
        <f aca="false">IFERROR(INDEX(Fields!$O$5:$O$604,MATCH(1,Fields!$T$5:$T$604,0)),"")</f>
        <v>3</v>
      </c>
    </row>
    <row r="196" customFormat="false" ht="15" hidden="false" customHeight="false" outlineLevel="0" collapsed="false">
      <c r="A196" s="20" t="str">
        <f aca="false">IFERROR(INDEX(Fields!$A$5:$A$604,MATCH(2,Fields!$T$5:$T$604,0))&amp;"","")</f>
        <v/>
      </c>
      <c r="B196" s="20" t="str">
        <f aca="false">IFERROR(INDEX(Fields!$B$5:$B$604,MATCH(2,Fields!$T$5:$T$604,0))&amp;"","")</f>
        <v/>
      </c>
      <c r="C196" s="20" t="str">
        <f aca="false">IFERROR(INDEX(Fields!$E$5:$E$604,MATCH(2,Fields!$T$5:$T$604,0))&amp;"","")</f>
        <v/>
      </c>
      <c r="D196" s="20" t="str">
        <f aca="false">IFERROR(INDEX(Fields!$L$5:$L$604,MATCH(2,Fields!$T$5:$T$604,0))&amp;"","")</f>
        <v/>
      </c>
      <c r="E196" s="20" t="str">
        <f aca="false">IFERROR(INDEX(Fields!$N$5:$N$604,MATCH(2,Fields!$T$5:$T$604,0)),"")</f>
        <v/>
      </c>
      <c r="F196" s="20" t="str">
        <f aca="false">IFERROR(INDEX(Fields!$O$5:$O$604,MATCH(2,Fields!$T$5:$T$604,0)),"")</f>
        <v/>
      </c>
    </row>
    <row r="197" customFormat="false" ht="15" hidden="false" customHeight="false" outlineLevel="0" collapsed="false">
      <c r="A197" s="20" t="str">
        <f aca="false">IFERROR(INDEX(Fields!$A$5:$A$604,MATCH(3,Fields!$T$5:$T$604,0))&amp;"","")</f>
        <v/>
      </c>
      <c r="B197" s="20" t="str">
        <f aca="false">IFERROR(INDEX(Fields!$B$5:$B$604,MATCH(3,Fields!$T$5:$T$604,0))&amp;"","")</f>
        <v/>
      </c>
      <c r="C197" s="20" t="str">
        <f aca="false">IFERROR(INDEX(Fields!$E$5:$E$604,MATCH(3,Fields!$T$5:$T$604,0))&amp;"","")</f>
        <v/>
      </c>
      <c r="D197" s="20" t="str">
        <f aca="false">IFERROR(INDEX(Fields!$L$5:$L$604,MATCH(3,Fields!$T$5:$T$604,0))&amp;"","")</f>
        <v/>
      </c>
      <c r="E197" s="20" t="str">
        <f aca="false">IFERROR(INDEX(Fields!$N$5:$N$604,MATCH(3,Fields!$T$5:$T$604,0)),"")</f>
        <v/>
      </c>
      <c r="F197" s="20" t="str">
        <f aca="false">IFERROR(INDEX(Fields!$O$5:$O$604,MATCH(3,Fields!$T$5:$T$604,0)),"")</f>
        <v/>
      </c>
    </row>
    <row r="198" customFormat="false" ht="15" hidden="false" customHeight="false" outlineLevel="0" collapsed="false">
      <c r="A198" s="20" t="str">
        <f aca="false">IFERROR(INDEX(Fields!$A$5:$A$604,MATCH(4,Fields!$T$5:$T$604,0))&amp;"","")</f>
        <v/>
      </c>
      <c r="B198" s="20" t="str">
        <f aca="false">IFERROR(INDEX(Fields!$B$5:$B$604,MATCH(4,Fields!$T$5:$T$604,0))&amp;"","")</f>
        <v/>
      </c>
      <c r="C198" s="20" t="str">
        <f aca="false">IFERROR(INDEX(Fields!$E$5:$E$604,MATCH(4,Fields!$T$5:$T$604,0))&amp;"","")</f>
        <v/>
      </c>
      <c r="D198" s="20" t="str">
        <f aca="false">IFERROR(INDEX(Fields!$L$5:$L$604,MATCH(4,Fields!$T$5:$T$604,0))&amp;"","")</f>
        <v/>
      </c>
      <c r="E198" s="20" t="str">
        <f aca="false">IFERROR(INDEX(Fields!$N$5:$N$604,MATCH(4,Fields!$T$5:$T$604,0)),"")</f>
        <v/>
      </c>
      <c r="F198" s="20" t="str">
        <f aca="false">IFERROR(INDEX(Fields!$O$5:$O$604,MATCH(4,Fields!$T$5:$T$604,0)),"")</f>
        <v/>
      </c>
    </row>
    <row r="199" customFormat="false" ht="15" hidden="false" customHeight="false" outlineLevel="0" collapsed="false">
      <c r="A199" s="20" t="str">
        <f aca="false">IFERROR(INDEX(Fields!$A$5:$A$604,MATCH(5,Fields!$T$5:$T$604,0))&amp;"","")</f>
        <v/>
      </c>
      <c r="B199" s="20" t="str">
        <f aca="false">IFERROR(INDEX(Fields!$B$5:$B$604,MATCH(5,Fields!$T$5:$T$604,0))&amp;"","")</f>
        <v/>
      </c>
      <c r="C199" s="20" t="str">
        <f aca="false">IFERROR(INDEX(Fields!$E$5:$E$604,MATCH(5,Fields!$T$5:$T$604,0))&amp;"","")</f>
        <v/>
      </c>
      <c r="D199" s="20" t="str">
        <f aca="false">IFERROR(INDEX(Fields!$L$5:$L$604,MATCH(5,Fields!$T$5:$T$604,0))&amp;"","")</f>
        <v/>
      </c>
      <c r="E199" s="20" t="str">
        <f aca="false">IFERROR(INDEX(Fields!$N$5:$N$604,MATCH(5,Fields!$T$5:$T$604,0)),"")</f>
        <v/>
      </c>
      <c r="F199" s="20" t="str">
        <f aca="false">IFERROR(INDEX(Fields!$O$5:$O$604,MATCH(5,Fields!$T$5:$T$604,0)),"")</f>
        <v/>
      </c>
    </row>
    <row r="200" customFormat="false" ht="15" hidden="false" customHeight="false" outlineLevel="0" collapsed="false">
      <c r="A200" s="20" t="str">
        <f aca="false">IFERROR(INDEX(Fields!$A$5:$A$604,MATCH(6,Fields!$T$5:$T$604,0))&amp;"","")</f>
        <v/>
      </c>
      <c r="B200" s="20" t="str">
        <f aca="false">IFERROR(INDEX(Fields!$B$5:$B$604,MATCH(6,Fields!$T$5:$T$604,0))&amp;"","")</f>
        <v/>
      </c>
      <c r="C200" s="20" t="str">
        <f aca="false">IFERROR(INDEX(Fields!$E$5:$E$604,MATCH(6,Fields!$T$5:$T$604,0))&amp;"","")</f>
        <v/>
      </c>
      <c r="D200" s="20" t="str">
        <f aca="false">IFERROR(INDEX(Fields!$L$5:$L$604,MATCH(6,Fields!$T$5:$T$604,0))&amp;"","")</f>
        <v/>
      </c>
      <c r="E200" s="20" t="str">
        <f aca="false">IFERROR(INDEX(Fields!$N$5:$N$604,MATCH(6,Fields!$T$5:$T$604,0)),"")</f>
        <v/>
      </c>
      <c r="F200" s="20" t="str">
        <f aca="false">IFERROR(INDEX(Fields!$O$5:$O$604,MATCH(6,Fields!$T$5:$T$604,0)),"")</f>
        <v/>
      </c>
    </row>
    <row r="201" customFormat="false" ht="15" hidden="false" customHeight="false" outlineLevel="0" collapsed="false">
      <c r="A201" s="20" t="str">
        <f aca="false">IFERROR(INDEX(Fields!$A$5:$A$604,MATCH(7,Fields!$T$5:$T$604,0))&amp;"","")</f>
        <v/>
      </c>
      <c r="B201" s="20" t="str">
        <f aca="false">IFERROR(INDEX(Fields!$B$5:$B$604,MATCH(7,Fields!$T$5:$T$604,0))&amp;"","")</f>
        <v/>
      </c>
      <c r="C201" s="20" t="str">
        <f aca="false">IFERROR(INDEX(Fields!$E$5:$E$604,MATCH(7,Fields!$T$5:$T$604,0))&amp;"","")</f>
        <v/>
      </c>
      <c r="D201" s="20" t="str">
        <f aca="false">IFERROR(INDEX(Fields!$L$5:$L$604,MATCH(7,Fields!$T$5:$T$604,0))&amp;"","")</f>
        <v/>
      </c>
      <c r="E201" s="20" t="str">
        <f aca="false">IFERROR(INDEX(Fields!$N$5:$N$604,MATCH(7,Fields!$T$5:$T$604,0)),"")</f>
        <v/>
      </c>
      <c r="F201" s="20" t="str">
        <f aca="false">IFERROR(INDEX(Fields!$O$5:$O$604,MATCH(7,Fields!$T$5:$T$604,0)),"")</f>
        <v/>
      </c>
    </row>
    <row r="202" customFormat="false" ht="15" hidden="false" customHeight="false" outlineLevel="0" collapsed="false">
      <c r="A202" s="20" t="str">
        <f aca="false">IFERROR(INDEX(Fields!$A$5:$A$604,MATCH(8,Fields!$T$5:$T$604,0))&amp;"","")</f>
        <v/>
      </c>
      <c r="B202" s="20" t="str">
        <f aca="false">IFERROR(INDEX(Fields!$B$5:$B$604,MATCH(8,Fields!$T$5:$T$604,0))&amp;"","")</f>
        <v/>
      </c>
      <c r="C202" s="20" t="str">
        <f aca="false">IFERROR(INDEX(Fields!$E$5:$E$604,MATCH(8,Fields!$T$5:$T$604,0))&amp;"","")</f>
        <v/>
      </c>
      <c r="D202" s="20" t="str">
        <f aca="false">IFERROR(INDEX(Fields!$L$5:$L$604,MATCH(8,Fields!$T$5:$T$604,0))&amp;"","")</f>
        <v/>
      </c>
      <c r="E202" s="20" t="str">
        <f aca="false">IFERROR(INDEX(Fields!$N$5:$N$604,MATCH(8,Fields!$T$5:$T$604,0)),"")</f>
        <v/>
      </c>
      <c r="F202" s="20" t="str">
        <f aca="false">IFERROR(INDEX(Fields!$O$5:$O$604,MATCH(8,Fields!$T$5:$T$604,0)),"")</f>
        <v/>
      </c>
    </row>
    <row r="203" customFormat="false" ht="15" hidden="false" customHeight="false" outlineLevel="0" collapsed="false">
      <c r="A203" s="20" t="str">
        <f aca="false">IFERROR(INDEX(Fields!$A$5:$A$604,MATCH(9,Fields!$T$5:$T$604,0))&amp;"","")</f>
        <v/>
      </c>
      <c r="B203" s="20" t="str">
        <f aca="false">IFERROR(INDEX(Fields!$B$5:$B$604,MATCH(9,Fields!$T$5:$T$604,0))&amp;"","")</f>
        <v/>
      </c>
      <c r="C203" s="20" t="str">
        <f aca="false">IFERROR(INDEX(Fields!$E$5:$E$604,MATCH(9,Fields!$T$5:$T$604,0))&amp;"","")</f>
        <v/>
      </c>
      <c r="D203" s="20" t="str">
        <f aca="false">IFERROR(INDEX(Fields!$L$5:$L$604,MATCH(9,Fields!$T$5:$T$604,0))&amp;"","")</f>
        <v/>
      </c>
      <c r="E203" s="20" t="str">
        <f aca="false">IFERROR(INDEX(Fields!$N$5:$N$604,MATCH(9,Fields!$T$5:$T$604,0)),"")</f>
        <v/>
      </c>
      <c r="F203" s="20" t="str">
        <f aca="false">IFERROR(INDEX(Fields!$O$5:$O$604,MATCH(9,Fields!$T$5:$T$604,0)),"")</f>
        <v/>
      </c>
    </row>
    <row r="204" customFormat="false" ht="15" hidden="false" customHeight="false" outlineLevel="0" collapsed="false">
      <c r="A204" s="20" t="str">
        <f aca="false">IFERROR(INDEX(Fields!$A$5:$A$604,MATCH(10,Fields!$T$5:$T$604,0))&amp;"","")</f>
        <v/>
      </c>
      <c r="B204" s="20" t="str">
        <f aca="false">IFERROR(INDEX(Fields!$B$5:$B$604,MATCH(10,Fields!$T$5:$T$604,0))&amp;"","")</f>
        <v/>
      </c>
      <c r="C204" s="20" t="str">
        <f aca="false">IFERROR(INDEX(Fields!$E$5:$E$604,MATCH(10,Fields!$T$5:$T$604,0))&amp;"","")</f>
        <v/>
      </c>
      <c r="D204" s="20" t="str">
        <f aca="false">IFERROR(INDEX(Fields!$L$5:$L$604,MATCH(10,Fields!$T$5:$T$604,0))&amp;"","")</f>
        <v/>
      </c>
      <c r="E204" s="20" t="str">
        <f aca="false">IFERROR(INDEX(Fields!$N$5:$N$604,MATCH(10,Fields!$T$5:$T$604,0)),"")</f>
        <v/>
      </c>
      <c r="F204" s="20" t="str">
        <f aca="false">IFERROR(INDEX(Fields!$O$5:$O$604,MATCH(10,Fields!$T$5:$T$604,0)),"")</f>
        <v/>
      </c>
    </row>
    <row r="205" customFormat="false" ht="15" hidden="false" customHeight="false" outlineLevel="0" collapsed="false">
      <c r="A205" s="20" t="str">
        <f aca="false">IFERROR(INDEX(Fields!$A$5:$A$604,MATCH(11,Fields!$T$5:$T$604,0))&amp;"","")</f>
        <v/>
      </c>
      <c r="B205" s="20" t="str">
        <f aca="false">IFERROR(INDEX(Fields!$B$5:$B$604,MATCH(11,Fields!$T$5:$T$604,0))&amp;"","")</f>
        <v/>
      </c>
      <c r="C205" s="20" t="str">
        <f aca="false">IFERROR(INDEX(Fields!$E$5:$E$604,MATCH(11,Fields!$T$5:$T$604,0))&amp;"","")</f>
        <v/>
      </c>
      <c r="D205" s="20" t="str">
        <f aca="false">IFERROR(INDEX(Fields!$L$5:$L$604,MATCH(11,Fields!$T$5:$T$604,0))&amp;"","")</f>
        <v/>
      </c>
      <c r="E205" s="20" t="str">
        <f aca="false">IFERROR(INDEX(Fields!$N$5:$N$604,MATCH(11,Fields!$T$5:$T$604,0)),"")</f>
        <v/>
      </c>
      <c r="F205" s="20" t="str">
        <f aca="false">IFERROR(INDEX(Fields!$O$5:$O$604,MATCH(11,Fields!$T$5:$T$604,0)),"")</f>
        <v/>
      </c>
    </row>
    <row r="206" customFormat="false" ht="15" hidden="false" customHeight="false" outlineLevel="0" collapsed="false">
      <c r="A206" s="20" t="str">
        <f aca="false">IFERROR(INDEX(Fields!$A$5:$A$604,MATCH(12,Fields!$T$5:$T$604,0))&amp;"","")</f>
        <v/>
      </c>
      <c r="B206" s="20" t="str">
        <f aca="false">IFERROR(INDEX(Fields!$B$5:$B$604,MATCH(12,Fields!$T$5:$T$604,0))&amp;"","")</f>
        <v/>
      </c>
      <c r="C206" s="20" t="str">
        <f aca="false">IFERROR(INDEX(Fields!$E$5:$E$604,MATCH(12,Fields!$T$5:$T$604,0))&amp;"","")</f>
        <v/>
      </c>
      <c r="D206" s="20" t="str">
        <f aca="false">IFERROR(INDEX(Fields!$L$5:$L$604,MATCH(12,Fields!$T$5:$T$604,0))&amp;"","")</f>
        <v/>
      </c>
      <c r="E206" s="20" t="str">
        <f aca="false">IFERROR(INDEX(Fields!$N$5:$N$604,MATCH(12,Fields!$T$5:$T$604,0)),"")</f>
        <v/>
      </c>
      <c r="F206" s="20" t="str">
        <f aca="false">IFERROR(INDEX(Fields!$O$5:$O$604,MATCH(12,Fields!$T$5:$T$604,0)),"")</f>
        <v/>
      </c>
    </row>
    <row r="207" customFormat="false" ht="15" hidden="false" customHeight="false" outlineLevel="0" collapsed="false">
      <c r="A207" s="20" t="str">
        <f aca="false">IFERROR(INDEX(Fields!$A$5:$A$604,MATCH(13,Fields!$T$5:$T$604,0))&amp;"","")</f>
        <v/>
      </c>
      <c r="B207" s="20" t="str">
        <f aca="false">IFERROR(INDEX(Fields!$B$5:$B$604,MATCH(13,Fields!$T$5:$T$604,0))&amp;"","")</f>
        <v/>
      </c>
      <c r="C207" s="20" t="str">
        <f aca="false">IFERROR(INDEX(Fields!$E$5:$E$604,MATCH(13,Fields!$T$5:$T$604,0))&amp;"","")</f>
        <v/>
      </c>
      <c r="D207" s="20" t="str">
        <f aca="false">IFERROR(INDEX(Fields!$L$5:$L$604,MATCH(13,Fields!$T$5:$T$604,0))&amp;"","")</f>
        <v/>
      </c>
      <c r="E207" s="20" t="str">
        <f aca="false">IFERROR(INDEX(Fields!$N$5:$N$604,MATCH(13,Fields!$T$5:$T$604,0)),"")</f>
        <v/>
      </c>
      <c r="F207" s="20" t="str">
        <f aca="false">IFERROR(INDEX(Fields!$O$5:$O$604,MATCH(13,Fields!$T$5:$T$604,0)),"")</f>
        <v/>
      </c>
    </row>
    <row r="208" customFormat="false" ht="15" hidden="false" customHeight="false" outlineLevel="0" collapsed="false">
      <c r="A208" s="20" t="str">
        <f aca="false">IFERROR(INDEX(Fields!$A$5:$A$604,MATCH(14,Fields!$T$5:$T$604,0))&amp;"","")</f>
        <v/>
      </c>
      <c r="B208" s="20" t="str">
        <f aca="false">IFERROR(INDEX(Fields!$B$5:$B$604,MATCH(14,Fields!$T$5:$T$604,0))&amp;"","")</f>
        <v/>
      </c>
      <c r="C208" s="20" t="str">
        <f aca="false">IFERROR(INDEX(Fields!$E$5:$E$604,MATCH(14,Fields!$T$5:$T$604,0))&amp;"","")</f>
        <v/>
      </c>
      <c r="D208" s="20" t="str">
        <f aca="false">IFERROR(INDEX(Fields!$L$5:$L$604,MATCH(14,Fields!$T$5:$T$604,0))&amp;"","")</f>
        <v/>
      </c>
      <c r="E208" s="20" t="str">
        <f aca="false">IFERROR(INDEX(Fields!$N$5:$N$604,MATCH(14,Fields!$T$5:$T$604,0)),"")</f>
        <v/>
      </c>
      <c r="F208" s="20" t="str">
        <f aca="false">IFERROR(INDEX(Fields!$O$5:$O$604,MATCH(14,Fields!$T$5:$T$604,0)),"")</f>
        <v/>
      </c>
    </row>
    <row r="209" customFormat="false" ht="15" hidden="false" customHeight="false" outlineLevel="0" collapsed="false">
      <c r="A209" s="20" t="str">
        <f aca="false">IFERROR(INDEX(Fields!$A$5:$A$604,MATCH(15,Fields!$T$5:$T$604,0))&amp;"","")</f>
        <v/>
      </c>
      <c r="B209" s="20" t="str">
        <f aca="false">IFERROR(INDEX(Fields!$B$5:$B$604,MATCH(15,Fields!$T$5:$T$604,0))&amp;"","")</f>
        <v/>
      </c>
      <c r="C209" s="20" t="str">
        <f aca="false">IFERROR(INDEX(Fields!$E$5:$E$604,MATCH(15,Fields!$T$5:$T$604,0))&amp;"","")</f>
        <v/>
      </c>
      <c r="D209" s="20" t="str">
        <f aca="false">IFERROR(INDEX(Fields!$L$5:$L$604,MATCH(15,Fields!$T$5:$T$604,0))&amp;"","")</f>
        <v/>
      </c>
      <c r="E209" s="20" t="str">
        <f aca="false">IFERROR(INDEX(Fields!$N$5:$N$604,MATCH(15,Fields!$T$5:$T$604,0)),"")</f>
        <v/>
      </c>
      <c r="F209" s="20" t="str">
        <f aca="false">IFERROR(INDEX(Fields!$O$5:$O$604,MATCH(15,Fields!$T$5:$T$604,0)),"")</f>
        <v/>
      </c>
    </row>
    <row r="210" customFormat="false" ht="15" hidden="false" customHeight="false" outlineLevel="0" collapsed="false">
      <c r="A210" s="20" t="str">
        <f aca="false">IFERROR(INDEX(Fields!$A$5:$A$604,MATCH(16,Fields!$T$5:$T$604,0))&amp;"","")</f>
        <v/>
      </c>
      <c r="B210" s="20" t="str">
        <f aca="false">IFERROR(INDEX(Fields!$B$5:$B$604,MATCH(16,Fields!$T$5:$T$604,0))&amp;"","")</f>
        <v/>
      </c>
      <c r="C210" s="20" t="str">
        <f aca="false">IFERROR(INDEX(Fields!$E$5:$E$604,MATCH(16,Fields!$T$5:$T$604,0))&amp;"","")</f>
        <v/>
      </c>
      <c r="D210" s="20" t="str">
        <f aca="false">IFERROR(INDEX(Fields!$L$5:$L$604,MATCH(16,Fields!$T$5:$T$604,0))&amp;"","")</f>
        <v/>
      </c>
      <c r="E210" s="20" t="str">
        <f aca="false">IFERROR(INDEX(Fields!$N$5:$N$604,MATCH(16,Fields!$T$5:$T$604,0)),"")</f>
        <v/>
      </c>
      <c r="F210" s="20" t="str">
        <f aca="false">IFERROR(INDEX(Fields!$O$5:$O$604,MATCH(16,Fields!$T$5:$T$604,0)),"")</f>
        <v/>
      </c>
    </row>
    <row r="211" customFormat="false" ht="15" hidden="false" customHeight="false" outlineLevel="0" collapsed="false">
      <c r="A211" s="20" t="str">
        <f aca="false">IFERROR(INDEX(Fields!$A$5:$A$604,MATCH(17,Fields!$T$5:$T$604,0))&amp;"","")</f>
        <v/>
      </c>
      <c r="B211" s="20" t="str">
        <f aca="false">IFERROR(INDEX(Fields!$B$5:$B$604,MATCH(17,Fields!$T$5:$T$604,0))&amp;"","")</f>
        <v/>
      </c>
      <c r="C211" s="20" t="str">
        <f aca="false">IFERROR(INDEX(Fields!$E$5:$E$604,MATCH(17,Fields!$T$5:$T$604,0))&amp;"","")</f>
        <v/>
      </c>
      <c r="D211" s="20" t="str">
        <f aca="false">IFERROR(INDEX(Fields!$L$5:$L$604,MATCH(17,Fields!$T$5:$T$604,0))&amp;"","")</f>
        <v/>
      </c>
      <c r="E211" s="20" t="str">
        <f aca="false">IFERROR(INDEX(Fields!$N$5:$N$604,MATCH(17,Fields!$T$5:$T$604,0)),"")</f>
        <v/>
      </c>
      <c r="F211" s="20" t="str">
        <f aca="false">IFERROR(INDEX(Fields!$O$5:$O$604,MATCH(17,Fields!$T$5:$T$604,0)),"")</f>
        <v/>
      </c>
    </row>
    <row r="212" customFormat="false" ht="15" hidden="false" customHeight="false" outlineLevel="0" collapsed="false">
      <c r="A212" s="20" t="str">
        <f aca="false">IFERROR(INDEX(Fields!$A$5:$A$604,MATCH(18,Fields!$T$5:$T$604,0))&amp;"","")</f>
        <v/>
      </c>
      <c r="B212" s="20" t="str">
        <f aca="false">IFERROR(INDEX(Fields!$B$5:$B$604,MATCH(18,Fields!$T$5:$T$604,0))&amp;"","")</f>
        <v/>
      </c>
      <c r="C212" s="20" t="str">
        <f aca="false">IFERROR(INDEX(Fields!$E$5:$E$604,MATCH(18,Fields!$T$5:$T$604,0))&amp;"","")</f>
        <v/>
      </c>
      <c r="D212" s="20" t="str">
        <f aca="false">IFERROR(INDEX(Fields!$L$5:$L$604,MATCH(18,Fields!$T$5:$T$604,0))&amp;"","")</f>
        <v/>
      </c>
      <c r="E212" s="20" t="str">
        <f aca="false">IFERROR(INDEX(Fields!$N$5:$N$604,MATCH(18,Fields!$T$5:$T$604,0)),"")</f>
        <v/>
      </c>
      <c r="F212" s="20" t="str">
        <f aca="false">IFERROR(INDEX(Fields!$O$5:$O$604,MATCH(18,Fields!$T$5:$T$604,0)),"")</f>
        <v/>
      </c>
    </row>
    <row r="213" customFormat="false" ht="15" hidden="false" customHeight="false" outlineLevel="0" collapsed="false">
      <c r="A213" s="20" t="str">
        <f aca="false">IFERROR(INDEX(Fields!$A$5:$A$604,MATCH(19,Fields!$T$5:$T$604,0))&amp;"","")</f>
        <v/>
      </c>
      <c r="B213" s="20" t="str">
        <f aca="false">IFERROR(INDEX(Fields!$B$5:$B$604,MATCH(19,Fields!$T$5:$T$604,0))&amp;"","")</f>
        <v/>
      </c>
      <c r="C213" s="20" t="str">
        <f aca="false">IFERROR(INDEX(Fields!$E$5:$E$604,MATCH(19,Fields!$T$5:$T$604,0))&amp;"","")</f>
        <v/>
      </c>
      <c r="D213" s="20" t="str">
        <f aca="false">IFERROR(INDEX(Fields!$L$5:$L$604,MATCH(19,Fields!$T$5:$T$604,0))&amp;"","")</f>
        <v/>
      </c>
      <c r="E213" s="20" t="str">
        <f aca="false">IFERROR(INDEX(Fields!$N$5:$N$604,MATCH(19,Fields!$T$5:$T$604,0)),"")</f>
        <v/>
      </c>
      <c r="F213" s="20" t="str">
        <f aca="false">IFERROR(INDEX(Fields!$O$5:$O$604,MATCH(19,Fields!$T$5:$T$604,0)),"")</f>
        <v/>
      </c>
    </row>
    <row r="214" customFormat="false" ht="15" hidden="false" customHeight="false" outlineLevel="0" collapsed="false">
      <c r="A214" s="20" t="str">
        <f aca="false">IFERROR(INDEX(Fields!$A$5:$A$604,MATCH(20,Fields!$T$5:$T$604,0))&amp;"","")</f>
        <v/>
      </c>
      <c r="B214" s="20" t="str">
        <f aca="false">IFERROR(INDEX(Fields!$B$5:$B$604,MATCH(20,Fields!$T$5:$T$604,0))&amp;"","")</f>
        <v/>
      </c>
      <c r="C214" s="20" t="str">
        <f aca="false">IFERROR(INDEX(Fields!$E$5:$E$604,MATCH(20,Fields!$T$5:$T$604,0))&amp;"","")</f>
        <v/>
      </c>
      <c r="D214" s="20" t="str">
        <f aca="false">IFERROR(INDEX(Fields!$L$5:$L$604,MATCH(20,Fields!$T$5:$T$604,0))&amp;"","")</f>
        <v/>
      </c>
      <c r="E214" s="20" t="str">
        <f aca="false">IFERROR(INDEX(Fields!$N$5:$N$604,MATCH(20,Fields!$T$5:$T$604,0)),"")</f>
        <v/>
      </c>
      <c r="F214" s="20" t="str">
        <f aca="false">IFERROR(INDEX(Fields!$O$5:$O$604,MATCH(20,Fields!$T$5:$T$604,0)),"")</f>
        <v/>
      </c>
    </row>
    <row r="215" customFormat="false" ht="15" hidden="false" customHeight="false" outlineLevel="0" collapsed="false">
      <c r="A215" s="20" t="str">
        <f aca="false">IFERROR(INDEX(Fields!$A$5:$A$604,MATCH(21,Fields!$T$5:$T$604,0))&amp;"","")</f>
        <v/>
      </c>
      <c r="B215" s="20" t="str">
        <f aca="false">IFERROR(INDEX(Fields!$B$5:$B$604,MATCH(21,Fields!$T$5:$T$604,0))&amp;"","")</f>
        <v/>
      </c>
      <c r="C215" s="20" t="str">
        <f aca="false">IFERROR(INDEX(Fields!$E$5:$E$604,MATCH(21,Fields!$T$5:$T$604,0))&amp;"","")</f>
        <v/>
      </c>
      <c r="D215" s="20" t="str">
        <f aca="false">IFERROR(INDEX(Fields!$L$5:$L$604,MATCH(21,Fields!$T$5:$T$604,0))&amp;"","")</f>
        <v/>
      </c>
      <c r="E215" s="20" t="str">
        <f aca="false">IFERROR(INDEX(Fields!$N$5:$N$604,MATCH(21,Fields!$T$5:$T$604,0)),"")</f>
        <v/>
      </c>
      <c r="F215" s="20" t="str">
        <f aca="false">IFERROR(INDEX(Fields!$O$5:$O$604,MATCH(21,Fields!$T$5:$T$604,0)),"")</f>
        <v/>
      </c>
    </row>
    <row r="216" customFormat="false" ht="15" hidden="false" customHeight="false" outlineLevel="0" collapsed="false">
      <c r="A216" s="20" t="str">
        <f aca="false">IFERROR(INDEX(Fields!$A$5:$A$604,MATCH(22,Fields!$T$5:$T$604,0))&amp;"","")</f>
        <v/>
      </c>
      <c r="B216" s="20" t="str">
        <f aca="false">IFERROR(INDEX(Fields!$B$5:$B$604,MATCH(22,Fields!$T$5:$T$604,0))&amp;"","")</f>
        <v/>
      </c>
      <c r="C216" s="20" t="str">
        <f aca="false">IFERROR(INDEX(Fields!$E$5:$E$604,MATCH(22,Fields!$T$5:$T$604,0))&amp;"","")</f>
        <v/>
      </c>
      <c r="D216" s="20" t="str">
        <f aca="false">IFERROR(INDEX(Fields!$L$5:$L$604,MATCH(22,Fields!$T$5:$T$604,0))&amp;"","")</f>
        <v/>
      </c>
      <c r="E216" s="20" t="str">
        <f aca="false">IFERROR(INDEX(Fields!$N$5:$N$604,MATCH(22,Fields!$T$5:$T$604,0)),"")</f>
        <v/>
      </c>
      <c r="F216" s="20" t="str">
        <f aca="false">IFERROR(INDEX(Fields!$O$5:$O$604,MATCH(22,Fields!$T$5:$T$604,0)),"")</f>
        <v/>
      </c>
    </row>
    <row r="217" customFormat="false" ht="15" hidden="false" customHeight="false" outlineLevel="0" collapsed="false">
      <c r="A217" s="20" t="str">
        <f aca="false">IFERROR(INDEX(Fields!$A$5:$A$604,MATCH(23,Fields!$T$5:$T$604,0))&amp;"","")</f>
        <v/>
      </c>
      <c r="B217" s="20" t="str">
        <f aca="false">IFERROR(INDEX(Fields!$B$5:$B$604,MATCH(23,Fields!$T$5:$T$604,0))&amp;"","")</f>
        <v/>
      </c>
      <c r="C217" s="20" t="str">
        <f aca="false">IFERROR(INDEX(Fields!$E$5:$E$604,MATCH(23,Fields!$T$5:$T$604,0))&amp;"","")</f>
        <v/>
      </c>
      <c r="D217" s="20" t="str">
        <f aca="false">IFERROR(INDEX(Fields!$L$5:$L$604,MATCH(23,Fields!$T$5:$T$604,0))&amp;"","")</f>
        <v/>
      </c>
      <c r="E217" s="20" t="str">
        <f aca="false">IFERROR(INDEX(Fields!$N$5:$N$604,MATCH(23,Fields!$T$5:$T$604,0)),"")</f>
        <v/>
      </c>
      <c r="F217" s="20" t="str">
        <f aca="false">IFERROR(INDEX(Fields!$O$5:$O$604,MATCH(23,Fields!$T$5:$T$604,0)),"")</f>
        <v/>
      </c>
    </row>
    <row r="218" customFormat="false" ht="15" hidden="false" customHeight="false" outlineLevel="0" collapsed="false">
      <c r="A218" s="20" t="str">
        <f aca="false">IFERROR(INDEX(Fields!$A$5:$A$604,MATCH(24,Fields!$T$5:$T$604,0))&amp;"","")</f>
        <v/>
      </c>
      <c r="B218" s="20" t="str">
        <f aca="false">IFERROR(INDEX(Fields!$B$5:$B$604,MATCH(24,Fields!$T$5:$T$604,0))&amp;"","")</f>
        <v/>
      </c>
      <c r="C218" s="20" t="str">
        <f aca="false">IFERROR(INDEX(Fields!$E$5:$E$604,MATCH(24,Fields!$T$5:$T$604,0))&amp;"","")</f>
        <v/>
      </c>
      <c r="D218" s="20" t="str">
        <f aca="false">IFERROR(INDEX(Fields!$L$5:$L$604,MATCH(24,Fields!$T$5:$T$604,0))&amp;"","")</f>
        <v/>
      </c>
      <c r="E218" s="20" t="str">
        <f aca="false">IFERROR(INDEX(Fields!$N$5:$N$604,MATCH(24,Fields!$T$5:$T$604,0)),"")</f>
        <v/>
      </c>
      <c r="F218" s="20" t="str">
        <f aca="false">IFERROR(INDEX(Fields!$O$5:$O$604,MATCH(24,Fields!$T$5:$T$604,0)),"")</f>
        <v/>
      </c>
    </row>
    <row r="219" customFormat="false" ht="15" hidden="false" customHeight="false" outlineLevel="0" collapsed="false">
      <c r="A219" s="20" t="str">
        <f aca="false">IFERROR(INDEX(Fields!$A$5:$A$604,MATCH(25,Fields!$T$5:$T$604,0))&amp;"","")</f>
        <v/>
      </c>
      <c r="B219" s="20" t="str">
        <f aca="false">IFERROR(INDEX(Fields!$B$5:$B$604,MATCH(25,Fields!$T$5:$T$604,0))&amp;"","")</f>
        <v/>
      </c>
      <c r="C219" s="20" t="str">
        <f aca="false">IFERROR(INDEX(Fields!$E$5:$E$604,MATCH(25,Fields!$T$5:$T$604,0))&amp;"","")</f>
        <v/>
      </c>
      <c r="D219" s="20" t="str">
        <f aca="false">IFERROR(INDEX(Fields!$L$5:$L$604,MATCH(25,Fields!$T$5:$T$604,0))&amp;"","")</f>
        <v/>
      </c>
      <c r="E219" s="20" t="str">
        <f aca="false">IFERROR(INDEX(Fields!$N$5:$N$604,MATCH(25,Fields!$T$5:$T$604,0)),"")</f>
        <v/>
      </c>
      <c r="F219" s="20" t="str">
        <f aca="false">IFERROR(INDEX(Fields!$O$5:$O$604,MATCH(25,Fields!$T$5:$T$604,0)),"")</f>
        <v/>
      </c>
    </row>
    <row r="220" customFormat="false" ht="15" hidden="false" customHeight="false" outlineLevel="0" collapsed="false">
      <c r="A220" s="20" t="str">
        <f aca="false">IFERROR(INDEX(Fields!$A$5:$A$604,MATCH(26,Fields!$T$5:$T$604,0))&amp;"","")</f>
        <v/>
      </c>
      <c r="B220" s="20" t="str">
        <f aca="false">IFERROR(INDEX(Fields!$B$5:$B$604,MATCH(26,Fields!$T$5:$T$604,0))&amp;"","")</f>
        <v/>
      </c>
      <c r="C220" s="20" t="str">
        <f aca="false">IFERROR(INDEX(Fields!$E$5:$E$604,MATCH(26,Fields!$T$5:$T$604,0))&amp;"","")</f>
        <v/>
      </c>
      <c r="D220" s="20" t="str">
        <f aca="false">IFERROR(INDEX(Fields!$L$5:$L$604,MATCH(26,Fields!$T$5:$T$604,0))&amp;"","")</f>
        <v/>
      </c>
      <c r="E220" s="20" t="str">
        <f aca="false">IFERROR(INDEX(Fields!$N$5:$N$604,MATCH(26,Fields!$T$5:$T$604,0)),"")</f>
        <v/>
      </c>
      <c r="F220" s="20" t="str">
        <f aca="false">IFERROR(INDEX(Fields!$O$5:$O$604,MATCH(26,Fields!$T$5:$T$604,0)),"")</f>
        <v/>
      </c>
    </row>
    <row r="221" customFormat="false" ht="15" hidden="false" customHeight="false" outlineLevel="0" collapsed="false">
      <c r="A221" s="20" t="str">
        <f aca="false">IFERROR(INDEX(Fields!$A$5:$A$604,MATCH(27,Fields!$T$5:$T$604,0))&amp;"","")</f>
        <v/>
      </c>
      <c r="B221" s="20" t="str">
        <f aca="false">IFERROR(INDEX(Fields!$B$5:$B$604,MATCH(27,Fields!$T$5:$T$604,0))&amp;"","")</f>
        <v/>
      </c>
      <c r="C221" s="20" t="str">
        <f aca="false">IFERROR(INDEX(Fields!$E$5:$E$604,MATCH(27,Fields!$T$5:$T$604,0))&amp;"","")</f>
        <v/>
      </c>
      <c r="D221" s="20" t="str">
        <f aca="false">IFERROR(INDEX(Fields!$L$5:$L$604,MATCH(27,Fields!$T$5:$T$604,0))&amp;"","")</f>
        <v/>
      </c>
      <c r="E221" s="20" t="str">
        <f aca="false">IFERROR(INDEX(Fields!$N$5:$N$604,MATCH(27,Fields!$T$5:$T$604,0)),"")</f>
        <v/>
      </c>
      <c r="F221" s="20" t="str">
        <f aca="false">IFERROR(INDEX(Fields!$O$5:$O$604,MATCH(27,Fields!$T$5:$T$604,0)),"")</f>
        <v/>
      </c>
    </row>
    <row r="222" customFormat="false" ht="15" hidden="false" customHeight="false" outlineLevel="0" collapsed="false">
      <c r="A222" s="20" t="str">
        <f aca="false">IFERROR(INDEX(Fields!$A$5:$A$604,MATCH(28,Fields!$T$5:$T$604,0))&amp;"","")</f>
        <v/>
      </c>
      <c r="B222" s="20" t="str">
        <f aca="false">IFERROR(INDEX(Fields!$B$5:$B$604,MATCH(28,Fields!$T$5:$T$604,0))&amp;"","")</f>
        <v/>
      </c>
      <c r="C222" s="20" t="str">
        <f aca="false">IFERROR(INDEX(Fields!$E$5:$E$604,MATCH(28,Fields!$T$5:$T$604,0))&amp;"","")</f>
        <v/>
      </c>
      <c r="D222" s="20" t="str">
        <f aca="false">IFERROR(INDEX(Fields!$L$5:$L$604,MATCH(28,Fields!$T$5:$T$604,0))&amp;"","")</f>
        <v/>
      </c>
      <c r="E222" s="20" t="str">
        <f aca="false">IFERROR(INDEX(Fields!$N$5:$N$604,MATCH(28,Fields!$T$5:$T$604,0)),"")</f>
        <v/>
      </c>
      <c r="F222" s="20" t="str">
        <f aca="false">IFERROR(INDEX(Fields!$O$5:$O$604,MATCH(28,Fields!$T$5:$T$604,0)),"")</f>
        <v/>
      </c>
    </row>
    <row r="223" customFormat="false" ht="15" hidden="false" customHeight="false" outlineLevel="0" collapsed="false">
      <c r="A223" s="20" t="str">
        <f aca="false">IFERROR(INDEX(Fields!$A$5:$A$604,MATCH(29,Fields!$T$5:$T$604,0))&amp;"","")</f>
        <v/>
      </c>
      <c r="B223" s="20" t="str">
        <f aca="false">IFERROR(INDEX(Fields!$B$5:$B$604,MATCH(29,Fields!$T$5:$T$604,0))&amp;"","")</f>
        <v/>
      </c>
      <c r="C223" s="20" t="str">
        <f aca="false">IFERROR(INDEX(Fields!$E$5:$E$604,MATCH(29,Fields!$T$5:$T$604,0))&amp;"","")</f>
        <v/>
      </c>
      <c r="D223" s="20" t="str">
        <f aca="false">IFERROR(INDEX(Fields!$L$5:$L$604,MATCH(29,Fields!$T$5:$T$604,0))&amp;"","")</f>
        <v/>
      </c>
      <c r="E223" s="20" t="str">
        <f aca="false">IFERROR(INDEX(Fields!$N$5:$N$604,MATCH(29,Fields!$T$5:$T$604,0)),"")</f>
        <v/>
      </c>
      <c r="F223" s="20" t="str">
        <f aca="false">IFERROR(INDEX(Fields!$O$5:$O$604,MATCH(29,Fields!$T$5:$T$604,0)),"")</f>
        <v/>
      </c>
    </row>
    <row r="224" customFormat="false" ht="15" hidden="false" customHeight="false" outlineLevel="0" collapsed="false">
      <c r="A224" s="20" t="str">
        <f aca="false">IFERROR(INDEX(Fields!$A$5:$A$604,MATCH(30,Fields!$T$5:$T$604,0))&amp;"","")</f>
        <v/>
      </c>
      <c r="B224" s="20" t="str">
        <f aca="false">IFERROR(INDEX(Fields!$B$5:$B$604,MATCH(30,Fields!$T$5:$T$604,0))&amp;"","")</f>
        <v/>
      </c>
      <c r="C224" s="20" t="str">
        <f aca="false">IFERROR(INDEX(Fields!$E$5:$E$604,MATCH(30,Fields!$T$5:$T$604,0))&amp;"","")</f>
        <v/>
      </c>
      <c r="D224" s="20" t="str">
        <f aca="false">IFERROR(INDEX(Fields!$L$5:$L$604,MATCH(30,Fields!$T$5:$T$604,0))&amp;"","")</f>
        <v/>
      </c>
      <c r="E224" s="20" t="str">
        <f aca="false">IFERROR(INDEX(Fields!$N$5:$N$604,MATCH(30,Fields!$T$5:$T$604,0)),"")</f>
        <v/>
      </c>
      <c r="F224" s="20" t="str">
        <f aca="false">IFERROR(INDEX(Fields!$O$5:$O$604,MATCH(30,Fields!$T$5:$T$604,0)),"")</f>
        <v/>
      </c>
    </row>
    <row r="225" customFormat="false" ht="15" hidden="false" customHeight="false" outlineLevel="0" collapsed="false">
      <c r="A225" s="20" t="str">
        <f aca="false">IFERROR(INDEX(Fields!$A$5:$A$604,MATCH(31,Fields!$T$5:$T$604,0))&amp;"","")</f>
        <v/>
      </c>
      <c r="B225" s="20" t="str">
        <f aca="false">IFERROR(INDEX(Fields!$B$5:$B$604,MATCH(31,Fields!$T$5:$T$604,0))&amp;"","")</f>
        <v/>
      </c>
      <c r="C225" s="20" t="str">
        <f aca="false">IFERROR(INDEX(Fields!$E$5:$E$604,MATCH(31,Fields!$T$5:$T$604,0))&amp;"","")</f>
        <v/>
      </c>
      <c r="D225" s="20" t="str">
        <f aca="false">IFERROR(INDEX(Fields!$L$5:$L$604,MATCH(31,Fields!$T$5:$T$604,0))&amp;"","")</f>
        <v/>
      </c>
      <c r="E225" s="20" t="str">
        <f aca="false">IFERROR(INDEX(Fields!$N$5:$N$604,MATCH(31,Fields!$T$5:$T$604,0)),"")</f>
        <v/>
      </c>
      <c r="F225" s="20" t="str">
        <f aca="false">IFERROR(INDEX(Fields!$O$5:$O$604,MATCH(31,Fields!$T$5:$T$604,0)),"")</f>
        <v/>
      </c>
    </row>
    <row r="226" customFormat="false" ht="15" hidden="false" customHeight="false" outlineLevel="0" collapsed="false">
      <c r="A226" s="20" t="str">
        <f aca="false">IFERROR(INDEX(Fields!$A$5:$A$604,MATCH(32,Fields!$T$5:$T$604,0))&amp;"","")</f>
        <v/>
      </c>
      <c r="B226" s="20" t="str">
        <f aca="false">IFERROR(INDEX(Fields!$B$5:$B$604,MATCH(32,Fields!$T$5:$T$604,0))&amp;"","")</f>
        <v/>
      </c>
      <c r="C226" s="20" t="str">
        <f aca="false">IFERROR(INDEX(Fields!$E$5:$E$604,MATCH(32,Fields!$T$5:$T$604,0))&amp;"","")</f>
        <v/>
      </c>
      <c r="D226" s="20" t="str">
        <f aca="false">IFERROR(INDEX(Fields!$L$5:$L$604,MATCH(32,Fields!$T$5:$T$604,0))&amp;"","")</f>
        <v/>
      </c>
      <c r="E226" s="20" t="str">
        <f aca="false">IFERROR(INDEX(Fields!$N$5:$N$604,MATCH(32,Fields!$T$5:$T$604,0)),"")</f>
        <v/>
      </c>
      <c r="F226" s="20" t="str">
        <f aca="false">IFERROR(INDEX(Fields!$O$5:$O$604,MATCH(32,Fields!$T$5:$T$604,0)),"")</f>
        <v/>
      </c>
    </row>
    <row r="227" customFormat="false" ht="15" hidden="false" customHeight="false" outlineLevel="0" collapsed="false">
      <c r="A227" s="20" t="str">
        <f aca="false">IFERROR(INDEX(Fields!$A$5:$A$604,MATCH(33,Fields!$T$5:$T$604,0))&amp;"","")</f>
        <v/>
      </c>
      <c r="B227" s="20" t="str">
        <f aca="false">IFERROR(INDEX(Fields!$B$5:$B$604,MATCH(33,Fields!$T$5:$T$604,0))&amp;"","")</f>
        <v/>
      </c>
      <c r="C227" s="20" t="str">
        <f aca="false">IFERROR(INDEX(Fields!$E$5:$E$604,MATCH(33,Fields!$T$5:$T$604,0))&amp;"","")</f>
        <v/>
      </c>
      <c r="D227" s="20" t="str">
        <f aca="false">IFERROR(INDEX(Fields!$L$5:$L$604,MATCH(33,Fields!$T$5:$T$604,0))&amp;"","")</f>
        <v/>
      </c>
      <c r="E227" s="20" t="str">
        <f aca="false">IFERROR(INDEX(Fields!$N$5:$N$604,MATCH(33,Fields!$T$5:$T$604,0)),"")</f>
        <v/>
      </c>
      <c r="F227" s="20" t="str">
        <f aca="false">IFERROR(INDEX(Fields!$O$5:$O$604,MATCH(33,Fields!$T$5:$T$604,0)),"")</f>
        <v/>
      </c>
    </row>
    <row r="228" customFormat="false" ht="15" hidden="false" customHeight="false" outlineLevel="0" collapsed="false">
      <c r="A228" s="20" t="str">
        <f aca="false">IFERROR(INDEX(Fields!$A$5:$A$604,MATCH(34,Fields!$T$5:$T$604,0))&amp;"","")</f>
        <v/>
      </c>
      <c r="B228" s="20" t="str">
        <f aca="false">IFERROR(INDEX(Fields!$B$5:$B$604,MATCH(34,Fields!$T$5:$T$604,0))&amp;"","")</f>
        <v/>
      </c>
      <c r="C228" s="20" t="str">
        <f aca="false">IFERROR(INDEX(Fields!$E$5:$E$604,MATCH(34,Fields!$T$5:$T$604,0))&amp;"","")</f>
        <v/>
      </c>
      <c r="D228" s="20" t="str">
        <f aca="false">IFERROR(INDEX(Fields!$L$5:$L$604,MATCH(34,Fields!$T$5:$T$604,0))&amp;"","")</f>
        <v/>
      </c>
      <c r="E228" s="20" t="str">
        <f aca="false">IFERROR(INDEX(Fields!$N$5:$N$604,MATCH(34,Fields!$T$5:$T$604,0)),"")</f>
        <v/>
      </c>
      <c r="F228" s="20" t="str">
        <f aca="false">IFERROR(INDEX(Fields!$O$5:$O$604,MATCH(34,Fields!$T$5:$T$604,0)),"")</f>
        <v/>
      </c>
    </row>
    <row r="229" customFormat="false" ht="15" hidden="false" customHeight="false" outlineLevel="0" collapsed="false">
      <c r="A229" s="20" t="str">
        <f aca="false">IFERROR(INDEX(Fields!$A$5:$A$604,MATCH(35,Fields!$T$5:$T$604,0))&amp;"","")</f>
        <v/>
      </c>
      <c r="B229" s="20" t="str">
        <f aca="false">IFERROR(INDEX(Fields!$B$5:$B$604,MATCH(35,Fields!$T$5:$T$604,0))&amp;"","")</f>
        <v/>
      </c>
      <c r="C229" s="20" t="str">
        <f aca="false">IFERROR(INDEX(Fields!$E$5:$E$604,MATCH(35,Fields!$T$5:$T$604,0))&amp;"","")</f>
        <v/>
      </c>
      <c r="D229" s="20" t="str">
        <f aca="false">IFERROR(INDEX(Fields!$L$5:$L$604,MATCH(35,Fields!$T$5:$T$604,0))&amp;"","")</f>
        <v/>
      </c>
      <c r="E229" s="20" t="str">
        <f aca="false">IFERROR(INDEX(Fields!$N$5:$N$604,MATCH(35,Fields!$T$5:$T$604,0)),"")</f>
        <v/>
      </c>
      <c r="F229" s="20" t="str">
        <f aca="false">IFERROR(INDEX(Fields!$O$5:$O$604,MATCH(35,Fields!$T$5:$T$604,0)),"")</f>
        <v/>
      </c>
    </row>
    <row r="230" customFormat="false" ht="15" hidden="false" customHeight="false" outlineLevel="0" collapsed="false">
      <c r="A230" s="20" t="str">
        <f aca="false">IFERROR(INDEX(Fields!$A$5:$A$604,MATCH(36,Fields!$T$5:$T$604,0))&amp;"","")</f>
        <v/>
      </c>
      <c r="B230" s="20" t="str">
        <f aca="false">IFERROR(INDEX(Fields!$B$5:$B$604,MATCH(36,Fields!$T$5:$T$604,0))&amp;"","")</f>
        <v/>
      </c>
      <c r="C230" s="20" t="str">
        <f aca="false">IFERROR(INDEX(Fields!$E$5:$E$604,MATCH(36,Fields!$T$5:$T$604,0))&amp;"","")</f>
        <v/>
      </c>
      <c r="D230" s="20" t="str">
        <f aca="false">IFERROR(INDEX(Fields!$L$5:$L$604,MATCH(36,Fields!$T$5:$T$604,0))&amp;"","")</f>
        <v/>
      </c>
      <c r="E230" s="20" t="str">
        <f aca="false">IFERROR(INDEX(Fields!$N$5:$N$604,MATCH(36,Fields!$T$5:$T$604,0)),"")</f>
        <v/>
      </c>
      <c r="F230" s="20" t="str">
        <f aca="false">IFERROR(INDEX(Fields!$O$5:$O$604,MATCH(36,Fields!$T$5:$T$604,0)),"")</f>
        <v/>
      </c>
    </row>
    <row r="231" customFormat="false" ht="15" hidden="false" customHeight="false" outlineLevel="0" collapsed="false">
      <c r="A231" s="20" t="str">
        <f aca="false">IFERROR(INDEX(Fields!$A$5:$A$604,MATCH(37,Fields!$T$5:$T$604,0))&amp;"","")</f>
        <v/>
      </c>
      <c r="B231" s="20" t="str">
        <f aca="false">IFERROR(INDEX(Fields!$B$5:$B$604,MATCH(37,Fields!$T$5:$T$604,0))&amp;"","")</f>
        <v/>
      </c>
      <c r="C231" s="20" t="str">
        <f aca="false">IFERROR(INDEX(Fields!$E$5:$E$604,MATCH(37,Fields!$T$5:$T$604,0))&amp;"","")</f>
        <v/>
      </c>
      <c r="D231" s="20" t="str">
        <f aca="false">IFERROR(INDEX(Fields!$L$5:$L$604,MATCH(37,Fields!$T$5:$T$604,0))&amp;"","")</f>
        <v/>
      </c>
      <c r="E231" s="20" t="str">
        <f aca="false">IFERROR(INDEX(Fields!$N$5:$N$604,MATCH(37,Fields!$T$5:$T$604,0)),"")</f>
        <v/>
      </c>
      <c r="F231" s="20" t="str">
        <f aca="false">IFERROR(INDEX(Fields!$O$5:$O$604,MATCH(37,Fields!$T$5:$T$604,0)),"")</f>
        <v/>
      </c>
    </row>
    <row r="232" customFormat="false" ht="15" hidden="false" customHeight="false" outlineLevel="0" collapsed="false">
      <c r="A232" s="20" t="str">
        <f aca="false">IFERROR(INDEX(Fields!$A$5:$A$604,MATCH(38,Fields!$T$5:$T$604,0))&amp;"","")</f>
        <v/>
      </c>
      <c r="B232" s="20" t="str">
        <f aca="false">IFERROR(INDEX(Fields!$B$5:$B$604,MATCH(38,Fields!$T$5:$T$604,0))&amp;"","")</f>
        <v/>
      </c>
      <c r="C232" s="20" t="str">
        <f aca="false">IFERROR(INDEX(Fields!$E$5:$E$604,MATCH(38,Fields!$T$5:$T$604,0))&amp;"","")</f>
        <v/>
      </c>
      <c r="D232" s="20" t="str">
        <f aca="false">IFERROR(INDEX(Fields!$L$5:$L$604,MATCH(38,Fields!$T$5:$T$604,0))&amp;"","")</f>
        <v/>
      </c>
      <c r="E232" s="20" t="str">
        <f aca="false">IFERROR(INDEX(Fields!$N$5:$N$604,MATCH(38,Fields!$T$5:$T$604,0)),"")</f>
        <v/>
      </c>
      <c r="F232" s="20" t="str">
        <f aca="false">IFERROR(INDEX(Fields!$O$5:$O$604,MATCH(38,Fields!$T$5:$T$604,0)),"")</f>
        <v/>
      </c>
    </row>
    <row r="233" customFormat="false" ht="15" hidden="false" customHeight="false" outlineLevel="0" collapsed="false">
      <c r="A233" s="20" t="str">
        <f aca="false">IFERROR(INDEX(Fields!$A$5:$A$604,MATCH(39,Fields!$T$5:$T$604,0))&amp;"","")</f>
        <v/>
      </c>
      <c r="B233" s="20" t="str">
        <f aca="false">IFERROR(INDEX(Fields!$B$5:$B$604,MATCH(39,Fields!$T$5:$T$604,0))&amp;"","")</f>
        <v/>
      </c>
      <c r="C233" s="20" t="str">
        <f aca="false">IFERROR(INDEX(Fields!$E$5:$E$604,MATCH(39,Fields!$T$5:$T$604,0))&amp;"","")</f>
        <v/>
      </c>
      <c r="D233" s="20" t="str">
        <f aca="false">IFERROR(INDEX(Fields!$L$5:$L$604,MATCH(39,Fields!$T$5:$T$604,0))&amp;"","")</f>
        <v/>
      </c>
      <c r="E233" s="20" t="str">
        <f aca="false">IFERROR(INDEX(Fields!$N$5:$N$604,MATCH(39,Fields!$T$5:$T$604,0)),"")</f>
        <v/>
      </c>
      <c r="F233" s="20" t="str">
        <f aca="false">IFERROR(INDEX(Fields!$O$5:$O$604,MATCH(39,Fields!$T$5:$T$604,0)),"")</f>
        <v/>
      </c>
    </row>
    <row r="234" customFormat="false" ht="15" hidden="false" customHeight="false" outlineLevel="0" collapsed="false">
      <c r="A234" s="20" t="str">
        <f aca="false">IFERROR(INDEX(Fields!$A$5:$A$604,MATCH(40,Fields!$T$5:$T$604,0))&amp;"","")</f>
        <v/>
      </c>
      <c r="B234" s="20" t="str">
        <f aca="false">IFERROR(INDEX(Fields!$B$5:$B$604,MATCH(40,Fields!$T$5:$T$604,0))&amp;"","")</f>
        <v/>
      </c>
      <c r="C234" s="20" t="str">
        <f aca="false">IFERROR(INDEX(Fields!$E$5:$E$604,MATCH(40,Fields!$T$5:$T$604,0))&amp;"","")</f>
        <v/>
      </c>
      <c r="D234" s="20" t="str">
        <f aca="false">IFERROR(INDEX(Fields!$L$5:$L$604,MATCH(40,Fields!$T$5:$T$604,0))&amp;"","")</f>
        <v/>
      </c>
      <c r="E234" s="20" t="str">
        <f aca="false">IFERROR(INDEX(Fields!$N$5:$N$604,MATCH(40,Fields!$T$5:$T$604,0)),"")</f>
        <v/>
      </c>
      <c r="F234" s="20" t="str">
        <f aca="false">IFERROR(INDEX(Fields!$O$5:$O$604,MATCH(40,Fields!$T$5:$T$604,0)),"")</f>
        <v/>
      </c>
    </row>
    <row r="236" customFormat="false" ht="15" hidden="false" customHeight="false" outlineLevel="0" collapsed="false">
      <c r="A236" s="18" t="s">
        <v>120</v>
      </c>
    </row>
    <row r="237" customFormat="false" ht="15" hidden="false" customHeight="false" outlineLevel="0" collapsed="false">
      <c r="A237" s="17" t="s">
        <v>121</v>
      </c>
      <c r="C237" s="19" t="str">
        <f aca="false">HYPERLINK("#'Decisions'!A1","top")</f>
        <v>top</v>
      </c>
    </row>
    <row r="238" customFormat="false" ht="31.5" hidden="false" customHeight="true" outlineLevel="0" collapsed="false">
      <c r="A238" s="11" t="s">
        <v>114</v>
      </c>
      <c r="B238" s="11" t="s">
        <v>115</v>
      </c>
      <c r="C238" s="11" t="s">
        <v>122</v>
      </c>
      <c r="D238" s="11" t="s">
        <v>123</v>
      </c>
      <c r="E238" s="11" t="s">
        <v>69</v>
      </c>
      <c r="F238" s="11" t="s">
        <v>118</v>
      </c>
    </row>
    <row r="239" customFormat="false" ht="35.05" hidden="false" customHeight="false" outlineLevel="0" collapsed="false">
      <c r="A239" s="20" t="str">
        <f aca="false">IFERROR(INDEX(Fields!$A$5:$A$604,MATCH(1,Fields!$U$5:$U$604,0))&amp;"","")</f>
        <v>F-008</v>
      </c>
      <c r="B239" s="20" t="str">
        <f aca="false">IFERROR(INDEX(Fields!$B$5:$B$604,MATCH(1,Fields!$U$5:$U$604,0))&amp;"","")</f>
        <v>Credited recruiter</v>
      </c>
      <c r="C239" s="20" t="str">
        <f aca="false">IFERROR(INDEX(Fields!$E$5:$E$604,MATCH(1,Fields!$U$5:$U$604,0))&amp;"","")</f>
        <v>Recruiter scorecard base</v>
      </c>
      <c r="D239" s="20" t="str">
        <f aca="false">IFERROR(INDEX(Fields!$H$5:$H$604,MATCH(1,Fields!$U$5:$U$604,0))&amp;"","")</f>
        <v>Recruiter who owned the requisition on the day the offer was accepted. Not the recruiter tagged on the requisition today.</v>
      </c>
      <c r="E239" s="20" t="str">
        <f aca="false">IFERROR(INDEX(Fields!$K$5:$K$604,MATCH(1,Fields!$U$5:$U$604,0))&amp;"","")</f>
        <v>Move to business rules</v>
      </c>
      <c r="F239" s="20" t="n">
        <f aca="false">IFERROR(INDEX(Fields!$N$5:$N$604,MATCH(1,Fields!$U$5:$U$604,0)),"")</f>
        <v>1</v>
      </c>
    </row>
    <row r="240" customFormat="false" ht="15" hidden="false" customHeight="false" outlineLevel="0" collapsed="false">
      <c r="A240" s="20" t="str">
        <f aca="false">IFERROR(INDEX(Fields!$A$5:$A$604,MATCH(2,Fields!$U$5:$U$604,0))&amp;"","")</f>
        <v/>
      </c>
      <c r="B240" s="20" t="str">
        <f aca="false">IFERROR(INDEX(Fields!$B$5:$B$604,MATCH(2,Fields!$U$5:$U$604,0))&amp;"","")</f>
        <v/>
      </c>
      <c r="C240" s="20" t="str">
        <f aca="false">IFERROR(INDEX(Fields!$E$5:$E$604,MATCH(2,Fields!$U$5:$U$604,0))&amp;"","")</f>
        <v/>
      </c>
      <c r="D240" s="20" t="str">
        <f aca="false">IFERROR(INDEX(Fields!$H$5:$H$604,MATCH(2,Fields!$U$5:$U$604,0))&amp;"","")</f>
        <v/>
      </c>
      <c r="E240" s="20" t="str">
        <f aca="false">IFERROR(INDEX(Fields!$K$5:$K$604,MATCH(2,Fields!$U$5:$U$604,0))&amp;"","")</f>
        <v/>
      </c>
      <c r="F240" s="20" t="str">
        <f aca="false">IFERROR(INDEX(Fields!$N$5:$N$604,MATCH(2,Fields!$U$5:$U$604,0)),"")</f>
        <v/>
      </c>
    </row>
    <row r="241" customFormat="false" ht="15" hidden="false" customHeight="false" outlineLevel="0" collapsed="false">
      <c r="A241" s="20" t="str">
        <f aca="false">IFERROR(INDEX(Fields!$A$5:$A$604,MATCH(3,Fields!$U$5:$U$604,0))&amp;"","")</f>
        <v/>
      </c>
      <c r="B241" s="20" t="str">
        <f aca="false">IFERROR(INDEX(Fields!$B$5:$B$604,MATCH(3,Fields!$U$5:$U$604,0))&amp;"","")</f>
        <v/>
      </c>
      <c r="C241" s="20" t="str">
        <f aca="false">IFERROR(INDEX(Fields!$E$5:$E$604,MATCH(3,Fields!$U$5:$U$604,0))&amp;"","")</f>
        <v/>
      </c>
      <c r="D241" s="20" t="str">
        <f aca="false">IFERROR(INDEX(Fields!$H$5:$H$604,MATCH(3,Fields!$U$5:$U$604,0))&amp;"","")</f>
        <v/>
      </c>
      <c r="E241" s="20" t="str">
        <f aca="false">IFERROR(INDEX(Fields!$K$5:$K$604,MATCH(3,Fields!$U$5:$U$604,0))&amp;"","")</f>
        <v/>
      </c>
      <c r="F241" s="20" t="str">
        <f aca="false">IFERROR(INDEX(Fields!$N$5:$N$604,MATCH(3,Fields!$U$5:$U$604,0)),"")</f>
        <v/>
      </c>
    </row>
    <row r="242" customFormat="false" ht="15" hidden="false" customHeight="false" outlineLevel="0" collapsed="false">
      <c r="A242" s="20" t="str">
        <f aca="false">IFERROR(INDEX(Fields!$A$5:$A$604,MATCH(4,Fields!$U$5:$U$604,0))&amp;"","")</f>
        <v/>
      </c>
      <c r="B242" s="20" t="str">
        <f aca="false">IFERROR(INDEX(Fields!$B$5:$B$604,MATCH(4,Fields!$U$5:$U$604,0))&amp;"","")</f>
        <v/>
      </c>
      <c r="C242" s="20" t="str">
        <f aca="false">IFERROR(INDEX(Fields!$E$5:$E$604,MATCH(4,Fields!$U$5:$U$604,0))&amp;"","")</f>
        <v/>
      </c>
      <c r="D242" s="20" t="str">
        <f aca="false">IFERROR(INDEX(Fields!$H$5:$H$604,MATCH(4,Fields!$U$5:$U$604,0))&amp;"","")</f>
        <v/>
      </c>
      <c r="E242" s="20" t="str">
        <f aca="false">IFERROR(INDEX(Fields!$K$5:$K$604,MATCH(4,Fields!$U$5:$U$604,0))&amp;"","")</f>
        <v/>
      </c>
      <c r="F242" s="20" t="str">
        <f aca="false">IFERROR(INDEX(Fields!$N$5:$N$604,MATCH(4,Fields!$U$5:$U$604,0)),"")</f>
        <v/>
      </c>
    </row>
    <row r="243" customFormat="false" ht="15" hidden="false" customHeight="false" outlineLevel="0" collapsed="false">
      <c r="A243" s="20" t="str">
        <f aca="false">IFERROR(INDEX(Fields!$A$5:$A$604,MATCH(5,Fields!$U$5:$U$604,0))&amp;"","")</f>
        <v/>
      </c>
      <c r="B243" s="20" t="str">
        <f aca="false">IFERROR(INDEX(Fields!$B$5:$B$604,MATCH(5,Fields!$U$5:$U$604,0))&amp;"","")</f>
        <v/>
      </c>
      <c r="C243" s="20" t="str">
        <f aca="false">IFERROR(INDEX(Fields!$E$5:$E$604,MATCH(5,Fields!$U$5:$U$604,0))&amp;"","")</f>
        <v/>
      </c>
      <c r="D243" s="20" t="str">
        <f aca="false">IFERROR(INDEX(Fields!$H$5:$H$604,MATCH(5,Fields!$U$5:$U$604,0))&amp;"","")</f>
        <v/>
      </c>
      <c r="E243" s="20" t="str">
        <f aca="false">IFERROR(INDEX(Fields!$K$5:$K$604,MATCH(5,Fields!$U$5:$U$604,0))&amp;"","")</f>
        <v/>
      </c>
      <c r="F243" s="20" t="str">
        <f aca="false">IFERROR(INDEX(Fields!$N$5:$N$604,MATCH(5,Fields!$U$5:$U$604,0)),"")</f>
        <v/>
      </c>
    </row>
    <row r="244" customFormat="false" ht="15" hidden="false" customHeight="false" outlineLevel="0" collapsed="false">
      <c r="A244" s="20" t="str">
        <f aca="false">IFERROR(INDEX(Fields!$A$5:$A$604,MATCH(6,Fields!$U$5:$U$604,0))&amp;"","")</f>
        <v/>
      </c>
      <c r="B244" s="20" t="str">
        <f aca="false">IFERROR(INDEX(Fields!$B$5:$B$604,MATCH(6,Fields!$U$5:$U$604,0))&amp;"","")</f>
        <v/>
      </c>
      <c r="C244" s="20" t="str">
        <f aca="false">IFERROR(INDEX(Fields!$E$5:$E$604,MATCH(6,Fields!$U$5:$U$604,0))&amp;"","")</f>
        <v/>
      </c>
      <c r="D244" s="20" t="str">
        <f aca="false">IFERROR(INDEX(Fields!$H$5:$H$604,MATCH(6,Fields!$U$5:$U$604,0))&amp;"","")</f>
        <v/>
      </c>
      <c r="E244" s="20" t="str">
        <f aca="false">IFERROR(INDEX(Fields!$K$5:$K$604,MATCH(6,Fields!$U$5:$U$604,0))&amp;"","")</f>
        <v/>
      </c>
      <c r="F244" s="20" t="str">
        <f aca="false">IFERROR(INDEX(Fields!$N$5:$N$604,MATCH(6,Fields!$U$5:$U$604,0)),"")</f>
        <v/>
      </c>
    </row>
    <row r="245" customFormat="false" ht="15" hidden="false" customHeight="false" outlineLevel="0" collapsed="false">
      <c r="A245" s="20" t="str">
        <f aca="false">IFERROR(INDEX(Fields!$A$5:$A$604,MATCH(7,Fields!$U$5:$U$604,0))&amp;"","")</f>
        <v/>
      </c>
      <c r="B245" s="20" t="str">
        <f aca="false">IFERROR(INDEX(Fields!$B$5:$B$604,MATCH(7,Fields!$U$5:$U$604,0))&amp;"","")</f>
        <v/>
      </c>
      <c r="C245" s="20" t="str">
        <f aca="false">IFERROR(INDEX(Fields!$E$5:$E$604,MATCH(7,Fields!$U$5:$U$604,0))&amp;"","")</f>
        <v/>
      </c>
      <c r="D245" s="20" t="str">
        <f aca="false">IFERROR(INDEX(Fields!$H$5:$H$604,MATCH(7,Fields!$U$5:$U$604,0))&amp;"","")</f>
        <v/>
      </c>
      <c r="E245" s="20" t="str">
        <f aca="false">IFERROR(INDEX(Fields!$K$5:$K$604,MATCH(7,Fields!$U$5:$U$604,0))&amp;"","")</f>
        <v/>
      </c>
      <c r="F245" s="20" t="str">
        <f aca="false">IFERROR(INDEX(Fields!$N$5:$N$604,MATCH(7,Fields!$U$5:$U$604,0)),"")</f>
        <v/>
      </c>
    </row>
    <row r="246" customFormat="false" ht="15" hidden="false" customHeight="false" outlineLevel="0" collapsed="false">
      <c r="A246" s="20" t="str">
        <f aca="false">IFERROR(INDEX(Fields!$A$5:$A$604,MATCH(8,Fields!$U$5:$U$604,0))&amp;"","")</f>
        <v/>
      </c>
      <c r="B246" s="20" t="str">
        <f aca="false">IFERROR(INDEX(Fields!$B$5:$B$604,MATCH(8,Fields!$U$5:$U$604,0))&amp;"","")</f>
        <v/>
      </c>
      <c r="C246" s="20" t="str">
        <f aca="false">IFERROR(INDEX(Fields!$E$5:$E$604,MATCH(8,Fields!$U$5:$U$604,0))&amp;"","")</f>
        <v/>
      </c>
      <c r="D246" s="20" t="str">
        <f aca="false">IFERROR(INDEX(Fields!$H$5:$H$604,MATCH(8,Fields!$U$5:$U$604,0))&amp;"","")</f>
        <v/>
      </c>
      <c r="E246" s="20" t="str">
        <f aca="false">IFERROR(INDEX(Fields!$K$5:$K$604,MATCH(8,Fields!$U$5:$U$604,0))&amp;"","")</f>
        <v/>
      </c>
      <c r="F246" s="20" t="str">
        <f aca="false">IFERROR(INDEX(Fields!$N$5:$N$604,MATCH(8,Fields!$U$5:$U$604,0)),"")</f>
        <v/>
      </c>
    </row>
    <row r="247" customFormat="false" ht="15" hidden="false" customHeight="false" outlineLevel="0" collapsed="false">
      <c r="A247" s="20" t="str">
        <f aca="false">IFERROR(INDEX(Fields!$A$5:$A$604,MATCH(9,Fields!$U$5:$U$604,0))&amp;"","")</f>
        <v/>
      </c>
      <c r="B247" s="20" t="str">
        <f aca="false">IFERROR(INDEX(Fields!$B$5:$B$604,MATCH(9,Fields!$U$5:$U$604,0))&amp;"","")</f>
        <v/>
      </c>
      <c r="C247" s="20" t="str">
        <f aca="false">IFERROR(INDEX(Fields!$E$5:$E$604,MATCH(9,Fields!$U$5:$U$604,0))&amp;"","")</f>
        <v/>
      </c>
      <c r="D247" s="20" t="str">
        <f aca="false">IFERROR(INDEX(Fields!$H$5:$H$604,MATCH(9,Fields!$U$5:$U$604,0))&amp;"","")</f>
        <v/>
      </c>
      <c r="E247" s="20" t="str">
        <f aca="false">IFERROR(INDEX(Fields!$K$5:$K$604,MATCH(9,Fields!$U$5:$U$604,0))&amp;"","")</f>
        <v/>
      </c>
      <c r="F247" s="20" t="str">
        <f aca="false">IFERROR(INDEX(Fields!$N$5:$N$604,MATCH(9,Fields!$U$5:$U$604,0)),"")</f>
        <v/>
      </c>
    </row>
    <row r="248" customFormat="false" ht="15" hidden="false" customHeight="false" outlineLevel="0" collapsed="false">
      <c r="A248" s="20" t="str">
        <f aca="false">IFERROR(INDEX(Fields!$A$5:$A$604,MATCH(10,Fields!$U$5:$U$604,0))&amp;"","")</f>
        <v/>
      </c>
      <c r="B248" s="20" t="str">
        <f aca="false">IFERROR(INDEX(Fields!$B$5:$B$604,MATCH(10,Fields!$U$5:$U$604,0))&amp;"","")</f>
        <v/>
      </c>
      <c r="C248" s="20" t="str">
        <f aca="false">IFERROR(INDEX(Fields!$E$5:$E$604,MATCH(10,Fields!$U$5:$U$604,0))&amp;"","")</f>
        <v/>
      </c>
      <c r="D248" s="20" t="str">
        <f aca="false">IFERROR(INDEX(Fields!$H$5:$H$604,MATCH(10,Fields!$U$5:$U$604,0))&amp;"","")</f>
        <v/>
      </c>
      <c r="E248" s="20" t="str">
        <f aca="false">IFERROR(INDEX(Fields!$K$5:$K$604,MATCH(10,Fields!$U$5:$U$604,0))&amp;"","")</f>
        <v/>
      </c>
      <c r="F248" s="20" t="str">
        <f aca="false">IFERROR(INDEX(Fields!$N$5:$N$604,MATCH(10,Fields!$U$5:$U$604,0)),"")</f>
        <v/>
      </c>
    </row>
    <row r="249" customFormat="false" ht="15" hidden="false" customHeight="false" outlineLevel="0" collapsed="false">
      <c r="A249" s="20" t="str">
        <f aca="false">IFERROR(INDEX(Fields!$A$5:$A$604,MATCH(11,Fields!$U$5:$U$604,0))&amp;"","")</f>
        <v/>
      </c>
      <c r="B249" s="20" t="str">
        <f aca="false">IFERROR(INDEX(Fields!$B$5:$B$604,MATCH(11,Fields!$U$5:$U$604,0))&amp;"","")</f>
        <v/>
      </c>
      <c r="C249" s="20" t="str">
        <f aca="false">IFERROR(INDEX(Fields!$E$5:$E$604,MATCH(11,Fields!$U$5:$U$604,0))&amp;"","")</f>
        <v/>
      </c>
      <c r="D249" s="20" t="str">
        <f aca="false">IFERROR(INDEX(Fields!$H$5:$H$604,MATCH(11,Fields!$U$5:$U$604,0))&amp;"","")</f>
        <v/>
      </c>
      <c r="E249" s="20" t="str">
        <f aca="false">IFERROR(INDEX(Fields!$K$5:$K$604,MATCH(11,Fields!$U$5:$U$604,0))&amp;"","")</f>
        <v/>
      </c>
      <c r="F249" s="20" t="str">
        <f aca="false">IFERROR(INDEX(Fields!$N$5:$N$604,MATCH(11,Fields!$U$5:$U$604,0)),"")</f>
        <v/>
      </c>
    </row>
    <row r="250" customFormat="false" ht="15" hidden="false" customHeight="false" outlineLevel="0" collapsed="false">
      <c r="A250" s="20" t="str">
        <f aca="false">IFERROR(INDEX(Fields!$A$5:$A$604,MATCH(12,Fields!$U$5:$U$604,0))&amp;"","")</f>
        <v/>
      </c>
      <c r="B250" s="20" t="str">
        <f aca="false">IFERROR(INDEX(Fields!$B$5:$B$604,MATCH(12,Fields!$U$5:$U$604,0))&amp;"","")</f>
        <v/>
      </c>
      <c r="C250" s="20" t="str">
        <f aca="false">IFERROR(INDEX(Fields!$E$5:$E$604,MATCH(12,Fields!$U$5:$U$604,0))&amp;"","")</f>
        <v/>
      </c>
      <c r="D250" s="20" t="str">
        <f aca="false">IFERROR(INDEX(Fields!$H$5:$H$604,MATCH(12,Fields!$U$5:$U$604,0))&amp;"","")</f>
        <v/>
      </c>
      <c r="E250" s="20" t="str">
        <f aca="false">IFERROR(INDEX(Fields!$K$5:$K$604,MATCH(12,Fields!$U$5:$U$604,0))&amp;"","")</f>
        <v/>
      </c>
      <c r="F250" s="20" t="str">
        <f aca="false">IFERROR(INDEX(Fields!$N$5:$N$604,MATCH(12,Fields!$U$5:$U$604,0)),"")</f>
        <v/>
      </c>
    </row>
    <row r="251" customFormat="false" ht="15" hidden="false" customHeight="false" outlineLevel="0" collapsed="false">
      <c r="A251" s="20" t="str">
        <f aca="false">IFERROR(INDEX(Fields!$A$5:$A$604,MATCH(13,Fields!$U$5:$U$604,0))&amp;"","")</f>
        <v/>
      </c>
      <c r="B251" s="20" t="str">
        <f aca="false">IFERROR(INDEX(Fields!$B$5:$B$604,MATCH(13,Fields!$U$5:$U$604,0))&amp;"","")</f>
        <v/>
      </c>
      <c r="C251" s="20" t="str">
        <f aca="false">IFERROR(INDEX(Fields!$E$5:$E$604,MATCH(13,Fields!$U$5:$U$604,0))&amp;"","")</f>
        <v/>
      </c>
      <c r="D251" s="20" t="str">
        <f aca="false">IFERROR(INDEX(Fields!$H$5:$H$604,MATCH(13,Fields!$U$5:$U$604,0))&amp;"","")</f>
        <v/>
      </c>
      <c r="E251" s="20" t="str">
        <f aca="false">IFERROR(INDEX(Fields!$K$5:$K$604,MATCH(13,Fields!$U$5:$U$604,0))&amp;"","")</f>
        <v/>
      </c>
      <c r="F251" s="20" t="str">
        <f aca="false">IFERROR(INDEX(Fields!$N$5:$N$604,MATCH(13,Fields!$U$5:$U$604,0)),"")</f>
        <v/>
      </c>
    </row>
    <row r="252" customFormat="false" ht="15" hidden="false" customHeight="false" outlineLevel="0" collapsed="false">
      <c r="A252" s="20" t="str">
        <f aca="false">IFERROR(INDEX(Fields!$A$5:$A$604,MATCH(14,Fields!$U$5:$U$604,0))&amp;"","")</f>
        <v/>
      </c>
      <c r="B252" s="20" t="str">
        <f aca="false">IFERROR(INDEX(Fields!$B$5:$B$604,MATCH(14,Fields!$U$5:$U$604,0))&amp;"","")</f>
        <v/>
      </c>
      <c r="C252" s="20" t="str">
        <f aca="false">IFERROR(INDEX(Fields!$E$5:$E$604,MATCH(14,Fields!$U$5:$U$604,0))&amp;"","")</f>
        <v/>
      </c>
      <c r="D252" s="20" t="str">
        <f aca="false">IFERROR(INDEX(Fields!$H$5:$H$604,MATCH(14,Fields!$U$5:$U$604,0))&amp;"","")</f>
        <v/>
      </c>
      <c r="E252" s="20" t="str">
        <f aca="false">IFERROR(INDEX(Fields!$K$5:$K$604,MATCH(14,Fields!$U$5:$U$604,0))&amp;"","")</f>
        <v/>
      </c>
      <c r="F252" s="20" t="str">
        <f aca="false">IFERROR(INDEX(Fields!$N$5:$N$604,MATCH(14,Fields!$U$5:$U$604,0)),"")</f>
        <v/>
      </c>
    </row>
    <row r="253" customFormat="false" ht="15" hidden="false" customHeight="false" outlineLevel="0" collapsed="false">
      <c r="A253" s="20" t="str">
        <f aca="false">IFERROR(INDEX(Fields!$A$5:$A$604,MATCH(15,Fields!$U$5:$U$604,0))&amp;"","")</f>
        <v/>
      </c>
      <c r="B253" s="20" t="str">
        <f aca="false">IFERROR(INDEX(Fields!$B$5:$B$604,MATCH(15,Fields!$U$5:$U$604,0))&amp;"","")</f>
        <v/>
      </c>
      <c r="C253" s="20" t="str">
        <f aca="false">IFERROR(INDEX(Fields!$E$5:$E$604,MATCH(15,Fields!$U$5:$U$604,0))&amp;"","")</f>
        <v/>
      </c>
      <c r="D253" s="20" t="str">
        <f aca="false">IFERROR(INDEX(Fields!$H$5:$H$604,MATCH(15,Fields!$U$5:$U$604,0))&amp;"","")</f>
        <v/>
      </c>
      <c r="E253" s="20" t="str">
        <f aca="false">IFERROR(INDEX(Fields!$K$5:$K$604,MATCH(15,Fields!$U$5:$U$604,0))&amp;"","")</f>
        <v/>
      </c>
      <c r="F253" s="20" t="str">
        <f aca="false">IFERROR(INDEX(Fields!$N$5:$N$604,MATCH(15,Fields!$U$5:$U$604,0)),"")</f>
        <v/>
      </c>
    </row>
    <row r="254" customFormat="false" ht="15" hidden="false" customHeight="false" outlineLevel="0" collapsed="false">
      <c r="A254" s="20" t="str">
        <f aca="false">IFERROR(INDEX(Fields!$A$5:$A$604,MATCH(16,Fields!$U$5:$U$604,0))&amp;"","")</f>
        <v/>
      </c>
      <c r="B254" s="20" t="str">
        <f aca="false">IFERROR(INDEX(Fields!$B$5:$B$604,MATCH(16,Fields!$U$5:$U$604,0))&amp;"","")</f>
        <v/>
      </c>
      <c r="C254" s="20" t="str">
        <f aca="false">IFERROR(INDEX(Fields!$E$5:$E$604,MATCH(16,Fields!$U$5:$U$604,0))&amp;"","")</f>
        <v/>
      </c>
      <c r="D254" s="20" t="str">
        <f aca="false">IFERROR(INDEX(Fields!$H$5:$H$604,MATCH(16,Fields!$U$5:$U$604,0))&amp;"","")</f>
        <v/>
      </c>
      <c r="E254" s="20" t="str">
        <f aca="false">IFERROR(INDEX(Fields!$K$5:$K$604,MATCH(16,Fields!$U$5:$U$604,0))&amp;"","")</f>
        <v/>
      </c>
      <c r="F254" s="20" t="str">
        <f aca="false">IFERROR(INDEX(Fields!$N$5:$N$604,MATCH(16,Fields!$U$5:$U$604,0)),"")</f>
        <v/>
      </c>
    </row>
    <row r="255" customFormat="false" ht="15" hidden="false" customHeight="false" outlineLevel="0" collapsed="false">
      <c r="A255" s="20" t="str">
        <f aca="false">IFERROR(INDEX(Fields!$A$5:$A$604,MATCH(17,Fields!$U$5:$U$604,0))&amp;"","")</f>
        <v/>
      </c>
      <c r="B255" s="20" t="str">
        <f aca="false">IFERROR(INDEX(Fields!$B$5:$B$604,MATCH(17,Fields!$U$5:$U$604,0))&amp;"","")</f>
        <v/>
      </c>
      <c r="C255" s="20" t="str">
        <f aca="false">IFERROR(INDEX(Fields!$E$5:$E$604,MATCH(17,Fields!$U$5:$U$604,0))&amp;"","")</f>
        <v/>
      </c>
      <c r="D255" s="20" t="str">
        <f aca="false">IFERROR(INDEX(Fields!$H$5:$H$604,MATCH(17,Fields!$U$5:$U$604,0))&amp;"","")</f>
        <v/>
      </c>
      <c r="E255" s="20" t="str">
        <f aca="false">IFERROR(INDEX(Fields!$K$5:$K$604,MATCH(17,Fields!$U$5:$U$604,0))&amp;"","")</f>
        <v/>
      </c>
      <c r="F255" s="20" t="str">
        <f aca="false">IFERROR(INDEX(Fields!$N$5:$N$604,MATCH(17,Fields!$U$5:$U$604,0)),"")</f>
        <v/>
      </c>
    </row>
    <row r="256" customFormat="false" ht="15" hidden="false" customHeight="false" outlineLevel="0" collapsed="false">
      <c r="A256" s="20" t="str">
        <f aca="false">IFERROR(INDEX(Fields!$A$5:$A$604,MATCH(18,Fields!$U$5:$U$604,0))&amp;"","")</f>
        <v/>
      </c>
      <c r="B256" s="20" t="str">
        <f aca="false">IFERROR(INDEX(Fields!$B$5:$B$604,MATCH(18,Fields!$U$5:$U$604,0))&amp;"","")</f>
        <v/>
      </c>
      <c r="C256" s="20" t="str">
        <f aca="false">IFERROR(INDEX(Fields!$E$5:$E$604,MATCH(18,Fields!$U$5:$U$604,0))&amp;"","")</f>
        <v/>
      </c>
      <c r="D256" s="20" t="str">
        <f aca="false">IFERROR(INDEX(Fields!$H$5:$H$604,MATCH(18,Fields!$U$5:$U$604,0))&amp;"","")</f>
        <v/>
      </c>
      <c r="E256" s="20" t="str">
        <f aca="false">IFERROR(INDEX(Fields!$K$5:$K$604,MATCH(18,Fields!$U$5:$U$604,0))&amp;"","")</f>
        <v/>
      </c>
      <c r="F256" s="20" t="str">
        <f aca="false">IFERROR(INDEX(Fields!$N$5:$N$604,MATCH(18,Fields!$U$5:$U$604,0)),"")</f>
        <v/>
      </c>
    </row>
    <row r="257" customFormat="false" ht="15" hidden="false" customHeight="false" outlineLevel="0" collapsed="false">
      <c r="A257" s="20" t="str">
        <f aca="false">IFERROR(INDEX(Fields!$A$5:$A$604,MATCH(19,Fields!$U$5:$U$604,0))&amp;"","")</f>
        <v/>
      </c>
      <c r="B257" s="20" t="str">
        <f aca="false">IFERROR(INDEX(Fields!$B$5:$B$604,MATCH(19,Fields!$U$5:$U$604,0))&amp;"","")</f>
        <v/>
      </c>
      <c r="C257" s="20" t="str">
        <f aca="false">IFERROR(INDEX(Fields!$E$5:$E$604,MATCH(19,Fields!$U$5:$U$604,0))&amp;"","")</f>
        <v/>
      </c>
      <c r="D257" s="20" t="str">
        <f aca="false">IFERROR(INDEX(Fields!$H$5:$H$604,MATCH(19,Fields!$U$5:$U$604,0))&amp;"","")</f>
        <v/>
      </c>
      <c r="E257" s="20" t="str">
        <f aca="false">IFERROR(INDEX(Fields!$K$5:$K$604,MATCH(19,Fields!$U$5:$U$604,0))&amp;"","")</f>
        <v/>
      </c>
      <c r="F257" s="20" t="str">
        <f aca="false">IFERROR(INDEX(Fields!$N$5:$N$604,MATCH(19,Fields!$U$5:$U$604,0)),"")</f>
        <v/>
      </c>
    </row>
    <row r="258" customFormat="false" ht="15" hidden="false" customHeight="false" outlineLevel="0" collapsed="false">
      <c r="A258" s="20" t="str">
        <f aca="false">IFERROR(INDEX(Fields!$A$5:$A$604,MATCH(20,Fields!$U$5:$U$604,0))&amp;"","")</f>
        <v/>
      </c>
      <c r="B258" s="20" t="str">
        <f aca="false">IFERROR(INDEX(Fields!$B$5:$B$604,MATCH(20,Fields!$U$5:$U$604,0))&amp;"","")</f>
        <v/>
      </c>
      <c r="C258" s="20" t="str">
        <f aca="false">IFERROR(INDEX(Fields!$E$5:$E$604,MATCH(20,Fields!$U$5:$U$604,0))&amp;"","")</f>
        <v/>
      </c>
      <c r="D258" s="20" t="str">
        <f aca="false">IFERROR(INDEX(Fields!$H$5:$H$604,MATCH(20,Fields!$U$5:$U$604,0))&amp;"","")</f>
        <v/>
      </c>
      <c r="E258" s="20" t="str">
        <f aca="false">IFERROR(INDEX(Fields!$K$5:$K$604,MATCH(20,Fields!$U$5:$U$604,0))&amp;"","")</f>
        <v/>
      </c>
      <c r="F258" s="20" t="str">
        <f aca="false">IFERROR(INDEX(Fields!$N$5:$N$604,MATCH(20,Fields!$U$5:$U$604,0)),"")</f>
        <v/>
      </c>
    </row>
    <row r="259" customFormat="false" ht="15" hidden="false" customHeight="false" outlineLevel="0" collapsed="false">
      <c r="A259" s="20" t="str">
        <f aca="false">IFERROR(INDEX(Fields!$A$5:$A$604,MATCH(21,Fields!$U$5:$U$604,0))&amp;"","")</f>
        <v/>
      </c>
      <c r="B259" s="20" t="str">
        <f aca="false">IFERROR(INDEX(Fields!$B$5:$B$604,MATCH(21,Fields!$U$5:$U$604,0))&amp;"","")</f>
        <v/>
      </c>
      <c r="C259" s="20" t="str">
        <f aca="false">IFERROR(INDEX(Fields!$E$5:$E$604,MATCH(21,Fields!$U$5:$U$604,0))&amp;"","")</f>
        <v/>
      </c>
      <c r="D259" s="20" t="str">
        <f aca="false">IFERROR(INDEX(Fields!$H$5:$H$604,MATCH(21,Fields!$U$5:$U$604,0))&amp;"","")</f>
        <v/>
      </c>
      <c r="E259" s="20" t="str">
        <f aca="false">IFERROR(INDEX(Fields!$K$5:$K$604,MATCH(21,Fields!$U$5:$U$604,0))&amp;"","")</f>
        <v/>
      </c>
      <c r="F259" s="20" t="str">
        <f aca="false">IFERROR(INDEX(Fields!$N$5:$N$604,MATCH(21,Fields!$U$5:$U$604,0)),"")</f>
        <v/>
      </c>
    </row>
    <row r="260" customFormat="false" ht="15" hidden="false" customHeight="false" outlineLevel="0" collapsed="false">
      <c r="A260" s="20" t="str">
        <f aca="false">IFERROR(INDEX(Fields!$A$5:$A$604,MATCH(22,Fields!$U$5:$U$604,0))&amp;"","")</f>
        <v/>
      </c>
      <c r="B260" s="20" t="str">
        <f aca="false">IFERROR(INDEX(Fields!$B$5:$B$604,MATCH(22,Fields!$U$5:$U$604,0))&amp;"","")</f>
        <v/>
      </c>
      <c r="C260" s="20" t="str">
        <f aca="false">IFERROR(INDEX(Fields!$E$5:$E$604,MATCH(22,Fields!$U$5:$U$604,0))&amp;"","")</f>
        <v/>
      </c>
      <c r="D260" s="20" t="str">
        <f aca="false">IFERROR(INDEX(Fields!$H$5:$H$604,MATCH(22,Fields!$U$5:$U$604,0))&amp;"","")</f>
        <v/>
      </c>
      <c r="E260" s="20" t="str">
        <f aca="false">IFERROR(INDEX(Fields!$K$5:$K$604,MATCH(22,Fields!$U$5:$U$604,0))&amp;"","")</f>
        <v/>
      </c>
      <c r="F260" s="20" t="str">
        <f aca="false">IFERROR(INDEX(Fields!$N$5:$N$604,MATCH(22,Fields!$U$5:$U$604,0)),"")</f>
        <v/>
      </c>
    </row>
    <row r="261" customFormat="false" ht="15" hidden="false" customHeight="false" outlineLevel="0" collapsed="false">
      <c r="A261" s="20" t="str">
        <f aca="false">IFERROR(INDEX(Fields!$A$5:$A$604,MATCH(23,Fields!$U$5:$U$604,0))&amp;"","")</f>
        <v/>
      </c>
      <c r="B261" s="20" t="str">
        <f aca="false">IFERROR(INDEX(Fields!$B$5:$B$604,MATCH(23,Fields!$U$5:$U$604,0))&amp;"","")</f>
        <v/>
      </c>
      <c r="C261" s="20" t="str">
        <f aca="false">IFERROR(INDEX(Fields!$E$5:$E$604,MATCH(23,Fields!$U$5:$U$604,0))&amp;"","")</f>
        <v/>
      </c>
      <c r="D261" s="20" t="str">
        <f aca="false">IFERROR(INDEX(Fields!$H$5:$H$604,MATCH(23,Fields!$U$5:$U$604,0))&amp;"","")</f>
        <v/>
      </c>
      <c r="E261" s="20" t="str">
        <f aca="false">IFERROR(INDEX(Fields!$K$5:$K$604,MATCH(23,Fields!$U$5:$U$604,0))&amp;"","")</f>
        <v/>
      </c>
      <c r="F261" s="20" t="str">
        <f aca="false">IFERROR(INDEX(Fields!$N$5:$N$604,MATCH(23,Fields!$U$5:$U$604,0)),"")</f>
        <v/>
      </c>
    </row>
    <row r="262" customFormat="false" ht="15" hidden="false" customHeight="false" outlineLevel="0" collapsed="false">
      <c r="A262" s="20" t="str">
        <f aca="false">IFERROR(INDEX(Fields!$A$5:$A$604,MATCH(24,Fields!$U$5:$U$604,0))&amp;"","")</f>
        <v/>
      </c>
      <c r="B262" s="20" t="str">
        <f aca="false">IFERROR(INDEX(Fields!$B$5:$B$604,MATCH(24,Fields!$U$5:$U$604,0))&amp;"","")</f>
        <v/>
      </c>
      <c r="C262" s="20" t="str">
        <f aca="false">IFERROR(INDEX(Fields!$E$5:$E$604,MATCH(24,Fields!$U$5:$U$604,0))&amp;"","")</f>
        <v/>
      </c>
      <c r="D262" s="20" t="str">
        <f aca="false">IFERROR(INDEX(Fields!$H$5:$H$604,MATCH(24,Fields!$U$5:$U$604,0))&amp;"","")</f>
        <v/>
      </c>
      <c r="E262" s="20" t="str">
        <f aca="false">IFERROR(INDEX(Fields!$K$5:$K$604,MATCH(24,Fields!$U$5:$U$604,0))&amp;"","")</f>
        <v/>
      </c>
      <c r="F262" s="20" t="str">
        <f aca="false">IFERROR(INDEX(Fields!$N$5:$N$604,MATCH(24,Fields!$U$5:$U$604,0)),"")</f>
        <v/>
      </c>
    </row>
    <row r="263" customFormat="false" ht="15" hidden="false" customHeight="false" outlineLevel="0" collapsed="false">
      <c r="A263" s="20" t="str">
        <f aca="false">IFERROR(INDEX(Fields!$A$5:$A$604,MATCH(25,Fields!$U$5:$U$604,0))&amp;"","")</f>
        <v/>
      </c>
      <c r="B263" s="20" t="str">
        <f aca="false">IFERROR(INDEX(Fields!$B$5:$B$604,MATCH(25,Fields!$U$5:$U$604,0))&amp;"","")</f>
        <v/>
      </c>
      <c r="C263" s="20" t="str">
        <f aca="false">IFERROR(INDEX(Fields!$E$5:$E$604,MATCH(25,Fields!$U$5:$U$604,0))&amp;"","")</f>
        <v/>
      </c>
      <c r="D263" s="20" t="str">
        <f aca="false">IFERROR(INDEX(Fields!$H$5:$H$604,MATCH(25,Fields!$U$5:$U$604,0))&amp;"","")</f>
        <v/>
      </c>
      <c r="E263" s="20" t="str">
        <f aca="false">IFERROR(INDEX(Fields!$K$5:$K$604,MATCH(25,Fields!$U$5:$U$604,0))&amp;"","")</f>
        <v/>
      </c>
      <c r="F263" s="20" t="str">
        <f aca="false">IFERROR(INDEX(Fields!$N$5:$N$604,MATCH(25,Fields!$U$5:$U$604,0)),"")</f>
        <v/>
      </c>
    </row>
    <row r="264" customFormat="false" ht="15" hidden="false" customHeight="false" outlineLevel="0" collapsed="false">
      <c r="A264" s="20" t="str">
        <f aca="false">IFERROR(INDEX(Fields!$A$5:$A$604,MATCH(26,Fields!$U$5:$U$604,0))&amp;"","")</f>
        <v/>
      </c>
      <c r="B264" s="20" t="str">
        <f aca="false">IFERROR(INDEX(Fields!$B$5:$B$604,MATCH(26,Fields!$U$5:$U$604,0))&amp;"","")</f>
        <v/>
      </c>
      <c r="C264" s="20" t="str">
        <f aca="false">IFERROR(INDEX(Fields!$E$5:$E$604,MATCH(26,Fields!$U$5:$U$604,0))&amp;"","")</f>
        <v/>
      </c>
      <c r="D264" s="20" t="str">
        <f aca="false">IFERROR(INDEX(Fields!$H$5:$H$604,MATCH(26,Fields!$U$5:$U$604,0))&amp;"","")</f>
        <v/>
      </c>
      <c r="E264" s="20" t="str">
        <f aca="false">IFERROR(INDEX(Fields!$K$5:$K$604,MATCH(26,Fields!$U$5:$U$604,0))&amp;"","")</f>
        <v/>
      </c>
      <c r="F264" s="20" t="str">
        <f aca="false">IFERROR(INDEX(Fields!$N$5:$N$604,MATCH(26,Fields!$U$5:$U$604,0)),"")</f>
        <v/>
      </c>
    </row>
    <row r="265" customFormat="false" ht="15" hidden="false" customHeight="false" outlineLevel="0" collapsed="false">
      <c r="A265" s="20" t="str">
        <f aca="false">IFERROR(INDEX(Fields!$A$5:$A$604,MATCH(27,Fields!$U$5:$U$604,0))&amp;"","")</f>
        <v/>
      </c>
      <c r="B265" s="20" t="str">
        <f aca="false">IFERROR(INDEX(Fields!$B$5:$B$604,MATCH(27,Fields!$U$5:$U$604,0))&amp;"","")</f>
        <v/>
      </c>
      <c r="C265" s="20" t="str">
        <f aca="false">IFERROR(INDEX(Fields!$E$5:$E$604,MATCH(27,Fields!$U$5:$U$604,0))&amp;"","")</f>
        <v/>
      </c>
      <c r="D265" s="20" t="str">
        <f aca="false">IFERROR(INDEX(Fields!$H$5:$H$604,MATCH(27,Fields!$U$5:$U$604,0))&amp;"","")</f>
        <v/>
      </c>
      <c r="E265" s="20" t="str">
        <f aca="false">IFERROR(INDEX(Fields!$K$5:$K$604,MATCH(27,Fields!$U$5:$U$604,0))&amp;"","")</f>
        <v/>
      </c>
      <c r="F265" s="20" t="str">
        <f aca="false">IFERROR(INDEX(Fields!$N$5:$N$604,MATCH(27,Fields!$U$5:$U$604,0)),"")</f>
        <v/>
      </c>
    </row>
    <row r="266" customFormat="false" ht="15" hidden="false" customHeight="false" outlineLevel="0" collapsed="false">
      <c r="A266" s="20" t="str">
        <f aca="false">IFERROR(INDEX(Fields!$A$5:$A$604,MATCH(28,Fields!$U$5:$U$604,0))&amp;"","")</f>
        <v/>
      </c>
      <c r="B266" s="20" t="str">
        <f aca="false">IFERROR(INDEX(Fields!$B$5:$B$604,MATCH(28,Fields!$U$5:$U$604,0))&amp;"","")</f>
        <v/>
      </c>
      <c r="C266" s="20" t="str">
        <f aca="false">IFERROR(INDEX(Fields!$E$5:$E$604,MATCH(28,Fields!$U$5:$U$604,0))&amp;"","")</f>
        <v/>
      </c>
      <c r="D266" s="20" t="str">
        <f aca="false">IFERROR(INDEX(Fields!$H$5:$H$604,MATCH(28,Fields!$U$5:$U$604,0))&amp;"","")</f>
        <v/>
      </c>
      <c r="E266" s="20" t="str">
        <f aca="false">IFERROR(INDEX(Fields!$K$5:$K$604,MATCH(28,Fields!$U$5:$U$604,0))&amp;"","")</f>
        <v/>
      </c>
      <c r="F266" s="20" t="str">
        <f aca="false">IFERROR(INDEX(Fields!$N$5:$N$604,MATCH(28,Fields!$U$5:$U$604,0)),"")</f>
        <v/>
      </c>
    </row>
    <row r="267" customFormat="false" ht="15" hidden="false" customHeight="false" outlineLevel="0" collapsed="false">
      <c r="A267" s="20" t="str">
        <f aca="false">IFERROR(INDEX(Fields!$A$5:$A$604,MATCH(29,Fields!$U$5:$U$604,0))&amp;"","")</f>
        <v/>
      </c>
      <c r="B267" s="20" t="str">
        <f aca="false">IFERROR(INDEX(Fields!$B$5:$B$604,MATCH(29,Fields!$U$5:$U$604,0))&amp;"","")</f>
        <v/>
      </c>
      <c r="C267" s="20" t="str">
        <f aca="false">IFERROR(INDEX(Fields!$E$5:$E$604,MATCH(29,Fields!$U$5:$U$604,0))&amp;"","")</f>
        <v/>
      </c>
      <c r="D267" s="20" t="str">
        <f aca="false">IFERROR(INDEX(Fields!$H$5:$H$604,MATCH(29,Fields!$U$5:$U$604,0))&amp;"","")</f>
        <v/>
      </c>
      <c r="E267" s="20" t="str">
        <f aca="false">IFERROR(INDEX(Fields!$K$5:$K$604,MATCH(29,Fields!$U$5:$U$604,0))&amp;"","")</f>
        <v/>
      </c>
      <c r="F267" s="20" t="str">
        <f aca="false">IFERROR(INDEX(Fields!$N$5:$N$604,MATCH(29,Fields!$U$5:$U$604,0)),"")</f>
        <v/>
      </c>
    </row>
    <row r="268" customFormat="false" ht="15" hidden="false" customHeight="false" outlineLevel="0" collapsed="false">
      <c r="A268" s="20" t="str">
        <f aca="false">IFERROR(INDEX(Fields!$A$5:$A$604,MATCH(30,Fields!$U$5:$U$604,0))&amp;"","")</f>
        <v/>
      </c>
      <c r="B268" s="20" t="str">
        <f aca="false">IFERROR(INDEX(Fields!$B$5:$B$604,MATCH(30,Fields!$U$5:$U$604,0))&amp;"","")</f>
        <v/>
      </c>
      <c r="C268" s="20" t="str">
        <f aca="false">IFERROR(INDEX(Fields!$E$5:$E$604,MATCH(30,Fields!$U$5:$U$604,0))&amp;"","")</f>
        <v/>
      </c>
      <c r="D268" s="20" t="str">
        <f aca="false">IFERROR(INDEX(Fields!$H$5:$H$604,MATCH(30,Fields!$U$5:$U$604,0))&amp;"","")</f>
        <v/>
      </c>
      <c r="E268" s="20" t="str">
        <f aca="false">IFERROR(INDEX(Fields!$K$5:$K$604,MATCH(30,Fields!$U$5:$U$604,0))&amp;"","")</f>
        <v/>
      </c>
      <c r="F268" s="20" t="str">
        <f aca="false">IFERROR(INDEX(Fields!$N$5:$N$604,MATCH(30,Fields!$U$5:$U$604,0)),"")</f>
        <v/>
      </c>
    </row>
    <row r="269" customFormat="false" ht="15" hidden="false" customHeight="false" outlineLevel="0" collapsed="false">
      <c r="A269" s="20" t="str">
        <f aca="false">IFERROR(INDEX(Fields!$A$5:$A$604,MATCH(31,Fields!$U$5:$U$604,0))&amp;"","")</f>
        <v/>
      </c>
      <c r="B269" s="20" t="str">
        <f aca="false">IFERROR(INDEX(Fields!$B$5:$B$604,MATCH(31,Fields!$U$5:$U$604,0))&amp;"","")</f>
        <v/>
      </c>
      <c r="C269" s="20" t="str">
        <f aca="false">IFERROR(INDEX(Fields!$E$5:$E$604,MATCH(31,Fields!$U$5:$U$604,0))&amp;"","")</f>
        <v/>
      </c>
      <c r="D269" s="20" t="str">
        <f aca="false">IFERROR(INDEX(Fields!$H$5:$H$604,MATCH(31,Fields!$U$5:$U$604,0))&amp;"","")</f>
        <v/>
      </c>
      <c r="E269" s="20" t="str">
        <f aca="false">IFERROR(INDEX(Fields!$K$5:$K$604,MATCH(31,Fields!$U$5:$U$604,0))&amp;"","")</f>
        <v/>
      </c>
      <c r="F269" s="20" t="str">
        <f aca="false">IFERROR(INDEX(Fields!$N$5:$N$604,MATCH(31,Fields!$U$5:$U$604,0)),"")</f>
        <v/>
      </c>
    </row>
    <row r="270" customFormat="false" ht="15" hidden="false" customHeight="false" outlineLevel="0" collapsed="false">
      <c r="A270" s="20" t="str">
        <f aca="false">IFERROR(INDEX(Fields!$A$5:$A$604,MATCH(32,Fields!$U$5:$U$604,0))&amp;"","")</f>
        <v/>
      </c>
      <c r="B270" s="20" t="str">
        <f aca="false">IFERROR(INDEX(Fields!$B$5:$B$604,MATCH(32,Fields!$U$5:$U$604,0))&amp;"","")</f>
        <v/>
      </c>
      <c r="C270" s="20" t="str">
        <f aca="false">IFERROR(INDEX(Fields!$E$5:$E$604,MATCH(32,Fields!$U$5:$U$604,0))&amp;"","")</f>
        <v/>
      </c>
      <c r="D270" s="20" t="str">
        <f aca="false">IFERROR(INDEX(Fields!$H$5:$H$604,MATCH(32,Fields!$U$5:$U$604,0))&amp;"","")</f>
        <v/>
      </c>
      <c r="E270" s="20" t="str">
        <f aca="false">IFERROR(INDEX(Fields!$K$5:$K$604,MATCH(32,Fields!$U$5:$U$604,0))&amp;"","")</f>
        <v/>
      </c>
      <c r="F270" s="20" t="str">
        <f aca="false">IFERROR(INDEX(Fields!$N$5:$N$604,MATCH(32,Fields!$U$5:$U$604,0)),"")</f>
        <v/>
      </c>
    </row>
    <row r="271" customFormat="false" ht="15" hidden="false" customHeight="false" outlineLevel="0" collapsed="false">
      <c r="A271" s="20" t="str">
        <f aca="false">IFERROR(INDEX(Fields!$A$5:$A$604,MATCH(33,Fields!$U$5:$U$604,0))&amp;"","")</f>
        <v/>
      </c>
      <c r="B271" s="20" t="str">
        <f aca="false">IFERROR(INDEX(Fields!$B$5:$B$604,MATCH(33,Fields!$U$5:$U$604,0))&amp;"","")</f>
        <v/>
      </c>
      <c r="C271" s="20" t="str">
        <f aca="false">IFERROR(INDEX(Fields!$E$5:$E$604,MATCH(33,Fields!$U$5:$U$604,0))&amp;"","")</f>
        <v/>
      </c>
      <c r="D271" s="20" t="str">
        <f aca="false">IFERROR(INDEX(Fields!$H$5:$H$604,MATCH(33,Fields!$U$5:$U$604,0))&amp;"","")</f>
        <v/>
      </c>
      <c r="E271" s="20" t="str">
        <f aca="false">IFERROR(INDEX(Fields!$K$5:$K$604,MATCH(33,Fields!$U$5:$U$604,0))&amp;"","")</f>
        <v/>
      </c>
      <c r="F271" s="20" t="str">
        <f aca="false">IFERROR(INDEX(Fields!$N$5:$N$604,MATCH(33,Fields!$U$5:$U$604,0)),"")</f>
        <v/>
      </c>
    </row>
    <row r="272" customFormat="false" ht="15" hidden="false" customHeight="false" outlineLevel="0" collapsed="false">
      <c r="A272" s="20" t="str">
        <f aca="false">IFERROR(INDEX(Fields!$A$5:$A$604,MATCH(34,Fields!$U$5:$U$604,0))&amp;"","")</f>
        <v/>
      </c>
      <c r="B272" s="20" t="str">
        <f aca="false">IFERROR(INDEX(Fields!$B$5:$B$604,MATCH(34,Fields!$U$5:$U$604,0))&amp;"","")</f>
        <v/>
      </c>
      <c r="C272" s="20" t="str">
        <f aca="false">IFERROR(INDEX(Fields!$E$5:$E$604,MATCH(34,Fields!$U$5:$U$604,0))&amp;"","")</f>
        <v/>
      </c>
      <c r="D272" s="20" t="str">
        <f aca="false">IFERROR(INDEX(Fields!$H$5:$H$604,MATCH(34,Fields!$U$5:$U$604,0))&amp;"","")</f>
        <v/>
      </c>
      <c r="E272" s="20" t="str">
        <f aca="false">IFERROR(INDEX(Fields!$K$5:$K$604,MATCH(34,Fields!$U$5:$U$604,0))&amp;"","")</f>
        <v/>
      </c>
      <c r="F272" s="20" t="str">
        <f aca="false">IFERROR(INDEX(Fields!$N$5:$N$604,MATCH(34,Fields!$U$5:$U$604,0)),"")</f>
        <v/>
      </c>
    </row>
    <row r="273" customFormat="false" ht="15" hidden="false" customHeight="false" outlineLevel="0" collapsed="false">
      <c r="A273" s="20" t="str">
        <f aca="false">IFERROR(INDEX(Fields!$A$5:$A$604,MATCH(35,Fields!$U$5:$U$604,0))&amp;"","")</f>
        <v/>
      </c>
      <c r="B273" s="20" t="str">
        <f aca="false">IFERROR(INDEX(Fields!$B$5:$B$604,MATCH(35,Fields!$U$5:$U$604,0))&amp;"","")</f>
        <v/>
      </c>
      <c r="C273" s="20" t="str">
        <f aca="false">IFERROR(INDEX(Fields!$E$5:$E$604,MATCH(35,Fields!$U$5:$U$604,0))&amp;"","")</f>
        <v/>
      </c>
      <c r="D273" s="20" t="str">
        <f aca="false">IFERROR(INDEX(Fields!$H$5:$H$604,MATCH(35,Fields!$U$5:$U$604,0))&amp;"","")</f>
        <v/>
      </c>
      <c r="E273" s="20" t="str">
        <f aca="false">IFERROR(INDEX(Fields!$K$5:$K$604,MATCH(35,Fields!$U$5:$U$604,0))&amp;"","")</f>
        <v/>
      </c>
      <c r="F273" s="20" t="str">
        <f aca="false">IFERROR(INDEX(Fields!$N$5:$N$604,MATCH(35,Fields!$U$5:$U$604,0)),"")</f>
        <v/>
      </c>
    </row>
    <row r="274" customFormat="false" ht="15" hidden="false" customHeight="false" outlineLevel="0" collapsed="false">
      <c r="A274" s="20" t="str">
        <f aca="false">IFERROR(INDEX(Fields!$A$5:$A$604,MATCH(36,Fields!$U$5:$U$604,0))&amp;"","")</f>
        <v/>
      </c>
      <c r="B274" s="20" t="str">
        <f aca="false">IFERROR(INDEX(Fields!$B$5:$B$604,MATCH(36,Fields!$U$5:$U$604,0))&amp;"","")</f>
        <v/>
      </c>
      <c r="C274" s="20" t="str">
        <f aca="false">IFERROR(INDEX(Fields!$E$5:$E$604,MATCH(36,Fields!$U$5:$U$604,0))&amp;"","")</f>
        <v/>
      </c>
      <c r="D274" s="20" t="str">
        <f aca="false">IFERROR(INDEX(Fields!$H$5:$H$604,MATCH(36,Fields!$U$5:$U$604,0))&amp;"","")</f>
        <v/>
      </c>
      <c r="E274" s="20" t="str">
        <f aca="false">IFERROR(INDEX(Fields!$K$5:$K$604,MATCH(36,Fields!$U$5:$U$604,0))&amp;"","")</f>
        <v/>
      </c>
      <c r="F274" s="20" t="str">
        <f aca="false">IFERROR(INDEX(Fields!$N$5:$N$604,MATCH(36,Fields!$U$5:$U$604,0)),"")</f>
        <v/>
      </c>
    </row>
    <row r="275" customFormat="false" ht="15" hidden="false" customHeight="false" outlineLevel="0" collapsed="false">
      <c r="A275" s="20" t="str">
        <f aca="false">IFERROR(INDEX(Fields!$A$5:$A$604,MATCH(37,Fields!$U$5:$U$604,0))&amp;"","")</f>
        <v/>
      </c>
      <c r="B275" s="20" t="str">
        <f aca="false">IFERROR(INDEX(Fields!$B$5:$B$604,MATCH(37,Fields!$U$5:$U$604,0))&amp;"","")</f>
        <v/>
      </c>
      <c r="C275" s="20" t="str">
        <f aca="false">IFERROR(INDEX(Fields!$E$5:$E$604,MATCH(37,Fields!$U$5:$U$604,0))&amp;"","")</f>
        <v/>
      </c>
      <c r="D275" s="20" t="str">
        <f aca="false">IFERROR(INDEX(Fields!$H$5:$H$604,MATCH(37,Fields!$U$5:$U$604,0))&amp;"","")</f>
        <v/>
      </c>
      <c r="E275" s="20" t="str">
        <f aca="false">IFERROR(INDEX(Fields!$K$5:$K$604,MATCH(37,Fields!$U$5:$U$604,0))&amp;"","")</f>
        <v/>
      </c>
      <c r="F275" s="20" t="str">
        <f aca="false">IFERROR(INDEX(Fields!$N$5:$N$604,MATCH(37,Fields!$U$5:$U$604,0)),"")</f>
        <v/>
      </c>
    </row>
    <row r="276" customFormat="false" ht="15" hidden="false" customHeight="false" outlineLevel="0" collapsed="false">
      <c r="A276" s="20" t="str">
        <f aca="false">IFERROR(INDEX(Fields!$A$5:$A$604,MATCH(38,Fields!$U$5:$U$604,0))&amp;"","")</f>
        <v/>
      </c>
      <c r="B276" s="20" t="str">
        <f aca="false">IFERROR(INDEX(Fields!$B$5:$B$604,MATCH(38,Fields!$U$5:$U$604,0))&amp;"","")</f>
        <v/>
      </c>
      <c r="C276" s="20" t="str">
        <f aca="false">IFERROR(INDEX(Fields!$E$5:$E$604,MATCH(38,Fields!$U$5:$U$604,0))&amp;"","")</f>
        <v/>
      </c>
      <c r="D276" s="20" t="str">
        <f aca="false">IFERROR(INDEX(Fields!$H$5:$H$604,MATCH(38,Fields!$U$5:$U$604,0))&amp;"","")</f>
        <v/>
      </c>
      <c r="E276" s="20" t="str">
        <f aca="false">IFERROR(INDEX(Fields!$K$5:$K$604,MATCH(38,Fields!$U$5:$U$604,0))&amp;"","")</f>
        <v/>
      </c>
      <c r="F276" s="20" t="str">
        <f aca="false">IFERROR(INDEX(Fields!$N$5:$N$604,MATCH(38,Fields!$U$5:$U$604,0)),"")</f>
        <v/>
      </c>
    </row>
    <row r="277" customFormat="false" ht="15" hidden="false" customHeight="false" outlineLevel="0" collapsed="false">
      <c r="A277" s="20" t="str">
        <f aca="false">IFERROR(INDEX(Fields!$A$5:$A$604,MATCH(39,Fields!$U$5:$U$604,0))&amp;"","")</f>
        <v/>
      </c>
      <c r="B277" s="20" t="str">
        <f aca="false">IFERROR(INDEX(Fields!$B$5:$B$604,MATCH(39,Fields!$U$5:$U$604,0))&amp;"","")</f>
        <v/>
      </c>
      <c r="C277" s="20" t="str">
        <f aca="false">IFERROR(INDEX(Fields!$E$5:$E$604,MATCH(39,Fields!$U$5:$U$604,0))&amp;"","")</f>
        <v/>
      </c>
      <c r="D277" s="20" t="str">
        <f aca="false">IFERROR(INDEX(Fields!$H$5:$H$604,MATCH(39,Fields!$U$5:$U$604,0))&amp;"","")</f>
        <v/>
      </c>
      <c r="E277" s="20" t="str">
        <f aca="false">IFERROR(INDEX(Fields!$K$5:$K$604,MATCH(39,Fields!$U$5:$U$604,0))&amp;"","")</f>
        <v/>
      </c>
      <c r="F277" s="20" t="str">
        <f aca="false">IFERROR(INDEX(Fields!$N$5:$N$604,MATCH(39,Fields!$U$5:$U$604,0)),"")</f>
        <v/>
      </c>
    </row>
    <row r="278" customFormat="false" ht="15" hidden="false" customHeight="false" outlineLevel="0" collapsed="false">
      <c r="A278" s="20" t="str">
        <f aca="false">IFERROR(INDEX(Fields!$A$5:$A$604,MATCH(40,Fields!$U$5:$U$604,0))&amp;"","")</f>
        <v/>
      </c>
      <c r="B278" s="20" t="str">
        <f aca="false">IFERROR(INDEX(Fields!$B$5:$B$604,MATCH(40,Fields!$U$5:$U$604,0))&amp;"","")</f>
        <v/>
      </c>
      <c r="C278" s="20" t="str">
        <f aca="false">IFERROR(INDEX(Fields!$E$5:$E$604,MATCH(40,Fields!$U$5:$U$604,0))&amp;"","")</f>
        <v/>
      </c>
      <c r="D278" s="20" t="str">
        <f aca="false">IFERROR(INDEX(Fields!$H$5:$H$604,MATCH(40,Fields!$U$5:$U$604,0))&amp;"","")</f>
        <v/>
      </c>
      <c r="E278" s="20" t="str">
        <f aca="false">IFERROR(INDEX(Fields!$K$5:$K$604,MATCH(40,Fields!$U$5:$U$604,0))&amp;"","")</f>
        <v/>
      </c>
      <c r="F278" s="20" t="str">
        <f aca="false">IFERROR(INDEX(Fields!$N$5:$N$604,MATCH(40,Fields!$U$5:$U$604,0)),"")</f>
        <v/>
      </c>
    </row>
    <row r="280" customFormat="false" ht="15" hidden="false" customHeight="false" outlineLevel="0" collapsed="false">
      <c r="A280" s="18" t="s">
        <v>124</v>
      </c>
    </row>
    <row r="281" customFormat="false" ht="15" hidden="false" customHeight="false" outlineLevel="0" collapsed="false">
      <c r="A281" s="17" t="s">
        <v>125</v>
      </c>
      <c r="C281" s="19" t="str">
        <f aca="false">HYPERLINK("#'Decisions'!A1","top")</f>
        <v>top</v>
      </c>
    </row>
    <row r="282" customFormat="false" ht="31.5" hidden="false" customHeight="true" outlineLevel="0" collapsed="false">
      <c r="A282" s="11" t="s">
        <v>126</v>
      </c>
      <c r="B282" s="11" t="s">
        <v>127</v>
      </c>
      <c r="C282" s="11" t="s">
        <v>128</v>
      </c>
      <c r="D282" s="11" t="s">
        <v>129</v>
      </c>
      <c r="E282" s="11" t="s">
        <v>130</v>
      </c>
    </row>
    <row r="283" customFormat="false" ht="46.25" hidden="false" customHeight="false" outlineLevel="0" collapsed="false">
      <c r="A283" s="20" t="str">
        <f aca="false">IFERROR(INDEX('Dimension usage'!$C$5:$C$404,MATCH(1,'Dimension usage'!$K$5:$K$404,0))&amp;"","")</f>
        <v>Recruiter view</v>
      </c>
      <c r="B283" s="20" t="str">
        <f aca="false">IFERROR(INDEX('Dimension usage'!$D$5:$D$404,MATCH(1,'Dimension usage'!$K$5:$K$404,0))&amp;"","")</f>
        <v>Organisation</v>
      </c>
      <c r="C283" s="20" t="str">
        <f aca="false">IFERROR(INDEX('Dimension usage'!$F$5:$F$404,MATCH(1,'Dimension usage'!$K$5:$K$404,0))&amp;"","")</f>
        <v>Recruiter scorecard base</v>
      </c>
      <c r="D283" s="20" t="str">
        <f aca="false">IF(IFERROR(INDEX('Dimension usage'!$B$5:$B$404,MATCH(1,'Dimension usage'!$K$5:$K$404,0)),"")="","",IFERROR(INDEX(Tables!$B:$B,MATCH(INDEX(Dimensions!$C:$C,MATCH(IFERROR(INDEX('Dimension usage'!$B$5:$B$404,MATCH(1,'Dimension usage'!$K$5:$K$404,0)),""),Dimensions!$A:$A,0)),Tables!$A:$A,0)),""))</f>
        <v>HRDW requisition table</v>
      </c>
      <c r="E283" s="20" t="str">
        <f aca="false">IFERROR(INDEX('Dimension usage'!$H$5:$H$404,MATCH(1,'Dimension usage'!$K$5:$K$404,0))&amp;"","")</f>
        <v>Example. Recruiter view uses the recruiting team mapping built into the recruiter base. Same filter label, different table.</v>
      </c>
      <c r="F283" s="20"/>
    </row>
    <row r="284" customFormat="false" ht="15" hidden="false" customHeight="false" outlineLevel="0" collapsed="false">
      <c r="A284" s="20" t="str">
        <f aca="false">IFERROR(INDEX('Dimension usage'!$C$5:$C$404,MATCH(2,'Dimension usage'!$K$5:$K$404,0))&amp;"","")</f>
        <v/>
      </c>
      <c r="B284" s="20" t="str">
        <f aca="false">IFERROR(INDEX('Dimension usage'!$D$5:$D$404,MATCH(2,'Dimension usage'!$K$5:$K$404,0))&amp;"","")</f>
        <v/>
      </c>
      <c r="C284" s="20" t="str">
        <f aca="false">IFERROR(INDEX('Dimension usage'!$F$5:$F$404,MATCH(2,'Dimension usage'!$K$5:$K$404,0))&amp;"","")</f>
        <v/>
      </c>
      <c r="D284" s="20" t="str">
        <f aca="false">IF(IFERROR(INDEX('Dimension usage'!$B$5:$B$404,MATCH(2,'Dimension usage'!$K$5:$K$404,0)),"")="","",IFERROR(INDEX(Tables!$B:$B,MATCH(INDEX(Dimensions!$C:$C,MATCH(IFERROR(INDEX('Dimension usage'!$B$5:$B$404,MATCH(2,'Dimension usage'!$K$5:$K$404,0)),""),Dimensions!$A:$A,0)),Tables!$A:$A,0)),""))</f>
        <v/>
      </c>
      <c r="E284" s="20" t="str">
        <f aca="false">IFERROR(INDEX('Dimension usage'!$H$5:$H$404,MATCH(2,'Dimension usage'!$K$5:$K$404,0))&amp;"","")</f>
        <v/>
      </c>
      <c r="F284" s="20"/>
    </row>
    <row r="285" customFormat="false" ht="15" hidden="false" customHeight="false" outlineLevel="0" collapsed="false">
      <c r="A285" s="20" t="str">
        <f aca="false">IFERROR(INDEX('Dimension usage'!$C$5:$C$404,MATCH(3,'Dimension usage'!$K$5:$K$404,0))&amp;"","")</f>
        <v/>
      </c>
      <c r="B285" s="20" t="str">
        <f aca="false">IFERROR(INDEX('Dimension usage'!$D$5:$D$404,MATCH(3,'Dimension usage'!$K$5:$K$404,0))&amp;"","")</f>
        <v/>
      </c>
      <c r="C285" s="20" t="str">
        <f aca="false">IFERROR(INDEX('Dimension usage'!$F$5:$F$404,MATCH(3,'Dimension usage'!$K$5:$K$404,0))&amp;"","")</f>
        <v/>
      </c>
      <c r="D285" s="20" t="str">
        <f aca="false">IF(IFERROR(INDEX('Dimension usage'!$B$5:$B$404,MATCH(3,'Dimension usage'!$K$5:$K$404,0)),"")="","",IFERROR(INDEX(Tables!$B:$B,MATCH(INDEX(Dimensions!$C:$C,MATCH(IFERROR(INDEX('Dimension usage'!$B$5:$B$404,MATCH(3,'Dimension usage'!$K$5:$K$404,0)),""),Dimensions!$A:$A,0)),Tables!$A:$A,0)),""))</f>
        <v/>
      </c>
      <c r="E285" s="20" t="str">
        <f aca="false">IFERROR(INDEX('Dimension usage'!$H$5:$H$404,MATCH(3,'Dimension usage'!$K$5:$K$404,0))&amp;"","")</f>
        <v/>
      </c>
      <c r="F285" s="20"/>
    </row>
    <row r="286" customFormat="false" ht="15" hidden="false" customHeight="false" outlineLevel="0" collapsed="false">
      <c r="A286" s="20" t="str">
        <f aca="false">IFERROR(INDEX('Dimension usage'!$C$5:$C$404,MATCH(4,'Dimension usage'!$K$5:$K$404,0))&amp;"","")</f>
        <v/>
      </c>
      <c r="B286" s="20" t="str">
        <f aca="false">IFERROR(INDEX('Dimension usage'!$D$5:$D$404,MATCH(4,'Dimension usage'!$K$5:$K$404,0))&amp;"","")</f>
        <v/>
      </c>
      <c r="C286" s="20" t="str">
        <f aca="false">IFERROR(INDEX('Dimension usage'!$F$5:$F$404,MATCH(4,'Dimension usage'!$K$5:$K$404,0))&amp;"","")</f>
        <v/>
      </c>
      <c r="D286" s="20" t="str">
        <f aca="false">IF(IFERROR(INDEX('Dimension usage'!$B$5:$B$404,MATCH(4,'Dimension usage'!$K$5:$K$404,0)),"")="","",IFERROR(INDEX(Tables!$B:$B,MATCH(INDEX(Dimensions!$C:$C,MATCH(IFERROR(INDEX('Dimension usage'!$B$5:$B$404,MATCH(4,'Dimension usage'!$K$5:$K$404,0)),""),Dimensions!$A:$A,0)),Tables!$A:$A,0)),""))</f>
        <v/>
      </c>
      <c r="E286" s="20" t="str">
        <f aca="false">IFERROR(INDEX('Dimension usage'!$H$5:$H$404,MATCH(4,'Dimension usage'!$K$5:$K$404,0))&amp;"","")</f>
        <v/>
      </c>
      <c r="F286" s="20"/>
    </row>
    <row r="287" customFormat="false" ht="15" hidden="false" customHeight="false" outlineLevel="0" collapsed="false">
      <c r="A287" s="20" t="str">
        <f aca="false">IFERROR(INDEX('Dimension usage'!$C$5:$C$404,MATCH(5,'Dimension usage'!$K$5:$K$404,0))&amp;"","")</f>
        <v/>
      </c>
      <c r="B287" s="20" t="str">
        <f aca="false">IFERROR(INDEX('Dimension usage'!$D$5:$D$404,MATCH(5,'Dimension usage'!$K$5:$K$404,0))&amp;"","")</f>
        <v/>
      </c>
      <c r="C287" s="20" t="str">
        <f aca="false">IFERROR(INDEX('Dimension usage'!$F$5:$F$404,MATCH(5,'Dimension usage'!$K$5:$K$404,0))&amp;"","")</f>
        <v/>
      </c>
      <c r="D287" s="20" t="str">
        <f aca="false">IF(IFERROR(INDEX('Dimension usage'!$B$5:$B$404,MATCH(5,'Dimension usage'!$K$5:$K$404,0)),"")="","",IFERROR(INDEX(Tables!$B:$B,MATCH(INDEX(Dimensions!$C:$C,MATCH(IFERROR(INDEX('Dimension usage'!$B$5:$B$404,MATCH(5,'Dimension usage'!$K$5:$K$404,0)),""),Dimensions!$A:$A,0)),Tables!$A:$A,0)),""))</f>
        <v/>
      </c>
      <c r="E287" s="20" t="str">
        <f aca="false">IFERROR(INDEX('Dimension usage'!$H$5:$H$404,MATCH(5,'Dimension usage'!$K$5:$K$404,0))&amp;"","")</f>
        <v/>
      </c>
      <c r="F287" s="20"/>
    </row>
    <row r="288" customFormat="false" ht="15" hidden="false" customHeight="false" outlineLevel="0" collapsed="false">
      <c r="A288" s="20" t="str">
        <f aca="false">IFERROR(INDEX('Dimension usage'!$C$5:$C$404,MATCH(6,'Dimension usage'!$K$5:$K$404,0))&amp;"","")</f>
        <v/>
      </c>
      <c r="B288" s="20" t="str">
        <f aca="false">IFERROR(INDEX('Dimension usage'!$D$5:$D$404,MATCH(6,'Dimension usage'!$K$5:$K$404,0))&amp;"","")</f>
        <v/>
      </c>
      <c r="C288" s="20" t="str">
        <f aca="false">IFERROR(INDEX('Dimension usage'!$F$5:$F$404,MATCH(6,'Dimension usage'!$K$5:$K$404,0))&amp;"","")</f>
        <v/>
      </c>
      <c r="D288" s="20" t="str">
        <f aca="false">IF(IFERROR(INDEX('Dimension usage'!$B$5:$B$404,MATCH(6,'Dimension usage'!$K$5:$K$404,0)),"")="","",IFERROR(INDEX(Tables!$B:$B,MATCH(INDEX(Dimensions!$C:$C,MATCH(IFERROR(INDEX('Dimension usage'!$B$5:$B$404,MATCH(6,'Dimension usage'!$K$5:$K$404,0)),""),Dimensions!$A:$A,0)),Tables!$A:$A,0)),""))</f>
        <v/>
      </c>
      <c r="E288" s="20" t="str">
        <f aca="false">IFERROR(INDEX('Dimension usage'!$H$5:$H$404,MATCH(6,'Dimension usage'!$K$5:$K$404,0))&amp;"","")</f>
        <v/>
      </c>
      <c r="F288" s="20"/>
    </row>
    <row r="289" customFormat="false" ht="15" hidden="false" customHeight="false" outlineLevel="0" collapsed="false">
      <c r="A289" s="20" t="str">
        <f aca="false">IFERROR(INDEX('Dimension usage'!$C$5:$C$404,MATCH(7,'Dimension usage'!$K$5:$K$404,0))&amp;"","")</f>
        <v/>
      </c>
      <c r="B289" s="20" t="str">
        <f aca="false">IFERROR(INDEX('Dimension usage'!$D$5:$D$404,MATCH(7,'Dimension usage'!$K$5:$K$404,0))&amp;"","")</f>
        <v/>
      </c>
      <c r="C289" s="20" t="str">
        <f aca="false">IFERROR(INDEX('Dimension usage'!$F$5:$F$404,MATCH(7,'Dimension usage'!$K$5:$K$404,0))&amp;"","")</f>
        <v/>
      </c>
      <c r="D289" s="20" t="str">
        <f aca="false">IF(IFERROR(INDEX('Dimension usage'!$B$5:$B$404,MATCH(7,'Dimension usage'!$K$5:$K$404,0)),"")="","",IFERROR(INDEX(Tables!$B:$B,MATCH(INDEX(Dimensions!$C:$C,MATCH(IFERROR(INDEX('Dimension usage'!$B$5:$B$404,MATCH(7,'Dimension usage'!$K$5:$K$404,0)),""),Dimensions!$A:$A,0)),Tables!$A:$A,0)),""))</f>
        <v/>
      </c>
      <c r="E289" s="20" t="str">
        <f aca="false">IFERROR(INDEX('Dimension usage'!$H$5:$H$404,MATCH(7,'Dimension usage'!$K$5:$K$404,0))&amp;"","")</f>
        <v/>
      </c>
      <c r="F289" s="20"/>
    </row>
    <row r="290" customFormat="false" ht="15" hidden="false" customHeight="false" outlineLevel="0" collapsed="false">
      <c r="A290" s="20" t="str">
        <f aca="false">IFERROR(INDEX('Dimension usage'!$C$5:$C$404,MATCH(8,'Dimension usage'!$K$5:$K$404,0))&amp;"","")</f>
        <v/>
      </c>
      <c r="B290" s="20" t="str">
        <f aca="false">IFERROR(INDEX('Dimension usage'!$D$5:$D$404,MATCH(8,'Dimension usage'!$K$5:$K$404,0))&amp;"","")</f>
        <v/>
      </c>
      <c r="C290" s="20" t="str">
        <f aca="false">IFERROR(INDEX('Dimension usage'!$F$5:$F$404,MATCH(8,'Dimension usage'!$K$5:$K$404,0))&amp;"","")</f>
        <v/>
      </c>
      <c r="D290" s="20" t="str">
        <f aca="false">IF(IFERROR(INDEX('Dimension usage'!$B$5:$B$404,MATCH(8,'Dimension usage'!$K$5:$K$404,0)),"")="","",IFERROR(INDEX(Tables!$B:$B,MATCH(INDEX(Dimensions!$C:$C,MATCH(IFERROR(INDEX('Dimension usage'!$B$5:$B$404,MATCH(8,'Dimension usage'!$K$5:$K$404,0)),""),Dimensions!$A:$A,0)),Tables!$A:$A,0)),""))</f>
        <v/>
      </c>
      <c r="E290" s="20" t="str">
        <f aca="false">IFERROR(INDEX('Dimension usage'!$H$5:$H$404,MATCH(8,'Dimension usage'!$K$5:$K$404,0))&amp;"","")</f>
        <v/>
      </c>
      <c r="F290" s="20"/>
    </row>
    <row r="291" customFormat="false" ht="15" hidden="false" customHeight="false" outlineLevel="0" collapsed="false">
      <c r="A291" s="20" t="str">
        <f aca="false">IFERROR(INDEX('Dimension usage'!$C$5:$C$404,MATCH(9,'Dimension usage'!$K$5:$K$404,0))&amp;"","")</f>
        <v/>
      </c>
      <c r="B291" s="20" t="str">
        <f aca="false">IFERROR(INDEX('Dimension usage'!$D$5:$D$404,MATCH(9,'Dimension usage'!$K$5:$K$404,0))&amp;"","")</f>
        <v/>
      </c>
      <c r="C291" s="20" t="str">
        <f aca="false">IFERROR(INDEX('Dimension usage'!$F$5:$F$404,MATCH(9,'Dimension usage'!$K$5:$K$404,0))&amp;"","")</f>
        <v/>
      </c>
      <c r="D291" s="20" t="str">
        <f aca="false">IF(IFERROR(INDEX('Dimension usage'!$B$5:$B$404,MATCH(9,'Dimension usage'!$K$5:$K$404,0)),"")="","",IFERROR(INDEX(Tables!$B:$B,MATCH(INDEX(Dimensions!$C:$C,MATCH(IFERROR(INDEX('Dimension usage'!$B$5:$B$404,MATCH(9,'Dimension usage'!$K$5:$K$404,0)),""),Dimensions!$A:$A,0)),Tables!$A:$A,0)),""))</f>
        <v/>
      </c>
      <c r="E291" s="20" t="str">
        <f aca="false">IFERROR(INDEX('Dimension usage'!$H$5:$H$404,MATCH(9,'Dimension usage'!$K$5:$K$404,0))&amp;"","")</f>
        <v/>
      </c>
      <c r="F291" s="20"/>
    </row>
    <row r="292" customFormat="false" ht="15" hidden="false" customHeight="false" outlineLevel="0" collapsed="false">
      <c r="A292" s="20" t="str">
        <f aca="false">IFERROR(INDEX('Dimension usage'!$C$5:$C$404,MATCH(10,'Dimension usage'!$K$5:$K$404,0))&amp;"","")</f>
        <v/>
      </c>
      <c r="B292" s="20" t="str">
        <f aca="false">IFERROR(INDEX('Dimension usage'!$D$5:$D$404,MATCH(10,'Dimension usage'!$K$5:$K$404,0))&amp;"","")</f>
        <v/>
      </c>
      <c r="C292" s="20" t="str">
        <f aca="false">IFERROR(INDEX('Dimension usage'!$F$5:$F$404,MATCH(10,'Dimension usage'!$K$5:$K$404,0))&amp;"","")</f>
        <v/>
      </c>
      <c r="D292" s="20" t="str">
        <f aca="false">IF(IFERROR(INDEX('Dimension usage'!$B$5:$B$404,MATCH(10,'Dimension usage'!$K$5:$K$404,0)),"")="","",IFERROR(INDEX(Tables!$B:$B,MATCH(INDEX(Dimensions!$C:$C,MATCH(IFERROR(INDEX('Dimension usage'!$B$5:$B$404,MATCH(10,'Dimension usage'!$K$5:$K$404,0)),""),Dimensions!$A:$A,0)),Tables!$A:$A,0)),""))</f>
        <v/>
      </c>
      <c r="E292" s="20" t="str">
        <f aca="false">IFERROR(INDEX('Dimension usage'!$H$5:$H$404,MATCH(10,'Dimension usage'!$K$5:$K$404,0))&amp;"","")</f>
        <v/>
      </c>
      <c r="F292" s="20"/>
    </row>
    <row r="293" customFormat="false" ht="15" hidden="false" customHeight="false" outlineLevel="0" collapsed="false">
      <c r="A293" s="20" t="str">
        <f aca="false">IFERROR(INDEX('Dimension usage'!$C$5:$C$404,MATCH(11,'Dimension usage'!$K$5:$K$404,0))&amp;"","")</f>
        <v/>
      </c>
      <c r="B293" s="20" t="str">
        <f aca="false">IFERROR(INDEX('Dimension usage'!$D$5:$D$404,MATCH(11,'Dimension usage'!$K$5:$K$404,0))&amp;"","")</f>
        <v/>
      </c>
      <c r="C293" s="20" t="str">
        <f aca="false">IFERROR(INDEX('Dimension usage'!$F$5:$F$404,MATCH(11,'Dimension usage'!$K$5:$K$404,0))&amp;"","")</f>
        <v/>
      </c>
      <c r="D293" s="20" t="str">
        <f aca="false">IF(IFERROR(INDEX('Dimension usage'!$B$5:$B$404,MATCH(11,'Dimension usage'!$K$5:$K$404,0)),"")="","",IFERROR(INDEX(Tables!$B:$B,MATCH(INDEX(Dimensions!$C:$C,MATCH(IFERROR(INDEX('Dimension usage'!$B$5:$B$404,MATCH(11,'Dimension usage'!$K$5:$K$404,0)),""),Dimensions!$A:$A,0)),Tables!$A:$A,0)),""))</f>
        <v/>
      </c>
      <c r="E293" s="20" t="str">
        <f aca="false">IFERROR(INDEX('Dimension usage'!$H$5:$H$404,MATCH(11,'Dimension usage'!$K$5:$K$404,0))&amp;"","")</f>
        <v/>
      </c>
      <c r="F293" s="20"/>
    </row>
    <row r="294" customFormat="false" ht="15" hidden="false" customHeight="false" outlineLevel="0" collapsed="false">
      <c r="A294" s="20" t="str">
        <f aca="false">IFERROR(INDEX('Dimension usage'!$C$5:$C$404,MATCH(12,'Dimension usage'!$K$5:$K$404,0))&amp;"","")</f>
        <v/>
      </c>
      <c r="B294" s="20" t="str">
        <f aca="false">IFERROR(INDEX('Dimension usage'!$D$5:$D$404,MATCH(12,'Dimension usage'!$K$5:$K$404,0))&amp;"","")</f>
        <v/>
      </c>
      <c r="C294" s="20" t="str">
        <f aca="false">IFERROR(INDEX('Dimension usage'!$F$5:$F$404,MATCH(12,'Dimension usage'!$K$5:$K$404,0))&amp;"","")</f>
        <v/>
      </c>
      <c r="D294" s="20" t="str">
        <f aca="false">IF(IFERROR(INDEX('Dimension usage'!$B$5:$B$404,MATCH(12,'Dimension usage'!$K$5:$K$404,0)),"")="","",IFERROR(INDEX(Tables!$B:$B,MATCH(INDEX(Dimensions!$C:$C,MATCH(IFERROR(INDEX('Dimension usage'!$B$5:$B$404,MATCH(12,'Dimension usage'!$K$5:$K$404,0)),""),Dimensions!$A:$A,0)),Tables!$A:$A,0)),""))</f>
        <v/>
      </c>
      <c r="E294" s="20" t="str">
        <f aca="false">IFERROR(INDEX('Dimension usage'!$H$5:$H$404,MATCH(12,'Dimension usage'!$K$5:$K$404,0))&amp;"","")</f>
        <v/>
      </c>
      <c r="F294" s="20"/>
    </row>
    <row r="295" customFormat="false" ht="15" hidden="false" customHeight="false" outlineLevel="0" collapsed="false">
      <c r="A295" s="20" t="str">
        <f aca="false">IFERROR(INDEX('Dimension usage'!$C$5:$C$404,MATCH(13,'Dimension usage'!$K$5:$K$404,0))&amp;"","")</f>
        <v/>
      </c>
      <c r="B295" s="20" t="str">
        <f aca="false">IFERROR(INDEX('Dimension usage'!$D$5:$D$404,MATCH(13,'Dimension usage'!$K$5:$K$404,0))&amp;"","")</f>
        <v/>
      </c>
      <c r="C295" s="20" t="str">
        <f aca="false">IFERROR(INDEX('Dimension usage'!$F$5:$F$404,MATCH(13,'Dimension usage'!$K$5:$K$404,0))&amp;"","")</f>
        <v/>
      </c>
      <c r="D295" s="20" t="str">
        <f aca="false">IF(IFERROR(INDEX('Dimension usage'!$B$5:$B$404,MATCH(13,'Dimension usage'!$K$5:$K$404,0)),"")="","",IFERROR(INDEX(Tables!$B:$B,MATCH(INDEX(Dimensions!$C:$C,MATCH(IFERROR(INDEX('Dimension usage'!$B$5:$B$404,MATCH(13,'Dimension usage'!$K$5:$K$404,0)),""),Dimensions!$A:$A,0)),Tables!$A:$A,0)),""))</f>
        <v/>
      </c>
      <c r="E295" s="20" t="str">
        <f aca="false">IFERROR(INDEX('Dimension usage'!$H$5:$H$404,MATCH(13,'Dimension usage'!$K$5:$K$404,0))&amp;"","")</f>
        <v/>
      </c>
      <c r="F295" s="20"/>
    </row>
    <row r="296" customFormat="false" ht="15" hidden="false" customHeight="false" outlineLevel="0" collapsed="false">
      <c r="A296" s="20" t="str">
        <f aca="false">IFERROR(INDEX('Dimension usage'!$C$5:$C$404,MATCH(14,'Dimension usage'!$K$5:$K$404,0))&amp;"","")</f>
        <v/>
      </c>
      <c r="B296" s="20" t="str">
        <f aca="false">IFERROR(INDEX('Dimension usage'!$D$5:$D$404,MATCH(14,'Dimension usage'!$K$5:$K$404,0))&amp;"","")</f>
        <v/>
      </c>
      <c r="C296" s="20" t="str">
        <f aca="false">IFERROR(INDEX('Dimension usage'!$F$5:$F$404,MATCH(14,'Dimension usage'!$K$5:$K$404,0))&amp;"","")</f>
        <v/>
      </c>
      <c r="D296" s="20" t="str">
        <f aca="false">IF(IFERROR(INDEX('Dimension usage'!$B$5:$B$404,MATCH(14,'Dimension usage'!$K$5:$K$404,0)),"")="","",IFERROR(INDEX(Tables!$B:$B,MATCH(INDEX(Dimensions!$C:$C,MATCH(IFERROR(INDEX('Dimension usage'!$B$5:$B$404,MATCH(14,'Dimension usage'!$K$5:$K$404,0)),""),Dimensions!$A:$A,0)),Tables!$A:$A,0)),""))</f>
        <v/>
      </c>
      <c r="E296" s="20" t="str">
        <f aca="false">IFERROR(INDEX('Dimension usage'!$H$5:$H$404,MATCH(14,'Dimension usage'!$K$5:$K$404,0))&amp;"","")</f>
        <v/>
      </c>
      <c r="F296" s="20"/>
    </row>
    <row r="297" customFormat="false" ht="15" hidden="false" customHeight="false" outlineLevel="0" collapsed="false">
      <c r="A297" s="20" t="str">
        <f aca="false">IFERROR(INDEX('Dimension usage'!$C$5:$C$404,MATCH(15,'Dimension usage'!$K$5:$K$404,0))&amp;"","")</f>
        <v/>
      </c>
      <c r="B297" s="20" t="str">
        <f aca="false">IFERROR(INDEX('Dimension usage'!$D$5:$D$404,MATCH(15,'Dimension usage'!$K$5:$K$404,0))&amp;"","")</f>
        <v/>
      </c>
      <c r="C297" s="20" t="str">
        <f aca="false">IFERROR(INDEX('Dimension usage'!$F$5:$F$404,MATCH(15,'Dimension usage'!$K$5:$K$404,0))&amp;"","")</f>
        <v/>
      </c>
      <c r="D297" s="20" t="str">
        <f aca="false">IF(IFERROR(INDEX('Dimension usage'!$B$5:$B$404,MATCH(15,'Dimension usage'!$K$5:$K$404,0)),"")="","",IFERROR(INDEX(Tables!$B:$B,MATCH(INDEX(Dimensions!$C:$C,MATCH(IFERROR(INDEX('Dimension usage'!$B$5:$B$404,MATCH(15,'Dimension usage'!$K$5:$K$404,0)),""),Dimensions!$A:$A,0)),Tables!$A:$A,0)),""))</f>
        <v/>
      </c>
      <c r="E297" s="20" t="str">
        <f aca="false">IFERROR(INDEX('Dimension usage'!$H$5:$H$404,MATCH(15,'Dimension usage'!$K$5:$K$404,0))&amp;"","")</f>
        <v/>
      </c>
      <c r="F297" s="20"/>
    </row>
    <row r="298" customFormat="false" ht="15" hidden="false" customHeight="false" outlineLevel="0" collapsed="false">
      <c r="A298" s="20" t="str">
        <f aca="false">IFERROR(INDEX('Dimension usage'!$C$5:$C$404,MATCH(16,'Dimension usage'!$K$5:$K$404,0))&amp;"","")</f>
        <v/>
      </c>
      <c r="B298" s="20" t="str">
        <f aca="false">IFERROR(INDEX('Dimension usage'!$D$5:$D$404,MATCH(16,'Dimension usage'!$K$5:$K$404,0))&amp;"","")</f>
        <v/>
      </c>
      <c r="C298" s="20" t="str">
        <f aca="false">IFERROR(INDEX('Dimension usage'!$F$5:$F$404,MATCH(16,'Dimension usage'!$K$5:$K$404,0))&amp;"","")</f>
        <v/>
      </c>
      <c r="D298" s="20" t="str">
        <f aca="false">IF(IFERROR(INDEX('Dimension usage'!$B$5:$B$404,MATCH(16,'Dimension usage'!$K$5:$K$404,0)),"")="","",IFERROR(INDEX(Tables!$B:$B,MATCH(INDEX(Dimensions!$C:$C,MATCH(IFERROR(INDEX('Dimension usage'!$B$5:$B$404,MATCH(16,'Dimension usage'!$K$5:$K$404,0)),""),Dimensions!$A:$A,0)),Tables!$A:$A,0)),""))</f>
        <v/>
      </c>
      <c r="E298" s="20" t="str">
        <f aca="false">IFERROR(INDEX('Dimension usage'!$H$5:$H$404,MATCH(16,'Dimension usage'!$K$5:$K$404,0))&amp;"","")</f>
        <v/>
      </c>
      <c r="F298" s="20"/>
    </row>
    <row r="299" customFormat="false" ht="15" hidden="false" customHeight="false" outlineLevel="0" collapsed="false">
      <c r="A299" s="20" t="str">
        <f aca="false">IFERROR(INDEX('Dimension usage'!$C$5:$C$404,MATCH(17,'Dimension usage'!$K$5:$K$404,0))&amp;"","")</f>
        <v/>
      </c>
      <c r="B299" s="20" t="str">
        <f aca="false">IFERROR(INDEX('Dimension usage'!$D$5:$D$404,MATCH(17,'Dimension usage'!$K$5:$K$404,0))&amp;"","")</f>
        <v/>
      </c>
      <c r="C299" s="20" t="str">
        <f aca="false">IFERROR(INDEX('Dimension usage'!$F$5:$F$404,MATCH(17,'Dimension usage'!$K$5:$K$404,0))&amp;"","")</f>
        <v/>
      </c>
      <c r="D299" s="20" t="str">
        <f aca="false">IF(IFERROR(INDEX('Dimension usage'!$B$5:$B$404,MATCH(17,'Dimension usage'!$K$5:$K$404,0)),"")="","",IFERROR(INDEX(Tables!$B:$B,MATCH(INDEX(Dimensions!$C:$C,MATCH(IFERROR(INDEX('Dimension usage'!$B$5:$B$404,MATCH(17,'Dimension usage'!$K$5:$K$404,0)),""),Dimensions!$A:$A,0)),Tables!$A:$A,0)),""))</f>
        <v/>
      </c>
      <c r="E299" s="20" t="str">
        <f aca="false">IFERROR(INDEX('Dimension usage'!$H$5:$H$404,MATCH(17,'Dimension usage'!$K$5:$K$404,0))&amp;"","")</f>
        <v/>
      </c>
      <c r="F299" s="20"/>
    </row>
    <row r="300" customFormat="false" ht="15" hidden="false" customHeight="false" outlineLevel="0" collapsed="false">
      <c r="A300" s="20" t="str">
        <f aca="false">IFERROR(INDEX('Dimension usage'!$C$5:$C$404,MATCH(18,'Dimension usage'!$K$5:$K$404,0))&amp;"","")</f>
        <v/>
      </c>
      <c r="B300" s="20" t="str">
        <f aca="false">IFERROR(INDEX('Dimension usage'!$D$5:$D$404,MATCH(18,'Dimension usage'!$K$5:$K$404,0))&amp;"","")</f>
        <v/>
      </c>
      <c r="C300" s="20" t="str">
        <f aca="false">IFERROR(INDEX('Dimension usage'!$F$5:$F$404,MATCH(18,'Dimension usage'!$K$5:$K$404,0))&amp;"","")</f>
        <v/>
      </c>
      <c r="D300" s="20" t="str">
        <f aca="false">IF(IFERROR(INDEX('Dimension usage'!$B$5:$B$404,MATCH(18,'Dimension usage'!$K$5:$K$404,0)),"")="","",IFERROR(INDEX(Tables!$B:$B,MATCH(INDEX(Dimensions!$C:$C,MATCH(IFERROR(INDEX('Dimension usage'!$B$5:$B$404,MATCH(18,'Dimension usage'!$K$5:$K$404,0)),""),Dimensions!$A:$A,0)),Tables!$A:$A,0)),""))</f>
        <v/>
      </c>
      <c r="E300" s="20" t="str">
        <f aca="false">IFERROR(INDEX('Dimension usage'!$H$5:$H$404,MATCH(18,'Dimension usage'!$K$5:$K$404,0))&amp;"","")</f>
        <v/>
      </c>
      <c r="F300" s="20"/>
    </row>
    <row r="301" customFormat="false" ht="15" hidden="false" customHeight="false" outlineLevel="0" collapsed="false">
      <c r="A301" s="20" t="str">
        <f aca="false">IFERROR(INDEX('Dimension usage'!$C$5:$C$404,MATCH(19,'Dimension usage'!$K$5:$K$404,0))&amp;"","")</f>
        <v/>
      </c>
      <c r="B301" s="20" t="str">
        <f aca="false">IFERROR(INDEX('Dimension usage'!$D$5:$D$404,MATCH(19,'Dimension usage'!$K$5:$K$404,0))&amp;"","")</f>
        <v/>
      </c>
      <c r="C301" s="20" t="str">
        <f aca="false">IFERROR(INDEX('Dimension usage'!$F$5:$F$404,MATCH(19,'Dimension usage'!$K$5:$K$404,0))&amp;"","")</f>
        <v/>
      </c>
      <c r="D301" s="20" t="str">
        <f aca="false">IF(IFERROR(INDEX('Dimension usage'!$B$5:$B$404,MATCH(19,'Dimension usage'!$K$5:$K$404,0)),"")="","",IFERROR(INDEX(Tables!$B:$B,MATCH(INDEX(Dimensions!$C:$C,MATCH(IFERROR(INDEX('Dimension usage'!$B$5:$B$404,MATCH(19,'Dimension usage'!$K$5:$K$404,0)),""),Dimensions!$A:$A,0)),Tables!$A:$A,0)),""))</f>
        <v/>
      </c>
      <c r="E301" s="20" t="str">
        <f aca="false">IFERROR(INDEX('Dimension usage'!$H$5:$H$404,MATCH(19,'Dimension usage'!$K$5:$K$404,0))&amp;"","")</f>
        <v/>
      </c>
      <c r="F301" s="20"/>
    </row>
    <row r="302" customFormat="false" ht="15" hidden="false" customHeight="false" outlineLevel="0" collapsed="false">
      <c r="A302" s="20" t="str">
        <f aca="false">IFERROR(INDEX('Dimension usage'!$C$5:$C$404,MATCH(20,'Dimension usage'!$K$5:$K$404,0))&amp;"","")</f>
        <v/>
      </c>
      <c r="B302" s="20" t="str">
        <f aca="false">IFERROR(INDEX('Dimension usage'!$D$5:$D$404,MATCH(20,'Dimension usage'!$K$5:$K$404,0))&amp;"","")</f>
        <v/>
      </c>
      <c r="C302" s="20" t="str">
        <f aca="false">IFERROR(INDEX('Dimension usage'!$F$5:$F$404,MATCH(20,'Dimension usage'!$K$5:$K$404,0))&amp;"","")</f>
        <v/>
      </c>
      <c r="D302" s="20" t="str">
        <f aca="false">IF(IFERROR(INDEX('Dimension usage'!$B$5:$B$404,MATCH(20,'Dimension usage'!$K$5:$K$404,0)),"")="","",IFERROR(INDEX(Tables!$B:$B,MATCH(INDEX(Dimensions!$C:$C,MATCH(IFERROR(INDEX('Dimension usage'!$B$5:$B$404,MATCH(20,'Dimension usage'!$K$5:$K$404,0)),""),Dimensions!$A:$A,0)),Tables!$A:$A,0)),""))</f>
        <v/>
      </c>
      <c r="E302" s="20" t="str">
        <f aca="false">IFERROR(INDEX('Dimension usage'!$H$5:$H$404,MATCH(20,'Dimension usage'!$K$5:$K$404,0))&amp;"","")</f>
        <v/>
      </c>
      <c r="F302" s="20"/>
    </row>
    <row r="303" customFormat="false" ht="15" hidden="false" customHeight="false" outlineLevel="0" collapsed="false">
      <c r="A303" s="20" t="str">
        <f aca="false">IFERROR(INDEX('Dimension usage'!$C$5:$C$404,MATCH(21,'Dimension usage'!$K$5:$K$404,0))&amp;"","")</f>
        <v/>
      </c>
      <c r="B303" s="20" t="str">
        <f aca="false">IFERROR(INDEX('Dimension usage'!$D$5:$D$404,MATCH(21,'Dimension usage'!$K$5:$K$404,0))&amp;"","")</f>
        <v/>
      </c>
      <c r="C303" s="20" t="str">
        <f aca="false">IFERROR(INDEX('Dimension usage'!$F$5:$F$404,MATCH(21,'Dimension usage'!$K$5:$K$404,0))&amp;"","")</f>
        <v/>
      </c>
      <c r="D303" s="20" t="str">
        <f aca="false">IF(IFERROR(INDEX('Dimension usage'!$B$5:$B$404,MATCH(21,'Dimension usage'!$K$5:$K$404,0)),"")="","",IFERROR(INDEX(Tables!$B:$B,MATCH(INDEX(Dimensions!$C:$C,MATCH(IFERROR(INDEX('Dimension usage'!$B$5:$B$404,MATCH(21,'Dimension usage'!$K$5:$K$404,0)),""),Dimensions!$A:$A,0)),Tables!$A:$A,0)),""))</f>
        <v/>
      </c>
      <c r="E303" s="20" t="str">
        <f aca="false">IFERROR(INDEX('Dimension usage'!$H$5:$H$404,MATCH(21,'Dimension usage'!$K$5:$K$404,0))&amp;"","")</f>
        <v/>
      </c>
      <c r="F303" s="20"/>
    </row>
    <row r="304" customFormat="false" ht="15" hidden="false" customHeight="false" outlineLevel="0" collapsed="false">
      <c r="A304" s="20" t="str">
        <f aca="false">IFERROR(INDEX('Dimension usage'!$C$5:$C$404,MATCH(22,'Dimension usage'!$K$5:$K$404,0))&amp;"","")</f>
        <v/>
      </c>
      <c r="B304" s="20" t="str">
        <f aca="false">IFERROR(INDEX('Dimension usage'!$D$5:$D$404,MATCH(22,'Dimension usage'!$K$5:$K$404,0))&amp;"","")</f>
        <v/>
      </c>
      <c r="C304" s="20" t="str">
        <f aca="false">IFERROR(INDEX('Dimension usage'!$F$5:$F$404,MATCH(22,'Dimension usage'!$K$5:$K$404,0))&amp;"","")</f>
        <v/>
      </c>
      <c r="D304" s="20" t="str">
        <f aca="false">IF(IFERROR(INDEX('Dimension usage'!$B$5:$B$404,MATCH(22,'Dimension usage'!$K$5:$K$404,0)),"")="","",IFERROR(INDEX(Tables!$B:$B,MATCH(INDEX(Dimensions!$C:$C,MATCH(IFERROR(INDEX('Dimension usage'!$B$5:$B$404,MATCH(22,'Dimension usage'!$K$5:$K$404,0)),""),Dimensions!$A:$A,0)),Tables!$A:$A,0)),""))</f>
        <v/>
      </c>
      <c r="E304" s="20" t="str">
        <f aca="false">IFERROR(INDEX('Dimension usage'!$H$5:$H$404,MATCH(22,'Dimension usage'!$K$5:$K$404,0))&amp;"","")</f>
        <v/>
      </c>
      <c r="F304" s="20"/>
    </row>
    <row r="305" customFormat="false" ht="15" hidden="false" customHeight="false" outlineLevel="0" collapsed="false">
      <c r="A305" s="20" t="str">
        <f aca="false">IFERROR(INDEX('Dimension usage'!$C$5:$C$404,MATCH(23,'Dimension usage'!$K$5:$K$404,0))&amp;"","")</f>
        <v/>
      </c>
      <c r="B305" s="20" t="str">
        <f aca="false">IFERROR(INDEX('Dimension usage'!$D$5:$D$404,MATCH(23,'Dimension usage'!$K$5:$K$404,0))&amp;"","")</f>
        <v/>
      </c>
      <c r="C305" s="20" t="str">
        <f aca="false">IFERROR(INDEX('Dimension usage'!$F$5:$F$404,MATCH(23,'Dimension usage'!$K$5:$K$404,0))&amp;"","")</f>
        <v/>
      </c>
      <c r="D305" s="20" t="str">
        <f aca="false">IF(IFERROR(INDEX('Dimension usage'!$B$5:$B$404,MATCH(23,'Dimension usage'!$K$5:$K$404,0)),"")="","",IFERROR(INDEX(Tables!$B:$B,MATCH(INDEX(Dimensions!$C:$C,MATCH(IFERROR(INDEX('Dimension usage'!$B$5:$B$404,MATCH(23,'Dimension usage'!$K$5:$K$404,0)),""),Dimensions!$A:$A,0)),Tables!$A:$A,0)),""))</f>
        <v/>
      </c>
      <c r="E305" s="20" t="str">
        <f aca="false">IFERROR(INDEX('Dimension usage'!$H$5:$H$404,MATCH(23,'Dimension usage'!$K$5:$K$404,0))&amp;"","")</f>
        <v/>
      </c>
      <c r="F305" s="20"/>
    </row>
    <row r="306" customFormat="false" ht="15" hidden="false" customHeight="false" outlineLevel="0" collapsed="false">
      <c r="A306" s="20" t="str">
        <f aca="false">IFERROR(INDEX('Dimension usage'!$C$5:$C$404,MATCH(24,'Dimension usage'!$K$5:$K$404,0))&amp;"","")</f>
        <v/>
      </c>
      <c r="B306" s="20" t="str">
        <f aca="false">IFERROR(INDEX('Dimension usage'!$D$5:$D$404,MATCH(24,'Dimension usage'!$K$5:$K$404,0))&amp;"","")</f>
        <v/>
      </c>
      <c r="C306" s="20" t="str">
        <f aca="false">IFERROR(INDEX('Dimension usage'!$F$5:$F$404,MATCH(24,'Dimension usage'!$K$5:$K$404,0))&amp;"","")</f>
        <v/>
      </c>
      <c r="D306" s="20" t="str">
        <f aca="false">IF(IFERROR(INDEX('Dimension usage'!$B$5:$B$404,MATCH(24,'Dimension usage'!$K$5:$K$404,0)),"")="","",IFERROR(INDEX(Tables!$B:$B,MATCH(INDEX(Dimensions!$C:$C,MATCH(IFERROR(INDEX('Dimension usage'!$B$5:$B$404,MATCH(24,'Dimension usage'!$K$5:$K$404,0)),""),Dimensions!$A:$A,0)),Tables!$A:$A,0)),""))</f>
        <v/>
      </c>
      <c r="E306" s="20" t="str">
        <f aca="false">IFERROR(INDEX('Dimension usage'!$H$5:$H$404,MATCH(24,'Dimension usage'!$K$5:$K$404,0))&amp;"","")</f>
        <v/>
      </c>
      <c r="F306" s="20"/>
    </row>
    <row r="307" customFormat="false" ht="15" hidden="false" customHeight="false" outlineLevel="0" collapsed="false">
      <c r="A307" s="20" t="str">
        <f aca="false">IFERROR(INDEX('Dimension usage'!$C$5:$C$404,MATCH(25,'Dimension usage'!$K$5:$K$404,0))&amp;"","")</f>
        <v/>
      </c>
      <c r="B307" s="20" t="str">
        <f aca="false">IFERROR(INDEX('Dimension usage'!$D$5:$D$404,MATCH(25,'Dimension usage'!$K$5:$K$404,0))&amp;"","")</f>
        <v/>
      </c>
      <c r="C307" s="20" t="str">
        <f aca="false">IFERROR(INDEX('Dimension usage'!$F$5:$F$404,MATCH(25,'Dimension usage'!$K$5:$K$404,0))&amp;"","")</f>
        <v/>
      </c>
      <c r="D307" s="20" t="str">
        <f aca="false">IF(IFERROR(INDEX('Dimension usage'!$B$5:$B$404,MATCH(25,'Dimension usage'!$K$5:$K$404,0)),"")="","",IFERROR(INDEX(Tables!$B:$B,MATCH(INDEX(Dimensions!$C:$C,MATCH(IFERROR(INDEX('Dimension usage'!$B$5:$B$404,MATCH(25,'Dimension usage'!$K$5:$K$404,0)),""),Dimensions!$A:$A,0)),Tables!$A:$A,0)),""))</f>
        <v/>
      </c>
      <c r="E307" s="20" t="str">
        <f aca="false">IFERROR(INDEX('Dimension usage'!$H$5:$H$404,MATCH(25,'Dimension usage'!$K$5:$K$404,0))&amp;"","")</f>
        <v/>
      </c>
      <c r="F307" s="20"/>
    </row>
    <row r="308" customFormat="false" ht="15" hidden="false" customHeight="false" outlineLevel="0" collapsed="false">
      <c r="A308" s="20" t="str">
        <f aca="false">IFERROR(INDEX('Dimension usage'!$C$5:$C$404,MATCH(26,'Dimension usage'!$K$5:$K$404,0))&amp;"","")</f>
        <v/>
      </c>
      <c r="B308" s="20" t="str">
        <f aca="false">IFERROR(INDEX('Dimension usage'!$D$5:$D$404,MATCH(26,'Dimension usage'!$K$5:$K$404,0))&amp;"","")</f>
        <v/>
      </c>
      <c r="C308" s="20" t="str">
        <f aca="false">IFERROR(INDEX('Dimension usage'!$F$5:$F$404,MATCH(26,'Dimension usage'!$K$5:$K$404,0))&amp;"","")</f>
        <v/>
      </c>
      <c r="D308" s="20" t="str">
        <f aca="false">IF(IFERROR(INDEX('Dimension usage'!$B$5:$B$404,MATCH(26,'Dimension usage'!$K$5:$K$404,0)),"")="","",IFERROR(INDEX(Tables!$B:$B,MATCH(INDEX(Dimensions!$C:$C,MATCH(IFERROR(INDEX('Dimension usage'!$B$5:$B$404,MATCH(26,'Dimension usage'!$K$5:$K$404,0)),""),Dimensions!$A:$A,0)),Tables!$A:$A,0)),""))</f>
        <v/>
      </c>
      <c r="E308" s="20" t="str">
        <f aca="false">IFERROR(INDEX('Dimension usage'!$H$5:$H$404,MATCH(26,'Dimension usage'!$K$5:$K$404,0))&amp;"","")</f>
        <v/>
      </c>
      <c r="F308" s="20"/>
    </row>
    <row r="309" customFormat="false" ht="15" hidden="false" customHeight="false" outlineLevel="0" collapsed="false">
      <c r="A309" s="20" t="str">
        <f aca="false">IFERROR(INDEX('Dimension usage'!$C$5:$C$404,MATCH(27,'Dimension usage'!$K$5:$K$404,0))&amp;"","")</f>
        <v/>
      </c>
      <c r="B309" s="20" t="str">
        <f aca="false">IFERROR(INDEX('Dimension usage'!$D$5:$D$404,MATCH(27,'Dimension usage'!$K$5:$K$404,0))&amp;"","")</f>
        <v/>
      </c>
      <c r="C309" s="20" t="str">
        <f aca="false">IFERROR(INDEX('Dimension usage'!$F$5:$F$404,MATCH(27,'Dimension usage'!$K$5:$K$404,0))&amp;"","")</f>
        <v/>
      </c>
      <c r="D309" s="20" t="str">
        <f aca="false">IF(IFERROR(INDEX('Dimension usage'!$B$5:$B$404,MATCH(27,'Dimension usage'!$K$5:$K$404,0)),"")="","",IFERROR(INDEX(Tables!$B:$B,MATCH(INDEX(Dimensions!$C:$C,MATCH(IFERROR(INDEX('Dimension usage'!$B$5:$B$404,MATCH(27,'Dimension usage'!$K$5:$K$404,0)),""),Dimensions!$A:$A,0)),Tables!$A:$A,0)),""))</f>
        <v/>
      </c>
      <c r="E309" s="20" t="str">
        <f aca="false">IFERROR(INDEX('Dimension usage'!$H$5:$H$404,MATCH(27,'Dimension usage'!$K$5:$K$404,0))&amp;"","")</f>
        <v/>
      </c>
      <c r="F309" s="20"/>
    </row>
    <row r="310" customFormat="false" ht="15" hidden="false" customHeight="false" outlineLevel="0" collapsed="false">
      <c r="A310" s="20" t="str">
        <f aca="false">IFERROR(INDEX('Dimension usage'!$C$5:$C$404,MATCH(28,'Dimension usage'!$K$5:$K$404,0))&amp;"","")</f>
        <v/>
      </c>
      <c r="B310" s="20" t="str">
        <f aca="false">IFERROR(INDEX('Dimension usage'!$D$5:$D$404,MATCH(28,'Dimension usage'!$K$5:$K$404,0))&amp;"","")</f>
        <v/>
      </c>
      <c r="C310" s="20" t="str">
        <f aca="false">IFERROR(INDEX('Dimension usage'!$F$5:$F$404,MATCH(28,'Dimension usage'!$K$5:$K$404,0))&amp;"","")</f>
        <v/>
      </c>
      <c r="D310" s="20" t="str">
        <f aca="false">IF(IFERROR(INDEX('Dimension usage'!$B$5:$B$404,MATCH(28,'Dimension usage'!$K$5:$K$404,0)),"")="","",IFERROR(INDEX(Tables!$B:$B,MATCH(INDEX(Dimensions!$C:$C,MATCH(IFERROR(INDEX('Dimension usage'!$B$5:$B$404,MATCH(28,'Dimension usage'!$K$5:$K$404,0)),""),Dimensions!$A:$A,0)),Tables!$A:$A,0)),""))</f>
        <v/>
      </c>
      <c r="E310" s="20" t="str">
        <f aca="false">IFERROR(INDEX('Dimension usage'!$H$5:$H$404,MATCH(28,'Dimension usage'!$K$5:$K$404,0))&amp;"","")</f>
        <v/>
      </c>
      <c r="F310" s="20"/>
    </row>
    <row r="311" customFormat="false" ht="15" hidden="false" customHeight="false" outlineLevel="0" collapsed="false">
      <c r="A311" s="20" t="str">
        <f aca="false">IFERROR(INDEX('Dimension usage'!$C$5:$C$404,MATCH(29,'Dimension usage'!$K$5:$K$404,0))&amp;"","")</f>
        <v/>
      </c>
      <c r="B311" s="20" t="str">
        <f aca="false">IFERROR(INDEX('Dimension usage'!$D$5:$D$404,MATCH(29,'Dimension usage'!$K$5:$K$404,0))&amp;"","")</f>
        <v/>
      </c>
      <c r="C311" s="20" t="str">
        <f aca="false">IFERROR(INDEX('Dimension usage'!$F$5:$F$404,MATCH(29,'Dimension usage'!$K$5:$K$404,0))&amp;"","")</f>
        <v/>
      </c>
      <c r="D311" s="20" t="str">
        <f aca="false">IF(IFERROR(INDEX('Dimension usage'!$B$5:$B$404,MATCH(29,'Dimension usage'!$K$5:$K$404,0)),"")="","",IFERROR(INDEX(Tables!$B:$B,MATCH(INDEX(Dimensions!$C:$C,MATCH(IFERROR(INDEX('Dimension usage'!$B$5:$B$404,MATCH(29,'Dimension usage'!$K$5:$K$404,0)),""),Dimensions!$A:$A,0)),Tables!$A:$A,0)),""))</f>
        <v/>
      </c>
      <c r="E311" s="20" t="str">
        <f aca="false">IFERROR(INDEX('Dimension usage'!$H$5:$H$404,MATCH(29,'Dimension usage'!$K$5:$K$404,0))&amp;"","")</f>
        <v/>
      </c>
      <c r="F311" s="20"/>
    </row>
    <row r="312" customFormat="false" ht="15" hidden="false" customHeight="false" outlineLevel="0" collapsed="false">
      <c r="A312" s="20" t="str">
        <f aca="false">IFERROR(INDEX('Dimension usage'!$C$5:$C$404,MATCH(30,'Dimension usage'!$K$5:$K$404,0))&amp;"","")</f>
        <v/>
      </c>
      <c r="B312" s="20" t="str">
        <f aca="false">IFERROR(INDEX('Dimension usage'!$D$5:$D$404,MATCH(30,'Dimension usage'!$K$5:$K$404,0))&amp;"","")</f>
        <v/>
      </c>
      <c r="C312" s="20" t="str">
        <f aca="false">IFERROR(INDEX('Dimension usage'!$F$5:$F$404,MATCH(30,'Dimension usage'!$K$5:$K$404,0))&amp;"","")</f>
        <v/>
      </c>
      <c r="D312" s="20" t="str">
        <f aca="false">IF(IFERROR(INDEX('Dimension usage'!$B$5:$B$404,MATCH(30,'Dimension usage'!$K$5:$K$404,0)),"")="","",IFERROR(INDEX(Tables!$B:$B,MATCH(INDEX(Dimensions!$C:$C,MATCH(IFERROR(INDEX('Dimension usage'!$B$5:$B$404,MATCH(30,'Dimension usage'!$K$5:$K$404,0)),""),Dimensions!$A:$A,0)),Tables!$A:$A,0)),""))</f>
        <v/>
      </c>
      <c r="E312" s="20" t="str">
        <f aca="false">IFERROR(INDEX('Dimension usage'!$H$5:$H$404,MATCH(30,'Dimension usage'!$K$5:$K$404,0))&amp;"","")</f>
        <v/>
      </c>
      <c r="F312" s="20"/>
    </row>
    <row r="313" customFormat="false" ht="15" hidden="false" customHeight="false" outlineLevel="0" collapsed="false">
      <c r="A313" s="20" t="str">
        <f aca="false">IFERROR(INDEX('Dimension usage'!$C$5:$C$404,MATCH(31,'Dimension usage'!$K$5:$K$404,0))&amp;"","")</f>
        <v/>
      </c>
      <c r="B313" s="20" t="str">
        <f aca="false">IFERROR(INDEX('Dimension usage'!$D$5:$D$404,MATCH(31,'Dimension usage'!$K$5:$K$404,0))&amp;"","")</f>
        <v/>
      </c>
      <c r="C313" s="20" t="str">
        <f aca="false">IFERROR(INDEX('Dimension usage'!$F$5:$F$404,MATCH(31,'Dimension usage'!$K$5:$K$404,0))&amp;"","")</f>
        <v/>
      </c>
      <c r="D313" s="20" t="str">
        <f aca="false">IF(IFERROR(INDEX('Dimension usage'!$B$5:$B$404,MATCH(31,'Dimension usage'!$K$5:$K$404,0)),"")="","",IFERROR(INDEX(Tables!$B:$B,MATCH(INDEX(Dimensions!$C:$C,MATCH(IFERROR(INDEX('Dimension usage'!$B$5:$B$404,MATCH(31,'Dimension usage'!$K$5:$K$404,0)),""),Dimensions!$A:$A,0)),Tables!$A:$A,0)),""))</f>
        <v/>
      </c>
      <c r="E313" s="20" t="str">
        <f aca="false">IFERROR(INDEX('Dimension usage'!$H$5:$H$404,MATCH(31,'Dimension usage'!$K$5:$K$404,0))&amp;"","")</f>
        <v/>
      </c>
      <c r="F313" s="20"/>
    </row>
    <row r="314" customFormat="false" ht="15" hidden="false" customHeight="false" outlineLevel="0" collapsed="false">
      <c r="A314" s="20" t="str">
        <f aca="false">IFERROR(INDEX('Dimension usage'!$C$5:$C$404,MATCH(32,'Dimension usage'!$K$5:$K$404,0))&amp;"","")</f>
        <v/>
      </c>
      <c r="B314" s="20" t="str">
        <f aca="false">IFERROR(INDEX('Dimension usage'!$D$5:$D$404,MATCH(32,'Dimension usage'!$K$5:$K$404,0))&amp;"","")</f>
        <v/>
      </c>
      <c r="C314" s="20" t="str">
        <f aca="false">IFERROR(INDEX('Dimension usage'!$F$5:$F$404,MATCH(32,'Dimension usage'!$K$5:$K$404,0))&amp;"","")</f>
        <v/>
      </c>
      <c r="D314" s="20" t="str">
        <f aca="false">IF(IFERROR(INDEX('Dimension usage'!$B$5:$B$404,MATCH(32,'Dimension usage'!$K$5:$K$404,0)),"")="","",IFERROR(INDEX(Tables!$B:$B,MATCH(INDEX(Dimensions!$C:$C,MATCH(IFERROR(INDEX('Dimension usage'!$B$5:$B$404,MATCH(32,'Dimension usage'!$K$5:$K$404,0)),""),Dimensions!$A:$A,0)),Tables!$A:$A,0)),""))</f>
        <v/>
      </c>
      <c r="E314" s="20" t="str">
        <f aca="false">IFERROR(INDEX('Dimension usage'!$H$5:$H$404,MATCH(32,'Dimension usage'!$K$5:$K$404,0))&amp;"","")</f>
        <v/>
      </c>
      <c r="F314" s="20"/>
    </row>
    <row r="315" customFormat="false" ht="15" hidden="false" customHeight="false" outlineLevel="0" collapsed="false">
      <c r="A315" s="20" t="str">
        <f aca="false">IFERROR(INDEX('Dimension usage'!$C$5:$C$404,MATCH(33,'Dimension usage'!$K$5:$K$404,0))&amp;"","")</f>
        <v/>
      </c>
      <c r="B315" s="20" t="str">
        <f aca="false">IFERROR(INDEX('Dimension usage'!$D$5:$D$404,MATCH(33,'Dimension usage'!$K$5:$K$404,0))&amp;"","")</f>
        <v/>
      </c>
      <c r="C315" s="20" t="str">
        <f aca="false">IFERROR(INDEX('Dimension usage'!$F$5:$F$404,MATCH(33,'Dimension usage'!$K$5:$K$404,0))&amp;"","")</f>
        <v/>
      </c>
      <c r="D315" s="20" t="str">
        <f aca="false">IF(IFERROR(INDEX('Dimension usage'!$B$5:$B$404,MATCH(33,'Dimension usage'!$K$5:$K$404,0)),"")="","",IFERROR(INDEX(Tables!$B:$B,MATCH(INDEX(Dimensions!$C:$C,MATCH(IFERROR(INDEX('Dimension usage'!$B$5:$B$404,MATCH(33,'Dimension usage'!$K$5:$K$404,0)),""),Dimensions!$A:$A,0)),Tables!$A:$A,0)),""))</f>
        <v/>
      </c>
      <c r="E315" s="20" t="str">
        <f aca="false">IFERROR(INDEX('Dimension usage'!$H$5:$H$404,MATCH(33,'Dimension usage'!$K$5:$K$404,0))&amp;"","")</f>
        <v/>
      </c>
      <c r="F315" s="20"/>
    </row>
    <row r="316" customFormat="false" ht="15" hidden="false" customHeight="false" outlineLevel="0" collapsed="false">
      <c r="A316" s="20" t="str">
        <f aca="false">IFERROR(INDEX('Dimension usage'!$C$5:$C$404,MATCH(34,'Dimension usage'!$K$5:$K$404,0))&amp;"","")</f>
        <v/>
      </c>
      <c r="B316" s="20" t="str">
        <f aca="false">IFERROR(INDEX('Dimension usage'!$D$5:$D$404,MATCH(34,'Dimension usage'!$K$5:$K$404,0))&amp;"","")</f>
        <v/>
      </c>
      <c r="C316" s="20" t="str">
        <f aca="false">IFERROR(INDEX('Dimension usage'!$F$5:$F$404,MATCH(34,'Dimension usage'!$K$5:$K$404,0))&amp;"","")</f>
        <v/>
      </c>
      <c r="D316" s="20" t="str">
        <f aca="false">IF(IFERROR(INDEX('Dimension usage'!$B$5:$B$404,MATCH(34,'Dimension usage'!$K$5:$K$404,0)),"")="","",IFERROR(INDEX(Tables!$B:$B,MATCH(INDEX(Dimensions!$C:$C,MATCH(IFERROR(INDEX('Dimension usage'!$B$5:$B$404,MATCH(34,'Dimension usage'!$K$5:$K$404,0)),""),Dimensions!$A:$A,0)),Tables!$A:$A,0)),""))</f>
        <v/>
      </c>
      <c r="E316" s="20" t="str">
        <f aca="false">IFERROR(INDEX('Dimension usage'!$H$5:$H$404,MATCH(34,'Dimension usage'!$K$5:$K$404,0))&amp;"","")</f>
        <v/>
      </c>
      <c r="F316" s="20"/>
    </row>
    <row r="317" customFormat="false" ht="15" hidden="false" customHeight="false" outlineLevel="0" collapsed="false">
      <c r="A317" s="20" t="str">
        <f aca="false">IFERROR(INDEX('Dimension usage'!$C$5:$C$404,MATCH(35,'Dimension usage'!$K$5:$K$404,0))&amp;"","")</f>
        <v/>
      </c>
      <c r="B317" s="20" t="str">
        <f aca="false">IFERROR(INDEX('Dimension usage'!$D$5:$D$404,MATCH(35,'Dimension usage'!$K$5:$K$404,0))&amp;"","")</f>
        <v/>
      </c>
      <c r="C317" s="20" t="str">
        <f aca="false">IFERROR(INDEX('Dimension usage'!$F$5:$F$404,MATCH(35,'Dimension usage'!$K$5:$K$404,0))&amp;"","")</f>
        <v/>
      </c>
      <c r="D317" s="20" t="str">
        <f aca="false">IF(IFERROR(INDEX('Dimension usage'!$B$5:$B$404,MATCH(35,'Dimension usage'!$K$5:$K$404,0)),"")="","",IFERROR(INDEX(Tables!$B:$B,MATCH(INDEX(Dimensions!$C:$C,MATCH(IFERROR(INDEX('Dimension usage'!$B$5:$B$404,MATCH(35,'Dimension usage'!$K$5:$K$404,0)),""),Dimensions!$A:$A,0)),Tables!$A:$A,0)),""))</f>
        <v/>
      </c>
      <c r="E317" s="20" t="str">
        <f aca="false">IFERROR(INDEX('Dimension usage'!$H$5:$H$404,MATCH(35,'Dimension usage'!$K$5:$K$404,0))&amp;"","")</f>
        <v/>
      </c>
      <c r="F317" s="20"/>
    </row>
    <row r="318" customFormat="false" ht="15" hidden="false" customHeight="false" outlineLevel="0" collapsed="false">
      <c r="A318" s="20" t="str">
        <f aca="false">IFERROR(INDEX('Dimension usage'!$C$5:$C$404,MATCH(36,'Dimension usage'!$K$5:$K$404,0))&amp;"","")</f>
        <v/>
      </c>
      <c r="B318" s="20" t="str">
        <f aca="false">IFERROR(INDEX('Dimension usage'!$D$5:$D$404,MATCH(36,'Dimension usage'!$K$5:$K$404,0))&amp;"","")</f>
        <v/>
      </c>
      <c r="C318" s="20" t="str">
        <f aca="false">IFERROR(INDEX('Dimension usage'!$F$5:$F$404,MATCH(36,'Dimension usage'!$K$5:$K$404,0))&amp;"","")</f>
        <v/>
      </c>
      <c r="D318" s="20" t="str">
        <f aca="false">IF(IFERROR(INDEX('Dimension usage'!$B$5:$B$404,MATCH(36,'Dimension usage'!$K$5:$K$404,0)),"")="","",IFERROR(INDEX(Tables!$B:$B,MATCH(INDEX(Dimensions!$C:$C,MATCH(IFERROR(INDEX('Dimension usage'!$B$5:$B$404,MATCH(36,'Dimension usage'!$K$5:$K$404,0)),""),Dimensions!$A:$A,0)),Tables!$A:$A,0)),""))</f>
        <v/>
      </c>
      <c r="E318" s="20" t="str">
        <f aca="false">IFERROR(INDEX('Dimension usage'!$H$5:$H$404,MATCH(36,'Dimension usage'!$K$5:$K$404,0))&amp;"","")</f>
        <v/>
      </c>
      <c r="F318" s="20"/>
    </row>
    <row r="319" customFormat="false" ht="15" hidden="false" customHeight="false" outlineLevel="0" collapsed="false">
      <c r="A319" s="20" t="str">
        <f aca="false">IFERROR(INDEX('Dimension usage'!$C$5:$C$404,MATCH(37,'Dimension usage'!$K$5:$K$404,0))&amp;"","")</f>
        <v/>
      </c>
      <c r="B319" s="20" t="str">
        <f aca="false">IFERROR(INDEX('Dimension usage'!$D$5:$D$404,MATCH(37,'Dimension usage'!$K$5:$K$404,0))&amp;"","")</f>
        <v/>
      </c>
      <c r="C319" s="20" t="str">
        <f aca="false">IFERROR(INDEX('Dimension usage'!$F$5:$F$404,MATCH(37,'Dimension usage'!$K$5:$K$404,0))&amp;"","")</f>
        <v/>
      </c>
      <c r="D319" s="20" t="str">
        <f aca="false">IF(IFERROR(INDEX('Dimension usage'!$B$5:$B$404,MATCH(37,'Dimension usage'!$K$5:$K$404,0)),"")="","",IFERROR(INDEX(Tables!$B:$B,MATCH(INDEX(Dimensions!$C:$C,MATCH(IFERROR(INDEX('Dimension usage'!$B$5:$B$404,MATCH(37,'Dimension usage'!$K$5:$K$404,0)),""),Dimensions!$A:$A,0)),Tables!$A:$A,0)),""))</f>
        <v/>
      </c>
      <c r="E319" s="20" t="str">
        <f aca="false">IFERROR(INDEX('Dimension usage'!$H$5:$H$404,MATCH(37,'Dimension usage'!$K$5:$K$404,0))&amp;"","")</f>
        <v/>
      </c>
      <c r="F319" s="20"/>
    </row>
    <row r="320" customFormat="false" ht="15" hidden="false" customHeight="false" outlineLevel="0" collapsed="false">
      <c r="A320" s="20" t="str">
        <f aca="false">IFERROR(INDEX('Dimension usage'!$C$5:$C$404,MATCH(38,'Dimension usage'!$K$5:$K$404,0))&amp;"","")</f>
        <v/>
      </c>
      <c r="B320" s="20" t="str">
        <f aca="false">IFERROR(INDEX('Dimension usage'!$D$5:$D$404,MATCH(38,'Dimension usage'!$K$5:$K$404,0))&amp;"","")</f>
        <v/>
      </c>
      <c r="C320" s="20" t="str">
        <f aca="false">IFERROR(INDEX('Dimension usage'!$F$5:$F$404,MATCH(38,'Dimension usage'!$K$5:$K$404,0))&amp;"","")</f>
        <v/>
      </c>
      <c r="D320" s="20" t="str">
        <f aca="false">IF(IFERROR(INDEX('Dimension usage'!$B$5:$B$404,MATCH(38,'Dimension usage'!$K$5:$K$404,0)),"")="","",IFERROR(INDEX(Tables!$B:$B,MATCH(INDEX(Dimensions!$C:$C,MATCH(IFERROR(INDEX('Dimension usage'!$B$5:$B$404,MATCH(38,'Dimension usage'!$K$5:$K$404,0)),""),Dimensions!$A:$A,0)),Tables!$A:$A,0)),""))</f>
        <v/>
      </c>
      <c r="E320" s="20" t="str">
        <f aca="false">IFERROR(INDEX('Dimension usage'!$H$5:$H$404,MATCH(38,'Dimension usage'!$K$5:$K$404,0))&amp;"","")</f>
        <v/>
      </c>
      <c r="F320" s="20"/>
    </row>
    <row r="321" customFormat="false" ht="15" hidden="false" customHeight="false" outlineLevel="0" collapsed="false">
      <c r="A321" s="20" t="str">
        <f aca="false">IFERROR(INDEX('Dimension usage'!$C$5:$C$404,MATCH(39,'Dimension usage'!$K$5:$K$404,0))&amp;"","")</f>
        <v/>
      </c>
      <c r="B321" s="20" t="str">
        <f aca="false">IFERROR(INDEX('Dimension usage'!$D$5:$D$404,MATCH(39,'Dimension usage'!$K$5:$K$404,0))&amp;"","")</f>
        <v/>
      </c>
      <c r="C321" s="20" t="str">
        <f aca="false">IFERROR(INDEX('Dimension usage'!$F$5:$F$404,MATCH(39,'Dimension usage'!$K$5:$K$404,0))&amp;"","")</f>
        <v/>
      </c>
      <c r="D321" s="20" t="str">
        <f aca="false">IF(IFERROR(INDEX('Dimension usage'!$B$5:$B$404,MATCH(39,'Dimension usage'!$K$5:$K$404,0)),"")="","",IFERROR(INDEX(Tables!$B:$B,MATCH(INDEX(Dimensions!$C:$C,MATCH(IFERROR(INDEX('Dimension usage'!$B$5:$B$404,MATCH(39,'Dimension usage'!$K$5:$K$404,0)),""),Dimensions!$A:$A,0)),Tables!$A:$A,0)),""))</f>
        <v/>
      </c>
      <c r="E321" s="20" t="str">
        <f aca="false">IFERROR(INDEX('Dimension usage'!$H$5:$H$404,MATCH(39,'Dimension usage'!$K$5:$K$404,0))&amp;"","")</f>
        <v/>
      </c>
      <c r="F321" s="20"/>
    </row>
    <row r="322" customFormat="false" ht="15" hidden="false" customHeight="false" outlineLevel="0" collapsed="false">
      <c r="A322" s="20" t="str">
        <f aca="false">IFERROR(INDEX('Dimension usage'!$C$5:$C$404,MATCH(40,'Dimension usage'!$K$5:$K$404,0))&amp;"","")</f>
        <v/>
      </c>
      <c r="B322" s="20" t="str">
        <f aca="false">IFERROR(INDEX('Dimension usage'!$D$5:$D$404,MATCH(40,'Dimension usage'!$K$5:$K$404,0))&amp;"","")</f>
        <v/>
      </c>
      <c r="C322" s="20" t="str">
        <f aca="false">IFERROR(INDEX('Dimension usage'!$F$5:$F$404,MATCH(40,'Dimension usage'!$K$5:$K$404,0))&amp;"","")</f>
        <v/>
      </c>
      <c r="D322" s="20" t="str">
        <f aca="false">IF(IFERROR(INDEX('Dimension usage'!$B$5:$B$404,MATCH(40,'Dimension usage'!$K$5:$K$404,0)),"")="","",IFERROR(INDEX(Tables!$B:$B,MATCH(INDEX(Dimensions!$C:$C,MATCH(IFERROR(INDEX('Dimension usage'!$B$5:$B$404,MATCH(40,'Dimension usage'!$K$5:$K$404,0)),""),Dimensions!$A:$A,0)),Tables!$A:$A,0)),""))</f>
        <v/>
      </c>
      <c r="E322" s="20" t="str">
        <f aca="false">IFERROR(INDEX('Dimension usage'!$H$5:$H$404,MATCH(40,'Dimension usage'!$K$5:$K$404,0))&amp;"","")</f>
        <v/>
      </c>
      <c r="F322" s="20"/>
    </row>
    <row r="324" customFormat="false" ht="15" hidden="false" customHeight="false" outlineLevel="0" collapsed="false">
      <c r="A324" s="18" t="s">
        <v>131</v>
      </c>
    </row>
    <row r="325" customFormat="false" ht="15" hidden="false" customHeight="false" outlineLevel="0" collapsed="false">
      <c r="A325" s="17" t="s">
        <v>132</v>
      </c>
      <c r="C325" s="19" t="str">
        <f aca="false">HYPERLINK("#'Decisions'!A1","top")</f>
        <v>top</v>
      </c>
    </row>
    <row r="326" customFormat="false" ht="31.5" hidden="false" customHeight="true" outlineLevel="0" collapsed="false">
      <c r="A326" s="11" t="s">
        <v>133</v>
      </c>
      <c r="B326" s="11" t="s">
        <v>134</v>
      </c>
      <c r="C326" s="11" t="s">
        <v>135</v>
      </c>
      <c r="D326" s="11" t="s">
        <v>68</v>
      </c>
      <c r="E326" s="11" t="s">
        <v>69</v>
      </c>
      <c r="F326" s="11" t="s">
        <v>136</v>
      </c>
    </row>
    <row r="327" customFormat="false" ht="15" hidden="false" customHeight="false" outlineLevel="0" collapsed="false">
      <c r="A327" s="20" t="str">
        <f aca="false">IF(1&lt;=COUNT(Tables!$AC$5:$AC$254),IF(IFERROR(INDEX(Tables!$A$5:$A$254,MATCH(1,Tables!$AC$5:$AC$254,0))&amp;"","")="","","Table"),IF(IFERROR(INDEX(Fields!$A$5:$A$604,MATCH(1-COUNT(Tables!$AC$5:$AC$254),Fields!$V$5:$V$604,0))&amp;"","")="","","Field"))</f>
        <v/>
      </c>
      <c r="B327" s="20" t="str">
        <f aca="false">IF(1&lt;=COUNT(Tables!$AC$5:$AC$254),IFERROR(INDEX(Tables!$A$5:$A$254,MATCH(1,Tables!$AC$5:$AC$254,0))&amp;"",""),IFERROR(INDEX(Fields!$A$5:$A$604,MATCH(1-COUNT(Tables!$AC$5:$AC$254),Fields!$V$5:$V$604,0))&amp;"",""))</f>
        <v/>
      </c>
      <c r="C327" s="20" t="str">
        <f aca="false">IF(1&lt;=COUNT(Tables!$AC$5:$AC$254),IFERROR(INDEX(Tables!$B$5:$B$254,MATCH(1,Tables!$AC$5:$AC$254,0))&amp;"",""),IFERROR(INDEX(Fields!$B$5:$B$604,MATCH(1-COUNT(Tables!$AC$5:$AC$254),Fields!$V$5:$V$604,0))&amp;"",""))</f>
        <v/>
      </c>
      <c r="D327" s="20" t="str">
        <f aca="false">IF(1&lt;=COUNT(Tables!$AC$5:$AC$254),IFERROR(INDEX(Tables!$K$5:$K$254,MATCH(1,Tables!$AC$5:$AC$254,0))&amp;"",""),IFERROR(INDEX(Fields!$J$5:$J$604,MATCH(1-COUNT(Tables!$AC$5:$AC$254),Fields!$V$5:$V$604,0))&amp;"",""))</f>
        <v/>
      </c>
      <c r="E327" s="20" t="str">
        <f aca="false">IF(1&lt;=COUNT(Tables!$AC$5:$AC$254),IFERROR(INDEX(Tables!$L$5:$L$254,MATCH(1,Tables!$AC$5:$AC$254,0))&amp;"",""),IFERROR(INDEX(Fields!$K$5:$K$604,MATCH(1-COUNT(Tables!$AC$5:$AC$254),Fields!$V$5:$V$604,0))&amp;"",""))</f>
        <v/>
      </c>
      <c r="F327" s="20" t="str">
        <f aca="false">IF(1&lt;=COUNT(Tables!$AC$5:$AC$254),IFERROR(INDEX(Tables!$E$5:$E$254,MATCH(1,Tables!$AC$5:$AC$254,0))&amp;"",""),IFERROR(INDEX(Fields!$H$5:$H$604,MATCH(1-COUNT(Tables!$AC$5:$AC$254),Fields!$V$5:$V$604,0))&amp;"",""))</f>
        <v/>
      </c>
    </row>
    <row r="328" customFormat="false" ht="15" hidden="false" customHeight="false" outlineLevel="0" collapsed="false">
      <c r="A328" s="20" t="str">
        <f aca="false">IF(2&lt;=COUNT(Tables!$AC$5:$AC$254),IF(IFERROR(INDEX(Tables!$A$5:$A$254,MATCH(2,Tables!$AC$5:$AC$254,0))&amp;"","")="","","Table"),IF(IFERROR(INDEX(Fields!$A$5:$A$604,MATCH(2-COUNT(Tables!$AC$5:$AC$254),Fields!$V$5:$V$604,0))&amp;"","")="","","Field"))</f>
        <v/>
      </c>
      <c r="B328" s="20" t="str">
        <f aca="false">IF(2&lt;=COUNT(Tables!$AC$5:$AC$254),IFERROR(INDEX(Tables!$A$5:$A$254,MATCH(2,Tables!$AC$5:$AC$254,0))&amp;"",""),IFERROR(INDEX(Fields!$A$5:$A$604,MATCH(2-COUNT(Tables!$AC$5:$AC$254),Fields!$V$5:$V$604,0))&amp;"",""))</f>
        <v/>
      </c>
      <c r="C328" s="20" t="str">
        <f aca="false">IF(2&lt;=COUNT(Tables!$AC$5:$AC$254),IFERROR(INDEX(Tables!$B$5:$B$254,MATCH(2,Tables!$AC$5:$AC$254,0))&amp;"",""),IFERROR(INDEX(Fields!$B$5:$B$604,MATCH(2-COUNT(Tables!$AC$5:$AC$254),Fields!$V$5:$V$604,0))&amp;"",""))</f>
        <v/>
      </c>
      <c r="D328" s="20" t="str">
        <f aca="false">IF(2&lt;=COUNT(Tables!$AC$5:$AC$254),IFERROR(INDEX(Tables!$K$5:$K$254,MATCH(2,Tables!$AC$5:$AC$254,0))&amp;"",""),IFERROR(INDEX(Fields!$J$5:$J$604,MATCH(2-COUNT(Tables!$AC$5:$AC$254),Fields!$V$5:$V$604,0))&amp;"",""))</f>
        <v/>
      </c>
      <c r="E328" s="20" t="str">
        <f aca="false">IF(2&lt;=COUNT(Tables!$AC$5:$AC$254),IFERROR(INDEX(Tables!$L$5:$L$254,MATCH(2,Tables!$AC$5:$AC$254,0))&amp;"",""),IFERROR(INDEX(Fields!$K$5:$K$604,MATCH(2-COUNT(Tables!$AC$5:$AC$254),Fields!$V$5:$V$604,0))&amp;"",""))</f>
        <v/>
      </c>
      <c r="F328" s="20" t="str">
        <f aca="false">IF(2&lt;=COUNT(Tables!$AC$5:$AC$254),IFERROR(INDEX(Tables!$E$5:$E$254,MATCH(2,Tables!$AC$5:$AC$254,0))&amp;"",""),IFERROR(INDEX(Fields!$H$5:$H$604,MATCH(2-COUNT(Tables!$AC$5:$AC$254),Fields!$V$5:$V$604,0))&amp;"",""))</f>
        <v/>
      </c>
    </row>
    <row r="329" customFormat="false" ht="15" hidden="false" customHeight="false" outlineLevel="0" collapsed="false">
      <c r="A329" s="20" t="str">
        <f aca="false">IF(3&lt;=COUNT(Tables!$AC$5:$AC$254),IF(IFERROR(INDEX(Tables!$A$5:$A$254,MATCH(3,Tables!$AC$5:$AC$254,0))&amp;"","")="","","Table"),IF(IFERROR(INDEX(Fields!$A$5:$A$604,MATCH(3-COUNT(Tables!$AC$5:$AC$254),Fields!$V$5:$V$604,0))&amp;"","")="","","Field"))</f>
        <v/>
      </c>
      <c r="B329" s="20" t="str">
        <f aca="false">IF(3&lt;=COUNT(Tables!$AC$5:$AC$254),IFERROR(INDEX(Tables!$A$5:$A$254,MATCH(3,Tables!$AC$5:$AC$254,0))&amp;"",""),IFERROR(INDEX(Fields!$A$5:$A$604,MATCH(3-COUNT(Tables!$AC$5:$AC$254),Fields!$V$5:$V$604,0))&amp;"",""))</f>
        <v/>
      </c>
      <c r="C329" s="20" t="str">
        <f aca="false">IF(3&lt;=COUNT(Tables!$AC$5:$AC$254),IFERROR(INDEX(Tables!$B$5:$B$254,MATCH(3,Tables!$AC$5:$AC$254,0))&amp;"",""),IFERROR(INDEX(Fields!$B$5:$B$604,MATCH(3-COUNT(Tables!$AC$5:$AC$254),Fields!$V$5:$V$604,0))&amp;"",""))</f>
        <v/>
      </c>
      <c r="D329" s="20" t="str">
        <f aca="false">IF(3&lt;=COUNT(Tables!$AC$5:$AC$254),IFERROR(INDEX(Tables!$K$5:$K$254,MATCH(3,Tables!$AC$5:$AC$254,0))&amp;"",""),IFERROR(INDEX(Fields!$J$5:$J$604,MATCH(3-COUNT(Tables!$AC$5:$AC$254),Fields!$V$5:$V$604,0))&amp;"",""))</f>
        <v/>
      </c>
      <c r="E329" s="20" t="str">
        <f aca="false">IF(3&lt;=COUNT(Tables!$AC$5:$AC$254),IFERROR(INDEX(Tables!$L$5:$L$254,MATCH(3,Tables!$AC$5:$AC$254,0))&amp;"",""),IFERROR(INDEX(Fields!$K$5:$K$604,MATCH(3-COUNT(Tables!$AC$5:$AC$254),Fields!$V$5:$V$604,0))&amp;"",""))</f>
        <v/>
      </c>
      <c r="F329" s="20" t="str">
        <f aca="false">IF(3&lt;=COUNT(Tables!$AC$5:$AC$254),IFERROR(INDEX(Tables!$E$5:$E$254,MATCH(3,Tables!$AC$5:$AC$254,0))&amp;"",""),IFERROR(INDEX(Fields!$H$5:$H$604,MATCH(3-COUNT(Tables!$AC$5:$AC$254),Fields!$V$5:$V$604,0))&amp;"",""))</f>
        <v/>
      </c>
    </row>
    <row r="330" customFormat="false" ht="15" hidden="false" customHeight="false" outlineLevel="0" collapsed="false">
      <c r="A330" s="20" t="str">
        <f aca="false">IF(4&lt;=COUNT(Tables!$AC$5:$AC$254),IF(IFERROR(INDEX(Tables!$A$5:$A$254,MATCH(4,Tables!$AC$5:$AC$254,0))&amp;"","")="","","Table"),IF(IFERROR(INDEX(Fields!$A$5:$A$604,MATCH(4-COUNT(Tables!$AC$5:$AC$254),Fields!$V$5:$V$604,0))&amp;"","")="","","Field"))</f>
        <v/>
      </c>
      <c r="B330" s="20" t="str">
        <f aca="false">IF(4&lt;=COUNT(Tables!$AC$5:$AC$254),IFERROR(INDEX(Tables!$A$5:$A$254,MATCH(4,Tables!$AC$5:$AC$254,0))&amp;"",""),IFERROR(INDEX(Fields!$A$5:$A$604,MATCH(4-COUNT(Tables!$AC$5:$AC$254),Fields!$V$5:$V$604,0))&amp;"",""))</f>
        <v/>
      </c>
      <c r="C330" s="20" t="str">
        <f aca="false">IF(4&lt;=COUNT(Tables!$AC$5:$AC$254),IFERROR(INDEX(Tables!$B$5:$B$254,MATCH(4,Tables!$AC$5:$AC$254,0))&amp;"",""),IFERROR(INDEX(Fields!$B$5:$B$604,MATCH(4-COUNT(Tables!$AC$5:$AC$254),Fields!$V$5:$V$604,0))&amp;"",""))</f>
        <v/>
      </c>
      <c r="D330" s="20" t="str">
        <f aca="false">IF(4&lt;=COUNT(Tables!$AC$5:$AC$254),IFERROR(INDEX(Tables!$K$5:$K$254,MATCH(4,Tables!$AC$5:$AC$254,0))&amp;"",""),IFERROR(INDEX(Fields!$J$5:$J$604,MATCH(4-COUNT(Tables!$AC$5:$AC$254),Fields!$V$5:$V$604,0))&amp;"",""))</f>
        <v/>
      </c>
      <c r="E330" s="20" t="str">
        <f aca="false">IF(4&lt;=COUNT(Tables!$AC$5:$AC$254),IFERROR(INDEX(Tables!$L$5:$L$254,MATCH(4,Tables!$AC$5:$AC$254,0))&amp;"",""),IFERROR(INDEX(Fields!$K$5:$K$604,MATCH(4-COUNT(Tables!$AC$5:$AC$254),Fields!$V$5:$V$604,0))&amp;"",""))</f>
        <v/>
      </c>
      <c r="F330" s="20" t="str">
        <f aca="false">IF(4&lt;=COUNT(Tables!$AC$5:$AC$254),IFERROR(INDEX(Tables!$E$5:$E$254,MATCH(4,Tables!$AC$5:$AC$254,0))&amp;"",""),IFERROR(INDEX(Fields!$H$5:$H$604,MATCH(4-COUNT(Tables!$AC$5:$AC$254),Fields!$V$5:$V$604,0))&amp;"",""))</f>
        <v/>
      </c>
    </row>
    <row r="331" customFormat="false" ht="15" hidden="false" customHeight="false" outlineLevel="0" collapsed="false">
      <c r="A331" s="20" t="str">
        <f aca="false">IF(5&lt;=COUNT(Tables!$AC$5:$AC$254),IF(IFERROR(INDEX(Tables!$A$5:$A$254,MATCH(5,Tables!$AC$5:$AC$254,0))&amp;"","")="","","Table"),IF(IFERROR(INDEX(Fields!$A$5:$A$604,MATCH(5-COUNT(Tables!$AC$5:$AC$254),Fields!$V$5:$V$604,0))&amp;"","")="","","Field"))</f>
        <v/>
      </c>
      <c r="B331" s="20" t="str">
        <f aca="false">IF(5&lt;=COUNT(Tables!$AC$5:$AC$254),IFERROR(INDEX(Tables!$A$5:$A$254,MATCH(5,Tables!$AC$5:$AC$254,0))&amp;"",""),IFERROR(INDEX(Fields!$A$5:$A$604,MATCH(5-COUNT(Tables!$AC$5:$AC$254),Fields!$V$5:$V$604,0))&amp;"",""))</f>
        <v/>
      </c>
      <c r="C331" s="20" t="str">
        <f aca="false">IF(5&lt;=COUNT(Tables!$AC$5:$AC$254),IFERROR(INDEX(Tables!$B$5:$B$254,MATCH(5,Tables!$AC$5:$AC$254,0))&amp;"",""),IFERROR(INDEX(Fields!$B$5:$B$604,MATCH(5-COUNT(Tables!$AC$5:$AC$254),Fields!$V$5:$V$604,0))&amp;"",""))</f>
        <v/>
      </c>
      <c r="D331" s="20" t="str">
        <f aca="false">IF(5&lt;=COUNT(Tables!$AC$5:$AC$254),IFERROR(INDEX(Tables!$K$5:$K$254,MATCH(5,Tables!$AC$5:$AC$254,0))&amp;"",""),IFERROR(INDEX(Fields!$J$5:$J$604,MATCH(5-COUNT(Tables!$AC$5:$AC$254),Fields!$V$5:$V$604,0))&amp;"",""))</f>
        <v/>
      </c>
      <c r="E331" s="20" t="str">
        <f aca="false">IF(5&lt;=COUNT(Tables!$AC$5:$AC$254),IFERROR(INDEX(Tables!$L$5:$L$254,MATCH(5,Tables!$AC$5:$AC$254,0))&amp;"",""),IFERROR(INDEX(Fields!$K$5:$K$604,MATCH(5-COUNT(Tables!$AC$5:$AC$254),Fields!$V$5:$V$604,0))&amp;"",""))</f>
        <v/>
      </c>
      <c r="F331" s="20" t="str">
        <f aca="false">IF(5&lt;=COUNT(Tables!$AC$5:$AC$254),IFERROR(INDEX(Tables!$E$5:$E$254,MATCH(5,Tables!$AC$5:$AC$254,0))&amp;"",""),IFERROR(INDEX(Fields!$H$5:$H$604,MATCH(5-COUNT(Tables!$AC$5:$AC$254),Fields!$V$5:$V$604,0))&amp;"",""))</f>
        <v/>
      </c>
    </row>
    <row r="332" customFormat="false" ht="15" hidden="false" customHeight="false" outlineLevel="0" collapsed="false">
      <c r="A332" s="20" t="str">
        <f aca="false">IF(6&lt;=COUNT(Tables!$AC$5:$AC$254),IF(IFERROR(INDEX(Tables!$A$5:$A$254,MATCH(6,Tables!$AC$5:$AC$254,0))&amp;"","")="","","Table"),IF(IFERROR(INDEX(Fields!$A$5:$A$604,MATCH(6-COUNT(Tables!$AC$5:$AC$254),Fields!$V$5:$V$604,0))&amp;"","")="","","Field"))</f>
        <v/>
      </c>
      <c r="B332" s="20" t="str">
        <f aca="false">IF(6&lt;=COUNT(Tables!$AC$5:$AC$254),IFERROR(INDEX(Tables!$A$5:$A$254,MATCH(6,Tables!$AC$5:$AC$254,0))&amp;"",""),IFERROR(INDEX(Fields!$A$5:$A$604,MATCH(6-COUNT(Tables!$AC$5:$AC$254),Fields!$V$5:$V$604,0))&amp;"",""))</f>
        <v/>
      </c>
      <c r="C332" s="20" t="str">
        <f aca="false">IF(6&lt;=COUNT(Tables!$AC$5:$AC$254),IFERROR(INDEX(Tables!$B$5:$B$254,MATCH(6,Tables!$AC$5:$AC$254,0))&amp;"",""),IFERROR(INDEX(Fields!$B$5:$B$604,MATCH(6-COUNT(Tables!$AC$5:$AC$254),Fields!$V$5:$V$604,0))&amp;"",""))</f>
        <v/>
      </c>
      <c r="D332" s="20" t="str">
        <f aca="false">IF(6&lt;=COUNT(Tables!$AC$5:$AC$254),IFERROR(INDEX(Tables!$K$5:$K$254,MATCH(6,Tables!$AC$5:$AC$254,0))&amp;"",""),IFERROR(INDEX(Fields!$J$5:$J$604,MATCH(6-COUNT(Tables!$AC$5:$AC$254),Fields!$V$5:$V$604,0))&amp;"",""))</f>
        <v/>
      </c>
      <c r="E332" s="20" t="str">
        <f aca="false">IF(6&lt;=COUNT(Tables!$AC$5:$AC$254),IFERROR(INDEX(Tables!$L$5:$L$254,MATCH(6,Tables!$AC$5:$AC$254,0))&amp;"",""),IFERROR(INDEX(Fields!$K$5:$K$604,MATCH(6-COUNT(Tables!$AC$5:$AC$254),Fields!$V$5:$V$604,0))&amp;"",""))</f>
        <v/>
      </c>
      <c r="F332" s="20" t="str">
        <f aca="false">IF(6&lt;=COUNT(Tables!$AC$5:$AC$254),IFERROR(INDEX(Tables!$E$5:$E$254,MATCH(6,Tables!$AC$5:$AC$254,0))&amp;"",""),IFERROR(INDEX(Fields!$H$5:$H$604,MATCH(6-COUNT(Tables!$AC$5:$AC$254),Fields!$V$5:$V$604,0))&amp;"",""))</f>
        <v/>
      </c>
    </row>
    <row r="333" customFormat="false" ht="15" hidden="false" customHeight="false" outlineLevel="0" collapsed="false">
      <c r="A333" s="20" t="str">
        <f aca="false">IF(7&lt;=COUNT(Tables!$AC$5:$AC$254),IF(IFERROR(INDEX(Tables!$A$5:$A$254,MATCH(7,Tables!$AC$5:$AC$254,0))&amp;"","")="","","Table"),IF(IFERROR(INDEX(Fields!$A$5:$A$604,MATCH(7-COUNT(Tables!$AC$5:$AC$254),Fields!$V$5:$V$604,0))&amp;"","")="","","Field"))</f>
        <v/>
      </c>
      <c r="B333" s="20" t="str">
        <f aca="false">IF(7&lt;=COUNT(Tables!$AC$5:$AC$254),IFERROR(INDEX(Tables!$A$5:$A$254,MATCH(7,Tables!$AC$5:$AC$254,0))&amp;"",""),IFERROR(INDEX(Fields!$A$5:$A$604,MATCH(7-COUNT(Tables!$AC$5:$AC$254),Fields!$V$5:$V$604,0))&amp;"",""))</f>
        <v/>
      </c>
      <c r="C333" s="20" t="str">
        <f aca="false">IF(7&lt;=COUNT(Tables!$AC$5:$AC$254),IFERROR(INDEX(Tables!$B$5:$B$254,MATCH(7,Tables!$AC$5:$AC$254,0))&amp;"",""),IFERROR(INDEX(Fields!$B$5:$B$604,MATCH(7-COUNT(Tables!$AC$5:$AC$254),Fields!$V$5:$V$604,0))&amp;"",""))</f>
        <v/>
      </c>
      <c r="D333" s="20" t="str">
        <f aca="false">IF(7&lt;=COUNT(Tables!$AC$5:$AC$254),IFERROR(INDEX(Tables!$K$5:$K$254,MATCH(7,Tables!$AC$5:$AC$254,0))&amp;"",""),IFERROR(INDEX(Fields!$J$5:$J$604,MATCH(7-COUNT(Tables!$AC$5:$AC$254),Fields!$V$5:$V$604,0))&amp;"",""))</f>
        <v/>
      </c>
      <c r="E333" s="20" t="str">
        <f aca="false">IF(7&lt;=COUNT(Tables!$AC$5:$AC$254),IFERROR(INDEX(Tables!$L$5:$L$254,MATCH(7,Tables!$AC$5:$AC$254,0))&amp;"",""),IFERROR(INDEX(Fields!$K$5:$K$604,MATCH(7-COUNT(Tables!$AC$5:$AC$254),Fields!$V$5:$V$604,0))&amp;"",""))</f>
        <v/>
      </c>
      <c r="F333" s="20" t="str">
        <f aca="false">IF(7&lt;=COUNT(Tables!$AC$5:$AC$254),IFERROR(INDEX(Tables!$E$5:$E$254,MATCH(7,Tables!$AC$5:$AC$254,0))&amp;"",""),IFERROR(INDEX(Fields!$H$5:$H$604,MATCH(7-COUNT(Tables!$AC$5:$AC$254),Fields!$V$5:$V$604,0))&amp;"",""))</f>
        <v/>
      </c>
    </row>
    <row r="334" customFormat="false" ht="15" hidden="false" customHeight="false" outlineLevel="0" collapsed="false">
      <c r="A334" s="20" t="str">
        <f aca="false">IF(8&lt;=COUNT(Tables!$AC$5:$AC$254),IF(IFERROR(INDEX(Tables!$A$5:$A$254,MATCH(8,Tables!$AC$5:$AC$254,0))&amp;"","")="","","Table"),IF(IFERROR(INDEX(Fields!$A$5:$A$604,MATCH(8-COUNT(Tables!$AC$5:$AC$254),Fields!$V$5:$V$604,0))&amp;"","")="","","Field"))</f>
        <v/>
      </c>
      <c r="B334" s="20" t="str">
        <f aca="false">IF(8&lt;=COUNT(Tables!$AC$5:$AC$254),IFERROR(INDEX(Tables!$A$5:$A$254,MATCH(8,Tables!$AC$5:$AC$254,0))&amp;"",""),IFERROR(INDEX(Fields!$A$5:$A$604,MATCH(8-COUNT(Tables!$AC$5:$AC$254),Fields!$V$5:$V$604,0))&amp;"",""))</f>
        <v/>
      </c>
      <c r="C334" s="20" t="str">
        <f aca="false">IF(8&lt;=COUNT(Tables!$AC$5:$AC$254),IFERROR(INDEX(Tables!$B$5:$B$254,MATCH(8,Tables!$AC$5:$AC$254,0))&amp;"",""),IFERROR(INDEX(Fields!$B$5:$B$604,MATCH(8-COUNT(Tables!$AC$5:$AC$254),Fields!$V$5:$V$604,0))&amp;"",""))</f>
        <v/>
      </c>
      <c r="D334" s="20" t="str">
        <f aca="false">IF(8&lt;=COUNT(Tables!$AC$5:$AC$254),IFERROR(INDEX(Tables!$K$5:$K$254,MATCH(8,Tables!$AC$5:$AC$254,0))&amp;"",""),IFERROR(INDEX(Fields!$J$5:$J$604,MATCH(8-COUNT(Tables!$AC$5:$AC$254),Fields!$V$5:$V$604,0))&amp;"",""))</f>
        <v/>
      </c>
      <c r="E334" s="20" t="str">
        <f aca="false">IF(8&lt;=COUNT(Tables!$AC$5:$AC$254),IFERROR(INDEX(Tables!$L$5:$L$254,MATCH(8,Tables!$AC$5:$AC$254,0))&amp;"",""),IFERROR(INDEX(Fields!$K$5:$K$604,MATCH(8-COUNT(Tables!$AC$5:$AC$254),Fields!$V$5:$V$604,0))&amp;"",""))</f>
        <v/>
      </c>
      <c r="F334" s="20" t="str">
        <f aca="false">IF(8&lt;=COUNT(Tables!$AC$5:$AC$254),IFERROR(INDEX(Tables!$E$5:$E$254,MATCH(8,Tables!$AC$5:$AC$254,0))&amp;"",""),IFERROR(INDEX(Fields!$H$5:$H$604,MATCH(8-COUNT(Tables!$AC$5:$AC$254),Fields!$V$5:$V$604,0))&amp;"",""))</f>
        <v/>
      </c>
    </row>
    <row r="335" customFormat="false" ht="15" hidden="false" customHeight="false" outlineLevel="0" collapsed="false">
      <c r="A335" s="20" t="str">
        <f aca="false">IF(9&lt;=COUNT(Tables!$AC$5:$AC$254),IF(IFERROR(INDEX(Tables!$A$5:$A$254,MATCH(9,Tables!$AC$5:$AC$254,0))&amp;"","")="","","Table"),IF(IFERROR(INDEX(Fields!$A$5:$A$604,MATCH(9-COUNT(Tables!$AC$5:$AC$254),Fields!$V$5:$V$604,0))&amp;"","")="","","Field"))</f>
        <v/>
      </c>
      <c r="B335" s="20" t="str">
        <f aca="false">IF(9&lt;=COUNT(Tables!$AC$5:$AC$254),IFERROR(INDEX(Tables!$A$5:$A$254,MATCH(9,Tables!$AC$5:$AC$254,0))&amp;"",""),IFERROR(INDEX(Fields!$A$5:$A$604,MATCH(9-COUNT(Tables!$AC$5:$AC$254),Fields!$V$5:$V$604,0))&amp;"",""))</f>
        <v/>
      </c>
      <c r="C335" s="20" t="str">
        <f aca="false">IF(9&lt;=COUNT(Tables!$AC$5:$AC$254),IFERROR(INDEX(Tables!$B$5:$B$254,MATCH(9,Tables!$AC$5:$AC$254,0))&amp;"",""),IFERROR(INDEX(Fields!$B$5:$B$604,MATCH(9-COUNT(Tables!$AC$5:$AC$254),Fields!$V$5:$V$604,0))&amp;"",""))</f>
        <v/>
      </c>
      <c r="D335" s="20" t="str">
        <f aca="false">IF(9&lt;=COUNT(Tables!$AC$5:$AC$254),IFERROR(INDEX(Tables!$K$5:$K$254,MATCH(9,Tables!$AC$5:$AC$254,0))&amp;"",""),IFERROR(INDEX(Fields!$J$5:$J$604,MATCH(9-COUNT(Tables!$AC$5:$AC$254),Fields!$V$5:$V$604,0))&amp;"",""))</f>
        <v/>
      </c>
      <c r="E335" s="20" t="str">
        <f aca="false">IF(9&lt;=COUNT(Tables!$AC$5:$AC$254),IFERROR(INDEX(Tables!$L$5:$L$254,MATCH(9,Tables!$AC$5:$AC$254,0))&amp;"",""),IFERROR(INDEX(Fields!$K$5:$K$604,MATCH(9-COUNT(Tables!$AC$5:$AC$254),Fields!$V$5:$V$604,0))&amp;"",""))</f>
        <v/>
      </c>
      <c r="F335" s="20" t="str">
        <f aca="false">IF(9&lt;=COUNT(Tables!$AC$5:$AC$254),IFERROR(INDEX(Tables!$E$5:$E$254,MATCH(9,Tables!$AC$5:$AC$254,0))&amp;"",""),IFERROR(INDEX(Fields!$H$5:$H$604,MATCH(9-COUNT(Tables!$AC$5:$AC$254),Fields!$V$5:$V$604,0))&amp;"",""))</f>
        <v/>
      </c>
    </row>
    <row r="336" customFormat="false" ht="15" hidden="false" customHeight="false" outlineLevel="0" collapsed="false">
      <c r="A336" s="20" t="str">
        <f aca="false">IF(10&lt;=COUNT(Tables!$AC$5:$AC$254),IF(IFERROR(INDEX(Tables!$A$5:$A$254,MATCH(10,Tables!$AC$5:$AC$254,0))&amp;"","")="","","Table"),IF(IFERROR(INDEX(Fields!$A$5:$A$604,MATCH(10-COUNT(Tables!$AC$5:$AC$254),Fields!$V$5:$V$604,0))&amp;"","")="","","Field"))</f>
        <v/>
      </c>
      <c r="B336" s="20" t="str">
        <f aca="false">IF(10&lt;=COUNT(Tables!$AC$5:$AC$254),IFERROR(INDEX(Tables!$A$5:$A$254,MATCH(10,Tables!$AC$5:$AC$254,0))&amp;"",""),IFERROR(INDEX(Fields!$A$5:$A$604,MATCH(10-COUNT(Tables!$AC$5:$AC$254),Fields!$V$5:$V$604,0))&amp;"",""))</f>
        <v/>
      </c>
      <c r="C336" s="20" t="str">
        <f aca="false">IF(10&lt;=COUNT(Tables!$AC$5:$AC$254),IFERROR(INDEX(Tables!$B$5:$B$254,MATCH(10,Tables!$AC$5:$AC$254,0))&amp;"",""),IFERROR(INDEX(Fields!$B$5:$B$604,MATCH(10-COUNT(Tables!$AC$5:$AC$254),Fields!$V$5:$V$604,0))&amp;"",""))</f>
        <v/>
      </c>
      <c r="D336" s="20" t="str">
        <f aca="false">IF(10&lt;=COUNT(Tables!$AC$5:$AC$254),IFERROR(INDEX(Tables!$K$5:$K$254,MATCH(10,Tables!$AC$5:$AC$254,0))&amp;"",""),IFERROR(INDEX(Fields!$J$5:$J$604,MATCH(10-COUNT(Tables!$AC$5:$AC$254),Fields!$V$5:$V$604,0))&amp;"",""))</f>
        <v/>
      </c>
      <c r="E336" s="20" t="str">
        <f aca="false">IF(10&lt;=COUNT(Tables!$AC$5:$AC$254),IFERROR(INDEX(Tables!$L$5:$L$254,MATCH(10,Tables!$AC$5:$AC$254,0))&amp;"",""),IFERROR(INDEX(Fields!$K$5:$K$604,MATCH(10-COUNT(Tables!$AC$5:$AC$254),Fields!$V$5:$V$604,0))&amp;"",""))</f>
        <v/>
      </c>
      <c r="F336" s="20" t="str">
        <f aca="false">IF(10&lt;=COUNT(Tables!$AC$5:$AC$254),IFERROR(INDEX(Tables!$E$5:$E$254,MATCH(10,Tables!$AC$5:$AC$254,0))&amp;"",""),IFERROR(INDEX(Fields!$H$5:$H$604,MATCH(10-COUNT(Tables!$AC$5:$AC$254),Fields!$V$5:$V$604,0))&amp;"",""))</f>
        <v/>
      </c>
    </row>
    <row r="337" customFormat="false" ht="15" hidden="false" customHeight="false" outlineLevel="0" collapsed="false">
      <c r="A337" s="20" t="str">
        <f aca="false">IF(11&lt;=COUNT(Tables!$AC$5:$AC$254),IF(IFERROR(INDEX(Tables!$A$5:$A$254,MATCH(11,Tables!$AC$5:$AC$254,0))&amp;"","")="","","Table"),IF(IFERROR(INDEX(Fields!$A$5:$A$604,MATCH(11-COUNT(Tables!$AC$5:$AC$254),Fields!$V$5:$V$604,0))&amp;"","")="","","Field"))</f>
        <v/>
      </c>
      <c r="B337" s="20" t="str">
        <f aca="false">IF(11&lt;=COUNT(Tables!$AC$5:$AC$254),IFERROR(INDEX(Tables!$A$5:$A$254,MATCH(11,Tables!$AC$5:$AC$254,0))&amp;"",""),IFERROR(INDEX(Fields!$A$5:$A$604,MATCH(11-COUNT(Tables!$AC$5:$AC$254),Fields!$V$5:$V$604,0))&amp;"",""))</f>
        <v/>
      </c>
      <c r="C337" s="20" t="str">
        <f aca="false">IF(11&lt;=COUNT(Tables!$AC$5:$AC$254),IFERROR(INDEX(Tables!$B$5:$B$254,MATCH(11,Tables!$AC$5:$AC$254,0))&amp;"",""),IFERROR(INDEX(Fields!$B$5:$B$604,MATCH(11-COUNT(Tables!$AC$5:$AC$254),Fields!$V$5:$V$604,0))&amp;"",""))</f>
        <v/>
      </c>
      <c r="D337" s="20" t="str">
        <f aca="false">IF(11&lt;=COUNT(Tables!$AC$5:$AC$254),IFERROR(INDEX(Tables!$K$5:$K$254,MATCH(11,Tables!$AC$5:$AC$254,0))&amp;"",""),IFERROR(INDEX(Fields!$J$5:$J$604,MATCH(11-COUNT(Tables!$AC$5:$AC$254),Fields!$V$5:$V$604,0))&amp;"",""))</f>
        <v/>
      </c>
      <c r="E337" s="20" t="str">
        <f aca="false">IF(11&lt;=COUNT(Tables!$AC$5:$AC$254),IFERROR(INDEX(Tables!$L$5:$L$254,MATCH(11,Tables!$AC$5:$AC$254,0))&amp;"",""),IFERROR(INDEX(Fields!$K$5:$K$604,MATCH(11-COUNT(Tables!$AC$5:$AC$254),Fields!$V$5:$V$604,0))&amp;"",""))</f>
        <v/>
      </c>
      <c r="F337" s="20" t="str">
        <f aca="false">IF(11&lt;=COUNT(Tables!$AC$5:$AC$254),IFERROR(INDEX(Tables!$E$5:$E$254,MATCH(11,Tables!$AC$5:$AC$254,0))&amp;"",""),IFERROR(INDEX(Fields!$H$5:$H$604,MATCH(11-COUNT(Tables!$AC$5:$AC$254),Fields!$V$5:$V$604,0))&amp;"",""))</f>
        <v/>
      </c>
    </row>
    <row r="338" customFormat="false" ht="15" hidden="false" customHeight="false" outlineLevel="0" collapsed="false">
      <c r="A338" s="20" t="str">
        <f aca="false">IF(12&lt;=COUNT(Tables!$AC$5:$AC$254),IF(IFERROR(INDEX(Tables!$A$5:$A$254,MATCH(12,Tables!$AC$5:$AC$254,0))&amp;"","")="","","Table"),IF(IFERROR(INDEX(Fields!$A$5:$A$604,MATCH(12-COUNT(Tables!$AC$5:$AC$254),Fields!$V$5:$V$604,0))&amp;"","")="","","Field"))</f>
        <v/>
      </c>
      <c r="B338" s="20" t="str">
        <f aca="false">IF(12&lt;=COUNT(Tables!$AC$5:$AC$254),IFERROR(INDEX(Tables!$A$5:$A$254,MATCH(12,Tables!$AC$5:$AC$254,0))&amp;"",""),IFERROR(INDEX(Fields!$A$5:$A$604,MATCH(12-COUNT(Tables!$AC$5:$AC$254),Fields!$V$5:$V$604,0))&amp;"",""))</f>
        <v/>
      </c>
      <c r="C338" s="20" t="str">
        <f aca="false">IF(12&lt;=COUNT(Tables!$AC$5:$AC$254),IFERROR(INDEX(Tables!$B$5:$B$254,MATCH(12,Tables!$AC$5:$AC$254,0))&amp;"",""),IFERROR(INDEX(Fields!$B$5:$B$604,MATCH(12-COUNT(Tables!$AC$5:$AC$254),Fields!$V$5:$V$604,0))&amp;"",""))</f>
        <v/>
      </c>
      <c r="D338" s="20" t="str">
        <f aca="false">IF(12&lt;=COUNT(Tables!$AC$5:$AC$254),IFERROR(INDEX(Tables!$K$5:$K$254,MATCH(12,Tables!$AC$5:$AC$254,0))&amp;"",""),IFERROR(INDEX(Fields!$J$5:$J$604,MATCH(12-COUNT(Tables!$AC$5:$AC$254),Fields!$V$5:$V$604,0))&amp;"",""))</f>
        <v/>
      </c>
      <c r="E338" s="20" t="str">
        <f aca="false">IF(12&lt;=COUNT(Tables!$AC$5:$AC$254),IFERROR(INDEX(Tables!$L$5:$L$254,MATCH(12,Tables!$AC$5:$AC$254,0))&amp;"",""),IFERROR(INDEX(Fields!$K$5:$K$604,MATCH(12-COUNT(Tables!$AC$5:$AC$254),Fields!$V$5:$V$604,0))&amp;"",""))</f>
        <v/>
      </c>
      <c r="F338" s="20" t="str">
        <f aca="false">IF(12&lt;=COUNT(Tables!$AC$5:$AC$254),IFERROR(INDEX(Tables!$E$5:$E$254,MATCH(12,Tables!$AC$5:$AC$254,0))&amp;"",""),IFERROR(INDEX(Fields!$H$5:$H$604,MATCH(12-COUNT(Tables!$AC$5:$AC$254),Fields!$V$5:$V$604,0))&amp;"",""))</f>
        <v/>
      </c>
    </row>
    <row r="339" customFormat="false" ht="15" hidden="false" customHeight="false" outlineLevel="0" collapsed="false">
      <c r="A339" s="20" t="str">
        <f aca="false">IF(13&lt;=COUNT(Tables!$AC$5:$AC$254),IF(IFERROR(INDEX(Tables!$A$5:$A$254,MATCH(13,Tables!$AC$5:$AC$254,0))&amp;"","")="","","Table"),IF(IFERROR(INDEX(Fields!$A$5:$A$604,MATCH(13-COUNT(Tables!$AC$5:$AC$254),Fields!$V$5:$V$604,0))&amp;"","")="","","Field"))</f>
        <v/>
      </c>
      <c r="B339" s="20" t="str">
        <f aca="false">IF(13&lt;=COUNT(Tables!$AC$5:$AC$254),IFERROR(INDEX(Tables!$A$5:$A$254,MATCH(13,Tables!$AC$5:$AC$254,0))&amp;"",""),IFERROR(INDEX(Fields!$A$5:$A$604,MATCH(13-COUNT(Tables!$AC$5:$AC$254),Fields!$V$5:$V$604,0))&amp;"",""))</f>
        <v/>
      </c>
      <c r="C339" s="20" t="str">
        <f aca="false">IF(13&lt;=COUNT(Tables!$AC$5:$AC$254),IFERROR(INDEX(Tables!$B$5:$B$254,MATCH(13,Tables!$AC$5:$AC$254,0))&amp;"",""),IFERROR(INDEX(Fields!$B$5:$B$604,MATCH(13-COUNT(Tables!$AC$5:$AC$254),Fields!$V$5:$V$604,0))&amp;"",""))</f>
        <v/>
      </c>
      <c r="D339" s="20" t="str">
        <f aca="false">IF(13&lt;=COUNT(Tables!$AC$5:$AC$254),IFERROR(INDEX(Tables!$K$5:$K$254,MATCH(13,Tables!$AC$5:$AC$254,0))&amp;"",""),IFERROR(INDEX(Fields!$J$5:$J$604,MATCH(13-COUNT(Tables!$AC$5:$AC$254),Fields!$V$5:$V$604,0))&amp;"",""))</f>
        <v/>
      </c>
      <c r="E339" s="20" t="str">
        <f aca="false">IF(13&lt;=COUNT(Tables!$AC$5:$AC$254),IFERROR(INDEX(Tables!$L$5:$L$254,MATCH(13,Tables!$AC$5:$AC$254,0))&amp;"",""),IFERROR(INDEX(Fields!$K$5:$K$604,MATCH(13-COUNT(Tables!$AC$5:$AC$254),Fields!$V$5:$V$604,0))&amp;"",""))</f>
        <v/>
      </c>
      <c r="F339" s="20" t="str">
        <f aca="false">IF(13&lt;=COUNT(Tables!$AC$5:$AC$254),IFERROR(INDEX(Tables!$E$5:$E$254,MATCH(13,Tables!$AC$5:$AC$254,0))&amp;"",""),IFERROR(INDEX(Fields!$H$5:$H$604,MATCH(13-COUNT(Tables!$AC$5:$AC$254),Fields!$V$5:$V$604,0))&amp;"",""))</f>
        <v/>
      </c>
    </row>
    <row r="340" customFormat="false" ht="15" hidden="false" customHeight="false" outlineLevel="0" collapsed="false">
      <c r="A340" s="20" t="str">
        <f aca="false">IF(14&lt;=COUNT(Tables!$AC$5:$AC$254),IF(IFERROR(INDEX(Tables!$A$5:$A$254,MATCH(14,Tables!$AC$5:$AC$254,0))&amp;"","")="","","Table"),IF(IFERROR(INDEX(Fields!$A$5:$A$604,MATCH(14-COUNT(Tables!$AC$5:$AC$254),Fields!$V$5:$V$604,0))&amp;"","")="","","Field"))</f>
        <v/>
      </c>
      <c r="B340" s="20" t="str">
        <f aca="false">IF(14&lt;=COUNT(Tables!$AC$5:$AC$254),IFERROR(INDEX(Tables!$A$5:$A$254,MATCH(14,Tables!$AC$5:$AC$254,0))&amp;"",""),IFERROR(INDEX(Fields!$A$5:$A$604,MATCH(14-COUNT(Tables!$AC$5:$AC$254),Fields!$V$5:$V$604,0))&amp;"",""))</f>
        <v/>
      </c>
      <c r="C340" s="20" t="str">
        <f aca="false">IF(14&lt;=COUNT(Tables!$AC$5:$AC$254),IFERROR(INDEX(Tables!$B$5:$B$254,MATCH(14,Tables!$AC$5:$AC$254,0))&amp;"",""),IFERROR(INDEX(Fields!$B$5:$B$604,MATCH(14-COUNT(Tables!$AC$5:$AC$254),Fields!$V$5:$V$604,0))&amp;"",""))</f>
        <v/>
      </c>
      <c r="D340" s="20" t="str">
        <f aca="false">IF(14&lt;=COUNT(Tables!$AC$5:$AC$254),IFERROR(INDEX(Tables!$K$5:$K$254,MATCH(14,Tables!$AC$5:$AC$254,0))&amp;"",""),IFERROR(INDEX(Fields!$J$5:$J$604,MATCH(14-COUNT(Tables!$AC$5:$AC$254),Fields!$V$5:$V$604,0))&amp;"",""))</f>
        <v/>
      </c>
      <c r="E340" s="20" t="str">
        <f aca="false">IF(14&lt;=COUNT(Tables!$AC$5:$AC$254),IFERROR(INDEX(Tables!$L$5:$L$254,MATCH(14,Tables!$AC$5:$AC$254,0))&amp;"",""),IFERROR(INDEX(Fields!$K$5:$K$604,MATCH(14-COUNT(Tables!$AC$5:$AC$254),Fields!$V$5:$V$604,0))&amp;"",""))</f>
        <v/>
      </c>
      <c r="F340" s="20" t="str">
        <f aca="false">IF(14&lt;=COUNT(Tables!$AC$5:$AC$254),IFERROR(INDEX(Tables!$E$5:$E$254,MATCH(14,Tables!$AC$5:$AC$254,0))&amp;"",""),IFERROR(INDEX(Fields!$H$5:$H$604,MATCH(14-COUNT(Tables!$AC$5:$AC$254),Fields!$V$5:$V$604,0))&amp;"",""))</f>
        <v/>
      </c>
    </row>
    <row r="341" customFormat="false" ht="15" hidden="false" customHeight="false" outlineLevel="0" collapsed="false">
      <c r="A341" s="20" t="str">
        <f aca="false">IF(15&lt;=COUNT(Tables!$AC$5:$AC$254),IF(IFERROR(INDEX(Tables!$A$5:$A$254,MATCH(15,Tables!$AC$5:$AC$254,0))&amp;"","")="","","Table"),IF(IFERROR(INDEX(Fields!$A$5:$A$604,MATCH(15-COUNT(Tables!$AC$5:$AC$254),Fields!$V$5:$V$604,0))&amp;"","")="","","Field"))</f>
        <v/>
      </c>
      <c r="B341" s="20" t="str">
        <f aca="false">IF(15&lt;=COUNT(Tables!$AC$5:$AC$254),IFERROR(INDEX(Tables!$A$5:$A$254,MATCH(15,Tables!$AC$5:$AC$254,0))&amp;"",""),IFERROR(INDEX(Fields!$A$5:$A$604,MATCH(15-COUNT(Tables!$AC$5:$AC$254),Fields!$V$5:$V$604,0))&amp;"",""))</f>
        <v/>
      </c>
      <c r="C341" s="20" t="str">
        <f aca="false">IF(15&lt;=COUNT(Tables!$AC$5:$AC$254),IFERROR(INDEX(Tables!$B$5:$B$254,MATCH(15,Tables!$AC$5:$AC$254,0))&amp;"",""),IFERROR(INDEX(Fields!$B$5:$B$604,MATCH(15-COUNT(Tables!$AC$5:$AC$254),Fields!$V$5:$V$604,0))&amp;"",""))</f>
        <v/>
      </c>
      <c r="D341" s="20" t="str">
        <f aca="false">IF(15&lt;=COUNT(Tables!$AC$5:$AC$254),IFERROR(INDEX(Tables!$K$5:$K$254,MATCH(15,Tables!$AC$5:$AC$254,0))&amp;"",""),IFERROR(INDEX(Fields!$J$5:$J$604,MATCH(15-COUNT(Tables!$AC$5:$AC$254),Fields!$V$5:$V$604,0))&amp;"",""))</f>
        <v/>
      </c>
      <c r="E341" s="20" t="str">
        <f aca="false">IF(15&lt;=COUNT(Tables!$AC$5:$AC$254),IFERROR(INDEX(Tables!$L$5:$L$254,MATCH(15,Tables!$AC$5:$AC$254,0))&amp;"",""),IFERROR(INDEX(Fields!$K$5:$K$604,MATCH(15-COUNT(Tables!$AC$5:$AC$254),Fields!$V$5:$V$604,0))&amp;"",""))</f>
        <v/>
      </c>
      <c r="F341" s="20" t="str">
        <f aca="false">IF(15&lt;=COUNT(Tables!$AC$5:$AC$254),IFERROR(INDEX(Tables!$E$5:$E$254,MATCH(15,Tables!$AC$5:$AC$254,0))&amp;"",""),IFERROR(INDEX(Fields!$H$5:$H$604,MATCH(15-COUNT(Tables!$AC$5:$AC$254),Fields!$V$5:$V$604,0))&amp;"",""))</f>
        <v/>
      </c>
    </row>
    <row r="342" customFormat="false" ht="15" hidden="false" customHeight="false" outlineLevel="0" collapsed="false">
      <c r="A342" s="20" t="str">
        <f aca="false">IF(16&lt;=COUNT(Tables!$AC$5:$AC$254),IF(IFERROR(INDEX(Tables!$A$5:$A$254,MATCH(16,Tables!$AC$5:$AC$254,0))&amp;"","")="","","Table"),IF(IFERROR(INDEX(Fields!$A$5:$A$604,MATCH(16-COUNT(Tables!$AC$5:$AC$254),Fields!$V$5:$V$604,0))&amp;"","")="","","Field"))</f>
        <v/>
      </c>
      <c r="B342" s="20" t="str">
        <f aca="false">IF(16&lt;=COUNT(Tables!$AC$5:$AC$254),IFERROR(INDEX(Tables!$A$5:$A$254,MATCH(16,Tables!$AC$5:$AC$254,0))&amp;"",""),IFERROR(INDEX(Fields!$A$5:$A$604,MATCH(16-COUNT(Tables!$AC$5:$AC$254),Fields!$V$5:$V$604,0))&amp;"",""))</f>
        <v/>
      </c>
      <c r="C342" s="20" t="str">
        <f aca="false">IF(16&lt;=COUNT(Tables!$AC$5:$AC$254),IFERROR(INDEX(Tables!$B$5:$B$254,MATCH(16,Tables!$AC$5:$AC$254,0))&amp;"",""),IFERROR(INDEX(Fields!$B$5:$B$604,MATCH(16-COUNT(Tables!$AC$5:$AC$254),Fields!$V$5:$V$604,0))&amp;"",""))</f>
        <v/>
      </c>
      <c r="D342" s="20" t="str">
        <f aca="false">IF(16&lt;=COUNT(Tables!$AC$5:$AC$254),IFERROR(INDEX(Tables!$K$5:$K$254,MATCH(16,Tables!$AC$5:$AC$254,0))&amp;"",""),IFERROR(INDEX(Fields!$J$5:$J$604,MATCH(16-COUNT(Tables!$AC$5:$AC$254),Fields!$V$5:$V$604,0))&amp;"",""))</f>
        <v/>
      </c>
      <c r="E342" s="20" t="str">
        <f aca="false">IF(16&lt;=COUNT(Tables!$AC$5:$AC$254),IFERROR(INDEX(Tables!$L$5:$L$254,MATCH(16,Tables!$AC$5:$AC$254,0))&amp;"",""),IFERROR(INDEX(Fields!$K$5:$K$604,MATCH(16-COUNT(Tables!$AC$5:$AC$254),Fields!$V$5:$V$604,0))&amp;"",""))</f>
        <v/>
      </c>
      <c r="F342" s="20" t="str">
        <f aca="false">IF(16&lt;=COUNT(Tables!$AC$5:$AC$254),IFERROR(INDEX(Tables!$E$5:$E$254,MATCH(16,Tables!$AC$5:$AC$254,0))&amp;"",""),IFERROR(INDEX(Fields!$H$5:$H$604,MATCH(16-COUNT(Tables!$AC$5:$AC$254),Fields!$V$5:$V$604,0))&amp;"",""))</f>
        <v/>
      </c>
    </row>
    <row r="343" customFormat="false" ht="15" hidden="false" customHeight="false" outlineLevel="0" collapsed="false">
      <c r="A343" s="20" t="str">
        <f aca="false">IF(17&lt;=COUNT(Tables!$AC$5:$AC$254),IF(IFERROR(INDEX(Tables!$A$5:$A$254,MATCH(17,Tables!$AC$5:$AC$254,0))&amp;"","")="","","Table"),IF(IFERROR(INDEX(Fields!$A$5:$A$604,MATCH(17-COUNT(Tables!$AC$5:$AC$254),Fields!$V$5:$V$604,0))&amp;"","")="","","Field"))</f>
        <v/>
      </c>
      <c r="B343" s="20" t="str">
        <f aca="false">IF(17&lt;=COUNT(Tables!$AC$5:$AC$254),IFERROR(INDEX(Tables!$A$5:$A$254,MATCH(17,Tables!$AC$5:$AC$254,0))&amp;"",""),IFERROR(INDEX(Fields!$A$5:$A$604,MATCH(17-COUNT(Tables!$AC$5:$AC$254),Fields!$V$5:$V$604,0))&amp;"",""))</f>
        <v/>
      </c>
      <c r="C343" s="20" t="str">
        <f aca="false">IF(17&lt;=COUNT(Tables!$AC$5:$AC$254),IFERROR(INDEX(Tables!$B$5:$B$254,MATCH(17,Tables!$AC$5:$AC$254,0))&amp;"",""),IFERROR(INDEX(Fields!$B$5:$B$604,MATCH(17-COUNT(Tables!$AC$5:$AC$254),Fields!$V$5:$V$604,0))&amp;"",""))</f>
        <v/>
      </c>
      <c r="D343" s="20" t="str">
        <f aca="false">IF(17&lt;=COUNT(Tables!$AC$5:$AC$254),IFERROR(INDEX(Tables!$K$5:$K$254,MATCH(17,Tables!$AC$5:$AC$254,0))&amp;"",""),IFERROR(INDEX(Fields!$J$5:$J$604,MATCH(17-COUNT(Tables!$AC$5:$AC$254),Fields!$V$5:$V$604,0))&amp;"",""))</f>
        <v/>
      </c>
      <c r="E343" s="20" t="str">
        <f aca="false">IF(17&lt;=COUNT(Tables!$AC$5:$AC$254),IFERROR(INDEX(Tables!$L$5:$L$254,MATCH(17,Tables!$AC$5:$AC$254,0))&amp;"",""),IFERROR(INDEX(Fields!$K$5:$K$604,MATCH(17-COUNT(Tables!$AC$5:$AC$254),Fields!$V$5:$V$604,0))&amp;"",""))</f>
        <v/>
      </c>
      <c r="F343" s="20" t="str">
        <f aca="false">IF(17&lt;=COUNT(Tables!$AC$5:$AC$254),IFERROR(INDEX(Tables!$E$5:$E$254,MATCH(17,Tables!$AC$5:$AC$254,0))&amp;"",""),IFERROR(INDEX(Fields!$H$5:$H$604,MATCH(17-COUNT(Tables!$AC$5:$AC$254),Fields!$V$5:$V$604,0))&amp;"",""))</f>
        <v/>
      </c>
    </row>
    <row r="344" customFormat="false" ht="15" hidden="false" customHeight="false" outlineLevel="0" collapsed="false">
      <c r="A344" s="20" t="str">
        <f aca="false">IF(18&lt;=COUNT(Tables!$AC$5:$AC$254),IF(IFERROR(INDEX(Tables!$A$5:$A$254,MATCH(18,Tables!$AC$5:$AC$254,0))&amp;"","")="","","Table"),IF(IFERROR(INDEX(Fields!$A$5:$A$604,MATCH(18-COUNT(Tables!$AC$5:$AC$254),Fields!$V$5:$V$604,0))&amp;"","")="","","Field"))</f>
        <v/>
      </c>
      <c r="B344" s="20" t="str">
        <f aca="false">IF(18&lt;=COUNT(Tables!$AC$5:$AC$254),IFERROR(INDEX(Tables!$A$5:$A$254,MATCH(18,Tables!$AC$5:$AC$254,0))&amp;"",""),IFERROR(INDEX(Fields!$A$5:$A$604,MATCH(18-COUNT(Tables!$AC$5:$AC$254),Fields!$V$5:$V$604,0))&amp;"",""))</f>
        <v/>
      </c>
      <c r="C344" s="20" t="str">
        <f aca="false">IF(18&lt;=COUNT(Tables!$AC$5:$AC$254),IFERROR(INDEX(Tables!$B$5:$B$254,MATCH(18,Tables!$AC$5:$AC$254,0))&amp;"",""),IFERROR(INDEX(Fields!$B$5:$B$604,MATCH(18-COUNT(Tables!$AC$5:$AC$254),Fields!$V$5:$V$604,0))&amp;"",""))</f>
        <v/>
      </c>
      <c r="D344" s="20" t="str">
        <f aca="false">IF(18&lt;=COUNT(Tables!$AC$5:$AC$254),IFERROR(INDEX(Tables!$K$5:$K$254,MATCH(18,Tables!$AC$5:$AC$254,0))&amp;"",""),IFERROR(INDEX(Fields!$J$5:$J$604,MATCH(18-COUNT(Tables!$AC$5:$AC$254),Fields!$V$5:$V$604,0))&amp;"",""))</f>
        <v/>
      </c>
      <c r="E344" s="20" t="str">
        <f aca="false">IF(18&lt;=COUNT(Tables!$AC$5:$AC$254),IFERROR(INDEX(Tables!$L$5:$L$254,MATCH(18,Tables!$AC$5:$AC$254,0))&amp;"",""),IFERROR(INDEX(Fields!$K$5:$K$604,MATCH(18-COUNT(Tables!$AC$5:$AC$254),Fields!$V$5:$V$604,0))&amp;"",""))</f>
        <v/>
      </c>
      <c r="F344" s="20" t="str">
        <f aca="false">IF(18&lt;=COUNT(Tables!$AC$5:$AC$254),IFERROR(INDEX(Tables!$E$5:$E$254,MATCH(18,Tables!$AC$5:$AC$254,0))&amp;"",""),IFERROR(INDEX(Fields!$H$5:$H$604,MATCH(18-COUNT(Tables!$AC$5:$AC$254),Fields!$V$5:$V$604,0))&amp;"",""))</f>
        <v/>
      </c>
    </row>
    <row r="345" customFormat="false" ht="15" hidden="false" customHeight="false" outlineLevel="0" collapsed="false">
      <c r="A345" s="20" t="str">
        <f aca="false">IF(19&lt;=COUNT(Tables!$AC$5:$AC$254),IF(IFERROR(INDEX(Tables!$A$5:$A$254,MATCH(19,Tables!$AC$5:$AC$254,0))&amp;"","")="","","Table"),IF(IFERROR(INDEX(Fields!$A$5:$A$604,MATCH(19-COUNT(Tables!$AC$5:$AC$254),Fields!$V$5:$V$604,0))&amp;"","")="","","Field"))</f>
        <v/>
      </c>
      <c r="B345" s="20" t="str">
        <f aca="false">IF(19&lt;=COUNT(Tables!$AC$5:$AC$254),IFERROR(INDEX(Tables!$A$5:$A$254,MATCH(19,Tables!$AC$5:$AC$254,0))&amp;"",""),IFERROR(INDEX(Fields!$A$5:$A$604,MATCH(19-COUNT(Tables!$AC$5:$AC$254),Fields!$V$5:$V$604,0))&amp;"",""))</f>
        <v/>
      </c>
      <c r="C345" s="20" t="str">
        <f aca="false">IF(19&lt;=COUNT(Tables!$AC$5:$AC$254),IFERROR(INDEX(Tables!$B$5:$B$254,MATCH(19,Tables!$AC$5:$AC$254,0))&amp;"",""),IFERROR(INDEX(Fields!$B$5:$B$604,MATCH(19-COUNT(Tables!$AC$5:$AC$254),Fields!$V$5:$V$604,0))&amp;"",""))</f>
        <v/>
      </c>
      <c r="D345" s="20" t="str">
        <f aca="false">IF(19&lt;=COUNT(Tables!$AC$5:$AC$254),IFERROR(INDEX(Tables!$K$5:$K$254,MATCH(19,Tables!$AC$5:$AC$254,0))&amp;"",""),IFERROR(INDEX(Fields!$J$5:$J$604,MATCH(19-COUNT(Tables!$AC$5:$AC$254),Fields!$V$5:$V$604,0))&amp;"",""))</f>
        <v/>
      </c>
      <c r="E345" s="20" t="str">
        <f aca="false">IF(19&lt;=COUNT(Tables!$AC$5:$AC$254),IFERROR(INDEX(Tables!$L$5:$L$254,MATCH(19,Tables!$AC$5:$AC$254,0))&amp;"",""),IFERROR(INDEX(Fields!$K$5:$K$604,MATCH(19-COUNT(Tables!$AC$5:$AC$254),Fields!$V$5:$V$604,0))&amp;"",""))</f>
        <v/>
      </c>
      <c r="F345" s="20" t="str">
        <f aca="false">IF(19&lt;=COUNT(Tables!$AC$5:$AC$254),IFERROR(INDEX(Tables!$E$5:$E$254,MATCH(19,Tables!$AC$5:$AC$254,0))&amp;"",""),IFERROR(INDEX(Fields!$H$5:$H$604,MATCH(19-COUNT(Tables!$AC$5:$AC$254),Fields!$V$5:$V$604,0))&amp;"",""))</f>
        <v/>
      </c>
    </row>
    <row r="346" customFormat="false" ht="15" hidden="false" customHeight="false" outlineLevel="0" collapsed="false">
      <c r="A346" s="20" t="str">
        <f aca="false">IF(20&lt;=COUNT(Tables!$AC$5:$AC$254),IF(IFERROR(INDEX(Tables!$A$5:$A$254,MATCH(20,Tables!$AC$5:$AC$254,0))&amp;"","")="","","Table"),IF(IFERROR(INDEX(Fields!$A$5:$A$604,MATCH(20-COUNT(Tables!$AC$5:$AC$254),Fields!$V$5:$V$604,0))&amp;"","")="","","Field"))</f>
        <v/>
      </c>
      <c r="B346" s="20" t="str">
        <f aca="false">IF(20&lt;=COUNT(Tables!$AC$5:$AC$254),IFERROR(INDEX(Tables!$A$5:$A$254,MATCH(20,Tables!$AC$5:$AC$254,0))&amp;"",""),IFERROR(INDEX(Fields!$A$5:$A$604,MATCH(20-COUNT(Tables!$AC$5:$AC$254),Fields!$V$5:$V$604,0))&amp;"",""))</f>
        <v/>
      </c>
      <c r="C346" s="20" t="str">
        <f aca="false">IF(20&lt;=COUNT(Tables!$AC$5:$AC$254),IFERROR(INDEX(Tables!$B$5:$B$254,MATCH(20,Tables!$AC$5:$AC$254,0))&amp;"",""),IFERROR(INDEX(Fields!$B$5:$B$604,MATCH(20-COUNT(Tables!$AC$5:$AC$254),Fields!$V$5:$V$604,0))&amp;"",""))</f>
        <v/>
      </c>
      <c r="D346" s="20" t="str">
        <f aca="false">IF(20&lt;=COUNT(Tables!$AC$5:$AC$254),IFERROR(INDEX(Tables!$K$5:$K$254,MATCH(20,Tables!$AC$5:$AC$254,0))&amp;"",""),IFERROR(INDEX(Fields!$J$5:$J$604,MATCH(20-COUNT(Tables!$AC$5:$AC$254),Fields!$V$5:$V$604,0))&amp;"",""))</f>
        <v/>
      </c>
      <c r="E346" s="20" t="str">
        <f aca="false">IF(20&lt;=COUNT(Tables!$AC$5:$AC$254),IFERROR(INDEX(Tables!$L$5:$L$254,MATCH(20,Tables!$AC$5:$AC$254,0))&amp;"",""),IFERROR(INDEX(Fields!$K$5:$K$604,MATCH(20-COUNT(Tables!$AC$5:$AC$254),Fields!$V$5:$V$604,0))&amp;"",""))</f>
        <v/>
      </c>
      <c r="F346" s="20" t="str">
        <f aca="false">IF(20&lt;=COUNT(Tables!$AC$5:$AC$254),IFERROR(INDEX(Tables!$E$5:$E$254,MATCH(20,Tables!$AC$5:$AC$254,0))&amp;"",""),IFERROR(INDEX(Fields!$H$5:$H$604,MATCH(20-COUNT(Tables!$AC$5:$AC$254),Fields!$V$5:$V$604,0))&amp;"",""))</f>
        <v/>
      </c>
    </row>
    <row r="347" customFormat="false" ht="15" hidden="false" customHeight="false" outlineLevel="0" collapsed="false">
      <c r="A347" s="20" t="str">
        <f aca="false">IF(21&lt;=COUNT(Tables!$AC$5:$AC$254),IF(IFERROR(INDEX(Tables!$A$5:$A$254,MATCH(21,Tables!$AC$5:$AC$254,0))&amp;"","")="","","Table"),IF(IFERROR(INDEX(Fields!$A$5:$A$604,MATCH(21-COUNT(Tables!$AC$5:$AC$254),Fields!$V$5:$V$604,0))&amp;"","")="","","Field"))</f>
        <v/>
      </c>
      <c r="B347" s="20" t="str">
        <f aca="false">IF(21&lt;=COUNT(Tables!$AC$5:$AC$254),IFERROR(INDEX(Tables!$A$5:$A$254,MATCH(21,Tables!$AC$5:$AC$254,0))&amp;"",""),IFERROR(INDEX(Fields!$A$5:$A$604,MATCH(21-COUNT(Tables!$AC$5:$AC$254),Fields!$V$5:$V$604,0))&amp;"",""))</f>
        <v/>
      </c>
      <c r="C347" s="20" t="str">
        <f aca="false">IF(21&lt;=COUNT(Tables!$AC$5:$AC$254),IFERROR(INDEX(Tables!$B$5:$B$254,MATCH(21,Tables!$AC$5:$AC$254,0))&amp;"",""),IFERROR(INDEX(Fields!$B$5:$B$604,MATCH(21-COUNT(Tables!$AC$5:$AC$254),Fields!$V$5:$V$604,0))&amp;"",""))</f>
        <v/>
      </c>
      <c r="D347" s="20" t="str">
        <f aca="false">IF(21&lt;=COUNT(Tables!$AC$5:$AC$254),IFERROR(INDEX(Tables!$K$5:$K$254,MATCH(21,Tables!$AC$5:$AC$254,0))&amp;"",""),IFERROR(INDEX(Fields!$J$5:$J$604,MATCH(21-COUNT(Tables!$AC$5:$AC$254),Fields!$V$5:$V$604,0))&amp;"",""))</f>
        <v/>
      </c>
      <c r="E347" s="20" t="str">
        <f aca="false">IF(21&lt;=COUNT(Tables!$AC$5:$AC$254),IFERROR(INDEX(Tables!$L$5:$L$254,MATCH(21,Tables!$AC$5:$AC$254,0))&amp;"",""),IFERROR(INDEX(Fields!$K$5:$K$604,MATCH(21-COUNT(Tables!$AC$5:$AC$254),Fields!$V$5:$V$604,0))&amp;"",""))</f>
        <v/>
      </c>
      <c r="F347" s="20" t="str">
        <f aca="false">IF(21&lt;=COUNT(Tables!$AC$5:$AC$254),IFERROR(INDEX(Tables!$E$5:$E$254,MATCH(21,Tables!$AC$5:$AC$254,0))&amp;"",""),IFERROR(INDEX(Fields!$H$5:$H$604,MATCH(21-COUNT(Tables!$AC$5:$AC$254),Fields!$V$5:$V$604,0))&amp;"",""))</f>
        <v/>
      </c>
    </row>
    <row r="348" customFormat="false" ht="15" hidden="false" customHeight="false" outlineLevel="0" collapsed="false">
      <c r="A348" s="20" t="str">
        <f aca="false">IF(22&lt;=COUNT(Tables!$AC$5:$AC$254),IF(IFERROR(INDEX(Tables!$A$5:$A$254,MATCH(22,Tables!$AC$5:$AC$254,0))&amp;"","")="","","Table"),IF(IFERROR(INDEX(Fields!$A$5:$A$604,MATCH(22-COUNT(Tables!$AC$5:$AC$254),Fields!$V$5:$V$604,0))&amp;"","")="","","Field"))</f>
        <v/>
      </c>
      <c r="B348" s="20" t="str">
        <f aca="false">IF(22&lt;=COUNT(Tables!$AC$5:$AC$254),IFERROR(INDEX(Tables!$A$5:$A$254,MATCH(22,Tables!$AC$5:$AC$254,0))&amp;"",""),IFERROR(INDEX(Fields!$A$5:$A$604,MATCH(22-COUNT(Tables!$AC$5:$AC$254),Fields!$V$5:$V$604,0))&amp;"",""))</f>
        <v/>
      </c>
      <c r="C348" s="20" t="str">
        <f aca="false">IF(22&lt;=COUNT(Tables!$AC$5:$AC$254),IFERROR(INDEX(Tables!$B$5:$B$254,MATCH(22,Tables!$AC$5:$AC$254,0))&amp;"",""),IFERROR(INDEX(Fields!$B$5:$B$604,MATCH(22-COUNT(Tables!$AC$5:$AC$254),Fields!$V$5:$V$604,0))&amp;"",""))</f>
        <v/>
      </c>
      <c r="D348" s="20" t="str">
        <f aca="false">IF(22&lt;=COUNT(Tables!$AC$5:$AC$254),IFERROR(INDEX(Tables!$K$5:$K$254,MATCH(22,Tables!$AC$5:$AC$254,0))&amp;"",""),IFERROR(INDEX(Fields!$J$5:$J$604,MATCH(22-COUNT(Tables!$AC$5:$AC$254),Fields!$V$5:$V$604,0))&amp;"",""))</f>
        <v/>
      </c>
      <c r="E348" s="20" t="str">
        <f aca="false">IF(22&lt;=COUNT(Tables!$AC$5:$AC$254),IFERROR(INDEX(Tables!$L$5:$L$254,MATCH(22,Tables!$AC$5:$AC$254,0))&amp;"",""),IFERROR(INDEX(Fields!$K$5:$K$604,MATCH(22-COUNT(Tables!$AC$5:$AC$254),Fields!$V$5:$V$604,0))&amp;"",""))</f>
        <v/>
      </c>
      <c r="F348" s="20" t="str">
        <f aca="false">IF(22&lt;=COUNT(Tables!$AC$5:$AC$254),IFERROR(INDEX(Tables!$E$5:$E$254,MATCH(22,Tables!$AC$5:$AC$254,0))&amp;"",""),IFERROR(INDEX(Fields!$H$5:$H$604,MATCH(22-COUNT(Tables!$AC$5:$AC$254),Fields!$V$5:$V$604,0))&amp;"",""))</f>
        <v/>
      </c>
    </row>
    <row r="349" customFormat="false" ht="15" hidden="false" customHeight="false" outlineLevel="0" collapsed="false">
      <c r="A349" s="20" t="str">
        <f aca="false">IF(23&lt;=COUNT(Tables!$AC$5:$AC$254),IF(IFERROR(INDEX(Tables!$A$5:$A$254,MATCH(23,Tables!$AC$5:$AC$254,0))&amp;"","")="","","Table"),IF(IFERROR(INDEX(Fields!$A$5:$A$604,MATCH(23-COUNT(Tables!$AC$5:$AC$254),Fields!$V$5:$V$604,0))&amp;"","")="","","Field"))</f>
        <v/>
      </c>
      <c r="B349" s="20" t="str">
        <f aca="false">IF(23&lt;=COUNT(Tables!$AC$5:$AC$254),IFERROR(INDEX(Tables!$A$5:$A$254,MATCH(23,Tables!$AC$5:$AC$254,0))&amp;"",""),IFERROR(INDEX(Fields!$A$5:$A$604,MATCH(23-COUNT(Tables!$AC$5:$AC$254),Fields!$V$5:$V$604,0))&amp;"",""))</f>
        <v/>
      </c>
      <c r="C349" s="20" t="str">
        <f aca="false">IF(23&lt;=COUNT(Tables!$AC$5:$AC$254),IFERROR(INDEX(Tables!$B$5:$B$254,MATCH(23,Tables!$AC$5:$AC$254,0))&amp;"",""),IFERROR(INDEX(Fields!$B$5:$B$604,MATCH(23-COUNT(Tables!$AC$5:$AC$254),Fields!$V$5:$V$604,0))&amp;"",""))</f>
        <v/>
      </c>
      <c r="D349" s="20" t="str">
        <f aca="false">IF(23&lt;=COUNT(Tables!$AC$5:$AC$254),IFERROR(INDEX(Tables!$K$5:$K$254,MATCH(23,Tables!$AC$5:$AC$254,0))&amp;"",""),IFERROR(INDEX(Fields!$J$5:$J$604,MATCH(23-COUNT(Tables!$AC$5:$AC$254),Fields!$V$5:$V$604,0))&amp;"",""))</f>
        <v/>
      </c>
      <c r="E349" s="20" t="str">
        <f aca="false">IF(23&lt;=COUNT(Tables!$AC$5:$AC$254),IFERROR(INDEX(Tables!$L$5:$L$254,MATCH(23,Tables!$AC$5:$AC$254,0))&amp;"",""),IFERROR(INDEX(Fields!$K$5:$K$604,MATCH(23-COUNT(Tables!$AC$5:$AC$254),Fields!$V$5:$V$604,0))&amp;"",""))</f>
        <v/>
      </c>
      <c r="F349" s="20" t="str">
        <f aca="false">IF(23&lt;=COUNT(Tables!$AC$5:$AC$254),IFERROR(INDEX(Tables!$E$5:$E$254,MATCH(23,Tables!$AC$5:$AC$254,0))&amp;"",""),IFERROR(INDEX(Fields!$H$5:$H$604,MATCH(23-COUNT(Tables!$AC$5:$AC$254),Fields!$V$5:$V$604,0))&amp;"",""))</f>
        <v/>
      </c>
    </row>
    <row r="350" customFormat="false" ht="15" hidden="false" customHeight="false" outlineLevel="0" collapsed="false">
      <c r="A350" s="20" t="str">
        <f aca="false">IF(24&lt;=COUNT(Tables!$AC$5:$AC$254),IF(IFERROR(INDEX(Tables!$A$5:$A$254,MATCH(24,Tables!$AC$5:$AC$254,0))&amp;"","")="","","Table"),IF(IFERROR(INDEX(Fields!$A$5:$A$604,MATCH(24-COUNT(Tables!$AC$5:$AC$254),Fields!$V$5:$V$604,0))&amp;"","")="","","Field"))</f>
        <v/>
      </c>
      <c r="B350" s="20" t="str">
        <f aca="false">IF(24&lt;=COUNT(Tables!$AC$5:$AC$254),IFERROR(INDEX(Tables!$A$5:$A$254,MATCH(24,Tables!$AC$5:$AC$254,0))&amp;"",""),IFERROR(INDEX(Fields!$A$5:$A$604,MATCH(24-COUNT(Tables!$AC$5:$AC$254),Fields!$V$5:$V$604,0))&amp;"",""))</f>
        <v/>
      </c>
      <c r="C350" s="20" t="str">
        <f aca="false">IF(24&lt;=COUNT(Tables!$AC$5:$AC$254),IFERROR(INDEX(Tables!$B$5:$B$254,MATCH(24,Tables!$AC$5:$AC$254,0))&amp;"",""),IFERROR(INDEX(Fields!$B$5:$B$604,MATCH(24-COUNT(Tables!$AC$5:$AC$254),Fields!$V$5:$V$604,0))&amp;"",""))</f>
        <v/>
      </c>
      <c r="D350" s="20" t="str">
        <f aca="false">IF(24&lt;=COUNT(Tables!$AC$5:$AC$254),IFERROR(INDEX(Tables!$K$5:$K$254,MATCH(24,Tables!$AC$5:$AC$254,0))&amp;"",""),IFERROR(INDEX(Fields!$J$5:$J$604,MATCH(24-COUNT(Tables!$AC$5:$AC$254),Fields!$V$5:$V$604,0))&amp;"",""))</f>
        <v/>
      </c>
      <c r="E350" s="20" t="str">
        <f aca="false">IF(24&lt;=COUNT(Tables!$AC$5:$AC$254),IFERROR(INDEX(Tables!$L$5:$L$254,MATCH(24,Tables!$AC$5:$AC$254,0))&amp;"",""),IFERROR(INDEX(Fields!$K$5:$K$604,MATCH(24-COUNT(Tables!$AC$5:$AC$254),Fields!$V$5:$V$604,0))&amp;"",""))</f>
        <v/>
      </c>
      <c r="F350" s="20" t="str">
        <f aca="false">IF(24&lt;=COUNT(Tables!$AC$5:$AC$254),IFERROR(INDEX(Tables!$E$5:$E$254,MATCH(24,Tables!$AC$5:$AC$254,0))&amp;"",""),IFERROR(INDEX(Fields!$H$5:$H$604,MATCH(24-COUNT(Tables!$AC$5:$AC$254),Fields!$V$5:$V$604,0))&amp;"",""))</f>
        <v/>
      </c>
    </row>
    <row r="351" customFormat="false" ht="15" hidden="false" customHeight="false" outlineLevel="0" collapsed="false">
      <c r="A351" s="20" t="str">
        <f aca="false">IF(25&lt;=COUNT(Tables!$AC$5:$AC$254),IF(IFERROR(INDEX(Tables!$A$5:$A$254,MATCH(25,Tables!$AC$5:$AC$254,0))&amp;"","")="","","Table"),IF(IFERROR(INDEX(Fields!$A$5:$A$604,MATCH(25-COUNT(Tables!$AC$5:$AC$254),Fields!$V$5:$V$604,0))&amp;"","")="","","Field"))</f>
        <v/>
      </c>
      <c r="B351" s="20" t="str">
        <f aca="false">IF(25&lt;=COUNT(Tables!$AC$5:$AC$254),IFERROR(INDEX(Tables!$A$5:$A$254,MATCH(25,Tables!$AC$5:$AC$254,0))&amp;"",""),IFERROR(INDEX(Fields!$A$5:$A$604,MATCH(25-COUNT(Tables!$AC$5:$AC$254),Fields!$V$5:$V$604,0))&amp;"",""))</f>
        <v/>
      </c>
      <c r="C351" s="20" t="str">
        <f aca="false">IF(25&lt;=COUNT(Tables!$AC$5:$AC$254),IFERROR(INDEX(Tables!$B$5:$B$254,MATCH(25,Tables!$AC$5:$AC$254,0))&amp;"",""),IFERROR(INDEX(Fields!$B$5:$B$604,MATCH(25-COUNT(Tables!$AC$5:$AC$254),Fields!$V$5:$V$604,0))&amp;"",""))</f>
        <v/>
      </c>
      <c r="D351" s="20" t="str">
        <f aca="false">IF(25&lt;=COUNT(Tables!$AC$5:$AC$254),IFERROR(INDEX(Tables!$K$5:$K$254,MATCH(25,Tables!$AC$5:$AC$254,0))&amp;"",""),IFERROR(INDEX(Fields!$J$5:$J$604,MATCH(25-COUNT(Tables!$AC$5:$AC$254),Fields!$V$5:$V$604,0))&amp;"",""))</f>
        <v/>
      </c>
      <c r="E351" s="20" t="str">
        <f aca="false">IF(25&lt;=COUNT(Tables!$AC$5:$AC$254),IFERROR(INDEX(Tables!$L$5:$L$254,MATCH(25,Tables!$AC$5:$AC$254,0))&amp;"",""),IFERROR(INDEX(Fields!$K$5:$K$604,MATCH(25-COUNT(Tables!$AC$5:$AC$254),Fields!$V$5:$V$604,0))&amp;"",""))</f>
        <v/>
      </c>
      <c r="F351" s="20" t="str">
        <f aca="false">IF(25&lt;=COUNT(Tables!$AC$5:$AC$254),IFERROR(INDEX(Tables!$E$5:$E$254,MATCH(25,Tables!$AC$5:$AC$254,0))&amp;"",""),IFERROR(INDEX(Fields!$H$5:$H$604,MATCH(25-COUNT(Tables!$AC$5:$AC$254),Fields!$V$5:$V$604,0))&amp;"",""))</f>
        <v/>
      </c>
    </row>
    <row r="352" customFormat="false" ht="15" hidden="false" customHeight="false" outlineLevel="0" collapsed="false">
      <c r="A352" s="20" t="str">
        <f aca="false">IF(26&lt;=COUNT(Tables!$AC$5:$AC$254),IF(IFERROR(INDEX(Tables!$A$5:$A$254,MATCH(26,Tables!$AC$5:$AC$254,0))&amp;"","")="","","Table"),IF(IFERROR(INDEX(Fields!$A$5:$A$604,MATCH(26-COUNT(Tables!$AC$5:$AC$254),Fields!$V$5:$V$604,0))&amp;"","")="","","Field"))</f>
        <v/>
      </c>
      <c r="B352" s="20" t="str">
        <f aca="false">IF(26&lt;=COUNT(Tables!$AC$5:$AC$254),IFERROR(INDEX(Tables!$A$5:$A$254,MATCH(26,Tables!$AC$5:$AC$254,0))&amp;"",""),IFERROR(INDEX(Fields!$A$5:$A$604,MATCH(26-COUNT(Tables!$AC$5:$AC$254),Fields!$V$5:$V$604,0))&amp;"",""))</f>
        <v/>
      </c>
      <c r="C352" s="20" t="str">
        <f aca="false">IF(26&lt;=COUNT(Tables!$AC$5:$AC$254),IFERROR(INDEX(Tables!$B$5:$B$254,MATCH(26,Tables!$AC$5:$AC$254,0))&amp;"",""),IFERROR(INDEX(Fields!$B$5:$B$604,MATCH(26-COUNT(Tables!$AC$5:$AC$254),Fields!$V$5:$V$604,0))&amp;"",""))</f>
        <v/>
      </c>
      <c r="D352" s="20" t="str">
        <f aca="false">IF(26&lt;=COUNT(Tables!$AC$5:$AC$254),IFERROR(INDEX(Tables!$K$5:$K$254,MATCH(26,Tables!$AC$5:$AC$254,0))&amp;"",""),IFERROR(INDEX(Fields!$J$5:$J$604,MATCH(26-COUNT(Tables!$AC$5:$AC$254),Fields!$V$5:$V$604,0))&amp;"",""))</f>
        <v/>
      </c>
      <c r="E352" s="20" t="str">
        <f aca="false">IF(26&lt;=COUNT(Tables!$AC$5:$AC$254),IFERROR(INDEX(Tables!$L$5:$L$254,MATCH(26,Tables!$AC$5:$AC$254,0))&amp;"",""),IFERROR(INDEX(Fields!$K$5:$K$604,MATCH(26-COUNT(Tables!$AC$5:$AC$254),Fields!$V$5:$V$604,0))&amp;"",""))</f>
        <v/>
      </c>
      <c r="F352" s="20" t="str">
        <f aca="false">IF(26&lt;=COUNT(Tables!$AC$5:$AC$254),IFERROR(INDEX(Tables!$E$5:$E$254,MATCH(26,Tables!$AC$5:$AC$254,0))&amp;"",""),IFERROR(INDEX(Fields!$H$5:$H$604,MATCH(26-COUNT(Tables!$AC$5:$AC$254),Fields!$V$5:$V$604,0))&amp;"",""))</f>
        <v/>
      </c>
    </row>
    <row r="353" customFormat="false" ht="15" hidden="false" customHeight="false" outlineLevel="0" collapsed="false">
      <c r="A353" s="20" t="str">
        <f aca="false">IF(27&lt;=COUNT(Tables!$AC$5:$AC$254),IF(IFERROR(INDEX(Tables!$A$5:$A$254,MATCH(27,Tables!$AC$5:$AC$254,0))&amp;"","")="","","Table"),IF(IFERROR(INDEX(Fields!$A$5:$A$604,MATCH(27-COUNT(Tables!$AC$5:$AC$254),Fields!$V$5:$V$604,0))&amp;"","")="","","Field"))</f>
        <v/>
      </c>
      <c r="B353" s="20" t="str">
        <f aca="false">IF(27&lt;=COUNT(Tables!$AC$5:$AC$254),IFERROR(INDEX(Tables!$A$5:$A$254,MATCH(27,Tables!$AC$5:$AC$254,0))&amp;"",""),IFERROR(INDEX(Fields!$A$5:$A$604,MATCH(27-COUNT(Tables!$AC$5:$AC$254),Fields!$V$5:$V$604,0))&amp;"",""))</f>
        <v/>
      </c>
      <c r="C353" s="20" t="str">
        <f aca="false">IF(27&lt;=COUNT(Tables!$AC$5:$AC$254),IFERROR(INDEX(Tables!$B$5:$B$254,MATCH(27,Tables!$AC$5:$AC$254,0))&amp;"",""),IFERROR(INDEX(Fields!$B$5:$B$604,MATCH(27-COUNT(Tables!$AC$5:$AC$254),Fields!$V$5:$V$604,0))&amp;"",""))</f>
        <v/>
      </c>
      <c r="D353" s="20" t="str">
        <f aca="false">IF(27&lt;=COUNT(Tables!$AC$5:$AC$254),IFERROR(INDEX(Tables!$K$5:$K$254,MATCH(27,Tables!$AC$5:$AC$254,0))&amp;"",""),IFERROR(INDEX(Fields!$J$5:$J$604,MATCH(27-COUNT(Tables!$AC$5:$AC$254),Fields!$V$5:$V$604,0))&amp;"",""))</f>
        <v/>
      </c>
      <c r="E353" s="20" t="str">
        <f aca="false">IF(27&lt;=COUNT(Tables!$AC$5:$AC$254),IFERROR(INDEX(Tables!$L$5:$L$254,MATCH(27,Tables!$AC$5:$AC$254,0))&amp;"",""),IFERROR(INDEX(Fields!$K$5:$K$604,MATCH(27-COUNT(Tables!$AC$5:$AC$254),Fields!$V$5:$V$604,0))&amp;"",""))</f>
        <v/>
      </c>
      <c r="F353" s="20" t="str">
        <f aca="false">IF(27&lt;=COUNT(Tables!$AC$5:$AC$254),IFERROR(INDEX(Tables!$E$5:$E$254,MATCH(27,Tables!$AC$5:$AC$254,0))&amp;"",""),IFERROR(INDEX(Fields!$H$5:$H$604,MATCH(27-COUNT(Tables!$AC$5:$AC$254),Fields!$V$5:$V$604,0))&amp;"",""))</f>
        <v/>
      </c>
    </row>
    <row r="354" customFormat="false" ht="15" hidden="false" customHeight="false" outlineLevel="0" collapsed="false">
      <c r="A354" s="20" t="str">
        <f aca="false">IF(28&lt;=COUNT(Tables!$AC$5:$AC$254),IF(IFERROR(INDEX(Tables!$A$5:$A$254,MATCH(28,Tables!$AC$5:$AC$254,0))&amp;"","")="","","Table"),IF(IFERROR(INDEX(Fields!$A$5:$A$604,MATCH(28-COUNT(Tables!$AC$5:$AC$254),Fields!$V$5:$V$604,0))&amp;"","")="","","Field"))</f>
        <v/>
      </c>
      <c r="B354" s="20" t="str">
        <f aca="false">IF(28&lt;=COUNT(Tables!$AC$5:$AC$254),IFERROR(INDEX(Tables!$A$5:$A$254,MATCH(28,Tables!$AC$5:$AC$254,0))&amp;"",""),IFERROR(INDEX(Fields!$A$5:$A$604,MATCH(28-COUNT(Tables!$AC$5:$AC$254),Fields!$V$5:$V$604,0))&amp;"",""))</f>
        <v/>
      </c>
      <c r="C354" s="20" t="str">
        <f aca="false">IF(28&lt;=COUNT(Tables!$AC$5:$AC$254),IFERROR(INDEX(Tables!$B$5:$B$254,MATCH(28,Tables!$AC$5:$AC$254,0))&amp;"",""),IFERROR(INDEX(Fields!$B$5:$B$604,MATCH(28-COUNT(Tables!$AC$5:$AC$254),Fields!$V$5:$V$604,0))&amp;"",""))</f>
        <v/>
      </c>
      <c r="D354" s="20" t="str">
        <f aca="false">IF(28&lt;=COUNT(Tables!$AC$5:$AC$254),IFERROR(INDEX(Tables!$K$5:$K$254,MATCH(28,Tables!$AC$5:$AC$254,0))&amp;"",""),IFERROR(INDEX(Fields!$J$5:$J$604,MATCH(28-COUNT(Tables!$AC$5:$AC$254),Fields!$V$5:$V$604,0))&amp;"",""))</f>
        <v/>
      </c>
      <c r="E354" s="20" t="str">
        <f aca="false">IF(28&lt;=COUNT(Tables!$AC$5:$AC$254),IFERROR(INDEX(Tables!$L$5:$L$254,MATCH(28,Tables!$AC$5:$AC$254,0))&amp;"",""),IFERROR(INDEX(Fields!$K$5:$K$604,MATCH(28-COUNT(Tables!$AC$5:$AC$254),Fields!$V$5:$V$604,0))&amp;"",""))</f>
        <v/>
      </c>
      <c r="F354" s="20" t="str">
        <f aca="false">IF(28&lt;=COUNT(Tables!$AC$5:$AC$254),IFERROR(INDEX(Tables!$E$5:$E$254,MATCH(28,Tables!$AC$5:$AC$254,0))&amp;"",""),IFERROR(INDEX(Fields!$H$5:$H$604,MATCH(28-COUNT(Tables!$AC$5:$AC$254),Fields!$V$5:$V$604,0))&amp;"",""))</f>
        <v/>
      </c>
    </row>
    <row r="355" customFormat="false" ht="15" hidden="false" customHeight="false" outlineLevel="0" collapsed="false">
      <c r="A355" s="20" t="str">
        <f aca="false">IF(29&lt;=COUNT(Tables!$AC$5:$AC$254),IF(IFERROR(INDEX(Tables!$A$5:$A$254,MATCH(29,Tables!$AC$5:$AC$254,0))&amp;"","")="","","Table"),IF(IFERROR(INDEX(Fields!$A$5:$A$604,MATCH(29-COUNT(Tables!$AC$5:$AC$254),Fields!$V$5:$V$604,0))&amp;"","")="","","Field"))</f>
        <v/>
      </c>
      <c r="B355" s="20" t="str">
        <f aca="false">IF(29&lt;=COUNT(Tables!$AC$5:$AC$254),IFERROR(INDEX(Tables!$A$5:$A$254,MATCH(29,Tables!$AC$5:$AC$254,0))&amp;"",""),IFERROR(INDEX(Fields!$A$5:$A$604,MATCH(29-COUNT(Tables!$AC$5:$AC$254),Fields!$V$5:$V$604,0))&amp;"",""))</f>
        <v/>
      </c>
      <c r="C355" s="20" t="str">
        <f aca="false">IF(29&lt;=COUNT(Tables!$AC$5:$AC$254),IFERROR(INDEX(Tables!$B$5:$B$254,MATCH(29,Tables!$AC$5:$AC$254,0))&amp;"",""),IFERROR(INDEX(Fields!$B$5:$B$604,MATCH(29-COUNT(Tables!$AC$5:$AC$254),Fields!$V$5:$V$604,0))&amp;"",""))</f>
        <v/>
      </c>
      <c r="D355" s="20" t="str">
        <f aca="false">IF(29&lt;=COUNT(Tables!$AC$5:$AC$254),IFERROR(INDEX(Tables!$K$5:$K$254,MATCH(29,Tables!$AC$5:$AC$254,0))&amp;"",""),IFERROR(INDEX(Fields!$J$5:$J$604,MATCH(29-COUNT(Tables!$AC$5:$AC$254),Fields!$V$5:$V$604,0))&amp;"",""))</f>
        <v/>
      </c>
      <c r="E355" s="20" t="str">
        <f aca="false">IF(29&lt;=COUNT(Tables!$AC$5:$AC$254),IFERROR(INDEX(Tables!$L$5:$L$254,MATCH(29,Tables!$AC$5:$AC$254,0))&amp;"",""),IFERROR(INDEX(Fields!$K$5:$K$604,MATCH(29-COUNT(Tables!$AC$5:$AC$254),Fields!$V$5:$V$604,0))&amp;"",""))</f>
        <v/>
      </c>
      <c r="F355" s="20" t="str">
        <f aca="false">IF(29&lt;=COUNT(Tables!$AC$5:$AC$254),IFERROR(INDEX(Tables!$E$5:$E$254,MATCH(29,Tables!$AC$5:$AC$254,0))&amp;"",""),IFERROR(INDEX(Fields!$H$5:$H$604,MATCH(29-COUNT(Tables!$AC$5:$AC$254),Fields!$V$5:$V$604,0))&amp;"",""))</f>
        <v/>
      </c>
    </row>
    <row r="356" customFormat="false" ht="15" hidden="false" customHeight="false" outlineLevel="0" collapsed="false">
      <c r="A356" s="20" t="str">
        <f aca="false">IF(30&lt;=COUNT(Tables!$AC$5:$AC$254),IF(IFERROR(INDEX(Tables!$A$5:$A$254,MATCH(30,Tables!$AC$5:$AC$254,0))&amp;"","")="","","Table"),IF(IFERROR(INDEX(Fields!$A$5:$A$604,MATCH(30-COUNT(Tables!$AC$5:$AC$254),Fields!$V$5:$V$604,0))&amp;"","")="","","Field"))</f>
        <v/>
      </c>
      <c r="B356" s="20" t="str">
        <f aca="false">IF(30&lt;=COUNT(Tables!$AC$5:$AC$254),IFERROR(INDEX(Tables!$A$5:$A$254,MATCH(30,Tables!$AC$5:$AC$254,0))&amp;"",""),IFERROR(INDEX(Fields!$A$5:$A$604,MATCH(30-COUNT(Tables!$AC$5:$AC$254),Fields!$V$5:$V$604,0))&amp;"",""))</f>
        <v/>
      </c>
      <c r="C356" s="20" t="str">
        <f aca="false">IF(30&lt;=COUNT(Tables!$AC$5:$AC$254),IFERROR(INDEX(Tables!$B$5:$B$254,MATCH(30,Tables!$AC$5:$AC$254,0))&amp;"",""),IFERROR(INDEX(Fields!$B$5:$B$604,MATCH(30-COUNT(Tables!$AC$5:$AC$254),Fields!$V$5:$V$604,0))&amp;"",""))</f>
        <v/>
      </c>
      <c r="D356" s="20" t="str">
        <f aca="false">IF(30&lt;=COUNT(Tables!$AC$5:$AC$254),IFERROR(INDEX(Tables!$K$5:$K$254,MATCH(30,Tables!$AC$5:$AC$254,0))&amp;"",""),IFERROR(INDEX(Fields!$J$5:$J$604,MATCH(30-COUNT(Tables!$AC$5:$AC$254),Fields!$V$5:$V$604,0))&amp;"",""))</f>
        <v/>
      </c>
      <c r="E356" s="20" t="str">
        <f aca="false">IF(30&lt;=COUNT(Tables!$AC$5:$AC$254),IFERROR(INDEX(Tables!$L$5:$L$254,MATCH(30,Tables!$AC$5:$AC$254,0))&amp;"",""),IFERROR(INDEX(Fields!$K$5:$K$604,MATCH(30-COUNT(Tables!$AC$5:$AC$254),Fields!$V$5:$V$604,0))&amp;"",""))</f>
        <v/>
      </c>
      <c r="F356" s="20" t="str">
        <f aca="false">IF(30&lt;=COUNT(Tables!$AC$5:$AC$254),IFERROR(INDEX(Tables!$E$5:$E$254,MATCH(30,Tables!$AC$5:$AC$254,0))&amp;"",""),IFERROR(INDEX(Fields!$H$5:$H$604,MATCH(30-COUNT(Tables!$AC$5:$AC$254),Fields!$V$5:$V$604,0))&amp;"",""))</f>
        <v/>
      </c>
    </row>
    <row r="357" customFormat="false" ht="15" hidden="false" customHeight="false" outlineLevel="0" collapsed="false">
      <c r="A357" s="20" t="str">
        <f aca="false">IF(31&lt;=COUNT(Tables!$AC$5:$AC$254),IF(IFERROR(INDEX(Tables!$A$5:$A$254,MATCH(31,Tables!$AC$5:$AC$254,0))&amp;"","")="","","Table"),IF(IFERROR(INDEX(Fields!$A$5:$A$604,MATCH(31-COUNT(Tables!$AC$5:$AC$254),Fields!$V$5:$V$604,0))&amp;"","")="","","Field"))</f>
        <v/>
      </c>
      <c r="B357" s="20" t="str">
        <f aca="false">IF(31&lt;=COUNT(Tables!$AC$5:$AC$254),IFERROR(INDEX(Tables!$A$5:$A$254,MATCH(31,Tables!$AC$5:$AC$254,0))&amp;"",""),IFERROR(INDEX(Fields!$A$5:$A$604,MATCH(31-COUNT(Tables!$AC$5:$AC$254),Fields!$V$5:$V$604,0))&amp;"",""))</f>
        <v/>
      </c>
      <c r="C357" s="20" t="str">
        <f aca="false">IF(31&lt;=COUNT(Tables!$AC$5:$AC$254),IFERROR(INDEX(Tables!$B$5:$B$254,MATCH(31,Tables!$AC$5:$AC$254,0))&amp;"",""),IFERROR(INDEX(Fields!$B$5:$B$604,MATCH(31-COUNT(Tables!$AC$5:$AC$254),Fields!$V$5:$V$604,0))&amp;"",""))</f>
        <v/>
      </c>
      <c r="D357" s="20" t="str">
        <f aca="false">IF(31&lt;=COUNT(Tables!$AC$5:$AC$254),IFERROR(INDEX(Tables!$K$5:$K$254,MATCH(31,Tables!$AC$5:$AC$254,0))&amp;"",""),IFERROR(INDEX(Fields!$J$5:$J$604,MATCH(31-COUNT(Tables!$AC$5:$AC$254),Fields!$V$5:$V$604,0))&amp;"",""))</f>
        <v/>
      </c>
      <c r="E357" s="20" t="str">
        <f aca="false">IF(31&lt;=COUNT(Tables!$AC$5:$AC$254),IFERROR(INDEX(Tables!$L$5:$L$254,MATCH(31,Tables!$AC$5:$AC$254,0))&amp;"",""),IFERROR(INDEX(Fields!$K$5:$K$604,MATCH(31-COUNT(Tables!$AC$5:$AC$254),Fields!$V$5:$V$604,0))&amp;"",""))</f>
        <v/>
      </c>
      <c r="F357" s="20" t="str">
        <f aca="false">IF(31&lt;=COUNT(Tables!$AC$5:$AC$254),IFERROR(INDEX(Tables!$E$5:$E$254,MATCH(31,Tables!$AC$5:$AC$254,0))&amp;"",""),IFERROR(INDEX(Fields!$H$5:$H$604,MATCH(31-COUNT(Tables!$AC$5:$AC$254),Fields!$V$5:$V$604,0))&amp;"",""))</f>
        <v/>
      </c>
    </row>
    <row r="358" customFormat="false" ht="15" hidden="false" customHeight="false" outlineLevel="0" collapsed="false">
      <c r="A358" s="20" t="str">
        <f aca="false">IF(32&lt;=COUNT(Tables!$AC$5:$AC$254),IF(IFERROR(INDEX(Tables!$A$5:$A$254,MATCH(32,Tables!$AC$5:$AC$254,0))&amp;"","")="","","Table"),IF(IFERROR(INDEX(Fields!$A$5:$A$604,MATCH(32-COUNT(Tables!$AC$5:$AC$254),Fields!$V$5:$V$604,0))&amp;"","")="","","Field"))</f>
        <v/>
      </c>
      <c r="B358" s="20" t="str">
        <f aca="false">IF(32&lt;=COUNT(Tables!$AC$5:$AC$254),IFERROR(INDEX(Tables!$A$5:$A$254,MATCH(32,Tables!$AC$5:$AC$254,0))&amp;"",""),IFERROR(INDEX(Fields!$A$5:$A$604,MATCH(32-COUNT(Tables!$AC$5:$AC$254),Fields!$V$5:$V$604,0))&amp;"",""))</f>
        <v/>
      </c>
      <c r="C358" s="20" t="str">
        <f aca="false">IF(32&lt;=COUNT(Tables!$AC$5:$AC$254),IFERROR(INDEX(Tables!$B$5:$B$254,MATCH(32,Tables!$AC$5:$AC$254,0))&amp;"",""),IFERROR(INDEX(Fields!$B$5:$B$604,MATCH(32-COUNT(Tables!$AC$5:$AC$254),Fields!$V$5:$V$604,0))&amp;"",""))</f>
        <v/>
      </c>
      <c r="D358" s="20" t="str">
        <f aca="false">IF(32&lt;=COUNT(Tables!$AC$5:$AC$254),IFERROR(INDEX(Tables!$K$5:$K$254,MATCH(32,Tables!$AC$5:$AC$254,0))&amp;"",""),IFERROR(INDEX(Fields!$J$5:$J$604,MATCH(32-COUNT(Tables!$AC$5:$AC$254),Fields!$V$5:$V$604,0))&amp;"",""))</f>
        <v/>
      </c>
      <c r="E358" s="20" t="str">
        <f aca="false">IF(32&lt;=COUNT(Tables!$AC$5:$AC$254),IFERROR(INDEX(Tables!$L$5:$L$254,MATCH(32,Tables!$AC$5:$AC$254,0))&amp;"",""),IFERROR(INDEX(Fields!$K$5:$K$604,MATCH(32-COUNT(Tables!$AC$5:$AC$254),Fields!$V$5:$V$604,0))&amp;"",""))</f>
        <v/>
      </c>
      <c r="F358" s="20" t="str">
        <f aca="false">IF(32&lt;=COUNT(Tables!$AC$5:$AC$254),IFERROR(INDEX(Tables!$E$5:$E$254,MATCH(32,Tables!$AC$5:$AC$254,0))&amp;"",""),IFERROR(INDEX(Fields!$H$5:$H$604,MATCH(32-COUNT(Tables!$AC$5:$AC$254),Fields!$V$5:$V$604,0))&amp;"",""))</f>
        <v/>
      </c>
    </row>
    <row r="359" customFormat="false" ht="15" hidden="false" customHeight="false" outlineLevel="0" collapsed="false">
      <c r="A359" s="20" t="str">
        <f aca="false">IF(33&lt;=COUNT(Tables!$AC$5:$AC$254),IF(IFERROR(INDEX(Tables!$A$5:$A$254,MATCH(33,Tables!$AC$5:$AC$254,0))&amp;"","")="","","Table"),IF(IFERROR(INDEX(Fields!$A$5:$A$604,MATCH(33-COUNT(Tables!$AC$5:$AC$254),Fields!$V$5:$V$604,0))&amp;"","")="","","Field"))</f>
        <v/>
      </c>
      <c r="B359" s="20" t="str">
        <f aca="false">IF(33&lt;=COUNT(Tables!$AC$5:$AC$254),IFERROR(INDEX(Tables!$A$5:$A$254,MATCH(33,Tables!$AC$5:$AC$254,0))&amp;"",""),IFERROR(INDEX(Fields!$A$5:$A$604,MATCH(33-COUNT(Tables!$AC$5:$AC$254),Fields!$V$5:$V$604,0))&amp;"",""))</f>
        <v/>
      </c>
      <c r="C359" s="20" t="str">
        <f aca="false">IF(33&lt;=COUNT(Tables!$AC$5:$AC$254),IFERROR(INDEX(Tables!$B$5:$B$254,MATCH(33,Tables!$AC$5:$AC$254,0))&amp;"",""),IFERROR(INDEX(Fields!$B$5:$B$604,MATCH(33-COUNT(Tables!$AC$5:$AC$254),Fields!$V$5:$V$604,0))&amp;"",""))</f>
        <v/>
      </c>
      <c r="D359" s="20" t="str">
        <f aca="false">IF(33&lt;=COUNT(Tables!$AC$5:$AC$254),IFERROR(INDEX(Tables!$K$5:$K$254,MATCH(33,Tables!$AC$5:$AC$254,0))&amp;"",""),IFERROR(INDEX(Fields!$J$5:$J$604,MATCH(33-COUNT(Tables!$AC$5:$AC$254),Fields!$V$5:$V$604,0))&amp;"",""))</f>
        <v/>
      </c>
      <c r="E359" s="20" t="str">
        <f aca="false">IF(33&lt;=COUNT(Tables!$AC$5:$AC$254),IFERROR(INDEX(Tables!$L$5:$L$254,MATCH(33,Tables!$AC$5:$AC$254,0))&amp;"",""),IFERROR(INDEX(Fields!$K$5:$K$604,MATCH(33-COUNT(Tables!$AC$5:$AC$254),Fields!$V$5:$V$604,0))&amp;"",""))</f>
        <v/>
      </c>
      <c r="F359" s="20" t="str">
        <f aca="false">IF(33&lt;=COUNT(Tables!$AC$5:$AC$254),IFERROR(INDEX(Tables!$E$5:$E$254,MATCH(33,Tables!$AC$5:$AC$254,0))&amp;"",""),IFERROR(INDEX(Fields!$H$5:$H$604,MATCH(33-COUNT(Tables!$AC$5:$AC$254),Fields!$V$5:$V$604,0))&amp;"",""))</f>
        <v/>
      </c>
    </row>
    <row r="360" customFormat="false" ht="15" hidden="false" customHeight="false" outlineLevel="0" collapsed="false">
      <c r="A360" s="20" t="str">
        <f aca="false">IF(34&lt;=COUNT(Tables!$AC$5:$AC$254),IF(IFERROR(INDEX(Tables!$A$5:$A$254,MATCH(34,Tables!$AC$5:$AC$254,0))&amp;"","")="","","Table"),IF(IFERROR(INDEX(Fields!$A$5:$A$604,MATCH(34-COUNT(Tables!$AC$5:$AC$254),Fields!$V$5:$V$604,0))&amp;"","")="","","Field"))</f>
        <v/>
      </c>
      <c r="B360" s="20" t="str">
        <f aca="false">IF(34&lt;=COUNT(Tables!$AC$5:$AC$254),IFERROR(INDEX(Tables!$A$5:$A$254,MATCH(34,Tables!$AC$5:$AC$254,0))&amp;"",""),IFERROR(INDEX(Fields!$A$5:$A$604,MATCH(34-COUNT(Tables!$AC$5:$AC$254),Fields!$V$5:$V$604,0))&amp;"",""))</f>
        <v/>
      </c>
      <c r="C360" s="20" t="str">
        <f aca="false">IF(34&lt;=COUNT(Tables!$AC$5:$AC$254),IFERROR(INDEX(Tables!$B$5:$B$254,MATCH(34,Tables!$AC$5:$AC$254,0))&amp;"",""),IFERROR(INDEX(Fields!$B$5:$B$604,MATCH(34-COUNT(Tables!$AC$5:$AC$254),Fields!$V$5:$V$604,0))&amp;"",""))</f>
        <v/>
      </c>
      <c r="D360" s="20" t="str">
        <f aca="false">IF(34&lt;=COUNT(Tables!$AC$5:$AC$254),IFERROR(INDEX(Tables!$K$5:$K$254,MATCH(34,Tables!$AC$5:$AC$254,0))&amp;"",""),IFERROR(INDEX(Fields!$J$5:$J$604,MATCH(34-COUNT(Tables!$AC$5:$AC$254),Fields!$V$5:$V$604,0))&amp;"",""))</f>
        <v/>
      </c>
      <c r="E360" s="20" t="str">
        <f aca="false">IF(34&lt;=COUNT(Tables!$AC$5:$AC$254),IFERROR(INDEX(Tables!$L$5:$L$254,MATCH(34,Tables!$AC$5:$AC$254,0))&amp;"",""),IFERROR(INDEX(Fields!$K$5:$K$604,MATCH(34-COUNT(Tables!$AC$5:$AC$254),Fields!$V$5:$V$604,0))&amp;"",""))</f>
        <v/>
      </c>
      <c r="F360" s="20" t="str">
        <f aca="false">IF(34&lt;=COUNT(Tables!$AC$5:$AC$254),IFERROR(INDEX(Tables!$E$5:$E$254,MATCH(34,Tables!$AC$5:$AC$254,0))&amp;"",""),IFERROR(INDEX(Fields!$H$5:$H$604,MATCH(34-COUNT(Tables!$AC$5:$AC$254),Fields!$V$5:$V$604,0))&amp;"",""))</f>
        <v/>
      </c>
    </row>
    <row r="361" customFormat="false" ht="15" hidden="false" customHeight="false" outlineLevel="0" collapsed="false">
      <c r="A361" s="20" t="str">
        <f aca="false">IF(35&lt;=COUNT(Tables!$AC$5:$AC$254),IF(IFERROR(INDEX(Tables!$A$5:$A$254,MATCH(35,Tables!$AC$5:$AC$254,0))&amp;"","")="","","Table"),IF(IFERROR(INDEX(Fields!$A$5:$A$604,MATCH(35-COUNT(Tables!$AC$5:$AC$254),Fields!$V$5:$V$604,0))&amp;"","")="","","Field"))</f>
        <v/>
      </c>
      <c r="B361" s="20" t="str">
        <f aca="false">IF(35&lt;=COUNT(Tables!$AC$5:$AC$254),IFERROR(INDEX(Tables!$A$5:$A$254,MATCH(35,Tables!$AC$5:$AC$254,0))&amp;"",""),IFERROR(INDEX(Fields!$A$5:$A$604,MATCH(35-COUNT(Tables!$AC$5:$AC$254),Fields!$V$5:$V$604,0))&amp;"",""))</f>
        <v/>
      </c>
      <c r="C361" s="20" t="str">
        <f aca="false">IF(35&lt;=COUNT(Tables!$AC$5:$AC$254),IFERROR(INDEX(Tables!$B$5:$B$254,MATCH(35,Tables!$AC$5:$AC$254,0))&amp;"",""),IFERROR(INDEX(Fields!$B$5:$B$604,MATCH(35-COUNT(Tables!$AC$5:$AC$254),Fields!$V$5:$V$604,0))&amp;"",""))</f>
        <v/>
      </c>
      <c r="D361" s="20" t="str">
        <f aca="false">IF(35&lt;=COUNT(Tables!$AC$5:$AC$254),IFERROR(INDEX(Tables!$K$5:$K$254,MATCH(35,Tables!$AC$5:$AC$254,0))&amp;"",""),IFERROR(INDEX(Fields!$J$5:$J$604,MATCH(35-COUNT(Tables!$AC$5:$AC$254),Fields!$V$5:$V$604,0))&amp;"",""))</f>
        <v/>
      </c>
      <c r="E361" s="20" t="str">
        <f aca="false">IF(35&lt;=COUNT(Tables!$AC$5:$AC$254),IFERROR(INDEX(Tables!$L$5:$L$254,MATCH(35,Tables!$AC$5:$AC$254,0))&amp;"",""),IFERROR(INDEX(Fields!$K$5:$K$604,MATCH(35-COUNT(Tables!$AC$5:$AC$254),Fields!$V$5:$V$604,0))&amp;"",""))</f>
        <v/>
      </c>
      <c r="F361" s="20" t="str">
        <f aca="false">IF(35&lt;=COUNT(Tables!$AC$5:$AC$254),IFERROR(INDEX(Tables!$E$5:$E$254,MATCH(35,Tables!$AC$5:$AC$254,0))&amp;"",""),IFERROR(INDEX(Fields!$H$5:$H$604,MATCH(35-COUNT(Tables!$AC$5:$AC$254),Fields!$V$5:$V$604,0))&amp;"",""))</f>
        <v/>
      </c>
    </row>
    <row r="362" customFormat="false" ht="15" hidden="false" customHeight="false" outlineLevel="0" collapsed="false">
      <c r="A362" s="20" t="str">
        <f aca="false">IF(36&lt;=COUNT(Tables!$AC$5:$AC$254),IF(IFERROR(INDEX(Tables!$A$5:$A$254,MATCH(36,Tables!$AC$5:$AC$254,0))&amp;"","")="","","Table"),IF(IFERROR(INDEX(Fields!$A$5:$A$604,MATCH(36-COUNT(Tables!$AC$5:$AC$254),Fields!$V$5:$V$604,0))&amp;"","")="","","Field"))</f>
        <v/>
      </c>
      <c r="B362" s="20" t="str">
        <f aca="false">IF(36&lt;=COUNT(Tables!$AC$5:$AC$254),IFERROR(INDEX(Tables!$A$5:$A$254,MATCH(36,Tables!$AC$5:$AC$254,0))&amp;"",""),IFERROR(INDEX(Fields!$A$5:$A$604,MATCH(36-COUNT(Tables!$AC$5:$AC$254),Fields!$V$5:$V$604,0))&amp;"",""))</f>
        <v/>
      </c>
      <c r="C362" s="20" t="str">
        <f aca="false">IF(36&lt;=COUNT(Tables!$AC$5:$AC$254),IFERROR(INDEX(Tables!$B$5:$B$254,MATCH(36,Tables!$AC$5:$AC$254,0))&amp;"",""),IFERROR(INDEX(Fields!$B$5:$B$604,MATCH(36-COUNT(Tables!$AC$5:$AC$254),Fields!$V$5:$V$604,0))&amp;"",""))</f>
        <v/>
      </c>
      <c r="D362" s="20" t="str">
        <f aca="false">IF(36&lt;=COUNT(Tables!$AC$5:$AC$254),IFERROR(INDEX(Tables!$K$5:$K$254,MATCH(36,Tables!$AC$5:$AC$254,0))&amp;"",""),IFERROR(INDEX(Fields!$J$5:$J$604,MATCH(36-COUNT(Tables!$AC$5:$AC$254),Fields!$V$5:$V$604,0))&amp;"",""))</f>
        <v/>
      </c>
      <c r="E362" s="20" t="str">
        <f aca="false">IF(36&lt;=COUNT(Tables!$AC$5:$AC$254),IFERROR(INDEX(Tables!$L$5:$L$254,MATCH(36,Tables!$AC$5:$AC$254,0))&amp;"",""),IFERROR(INDEX(Fields!$K$5:$K$604,MATCH(36-COUNT(Tables!$AC$5:$AC$254),Fields!$V$5:$V$604,0))&amp;"",""))</f>
        <v/>
      </c>
      <c r="F362" s="20" t="str">
        <f aca="false">IF(36&lt;=COUNT(Tables!$AC$5:$AC$254),IFERROR(INDEX(Tables!$E$5:$E$254,MATCH(36,Tables!$AC$5:$AC$254,0))&amp;"",""),IFERROR(INDEX(Fields!$H$5:$H$604,MATCH(36-COUNT(Tables!$AC$5:$AC$254),Fields!$V$5:$V$604,0))&amp;"",""))</f>
        <v/>
      </c>
    </row>
    <row r="363" customFormat="false" ht="15" hidden="false" customHeight="false" outlineLevel="0" collapsed="false">
      <c r="A363" s="20" t="str">
        <f aca="false">IF(37&lt;=COUNT(Tables!$AC$5:$AC$254),IF(IFERROR(INDEX(Tables!$A$5:$A$254,MATCH(37,Tables!$AC$5:$AC$254,0))&amp;"","")="","","Table"),IF(IFERROR(INDEX(Fields!$A$5:$A$604,MATCH(37-COUNT(Tables!$AC$5:$AC$254),Fields!$V$5:$V$604,0))&amp;"","")="","","Field"))</f>
        <v/>
      </c>
      <c r="B363" s="20" t="str">
        <f aca="false">IF(37&lt;=COUNT(Tables!$AC$5:$AC$254),IFERROR(INDEX(Tables!$A$5:$A$254,MATCH(37,Tables!$AC$5:$AC$254,0))&amp;"",""),IFERROR(INDEX(Fields!$A$5:$A$604,MATCH(37-COUNT(Tables!$AC$5:$AC$254),Fields!$V$5:$V$604,0))&amp;"",""))</f>
        <v/>
      </c>
      <c r="C363" s="20" t="str">
        <f aca="false">IF(37&lt;=COUNT(Tables!$AC$5:$AC$254),IFERROR(INDEX(Tables!$B$5:$B$254,MATCH(37,Tables!$AC$5:$AC$254,0))&amp;"",""),IFERROR(INDEX(Fields!$B$5:$B$604,MATCH(37-COUNT(Tables!$AC$5:$AC$254),Fields!$V$5:$V$604,0))&amp;"",""))</f>
        <v/>
      </c>
      <c r="D363" s="20" t="str">
        <f aca="false">IF(37&lt;=COUNT(Tables!$AC$5:$AC$254),IFERROR(INDEX(Tables!$K$5:$K$254,MATCH(37,Tables!$AC$5:$AC$254,0))&amp;"",""),IFERROR(INDEX(Fields!$J$5:$J$604,MATCH(37-COUNT(Tables!$AC$5:$AC$254),Fields!$V$5:$V$604,0))&amp;"",""))</f>
        <v/>
      </c>
      <c r="E363" s="20" t="str">
        <f aca="false">IF(37&lt;=COUNT(Tables!$AC$5:$AC$254),IFERROR(INDEX(Tables!$L$5:$L$254,MATCH(37,Tables!$AC$5:$AC$254,0))&amp;"",""),IFERROR(INDEX(Fields!$K$5:$K$604,MATCH(37-COUNT(Tables!$AC$5:$AC$254),Fields!$V$5:$V$604,0))&amp;"",""))</f>
        <v/>
      </c>
      <c r="F363" s="20" t="str">
        <f aca="false">IF(37&lt;=COUNT(Tables!$AC$5:$AC$254),IFERROR(INDEX(Tables!$E$5:$E$254,MATCH(37,Tables!$AC$5:$AC$254,0))&amp;"",""),IFERROR(INDEX(Fields!$H$5:$H$604,MATCH(37-COUNT(Tables!$AC$5:$AC$254),Fields!$V$5:$V$604,0))&amp;"",""))</f>
        <v/>
      </c>
    </row>
    <row r="364" customFormat="false" ht="15" hidden="false" customHeight="false" outlineLevel="0" collapsed="false">
      <c r="A364" s="20" t="str">
        <f aca="false">IF(38&lt;=COUNT(Tables!$AC$5:$AC$254),IF(IFERROR(INDEX(Tables!$A$5:$A$254,MATCH(38,Tables!$AC$5:$AC$254,0))&amp;"","")="","","Table"),IF(IFERROR(INDEX(Fields!$A$5:$A$604,MATCH(38-COUNT(Tables!$AC$5:$AC$254),Fields!$V$5:$V$604,0))&amp;"","")="","","Field"))</f>
        <v/>
      </c>
      <c r="B364" s="20" t="str">
        <f aca="false">IF(38&lt;=COUNT(Tables!$AC$5:$AC$254),IFERROR(INDEX(Tables!$A$5:$A$254,MATCH(38,Tables!$AC$5:$AC$254,0))&amp;"",""),IFERROR(INDEX(Fields!$A$5:$A$604,MATCH(38-COUNT(Tables!$AC$5:$AC$254),Fields!$V$5:$V$604,0))&amp;"",""))</f>
        <v/>
      </c>
      <c r="C364" s="20" t="str">
        <f aca="false">IF(38&lt;=COUNT(Tables!$AC$5:$AC$254),IFERROR(INDEX(Tables!$B$5:$B$254,MATCH(38,Tables!$AC$5:$AC$254,0))&amp;"",""),IFERROR(INDEX(Fields!$B$5:$B$604,MATCH(38-COUNT(Tables!$AC$5:$AC$254),Fields!$V$5:$V$604,0))&amp;"",""))</f>
        <v/>
      </c>
      <c r="D364" s="20" t="str">
        <f aca="false">IF(38&lt;=COUNT(Tables!$AC$5:$AC$254),IFERROR(INDEX(Tables!$K$5:$K$254,MATCH(38,Tables!$AC$5:$AC$254,0))&amp;"",""),IFERROR(INDEX(Fields!$J$5:$J$604,MATCH(38-COUNT(Tables!$AC$5:$AC$254),Fields!$V$5:$V$604,0))&amp;"",""))</f>
        <v/>
      </c>
      <c r="E364" s="20" t="str">
        <f aca="false">IF(38&lt;=COUNT(Tables!$AC$5:$AC$254),IFERROR(INDEX(Tables!$L$5:$L$254,MATCH(38,Tables!$AC$5:$AC$254,0))&amp;"",""),IFERROR(INDEX(Fields!$K$5:$K$604,MATCH(38-COUNT(Tables!$AC$5:$AC$254),Fields!$V$5:$V$604,0))&amp;"",""))</f>
        <v/>
      </c>
      <c r="F364" s="20" t="str">
        <f aca="false">IF(38&lt;=COUNT(Tables!$AC$5:$AC$254),IFERROR(INDEX(Tables!$E$5:$E$254,MATCH(38,Tables!$AC$5:$AC$254,0))&amp;"",""),IFERROR(INDEX(Fields!$H$5:$H$604,MATCH(38-COUNT(Tables!$AC$5:$AC$254),Fields!$V$5:$V$604,0))&amp;"",""))</f>
        <v/>
      </c>
    </row>
    <row r="365" customFormat="false" ht="15" hidden="false" customHeight="false" outlineLevel="0" collapsed="false">
      <c r="A365" s="20" t="str">
        <f aca="false">IF(39&lt;=COUNT(Tables!$AC$5:$AC$254),IF(IFERROR(INDEX(Tables!$A$5:$A$254,MATCH(39,Tables!$AC$5:$AC$254,0))&amp;"","")="","","Table"),IF(IFERROR(INDEX(Fields!$A$5:$A$604,MATCH(39-COUNT(Tables!$AC$5:$AC$254),Fields!$V$5:$V$604,0))&amp;"","")="","","Field"))</f>
        <v/>
      </c>
      <c r="B365" s="20" t="str">
        <f aca="false">IF(39&lt;=COUNT(Tables!$AC$5:$AC$254),IFERROR(INDEX(Tables!$A$5:$A$254,MATCH(39,Tables!$AC$5:$AC$254,0))&amp;"",""),IFERROR(INDEX(Fields!$A$5:$A$604,MATCH(39-COUNT(Tables!$AC$5:$AC$254),Fields!$V$5:$V$604,0))&amp;"",""))</f>
        <v/>
      </c>
      <c r="C365" s="20" t="str">
        <f aca="false">IF(39&lt;=COUNT(Tables!$AC$5:$AC$254),IFERROR(INDEX(Tables!$B$5:$B$254,MATCH(39,Tables!$AC$5:$AC$254,0))&amp;"",""),IFERROR(INDEX(Fields!$B$5:$B$604,MATCH(39-COUNT(Tables!$AC$5:$AC$254),Fields!$V$5:$V$604,0))&amp;"",""))</f>
        <v/>
      </c>
      <c r="D365" s="20" t="str">
        <f aca="false">IF(39&lt;=COUNT(Tables!$AC$5:$AC$254),IFERROR(INDEX(Tables!$K$5:$K$254,MATCH(39,Tables!$AC$5:$AC$254,0))&amp;"",""),IFERROR(INDEX(Fields!$J$5:$J$604,MATCH(39-COUNT(Tables!$AC$5:$AC$254),Fields!$V$5:$V$604,0))&amp;"",""))</f>
        <v/>
      </c>
      <c r="E365" s="20" t="str">
        <f aca="false">IF(39&lt;=COUNT(Tables!$AC$5:$AC$254),IFERROR(INDEX(Tables!$L$5:$L$254,MATCH(39,Tables!$AC$5:$AC$254,0))&amp;"",""),IFERROR(INDEX(Fields!$K$5:$K$604,MATCH(39-COUNT(Tables!$AC$5:$AC$254),Fields!$V$5:$V$604,0))&amp;"",""))</f>
        <v/>
      </c>
      <c r="F365" s="20" t="str">
        <f aca="false">IF(39&lt;=COUNT(Tables!$AC$5:$AC$254),IFERROR(INDEX(Tables!$E$5:$E$254,MATCH(39,Tables!$AC$5:$AC$254,0))&amp;"",""),IFERROR(INDEX(Fields!$H$5:$H$604,MATCH(39-COUNT(Tables!$AC$5:$AC$254),Fields!$V$5:$V$604,0))&amp;"",""))</f>
        <v/>
      </c>
    </row>
    <row r="366" customFormat="false" ht="15" hidden="false" customHeight="false" outlineLevel="0" collapsed="false">
      <c r="A366" s="20" t="str">
        <f aca="false">IF(40&lt;=COUNT(Tables!$AC$5:$AC$254),IF(IFERROR(INDEX(Tables!$A$5:$A$254,MATCH(40,Tables!$AC$5:$AC$254,0))&amp;"","")="","","Table"),IF(IFERROR(INDEX(Fields!$A$5:$A$604,MATCH(40-COUNT(Tables!$AC$5:$AC$254),Fields!$V$5:$V$604,0))&amp;"","")="","","Field"))</f>
        <v/>
      </c>
      <c r="B366" s="20" t="str">
        <f aca="false">IF(40&lt;=COUNT(Tables!$AC$5:$AC$254),IFERROR(INDEX(Tables!$A$5:$A$254,MATCH(40,Tables!$AC$5:$AC$254,0))&amp;"",""),IFERROR(INDEX(Fields!$A$5:$A$604,MATCH(40-COUNT(Tables!$AC$5:$AC$254),Fields!$V$5:$V$604,0))&amp;"",""))</f>
        <v/>
      </c>
      <c r="C366" s="20" t="str">
        <f aca="false">IF(40&lt;=COUNT(Tables!$AC$5:$AC$254),IFERROR(INDEX(Tables!$B$5:$B$254,MATCH(40,Tables!$AC$5:$AC$254,0))&amp;"",""),IFERROR(INDEX(Fields!$B$5:$B$604,MATCH(40-COUNT(Tables!$AC$5:$AC$254),Fields!$V$5:$V$604,0))&amp;"",""))</f>
        <v/>
      </c>
      <c r="D366" s="20" t="str">
        <f aca="false">IF(40&lt;=COUNT(Tables!$AC$5:$AC$254),IFERROR(INDEX(Tables!$K$5:$K$254,MATCH(40,Tables!$AC$5:$AC$254,0))&amp;"",""),IFERROR(INDEX(Fields!$J$5:$J$604,MATCH(40-COUNT(Tables!$AC$5:$AC$254),Fields!$V$5:$V$604,0))&amp;"",""))</f>
        <v/>
      </c>
      <c r="E366" s="20" t="str">
        <f aca="false">IF(40&lt;=COUNT(Tables!$AC$5:$AC$254),IFERROR(INDEX(Tables!$L$5:$L$254,MATCH(40,Tables!$AC$5:$AC$254,0))&amp;"",""),IFERROR(INDEX(Fields!$K$5:$K$604,MATCH(40-COUNT(Tables!$AC$5:$AC$254),Fields!$V$5:$V$604,0))&amp;"",""))</f>
        <v/>
      </c>
      <c r="F366" s="20" t="str">
        <f aca="false">IF(40&lt;=COUNT(Tables!$AC$5:$AC$254),IFERROR(INDEX(Tables!$E$5:$E$254,MATCH(40,Tables!$AC$5:$AC$254,0))&amp;"",""),IFERROR(INDEX(Fields!$H$5:$H$604,MATCH(40-COUNT(Tables!$AC$5:$AC$254),Fields!$V$5:$V$604,0))&amp;"",""))</f>
        <v/>
      </c>
    </row>
  </sheetData>
  <conditionalFormatting sqref="B5:B12">
    <cfRule type="cellIs" priority="2" operator="greater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F3A"/>
    <pageSetUpPr fitToPage="true"/>
  </sheetPr>
  <dimension ref="A1:D1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0"/>
    <col collapsed="false" customWidth="true" hidden="false" outlineLevel="0" max="3" min="3" style="0" width="96"/>
    <col collapsed="false" customWidth="true" hidden="false" outlineLevel="0" max="4" min="4" style="0" width="40"/>
  </cols>
  <sheetData>
    <row r="1" customFormat="false" ht="17.35" hidden="false" customHeight="false" outlineLevel="0" collapsed="false">
      <c r="A1" s="1" t="s">
        <v>27</v>
      </c>
    </row>
    <row r="2" customFormat="false" ht="15" hidden="false" customHeight="false" outlineLevel="0" collapsed="false">
      <c r="A2" s="2" t="s">
        <v>137</v>
      </c>
    </row>
    <row r="4" customFormat="false" ht="31.5" hidden="false" customHeight="true" outlineLevel="0" collapsed="false">
      <c r="A4" s="21" t="s">
        <v>138</v>
      </c>
      <c r="B4" s="21" t="s">
        <v>139</v>
      </c>
      <c r="C4" s="21" t="s">
        <v>140</v>
      </c>
      <c r="D4" s="21" t="s">
        <v>141</v>
      </c>
    </row>
    <row r="5" customFormat="false" ht="23.85" hidden="false" customHeight="false" outlineLevel="0" collapsed="false">
      <c r="A5" s="22" t="s">
        <v>3</v>
      </c>
      <c r="B5" s="23" t="s">
        <v>142</v>
      </c>
      <c r="C5" s="22" t="s">
        <v>143</v>
      </c>
      <c r="D5" s="22" t="s">
        <v>144</v>
      </c>
    </row>
    <row r="6" customFormat="false" ht="15" hidden="false" customHeight="false" outlineLevel="0" collapsed="false">
      <c r="A6" s="22" t="s">
        <v>3</v>
      </c>
      <c r="B6" s="23" t="s">
        <v>145</v>
      </c>
      <c r="C6" s="22" t="s">
        <v>146</v>
      </c>
      <c r="D6" s="22" t="s">
        <v>147</v>
      </c>
    </row>
    <row r="7" customFormat="false" ht="23.85" hidden="false" customHeight="false" outlineLevel="0" collapsed="false">
      <c r="A7" s="22" t="s">
        <v>3</v>
      </c>
      <c r="B7" s="23" t="s">
        <v>148</v>
      </c>
      <c r="C7" s="22" t="s">
        <v>149</v>
      </c>
      <c r="D7" s="22" t="s">
        <v>150</v>
      </c>
    </row>
    <row r="8" customFormat="false" ht="15" hidden="false" customHeight="false" outlineLevel="0" collapsed="false">
      <c r="A8" s="22" t="s">
        <v>3</v>
      </c>
      <c r="B8" s="23" t="s">
        <v>151</v>
      </c>
      <c r="C8" s="22" t="s">
        <v>152</v>
      </c>
      <c r="D8" s="22" t="s">
        <v>153</v>
      </c>
    </row>
    <row r="9" customFormat="false" ht="15" hidden="false" customHeight="false" outlineLevel="0" collapsed="false">
      <c r="A9" s="22" t="s">
        <v>3</v>
      </c>
      <c r="B9" s="23" t="s">
        <v>154</v>
      </c>
      <c r="C9" s="22" t="s">
        <v>155</v>
      </c>
      <c r="D9" s="22" t="s">
        <v>156</v>
      </c>
    </row>
    <row r="10" customFormat="false" ht="15" hidden="false" customHeight="false" outlineLevel="0" collapsed="false">
      <c r="A10" s="22" t="s">
        <v>3</v>
      </c>
      <c r="B10" s="23" t="s">
        <v>157</v>
      </c>
      <c r="C10" s="22" t="s">
        <v>158</v>
      </c>
      <c r="D10" s="22" t="s">
        <v>159</v>
      </c>
    </row>
    <row r="11" customFormat="false" ht="15" hidden="false" customHeight="false" outlineLevel="0" collapsed="false">
      <c r="A11" s="22" t="s">
        <v>3</v>
      </c>
      <c r="B11" s="23" t="s">
        <v>160</v>
      </c>
      <c r="C11" s="22" t="s">
        <v>161</v>
      </c>
      <c r="D11" s="22" t="s">
        <v>162</v>
      </c>
    </row>
    <row r="12" customFormat="false" ht="15" hidden="false" customHeight="false" outlineLevel="0" collapsed="false">
      <c r="A12" s="22" t="s">
        <v>3</v>
      </c>
      <c r="B12" s="23" t="s">
        <v>163</v>
      </c>
      <c r="C12" s="22" t="s">
        <v>164</v>
      </c>
      <c r="D12" s="22" t="s">
        <v>165</v>
      </c>
    </row>
    <row r="13" customFormat="false" ht="15" hidden="false" customHeight="false" outlineLevel="0" collapsed="false">
      <c r="A13" s="22" t="s">
        <v>3</v>
      </c>
      <c r="B13" s="23" t="s">
        <v>166</v>
      </c>
      <c r="C13" s="22" t="s">
        <v>167</v>
      </c>
      <c r="D13" s="22" t="s">
        <v>168</v>
      </c>
    </row>
    <row r="14" customFormat="false" ht="15" hidden="false" customHeight="false" outlineLevel="0" collapsed="false">
      <c r="A14" s="22" t="s">
        <v>3</v>
      </c>
      <c r="B14" s="23" t="s">
        <v>130</v>
      </c>
      <c r="C14" s="22" t="s">
        <v>169</v>
      </c>
      <c r="D14" s="22" t="s">
        <v>170</v>
      </c>
    </row>
    <row r="15" customFormat="false" ht="15" hidden="false" customHeight="false" outlineLevel="0" collapsed="false">
      <c r="A15" s="22" t="s">
        <v>3</v>
      </c>
      <c r="B15" s="23" t="s">
        <v>171</v>
      </c>
      <c r="C15" s="22" t="s">
        <v>172</v>
      </c>
      <c r="D15" s="22" t="s">
        <v>173</v>
      </c>
    </row>
    <row r="16" customFormat="false" ht="23.85" hidden="false" customHeight="false" outlineLevel="0" collapsed="false">
      <c r="A16" s="22" t="s">
        <v>3</v>
      </c>
      <c r="B16" s="23" t="s">
        <v>174</v>
      </c>
      <c r="C16" s="22" t="s">
        <v>175</v>
      </c>
      <c r="D16" s="22" t="s">
        <v>176</v>
      </c>
    </row>
    <row r="17" customFormat="false" ht="15" hidden="false" customHeight="false" outlineLevel="0" collapsed="false">
      <c r="A17" s="22" t="s">
        <v>3</v>
      </c>
      <c r="B17" s="23" t="s">
        <v>177</v>
      </c>
      <c r="C17" s="22" t="s">
        <v>178</v>
      </c>
      <c r="D17" s="22" t="s">
        <v>179</v>
      </c>
    </row>
    <row r="18" customFormat="false" ht="15" hidden="false" customHeight="false" outlineLevel="0" collapsed="false">
      <c r="A18" s="22" t="s">
        <v>3</v>
      </c>
      <c r="B18" s="23" t="s">
        <v>180</v>
      </c>
      <c r="C18" s="22" t="s">
        <v>181</v>
      </c>
      <c r="D18" s="22" t="s">
        <v>162</v>
      </c>
    </row>
    <row r="19" customFormat="false" ht="15" hidden="false" customHeight="false" outlineLevel="0" collapsed="false">
      <c r="A19" s="24" t="s">
        <v>9</v>
      </c>
      <c r="B19" s="25" t="s">
        <v>182</v>
      </c>
      <c r="C19" s="24" t="s">
        <v>183</v>
      </c>
      <c r="D19" s="24" t="s">
        <v>184</v>
      </c>
    </row>
    <row r="20" customFormat="false" ht="15" hidden="false" customHeight="false" outlineLevel="0" collapsed="false">
      <c r="A20" s="24" t="s">
        <v>9</v>
      </c>
      <c r="B20" s="25" t="s">
        <v>185</v>
      </c>
      <c r="C20" s="24" t="s">
        <v>186</v>
      </c>
      <c r="D20" s="24" t="s">
        <v>187</v>
      </c>
    </row>
    <row r="21" customFormat="false" ht="23.85" hidden="false" customHeight="false" outlineLevel="0" collapsed="false">
      <c r="A21" s="24" t="s">
        <v>9</v>
      </c>
      <c r="B21" s="25" t="s">
        <v>188</v>
      </c>
      <c r="C21" s="24" t="s">
        <v>189</v>
      </c>
      <c r="D21" s="24" t="s">
        <v>190</v>
      </c>
    </row>
    <row r="22" customFormat="false" ht="15" hidden="false" customHeight="false" outlineLevel="0" collapsed="false">
      <c r="A22" s="24" t="s">
        <v>9</v>
      </c>
      <c r="B22" s="25" t="s">
        <v>191</v>
      </c>
      <c r="C22" s="24" t="s">
        <v>192</v>
      </c>
      <c r="D22" s="24" t="s">
        <v>193</v>
      </c>
    </row>
    <row r="23" customFormat="false" ht="15" hidden="false" customHeight="false" outlineLevel="0" collapsed="false">
      <c r="A23" s="24" t="s">
        <v>9</v>
      </c>
      <c r="B23" s="25" t="s">
        <v>194</v>
      </c>
      <c r="C23" s="24" t="s">
        <v>195</v>
      </c>
      <c r="D23" s="24" t="s">
        <v>196</v>
      </c>
    </row>
    <row r="24" customFormat="false" ht="23.85" hidden="false" customHeight="false" outlineLevel="0" collapsed="false">
      <c r="A24" s="24" t="s">
        <v>9</v>
      </c>
      <c r="B24" s="25" t="s">
        <v>101</v>
      </c>
      <c r="C24" s="24" t="s">
        <v>197</v>
      </c>
      <c r="D24" s="24" t="s">
        <v>198</v>
      </c>
    </row>
    <row r="25" customFormat="false" ht="15" hidden="false" customHeight="false" outlineLevel="0" collapsed="false">
      <c r="A25" s="24" t="s">
        <v>9</v>
      </c>
      <c r="B25" s="25" t="s">
        <v>199</v>
      </c>
      <c r="C25" s="24" t="s">
        <v>200</v>
      </c>
      <c r="D25" s="24" t="s">
        <v>162</v>
      </c>
    </row>
    <row r="26" customFormat="false" ht="15" hidden="false" customHeight="false" outlineLevel="0" collapsed="false">
      <c r="A26" s="24" t="s">
        <v>9</v>
      </c>
      <c r="B26" s="25" t="s">
        <v>118</v>
      </c>
      <c r="C26" s="20" t="s">
        <v>201</v>
      </c>
      <c r="D26" s="24" t="s">
        <v>36</v>
      </c>
    </row>
    <row r="27" customFormat="false" ht="15" hidden="false" customHeight="false" outlineLevel="0" collapsed="false">
      <c r="A27" s="24" t="s">
        <v>9</v>
      </c>
      <c r="B27" s="25" t="s">
        <v>130</v>
      </c>
      <c r="C27" s="24" t="s">
        <v>202</v>
      </c>
      <c r="D27" s="24"/>
    </row>
    <row r="28" customFormat="false" ht="15" hidden="false" customHeight="false" outlineLevel="0" collapsed="false">
      <c r="A28" s="22" t="s">
        <v>5</v>
      </c>
      <c r="B28" s="23" t="s">
        <v>107</v>
      </c>
      <c r="C28" s="22" t="s">
        <v>203</v>
      </c>
      <c r="D28" s="22" t="s">
        <v>204</v>
      </c>
    </row>
    <row r="29" customFormat="false" ht="23.85" hidden="false" customHeight="false" outlineLevel="0" collapsed="false">
      <c r="A29" s="22" t="s">
        <v>5</v>
      </c>
      <c r="B29" s="23" t="s">
        <v>205</v>
      </c>
      <c r="C29" s="22" t="s">
        <v>206</v>
      </c>
      <c r="D29" s="22" t="s">
        <v>207</v>
      </c>
    </row>
    <row r="30" customFormat="false" ht="15" hidden="false" customHeight="false" outlineLevel="0" collapsed="false">
      <c r="A30" s="22" t="s">
        <v>5</v>
      </c>
      <c r="B30" s="23" t="s">
        <v>109</v>
      </c>
      <c r="C30" s="22" t="s">
        <v>208</v>
      </c>
      <c r="D30" s="22" t="s">
        <v>209</v>
      </c>
    </row>
    <row r="31" customFormat="false" ht="23.85" hidden="false" customHeight="false" outlineLevel="0" collapsed="false">
      <c r="A31" s="22" t="s">
        <v>5</v>
      </c>
      <c r="B31" s="23" t="s">
        <v>188</v>
      </c>
      <c r="C31" s="22" t="s">
        <v>210</v>
      </c>
      <c r="D31" s="22" t="s">
        <v>211</v>
      </c>
    </row>
    <row r="32" customFormat="false" ht="15" hidden="false" customHeight="false" outlineLevel="0" collapsed="false">
      <c r="A32" s="22" t="s">
        <v>5</v>
      </c>
      <c r="B32" s="23" t="s">
        <v>182</v>
      </c>
      <c r="C32" s="22" t="s">
        <v>212</v>
      </c>
      <c r="D32" s="22" t="s">
        <v>184</v>
      </c>
    </row>
    <row r="33" customFormat="false" ht="15" hidden="false" customHeight="false" outlineLevel="0" collapsed="false">
      <c r="A33" s="22" t="s">
        <v>5</v>
      </c>
      <c r="B33" s="23" t="s">
        <v>213</v>
      </c>
      <c r="C33" s="26" t="s">
        <v>214</v>
      </c>
      <c r="D33" s="22" t="s">
        <v>187</v>
      </c>
    </row>
    <row r="34" customFormat="false" ht="35.05" hidden="false" customHeight="false" outlineLevel="0" collapsed="false">
      <c r="A34" s="22" t="s">
        <v>5</v>
      </c>
      <c r="B34" s="23" t="s">
        <v>215</v>
      </c>
      <c r="C34" s="22" t="s">
        <v>216</v>
      </c>
      <c r="D34" s="22" t="s">
        <v>217</v>
      </c>
    </row>
    <row r="35" customFormat="false" ht="15" hidden="false" customHeight="false" outlineLevel="0" collapsed="false">
      <c r="A35" s="22" t="s">
        <v>5</v>
      </c>
      <c r="B35" s="23" t="s">
        <v>218</v>
      </c>
      <c r="C35" s="22" t="s">
        <v>219</v>
      </c>
      <c r="D35" s="22" t="s">
        <v>220</v>
      </c>
    </row>
    <row r="36" customFormat="false" ht="23.85" hidden="false" customHeight="false" outlineLevel="0" collapsed="false">
      <c r="A36" s="22" t="s">
        <v>5</v>
      </c>
      <c r="B36" s="23" t="s">
        <v>101</v>
      </c>
      <c r="C36" s="22" t="s">
        <v>221</v>
      </c>
      <c r="D36" s="22" t="s">
        <v>198</v>
      </c>
    </row>
    <row r="37" customFormat="false" ht="15" hidden="false" customHeight="false" outlineLevel="0" collapsed="false">
      <c r="A37" s="22" t="s">
        <v>5</v>
      </c>
      <c r="B37" s="23" t="s">
        <v>199</v>
      </c>
      <c r="C37" s="22" t="s">
        <v>222</v>
      </c>
      <c r="D37" s="22" t="s">
        <v>162</v>
      </c>
    </row>
    <row r="38" customFormat="false" ht="15" hidden="false" customHeight="false" outlineLevel="0" collapsed="false">
      <c r="A38" s="22" t="s">
        <v>5</v>
      </c>
      <c r="B38" s="23" t="s">
        <v>111</v>
      </c>
      <c r="C38" s="26" t="s">
        <v>214</v>
      </c>
      <c r="D38" s="22" t="s">
        <v>34</v>
      </c>
    </row>
    <row r="39" customFormat="false" ht="15" hidden="false" customHeight="false" outlineLevel="0" collapsed="false">
      <c r="A39" s="22" t="s">
        <v>5</v>
      </c>
      <c r="B39" s="23" t="s">
        <v>223</v>
      </c>
      <c r="C39" s="26" t="s">
        <v>214</v>
      </c>
      <c r="D39" s="22" t="s">
        <v>38</v>
      </c>
    </row>
    <row r="40" customFormat="false" ht="15" hidden="false" customHeight="false" outlineLevel="0" collapsed="false">
      <c r="A40" s="22" t="s">
        <v>5</v>
      </c>
      <c r="B40" s="23" t="s">
        <v>224</v>
      </c>
      <c r="C40" s="26" t="s">
        <v>225</v>
      </c>
      <c r="D40" s="22" t="s">
        <v>32</v>
      </c>
    </row>
    <row r="41" customFormat="false" ht="15" hidden="false" customHeight="false" outlineLevel="0" collapsed="false">
      <c r="A41" s="22" t="s">
        <v>5</v>
      </c>
      <c r="B41" s="23" t="s">
        <v>130</v>
      </c>
      <c r="C41" s="22" t="s">
        <v>226</v>
      </c>
      <c r="D41" s="22" t="s">
        <v>227</v>
      </c>
    </row>
    <row r="42" customFormat="false" ht="15" hidden="false" customHeight="false" outlineLevel="0" collapsed="false">
      <c r="A42" s="24" t="s">
        <v>7</v>
      </c>
      <c r="B42" s="25" t="s">
        <v>107</v>
      </c>
      <c r="C42" s="24" t="s">
        <v>228</v>
      </c>
      <c r="D42" s="24" t="s">
        <v>204</v>
      </c>
    </row>
    <row r="43" customFormat="false" ht="15" hidden="false" customHeight="false" outlineLevel="0" collapsed="false">
      <c r="A43" s="24" t="s">
        <v>7</v>
      </c>
      <c r="B43" s="25" t="s">
        <v>142</v>
      </c>
      <c r="C43" s="24" t="s">
        <v>229</v>
      </c>
      <c r="D43" s="24" t="s">
        <v>230</v>
      </c>
    </row>
    <row r="44" customFormat="false" ht="15" hidden="false" customHeight="false" outlineLevel="0" collapsed="false">
      <c r="A44" s="24" t="s">
        <v>7</v>
      </c>
      <c r="B44" s="25" t="s">
        <v>109</v>
      </c>
      <c r="C44" s="20" t="s">
        <v>231</v>
      </c>
      <c r="D44" s="24" t="s">
        <v>209</v>
      </c>
    </row>
    <row r="45" customFormat="false" ht="15" hidden="false" customHeight="false" outlineLevel="0" collapsed="false">
      <c r="A45" s="24" t="s">
        <v>7</v>
      </c>
      <c r="B45" s="25" t="s">
        <v>145</v>
      </c>
      <c r="C45" s="20" t="s">
        <v>214</v>
      </c>
      <c r="D45" s="24" t="s">
        <v>232</v>
      </c>
    </row>
    <row r="46" customFormat="false" ht="15" hidden="false" customHeight="false" outlineLevel="0" collapsed="false">
      <c r="A46" s="24" t="s">
        <v>7</v>
      </c>
      <c r="B46" s="25" t="s">
        <v>233</v>
      </c>
      <c r="C46" s="24" t="s">
        <v>234</v>
      </c>
      <c r="D46" s="24" t="s">
        <v>235</v>
      </c>
    </row>
    <row r="47" customFormat="false" ht="15" hidden="false" customHeight="false" outlineLevel="0" collapsed="false">
      <c r="A47" s="24" t="s">
        <v>7</v>
      </c>
      <c r="B47" s="25" t="s">
        <v>130</v>
      </c>
      <c r="C47" s="24" t="s">
        <v>202</v>
      </c>
      <c r="D47" s="24"/>
    </row>
    <row r="48" customFormat="false" ht="15" hidden="false" customHeight="false" outlineLevel="0" collapsed="false">
      <c r="A48" s="22" t="s">
        <v>11</v>
      </c>
      <c r="B48" s="23" t="s">
        <v>92</v>
      </c>
      <c r="C48" s="22" t="s">
        <v>236</v>
      </c>
      <c r="D48" s="22" t="s">
        <v>237</v>
      </c>
    </row>
    <row r="49" customFormat="false" ht="15" hidden="false" customHeight="false" outlineLevel="0" collapsed="false">
      <c r="A49" s="22" t="s">
        <v>11</v>
      </c>
      <c r="B49" s="23" t="s">
        <v>93</v>
      </c>
      <c r="C49" s="22" t="s">
        <v>238</v>
      </c>
      <c r="D49" s="22" t="s">
        <v>239</v>
      </c>
    </row>
    <row r="50" customFormat="false" ht="23.85" hidden="false" customHeight="false" outlineLevel="0" collapsed="false">
      <c r="A50" s="22" t="s">
        <v>11</v>
      </c>
      <c r="B50" s="23" t="s">
        <v>94</v>
      </c>
      <c r="C50" s="22" t="s">
        <v>240</v>
      </c>
      <c r="D50" s="22" t="s">
        <v>241</v>
      </c>
    </row>
    <row r="51" customFormat="false" ht="23.85" hidden="false" customHeight="false" outlineLevel="0" collapsed="false">
      <c r="A51" s="22" t="s">
        <v>11</v>
      </c>
      <c r="B51" s="23" t="s">
        <v>242</v>
      </c>
      <c r="C51" s="22" t="s">
        <v>243</v>
      </c>
      <c r="D51" s="22" t="s">
        <v>244</v>
      </c>
    </row>
    <row r="52" customFormat="false" ht="35.05" hidden="false" customHeight="false" outlineLevel="0" collapsed="false">
      <c r="A52" s="22" t="s">
        <v>11</v>
      </c>
      <c r="B52" s="23" t="s">
        <v>97</v>
      </c>
      <c r="C52" s="22" t="s">
        <v>245</v>
      </c>
      <c r="D52" s="22" t="s">
        <v>246</v>
      </c>
    </row>
    <row r="53" customFormat="false" ht="15" hidden="false" customHeight="false" outlineLevel="0" collapsed="false">
      <c r="A53" s="22" t="s">
        <v>11</v>
      </c>
      <c r="B53" s="23" t="s">
        <v>157</v>
      </c>
      <c r="C53" s="22" t="s">
        <v>247</v>
      </c>
      <c r="D53" s="22" t="s">
        <v>159</v>
      </c>
    </row>
    <row r="54" customFormat="false" ht="15" hidden="false" customHeight="false" outlineLevel="0" collapsed="false">
      <c r="A54" s="22" t="s">
        <v>11</v>
      </c>
      <c r="B54" s="23" t="s">
        <v>248</v>
      </c>
      <c r="C54" s="22" t="s">
        <v>249</v>
      </c>
      <c r="D54" s="22" t="s">
        <v>250</v>
      </c>
    </row>
    <row r="55" customFormat="false" ht="15" hidden="false" customHeight="false" outlineLevel="0" collapsed="false">
      <c r="A55" s="22" t="s">
        <v>11</v>
      </c>
      <c r="B55" s="23" t="s">
        <v>160</v>
      </c>
      <c r="C55" s="22" t="s">
        <v>251</v>
      </c>
      <c r="D55" s="22" t="s">
        <v>162</v>
      </c>
    </row>
    <row r="56" customFormat="false" ht="15" hidden="false" customHeight="false" outlineLevel="0" collapsed="false">
      <c r="A56" s="22" t="s">
        <v>11</v>
      </c>
      <c r="B56" s="23" t="s">
        <v>252</v>
      </c>
      <c r="C56" s="22" t="s">
        <v>253</v>
      </c>
      <c r="D56" s="22" t="s">
        <v>165</v>
      </c>
    </row>
    <row r="57" customFormat="false" ht="15" hidden="false" customHeight="false" outlineLevel="0" collapsed="false">
      <c r="A57" s="22" t="s">
        <v>11</v>
      </c>
      <c r="B57" s="23" t="s">
        <v>101</v>
      </c>
      <c r="C57" s="22" t="s">
        <v>254</v>
      </c>
      <c r="D57" s="22" t="s">
        <v>255</v>
      </c>
    </row>
    <row r="58" customFormat="false" ht="35.05" hidden="false" customHeight="false" outlineLevel="0" collapsed="false">
      <c r="A58" s="22" t="s">
        <v>11</v>
      </c>
      <c r="B58" s="23" t="s">
        <v>68</v>
      </c>
      <c r="C58" s="22" t="s">
        <v>256</v>
      </c>
      <c r="D58" s="22" t="s">
        <v>74</v>
      </c>
    </row>
    <row r="59" customFormat="false" ht="35.05" hidden="false" customHeight="false" outlineLevel="0" collapsed="false">
      <c r="A59" s="22" t="s">
        <v>11</v>
      </c>
      <c r="B59" s="23" t="s">
        <v>69</v>
      </c>
      <c r="C59" s="22" t="s">
        <v>257</v>
      </c>
      <c r="D59" s="22" t="s">
        <v>84</v>
      </c>
    </row>
    <row r="60" customFormat="false" ht="23.85" hidden="false" customHeight="false" outlineLevel="0" collapsed="false">
      <c r="A60" s="22" t="s">
        <v>11</v>
      </c>
      <c r="B60" s="23" t="s">
        <v>95</v>
      </c>
      <c r="C60" s="26" t="s">
        <v>258</v>
      </c>
      <c r="D60" s="22" t="s">
        <v>32</v>
      </c>
    </row>
    <row r="61" customFormat="false" ht="23.85" hidden="false" customHeight="false" outlineLevel="0" collapsed="false">
      <c r="A61" s="22" t="s">
        <v>11</v>
      </c>
      <c r="B61" s="23" t="s">
        <v>104</v>
      </c>
      <c r="C61" s="26" t="s">
        <v>259</v>
      </c>
      <c r="D61" s="22" t="s">
        <v>260</v>
      </c>
    </row>
    <row r="62" customFormat="false" ht="15" hidden="false" customHeight="false" outlineLevel="0" collapsed="false">
      <c r="A62" s="22" t="s">
        <v>11</v>
      </c>
      <c r="B62" s="23" t="s">
        <v>261</v>
      </c>
      <c r="C62" s="26" t="s">
        <v>262</v>
      </c>
      <c r="D62" s="22" t="s">
        <v>34</v>
      </c>
    </row>
    <row r="63" customFormat="false" ht="23.85" hidden="false" customHeight="false" outlineLevel="0" collapsed="false">
      <c r="A63" s="22" t="s">
        <v>11</v>
      </c>
      <c r="B63" s="23" t="s">
        <v>96</v>
      </c>
      <c r="C63" s="26" t="s">
        <v>263</v>
      </c>
      <c r="D63" s="22" t="s">
        <v>34</v>
      </c>
    </row>
    <row r="64" customFormat="false" ht="15" hidden="false" customHeight="false" outlineLevel="0" collapsed="false">
      <c r="A64" s="22" t="s">
        <v>11</v>
      </c>
      <c r="B64" s="23" t="s">
        <v>130</v>
      </c>
      <c r="C64" s="22" t="s">
        <v>202</v>
      </c>
      <c r="D64" s="22" t="s">
        <v>264</v>
      </c>
    </row>
    <row r="65" customFormat="false" ht="15" hidden="false" customHeight="false" outlineLevel="0" collapsed="false">
      <c r="A65" s="24" t="s">
        <v>13</v>
      </c>
      <c r="B65" s="25" t="s">
        <v>114</v>
      </c>
      <c r="C65" s="24" t="s">
        <v>265</v>
      </c>
      <c r="D65" s="24" t="s">
        <v>266</v>
      </c>
    </row>
    <row r="66" customFormat="false" ht="15" hidden="false" customHeight="false" outlineLevel="0" collapsed="false">
      <c r="A66" s="24" t="s">
        <v>13</v>
      </c>
      <c r="B66" s="25" t="s">
        <v>115</v>
      </c>
      <c r="C66" s="24" t="s">
        <v>267</v>
      </c>
      <c r="D66" s="24" t="s">
        <v>268</v>
      </c>
    </row>
    <row r="67" customFormat="false" ht="23.85" hidden="false" customHeight="false" outlineLevel="0" collapsed="false">
      <c r="A67" s="24" t="s">
        <v>13</v>
      </c>
      <c r="B67" s="25" t="s">
        <v>148</v>
      </c>
      <c r="C67" s="24" t="s">
        <v>269</v>
      </c>
      <c r="D67" s="24" t="s">
        <v>270</v>
      </c>
    </row>
    <row r="68" customFormat="false" ht="23.85" hidden="false" customHeight="false" outlineLevel="0" collapsed="false">
      <c r="A68" s="24" t="s">
        <v>13</v>
      </c>
      <c r="B68" s="25" t="s">
        <v>92</v>
      </c>
      <c r="C68" s="24" t="s">
        <v>271</v>
      </c>
      <c r="D68" s="24" t="s">
        <v>272</v>
      </c>
    </row>
    <row r="69" customFormat="false" ht="15" hidden="false" customHeight="false" outlineLevel="0" collapsed="false">
      <c r="A69" s="24" t="s">
        <v>13</v>
      </c>
      <c r="B69" s="25" t="s">
        <v>93</v>
      </c>
      <c r="C69" s="20" t="s">
        <v>214</v>
      </c>
      <c r="D69" s="24" t="s">
        <v>273</v>
      </c>
    </row>
    <row r="70" customFormat="false" ht="15" hidden="false" customHeight="false" outlineLevel="0" collapsed="false">
      <c r="A70" s="24" t="s">
        <v>13</v>
      </c>
      <c r="B70" s="25" t="s">
        <v>94</v>
      </c>
      <c r="C70" s="20" t="s">
        <v>274</v>
      </c>
      <c r="D70" s="24" t="s">
        <v>241</v>
      </c>
    </row>
    <row r="71" customFormat="false" ht="15" hidden="false" customHeight="false" outlineLevel="0" collapsed="false">
      <c r="A71" s="24" t="s">
        <v>13</v>
      </c>
      <c r="B71" s="25" t="s">
        <v>275</v>
      </c>
      <c r="C71" s="24" t="s">
        <v>276</v>
      </c>
      <c r="D71" s="24" t="s">
        <v>277</v>
      </c>
    </row>
    <row r="72" customFormat="false" ht="23.85" hidden="false" customHeight="false" outlineLevel="0" collapsed="false">
      <c r="A72" s="24" t="s">
        <v>13</v>
      </c>
      <c r="B72" s="25" t="s">
        <v>278</v>
      </c>
      <c r="C72" s="24" t="s">
        <v>279</v>
      </c>
      <c r="D72" s="24" t="s">
        <v>280</v>
      </c>
    </row>
    <row r="73" customFormat="false" ht="15" hidden="false" customHeight="false" outlineLevel="0" collapsed="false">
      <c r="A73" s="24" t="s">
        <v>13</v>
      </c>
      <c r="B73" s="25" t="s">
        <v>281</v>
      </c>
      <c r="C73" s="24" t="s">
        <v>282</v>
      </c>
      <c r="D73" s="24" t="s">
        <v>117</v>
      </c>
    </row>
    <row r="74" customFormat="false" ht="35.05" hidden="false" customHeight="false" outlineLevel="0" collapsed="false">
      <c r="A74" s="24" t="s">
        <v>13</v>
      </c>
      <c r="B74" s="25" t="s">
        <v>68</v>
      </c>
      <c r="C74" s="24" t="s">
        <v>283</v>
      </c>
      <c r="D74" s="24" t="s">
        <v>74</v>
      </c>
    </row>
    <row r="75" customFormat="false" ht="23.85" hidden="false" customHeight="false" outlineLevel="0" collapsed="false">
      <c r="A75" s="24" t="s">
        <v>13</v>
      </c>
      <c r="B75" s="25" t="s">
        <v>69</v>
      </c>
      <c r="C75" s="24" t="s">
        <v>284</v>
      </c>
      <c r="D75" s="24" t="s">
        <v>81</v>
      </c>
    </row>
    <row r="76" customFormat="false" ht="15" hidden="false" customHeight="false" outlineLevel="0" collapsed="false">
      <c r="A76" s="24" t="s">
        <v>13</v>
      </c>
      <c r="B76" s="25" t="s">
        <v>285</v>
      </c>
      <c r="C76" s="24" t="s">
        <v>286</v>
      </c>
      <c r="D76" s="24" t="s">
        <v>287</v>
      </c>
    </row>
    <row r="77" customFormat="false" ht="15" hidden="false" customHeight="false" outlineLevel="0" collapsed="false">
      <c r="A77" s="24" t="s">
        <v>13</v>
      </c>
      <c r="B77" s="25" t="s">
        <v>130</v>
      </c>
      <c r="C77" s="24" t="s">
        <v>202</v>
      </c>
      <c r="D77" s="24"/>
    </row>
    <row r="78" customFormat="false" ht="15" hidden="false" customHeight="false" outlineLevel="0" collapsed="false">
      <c r="A78" s="24" t="s">
        <v>13</v>
      </c>
      <c r="B78" s="25" t="s">
        <v>118</v>
      </c>
      <c r="C78" s="20" t="s">
        <v>214</v>
      </c>
      <c r="D78" s="24" t="s">
        <v>32</v>
      </c>
    </row>
    <row r="79" customFormat="false" ht="15" hidden="false" customHeight="false" outlineLevel="0" collapsed="false">
      <c r="A79" s="24" t="s">
        <v>13</v>
      </c>
      <c r="B79" s="25" t="s">
        <v>119</v>
      </c>
      <c r="C79" s="20" t="s">
        <v>288</v>
      </c>
      <c r="D79" s="24" t="s">
        <v>36</v>
      </c>
    </row>
    <row r="80" customFormat="false" ht="15" hidden="false" customHeight="false" outlineLevel="0" collapsed="false">
      <c r="A80" s="22" t="s">
        <v>15</v>
      </c>
      <c r="B80" s="23" t="s">
        <v>107</v>
      </c>
      <c r="C80" s="22" t="s">
        <v>289</v>
      </c>
      <c r="D80" s="22" t="s">
        <v>204</v>
      </c>
    </row>
    <row r="81" customFormat="false" ht="15" hidden="false" customHeight="false" outlineLevel="0" collapsed="false">
      <c r="A81" s="22" t="s">
        <v>15</v>
      </c>
      <c r="B81" s="23" t="s">
        <v>114</v>
      </c>
      <c r="C81" s="22" t="s">
        <v>290</v>
      </c>
      <c r="D81" s="22" t="s">
        <v>291</v>
      </c>
    </row>
    <row r="82" customFormat="false" ht="15" hidden="false" customHeight="false" outlineLevel="0" collapsed="false">
      <c r="A82" s="22" t="s">
        <v>15</v>
      </c>
      <c r="B82" s="23" t="s">
        <v>109</v>
      </c>
      <c r="C82" s="26" t="s">
        <v>214</v>
      </c>
      <c r="D82" s="22" t="s">
        <v>209</v>
      </c>
    </row>
    <row r="83" customFormat="false" ht="15" hidden="false" customHeight="false" outlineLevel="0" collapsed="false">
      <c r="A83" s="22" t="s">
        <v>15</v>
      </c>
      <c r="B83" s="23" t="s">
        <v>115</v>
      </c>
      <c r="C83" s="26" t="s">
        <v>214</v>
      </c>
      <c r="D83" s="22" t="s">
        <v>292</v>
      </c>
    </row>
    <row r="84" customFormat="false" ht="35.05" hidden="false" customHeight="false" outlineLevel="0" collapsed="false">
      <c r="A84" s="22" t="s">
        <v>15</v>
      </c>
      <c r="B84" s="23" t="s">
        <v>293</v>
      </c>
      <c r="C84" s="22" t="s">
        <v>294</v>
      </c>
      <c r="D84" s="22" t="s">
        <v>295</v>
      </c>
    </row>
    <row r="85" customFormat="false" ht="15" hidden="false" customHeight="false" outlineLevel="0" collapsed="false">
      <c r="A85" s="22" t="s">
        <v>15</v>
      </c>
      <c r="B85" s="23" t="s">
        <v>296</v>
      </c>
      <c r="C85" s="26" t="s">
        <v>214</v>
      </c>
      <c r="D85" s="22" t="s">
        <v>34</v>
      </c>
    </row>
    <row r="86" customFormat="false" ht="15" hidden="false" customHeight="false" outlineLevel="0" collapsed="false">
      <c r="A86" s="22" t="s">
        <v>15</v>
      </c>
      <c r="B86" s="23" t="s">
        <v>130</v>
      </c>
      <c r="C86" s="22" t="s">
        <v>202</v>
      </c>
      <c r="D86" s="22"/>
    </row>
    <row r="87" customFormat="false" ht="15" hidden="false" customHeight="false" outlineLevel="0" collapsed="false">
      <c r="A87" s="24" t="s">
        <v>17</v>
      </c>
      <c r="B87" s="25" t="s">
        <v>297</v>
      </c>
      <c r="C87" s="24" t="s">
        <v>298</v>
      </c>
      <c r="D87" s="24" t="s">
        <v>299</v>
      </c>
    </row>
    <row r="88" customFormat="false" ht="15" hidden="false" customHeight="false" outlineLevel="0" collapsed="false">
      <c r="A88" s="24" t="s">
        <v>17</v>
      </c>
      <c r="B88" s="25" t="s">
        <v>300</v>
      </c>
      <c r="C88" s="24" t="s">
        <v>301</v>
      </c>
      <c r="D88" s="24" t="s">
        <v>302</v>
      </c>
    </row>
    <row r="89" customFormat="false" ht="15" hidden="false" customHeight="false" outlineLevel="0" collapsed="false">
      <c r="A89" s="24" t="s">
        <v>17</v>
      </c>
      <c r="B89" s="25" t="s">
        <v>303</v>
      </c>
      <c r="C89" s="24" t="s">
        <v>304</v>
      </c>
      <c r="D89" s="24" t="s">
        <v>305</v>
      </c>
    </row>
    <row r="90" customFormat="false" ht="15" hidden="false" customHeight="false" outlineLevel="0" collapsed="false">
      <c r="A90" s="24" t="s">
        <v>17</v>
      </c>
      <c r="B90" s="25" t="s">
        <v>306</v>
      </c>
      <c r="C90" s="20" t="s">
        <v>214</v>
      </c>
      <c r="D90" s="24" t="s">
        <v>307</v>
      </c>
    </row>
    <row r="91" customFormat="false" ht="15" hidden="false" customHeight="false" outlineLevel="0" collapsed="false">
      <c r="A91" s="24" t="s">
        <v>17</v>
      </c>
      <c r="B91" s="25" t="s">
        <v>308</v>
      </c>
      <c r="C91" s="24" t="s">
        <v>309</v>
      </c>
      <c r="D91" s="24" t="s">
        <v>310</v>
      </c>
    </row>
    <row r="92" customFormat="false" ht="15" hidden="false" customHeight="false" outlineLevel="0" collapsed="false">
      <c r="A92" s="24" t="s">
        <v>17</v>
      </c>
      <c r="B92" s="25" t="s">
        <v>101</v>
      </c>
      <c r="C92" s="24" t="s">
        <v>311</v>
      </c>
      <c r="D92" s="24" t="s">
        <v>198</v>
      </c>
    </row>
    <row r="93" customFormat="false" ht="15" hidden="false" customHeight="false" outlineLevel="0" collapsed="false">
      <c r="A93" s="24" t="s">
        <v>17</v>
      </c>
      <c r="B93" s="25" t="s">
        <v>199</v>
      </c>
      <c r="C93" s="24" t="s">
        <v>312</v>
      </c>
      <c r="D93" s="24"/>
    </row>
    <row r="94" customFormat="false" ht="15" hidden="false" customHeight="false" outlineLevel="0" collapsed="false">
      <c r="A94" s="24" t="s">
        <v>17</v>
      </c>
      <c r="B94" s="25" t="s">
        <v>313</v>
      </c>
      <c r="C94" s="20" t="s">
        <v>314</v>
      </c>
      <c r="D94" s="24" t="s">
        <v>34</v>
      </c>
    </row>
    <row r="95" customFormat="false" ht="23.85" hidden="false" customHeight="false" outlineLevel="0" collapsed="false">
      <c r="A95" s="24" t="s">
        <v>17</v>
      </c>
      <c r="B95" s="25" t="s">
        <v>315</v>
      </c>
      <c r="C95" s="20" t="s">
        <v>316</v>
      </c>
      <c r="D95" s="24" t="s">
        <v>30</v>
      </c>
    </row>
    <row r="96" customFormat="false" ht="15" hidden="false" customHeight="false" outlineLevel="0" collapsed="false">
      <c r="A96" s="24" t="s">
        <v>17</v>
      </c>
      <c r="B96" s="25" t="s">
        <v>130</v>
      </c>
      <c r="C96" s="24" t="s">
        <v>202</v>
      </c>
      <c r="D96" s="24"/>
    </row>
    <row r="97" customFormat="false" ht="15" hidden="false" customHeight="false" outlineLevel="0" collapsed="false">
      <c r="A97" s="22" t="s">
        <v>19</v>
      </c>
      <c r="B97" s="23" t="s">
        <v>142</v>
      </c>
      <c r="C97" s="22" t="s">
        <v>317</v>
      </c>
      <c r="D97" s="22" t="s">
        <v>230</v>
      </c>
    </row>
    <row r="98" customFormat="false" ht="15" hidden="false" customHeight="false" outlineLevel="0" collapsed="false">
      <c r="A98" s="22" t="s">
        <v>19</v>
      </c>
      <c r="B98" s="23" t="s">
        <v>297</v>
      </c>
      <c r="C98" s="22" t="s">
        <v>318</v>
      </c>
      <c r="D98" s="22" t="s">
        <v>299</v>
      </c>
    </row>
    <row r="99" customFormat="false" ht="15" hidden="false" customHeight="false" outlineLevel="0" collapsed="false">
      <c r="A99" s="22" t="s">
        <v>19</v>
      </c>
      <c r="B99" s="23" t="s">
        <v>145</v>
      </c>
      <c r="C99" s="26" t="s">
        <v>214</v>
      </c>
      <c r="D99" s="22" t="s">
        <v>232</v>
      </c>
    </row>
    <row r="100" customFormat="false" ht="15" hidden="false" customHeight="false" outlineLevel="0" collapsed="false">
      <c r="A100" s="22" t="s">
        <v>19</v>
      </c>
      <c r="B100" s="23" t="s">
        <v>300</v>
      </c>
      <c r="C100" s="26" t="s">
        <v>214</v>
      </c>
      <c r="D100" s="22" t="s">
        <v>302</v>
      </c>
    </row>
    <row r="101" customFormat="false" ht="23.85" hidden="false" customHeight="false" outlineLevel="0" collapsed="false">
      <c r="A101" s="22" t="s">
        <v>19</v>
      </c>
      <c r="B101" s="23" t="s">
        <v>319</v>
      </c>
      <c r="C101" s="22" t="s">
        <v>320</v>
      </c>
      <c r="D101" s="22" t="s">
        <v>272</v>
      </c>
    </row>
    <row r="102" customFormat="false" ht="15" hidden="false" customHeight="false" outlineLevel="0" collapsed="false">
      <c r="A102" s="22" t="s">
        <v>19</v>
      </c>
      <c r="B102" s="23" t="s">
        <v>321</v>
      </c>
      <c r="C102" s="26" t="s">
        <v>214</v>
      </c>
      <c r="D102" s="22" t="s">
        <v>273</v>
      </c>
    </row>
    <row r="103" customFormat="false" ht="23.85" hidden="false" customHeight="false" outlineLevel="0" collapsed="false">
      <c r="A103" s="22" t="s">
        <v>19</v>
      </c>
      <c r="B103" s="23" t="s">
        <v>322</v>
      </c>
      <c r="C103" s="26" t="s">
        <v>323</v>
      </c>
      <c r="D103" s="22" t="s">
        <v>324</v>
      </c>
    </row>
    <row r="104" customFormat="false" ht="15" hidden="false" customHeight="false" outlineLevel="0" collapsed="false">
      <c r="A104" s="22" t="s">
        <v>19</v>
      </c>
      <c r="B104" s="23" t="s">
        <v>130</v>
      </c>
      <c r="C104" s="22" t="s">
        <v>202</v>
      </c>
      <c r="D104" s="22"/>
    </row>
    <row r="105" customFormat="false" ht="15" hidden="false" customHeight="false" outlineLevel="0" collapsed="false">
      <c r="A105" s="24" t="s">
        <v>23</v>
      </c>
      <c r="B105" s="25" t="s">
        <v>325</v>
      </c>
      <c r="C105" s="24" t="s">
        <v>326</v>
      </c>
      <c r="D105" s="24" t="s">
        <v>179</v>
      </c>
    </row>
    <row r="106" customFormat="false" ht="23.85" hidden="false" customHeight="false" outlineLevel="0" collapsed="false">
      <c r="A106" s="24" t="s">
        <v>23</v>
      </c>
      <c r="B106" s="25" t="s">
        <v>65</v>
      </c>
      <c r="C106" s="24" t="s">
        <v>327</v>
      </c>
      <c r="D106" s="24" t="s">
        <v>328</v>
      </c>
    </row>
    <row r="107" customFormat="false" ht="15" hidden="false" customHeight="false" outlineLevel="0" collapsed="false">
      <c r="A107" s="24" t="s">
        <v>23</v>
      </c>
      <c r="B107" s="25" t="s">
        <v>329</v>
      </c>
      <c r="C107" s="24" t="s">
        <v>330</v>
      </c>
      <c r="D107" s="24" t="s">
        <v>331</v>
      </c>
    </row>
    <row r="108" customFormat="false" ht="15" hidden="false" customHeight="false" outlineLevel="0" collapsed="false">
      <c r="A108" s="24" t="s">
        <v>23</v>
      </c>
      <c r="B108" s="25" t="s">
        <v>332</v>
      </c>
      <c r="C108" s="24" t="s">
        <v>333</v>
      </c>
      <c r="D108" s="24" t="s">
        <v>159</v>
      </c>
    </row>
    <row r="109" customFormat="false" ht="15" hidden="false" customHeight="false" outlineLevel="0" collapsed="false">
      <c r="A109" s="24" t="s">
        <v>23</v>
      </c>
      <c r="B109" s="25" t="s">
        <v>334</v>
      </c>
      <c r="C109" s="24" t="s">
        <v>335</v>
      </c>
      <c r="D109" s="24" t="s">
        <v>336</v>
      </c>
    </row>
    <row r="110" customFormat="false" ht="15" hidden="false" customHeight="false" outlineLevel="0" collapsed="false">
      <c r="A110" s="24" t="s">
        <v>23</v>
      </c>
      <c r="B110" s="25" t="s">
        <v>337</v>
      </c>
      <c r="C110" s="24" t="s">
        <v>338</v>
      </c>
      <c r="D110" s="24" t="s">
        <v>339</v>
      </c>
    </row>
    <row r="111" customFormat="false" ht="15" hidden="false" customHeight="false" outlineLevel="0" collapsed="false">
      <c r="A111" s="24" t="s">
        <v>23</v>
      </c>
      <c r="B111" s="25" t="s">
        <v>130</v>
      </c>
      <c r="C111" s="24" t="s">
        <v>202</v>
      </c>
      <c r="D111" s="24"/>
    </row>
    <row r="112" customFormat="false" ht="15" hidden="false" customHeight="false" outlineLevel="0" collapsed="false">
      <c r="A112" s="22" t="s">
        <v>25</v>
      </c>
      <c r="B112" s="23" t="s">
        <v>340</v>
      </c>
      <c r="C112" s="22" t="s">
        <v>341</v>
      </c>
      <c r="D112" s="22" t="s">
        <v>342</v>
      </c>
    </row>
    <row r="113" customFormat="false" ht="15" hidden="false" customHeight="false" outlineLevel="0" collapsed="false">
      <c r="A113" s="22" t="s">
        <v>25</v>
      </c>
      <c r="B113" s="23" t="s">
        <v>343</v>
      </c>
      <c r="C113" s="22" t="s">
        <v>344</v>
      </c>
      <c r="D113" s="22" t="s">
        <v>179</v>
      </c>
    </row>
    <row r="114" customFormat="false" ht="15" hidden="false" customHeight="false" outlineLevel="0" collapsed="false">
      <c r="A114" s="22" t="s">
        <v>25</v>
      </c>
      <c r="B114" s="23" t="s">
        <v>138</v>
      </c>
      <c r="C114" s="22" t="s">
        <v>345</v>
      </c>
      <c r="D114" s="22" t="s">
        <v>5</v>
      </c>
    </row>
    <row r="115" customFormat="false" ht="15" hidden="false" customHeight="false" outlineLevel="0" collapsed="false">
      <c r="A115" s="22" t="s">
        <v>25</v>
      </c>
      <c r="B115" s="23" t="s">
        <v>346</v>
      </c>
      <c r="C115" s="22" t="s">
        <v>347</v>
      </c>
      <c r="D115" s="22" t="s">
        <v>348</v>
      </c>
    </row>
    <row r="116" customFormat="false" ht="23.85" hidden="false" customHeight="false" outlineLevel="0" collapsed="false">
      <c r="A116" s="22" t="s">
        <v>25</v>
      </c>
      <c r="B116" s="23" t="s">
        <v>349</v>
      </c>
      <c r="C116" s="22" t="s">
        <v>350</v>
      </c>
      <c r="D116" s="22" t="s">
        <v>351</v>
      </c>
    </row>
    <row r="117" customFormat="false" ht="23.85" hidden="false" customHeight="false" outlineLevel="0" collapsed="false">
      <c r="A117" s="22" t="s">
        <v>25</v>
      </c>
      <c r="B117" s="23" t="s">
        <v>352</v>
      </c>
      <c r="C117" s="22" t="s">
        <v>353</v>
      </c>
      <c r="D117" s="22" t="s">
        <v>354</v>
      </c>
    </row>
    <row r="118" customFormat="false" ht="15" hidden="false" customHeight="false" outlineLevel="0" collapsed="false">
      <c r="A118" s="22" t="s">
        <v>25</v>
      </c>
      <c r="B118" s="23" t="s">
        <v>101</v>
      </c>
      <c r="C118" s="22" t="s">
        <v>355</v>
      </c>
      <c r="D118" s="22" t="s">
        <v>356</v>
      </c>
    </row>
    <row r="119" customFormat="false" ht="15" hidden="false" customHeight="false" outlineLevel="0" collapsed="false">
      <c r="A119" s="22" t="s">
        <v>25</v>
      </c>
      <c r="B119" s="23" t="s">
        <v>357</v>
      </c>
      <c r="C119" s="22" t="s">
        <v>358</v>
      </c>
      <c r="D119" s="22"/>
    </row>
    <row r="120" customFormat="false" ht="15" hidden="false" customHeight="false" outlineLevel="0" collapsed="false">
      <c r="A120" s="22" t="s">
        <v>25</v>
      </c>
      <c r="B120" s="23" t="s">
        <v>359</v>
      </c>
      <c r="C120" s="22" t="s">
        <v>360</v>
      </c>
      <c r="D120" s="22"/>
    </row>
    <row r="121" customFormat="false" ht="15" hidden="false" customHeight="false" outlineLevel="0" collapsed="false">
      <c r="A121" s="22" t="s">
        <v>25</v>
      </c>
      <c r="B121" s="23" t="s">
        <v>361</v>
      </c>
      <c r="C121" s="22" t="s">
        <v>362</v>
      </c>
      <c r="D121" s="22"/>
    </row>
    <row r="122" customFormat="false" ht="15" hidden="false" customHeight="false" outlineLevel="0" collapsed="false">
      <c r="A122" s="27" t="s">
        <v>363</v>
      </c>
      <c r="B122" s="28" t="s">
        <v>171</v>
      </c>
      <c r="C122" s="27" t="s">
        <v>364</v>
      </c>
      <c r="D122" s="27" t="s">
        <v>173</v>
      </c>
    </row>
    <row r="123" customFormat="false" ht="23.85" hidden="false" customHeight="false" outlineLevel="0" collapsed="false">
      <c r="A123" s="27" t="s">
        <v>363</v>
      </c>
      <c r="B123" s="28" t="s">
        <v>174</v>
      </c>
      <c r="C123" s="27" t="s">
        <v>365</v>
      </c>
      <c r="D123" s="27" t="s">
        <v>176</v>
      </c>
    </row>
    <row r="124" customFormat="false" ht="15" hidden="false" customHeight="false" outlineLevel="0" collapsed="false">
      <c r="A124" s="27" t="s">
        <v>363</v>
      </c>
      <c r="B124" s="28" t="s">
        <v>177</v>
      </c>
      <c r="C124" s="27" t="s">
        <v>366</v>
      </c>
      <c r="D124" s="27" t="s">
        <v>179</v>
      </c>
    </row>
    <row r="125" customFormat="false" ht="15" hidden="false" customHeight="false" outlineLevel="0" collapsed="false">
      <c r="A125" s="27" t="s">
        <v>363</v>
      </c>
      <c r="B125" s="28" t="s">
        <v>180</v>
      </c>
      <c r="C125" s="27" t="s">
        <v>181</v>
      </c>
      <c r="D125" s="27" t="s">
        <v>162</v>
      </c>
    </row>
  </sheetData>
  <autoFilter ref="A4:D125"/>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A5C"/>
    <pageSetUpPr fitToPage="true"/>
  </sheetPr>
  <dimension ref="A1:N1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8"/>
    <col collapsed="false" customWidth="true" hidden="false" outlineLevel="0" max="4" min="3" style="0" width="12"/>
    <col collapsed="false" customWidth="true" hidden="false" outlineLevel="0" max="7" min="5" style="0" width="18"/>
    <col collapsed="false" customWidth="true" hidden="false" outlineLevel="0" max="8" min="8" style="0" width="14"/>
    <col collapsed="false" customWidth="true" hidden="false" outlineLevel="0" max="9" min="9" style="0" width="26"/>
    <col collapsed="false" customWidth="true" hidden="false" outlineLevel="0" max="10" min="10" style="0" width="36"/>
    <col collapsed="false" customWidth="true" hidden="false" outlineLevel="0" max="11" min="11" style="0" width="30"/>
    <col collapsed="false" customWidth="true" hidden="false" outlineLevel="0" max="12" min="12" style="0" width="11"/>
    <col collapsed="false" customWidth="true" hidden="false" outlineLevel="0" max="13" min="13" style="0" width="12"/>
    <col collapsed="false" customWidth="true" hidden="false" outlineLevel="0" max="14" min="14" style="0" width="14"/>
  </cols>
  <sheetData>
    <row r="1" customFormat="false" ht="17.35" hidden="false" customHeight="false" outlineLevel="0" collapsed="false">
      <c r="A1" s="1" t="s">
        <v>3</v>
      </c>
    </row>
    <row r="2" customFormat="false" ht="15" hidden="false" customHeight="false" outlineLevel="0" collapsed="false">
      <c r="A2" s="2" t="s">
        <v>367</v>
      </c>
    </row>
    <row r="4" customFormat="false" ht="31.5" hidden="false" customHeight="true" outlineLevel="0" collapsed="false">
      <c r="A4" s="21" t="s">
        <v>142</v>
      </c>
      <c r="B4" s="21" t="s">
        <v>145</v>
      </c>
      <c r="C4" s="21" t="s">
        <v>148</v>
      </c>
      <c r="D4" s="21" t="s">
        <v>151</v>
      </c>
      <c r="E4" s="21" t="s">
        <v>154</v>
      </c>
      <c r="F4" s="21" t="s">
        <v>157</v>
      </c>
      <c r="G4" s="21" t="s">
        <v>160</v>
      </c>
      <c r="H4" s="21" t="s">
        <v>163</v>
      </c>
      <c r="I4" s="21" t="s">
        <v>166</v>
      </c>
      <c r="J4" s="21" t="s">
        <v>130</v>
      </c>
      <c r="K4" s="21" t="s">
        <v>171</v>
      </c>
      <c r="L4" s="21" t="s">
        <v>174</v>
      </c>
      <c r="M4" s="21" t="s">
        <v>177</v>
      </c>
      <c r="N4" s="21" t="s">
        <v>180</v>
      </c>
    </row>
    <row r="5" customFormat="false" ht="23.85" hidden="false" customHeight="false" outlineLevel="0" collapsed="false">
      <c r="A5" s="29" t="s">
        <v>144</v>
      </c>
      <c r="B5" s="30" t="s">
        <v>147</v>
      </c>
      <c r="C5" s="30" t="s">
        <v>368</v>
      </c>
      <c r="D5" s="30" t="s">
        <v>153</v>
      </c>
      <c r="E5" s="30" t="s">
        <v>369</v>
      </c>
      <c r="F5" s="30" t="s">
        <v>159</v>
      </c>
      <c r="G5" s="30"/>
      <c r="H5" s="30" t="s">
        <v>370</v>
      </c>
      <c r="I5" s="30" t="s">
        <v>168</v>
      </c>
      <c r="J5" s="30" t="s">
        <v>371</v>
      </c>
      <c r="K5" s="30"/>
      <c r="L5" s="30" t="s">
        <v>372</v>
      </c>
      <c r="M5" s="30" t="s">
        <v>179</v>
      </c>
      <c r="N5" s="30"/>
    </row>
    <row r="6" customFormat="false" ht="15" hidden="false" customHeight="false" outlineLevel="0" collapsed="false">
      <c r="A6" s="29" t="s">
        <v>230</v>
      </c>
      <c r="B6" s="30" t="s">
        <v>232</v>
      </c>
      <c r="C6" s="30" t="s">
        <v>150</v>
      </c>
      <c r="D6" s="30" t="s">
        <v>153</v>
      </c>
      <c r="E6" s="30" t="s">
        <v>373</v>
      </c>
      <c r="F6" s="30" t="s">
        <v>159</v>
      </c>
      <c r="G6" s="30"/>
      <c r="H6" s="30" t="s">
        <v>165</v>
      </c>
      <c r="I6" s="30"/>
      <c r="J6" s="30" t="s">
        <v>374</v>
      </c>
      <c r="K6" s="30"/>
      <c r="L6" s="30" t="s">
        <v>372</v>
      </c>
      <c r="M6" s="30" t="s">
        <v>179</v>
      </c>
      <c r="N6" s="30"/>
    </row>
    <row r="7" customFormat="false" ht="15" hidden="false" customHeight="false" outlineLevel="0" collapsed="false">
      <c r="A7" s="29" t="s">
        <v>375</v>
      </c>
      <c r="B7" s="30" t="s">
        <v>376</v>
      </c>
      <c r="C7" s="30" t="s">
        <v>150</v>
      </c>
      <c r="D7" s="30" t="s">
        <v>153</v>
      </c>
      <c r="E7" s="30" t="s">
        <v>377</v>
      </c>
      <c r="F7" s="30" t="s">
        <v>159</v>
      </c>
      <c r="G7" s="30"/>
      <c r="H7" s="30" t="s">
        <v>165</v>
      </c>
      <c r="I7" s="30"/>
      <c r="J7" s="30" t="s">
        <v>374</v>
      </c>
      <c r="K7" s="30"/>
      <c r="L7" s="30" t="s">
        <v>372</v>
      </c>
      <c r="M7" s="30" t="s">
        <v>179</v>
      </c>
      <c r="N7" s="30"/>
    </row>
    <row r="8" customFormat="false" ht="15" hidden="false" customHeight="false" outlineLevel="0" collapsed="false">
      <c r="A8" s="29"/>
      <c r="B8" s="30"/>
      <c r="C8" s="30"/>
      <c r="D8" s="30"/>
      <c r="E8" s="30"/>
      <c r="F8" s="30"/>
      <c r="G8" s="30"/>
      <c r="H8" s="30"/>
      <c r="I8" s="30"/>
      <c r="J8" s="30"/>
      <c r="K8" s="30"/>
      <c r="L8" s="30"/>
      <c r="M8" s="30"/>
      <c r="N8" s="30"/>
    </row>
    <row r="9" customFormat="false" ht="15" hidden="false" customHeight="false" outlineLevel="0" collapsed="false">
      <c r="A9" s="29"/>
      <c r="B9" s="30"/>
      <c r="C9" s="30"/>
      <c r="D9" s="30"/>
      <c r="E9" s="30"/>
      <c r="F9" s="30"/>
      <c r="G9" s="30"/>
      <c r="H9" s="30"/>
      <c r="I9" s="30"/>
      <c r="J9" s="30"/>
      <c r="K9" s="30"/>
      <c r="L9" s="30"/>
      <c r="M9" s="30"/>
      <c r="N9" s="30"/>
    </row>
    <row r="10" customFormat="false" ht="15" hidden="false" customHeight="false" outlineLevel="0" collapsed="false">
      <c r="A10" s="29"/>
      <c r="B10" s="30"/>
      <c r="C10" s="30"/>
      <c r="D10" s="30"/>
      <c r="E10" s="30"/>
      <c r="F10" s="30"/>
      <c r="G10" s="30"/>
      <c r="H10" s="30"/>
      <c r="I10" s="30"/>
      <c r="J10" s="30"/>
      <c r="K10" s="30"/>
      <c r="L10" s="30"/>
      <c r="M10" s="30"/>
      <c r="N10" s="30"/>
    </row>
    <row r="11" customFormat="false" ht="15" hidden="false" customHeight="false" outlineLevel="0" collapsed="false">
      <c r="A11" s="29"/>
      <c r="B11" s="30"/>
      <c r="C11" s="30"/>
      <c r="D11" s="30"/>
      <c r="E11" s="30"/>
      <c r="F11" s="30"/>
      <c r="G11" s="30"/>
      <c r="H11" s="30"/>
      <c r="I11" s="30"/>
      <c r="J11" s="30"/>
      <c r="K11" s="30"/>
      <c r="L11" s="30"/>
      <c r="M11" s="30"/>
      <c r="N11" s="30"/>
    </row>
    <row r="12" customFormat="false" ht="15" hidden="false" customHeight="false" outlineLevel="0" collapsed="false">
      <c r="A12" s="29"/>
      <c r="B12" s="30"/>
      <c r="C12" s="30"/>
      <c r="D12" s="30"/>
      <c r="E12" s="30"/>
      <c r="F12" s="30"/>
      <c r="G12" s="30"/>
      <c r="H12" s="30"/>
      <c r="I12" s="30"/>
      <c r="J12" s="30"/>
      <c r="K12" s="30"/>
      <c r="L12" s="30"/>
      <c r="M12" s="30"/>
      <c r="N12" s="30"/>
    </row>
    <row r="13" customFormat="false" ht="15" hidden="false" customHeight="false" outlineLevel="0" collapsed="false">
      <c r="A13" s="29"/>
      <c r="B13" s="30"/>
      <c r="C13" s="30"/>
      <c r="D13" s="30"/>
      <c r="E13" s="30"/>
      <c r="F13" s="30"/>
      <c r="G13" s="30"/>
      <c r="H13" s="30"/>
      <c r="I13" s="30"/>
      <c r="J13" s="30"/>
      <c r="K13" s="30"/>
      <c r="L13" s="30"/>
      <c r="M13" s="30"/>
      <c r="N13" s="30"/>
    </row>
    <row r="14" customFormat="false" ht="15" hidden="false" customHeight="false" outlineLevel="0" collapsed="false">
      <c r="A14" s="29"/>
      <c r="B14" s="30"/>
      <c r="C14" s="30"/>
      <c r="D14" s="30"/>
      <c r="E14" s="30"/>
      <c r="F14" s="30"/>
      <c r="G14" s="30"/>
      <c r="H14" s="30"/>
      <c r="I14" s="30"/>
      <c r="J14" s="30"/>
      <c r="K14" s="30"/>
      <c r="L14" s="30"/>
      <c r="M14" s="30"/>
      <c r="N14" s="30"/>
    </row>
    <row r="15" customFormat="false" ht="15" hidden="false" customHeight="false" outlineLevel="0" collapsed="false">
      <c r="A15" s="29"/>
      <c r="B15" s="30"/>
      <c r="C15" s="30"/>
      <c r="D15" s="30"/>
      <c r="E15" s="30"/>
      <c r="F15" s="30"/>
      <c r="G15" s="30"/>
      <c r="H15" s="30"/>
      <c r="I15" s="30"/>
      <c r="J15" s="30"/>
      <c r="K15" s="30"/>
      <c r="L15" s="30"/>
      <c r="M15" s="30"/>
      <c r="N15" s="30"/>
    </row>
    <row r="16" customFormat="false" ht="15" hidden="false" customHeight="false" outlineLevel="0" collapsed="false">
      <c r="A16" s="29"/>
      <c r="B16" s="30"/>
      <c r="C16" s="30"/>
      <c r="D16" s="30"/>
      <c r="E16" s="30"/>
      <c r="F16" s="30"/>
      <c r="G16" s="30"/>
      <c r="H16" s="30"/>
      <c r="I16" s="30"/>
      <c r="J16" s="30"/>
      <c r="K16" s="30"/>
      <c r="L16" s="30"/>
      <c r="M16" s="30"/>
      <c r="N16" s="30"/>
    </row>
    <row r="17" customFormat="false" ht="15" hidden="false" customHeight="false" outlineLevel="0" collapsed="false">
      <c r="A17" s="29"/>
      <c r="B17" s="30"/>
      <c r="C17" s="30"/>
      <c r="D17" s="30"/>
      <c r="E17" s="30"/>
      <c r="F17" s="30"/>
      <c r="G17" s="30"/>
      <c r="H17" s="30"/>
      <c r="I17" s="30"/>
      <c r="J17" s="30"/>
      <c r="K17" s="30"/>
      <c r="L17" s="30"/>
      <c r="M17" s="30"/>
      <c r="N17" s="30"/>
    </row>
    <row r="18" customFormat="false" ht="15" hidden="false" customHeight="false" outlineLevel="0" collapsed="false">
      <c r="A18" s="29"/>
      <c r="B18" s="30"/>
      <c r="C18" s="30"/>
      <c r="D18" s="30"/>
      <c r="E18" s="30"/>
      <c r="F18" s="30"/>
      <c r="G18" s="30"/>
      <c r="H18" s="30"/>
      <c r="I18" s="30"/>
      <c r="J18" s="30"/>
      <c r="K18" s="30"/>
      <c r="L18" s="30"/>
      <c r="M18" s="30"/>
      <c r="N18" s="30"/>
    </row>
    <row r="19" customFormat="false" ht="15" hidden="false" customHeight="false" outlineLevel="0" collapsed="false">
      <c r="A19" s="29"/>
      <c r="B19" s="30"/>
      <c r="C19" s="30"/>
      <c r="D19" s="30"/>
      <c r="E19" s="30"/>
      <c r="F19" s="30"/>
      <c r="G19" s="30"/>
      <c r="H19" s="30"/>
      <c r="I19" s="30"/>
      <c r="J19" s="30"/>
      <c r="K19" s="30"/>
      <c r="L19" s="30"/>
      <c r="M19" s="30"/>
      <c r="N19" s="30"/>
    </row>
    <row r="20" customFormat="false" ht="15" hidden="false" customHeight="false" outlineLevel="0" collapsed="false">
      <c r="A20" s="29"/>
      <c r="B20" s="30"/>
      <c r="C20" s="30"/>
      <c r="D20" s="30"/>
      <c r="E20" s="30"/>
      <c r="F20" s="30"/>
      <c r="G20" s="30"/>
      <c r="H20" s="30"/>
      <c r="I20" s="30"/>
      <c r="J20" s="30"/>
      <c r="K20" s="30"/>
      <c r="L20" s="30"/>
      <c r="M20" s="30"/>
      <c r="N20" s="30"/>
    </row>
    <row r="21" customFormat="false" ht="15" hidden="false" customHeight="false" outlineLevel="0" collapsed="false">
      <c r="A21" s="29"/>
      <c r="B21" s="30"/>
      <c r="C21" s="30"/>
      <c r="D21" s="30"/>
      <c r="E21" s="30"/>
      <c r="F21" s="30"/>
      <c r="G21" s="30"/>
      <c r="H21" s="30"/>
      <c r="I21" s="30"/>
      <c r="J21" s="30"/>
      <c r="K21" s="30"/>
      <c r="L21" s="30"/>
      <c r="M21" s="30"/>
      <c r="N21" s="30"/>
    </row>
    <row r="22" customFormat="false" ht="15" hidden="false" customHeight="false" outlineLevel="0" collapsed="false">
      <c r="A22" s="29"/>
      <c r="B22" s="30"/>
      <c r="C22" s="30"/>
      <c r="D22" s="30"/>
      <c r="E22" s="30"/>
      <c r="F22" s="30"/>
      <c r="G22" s="30"/>
      <c r="H22" s="30"/>
      <c r="I22" s="30"/>
      <c r="J22" s="30"/>
      <c r="K22" s="30"/>
      <c r="L22" s="30"/>
      <c r="M22" s="30"/>
      <c r="N22" s="30"/>
    </row>
    <row r="23" customFormat="false" ht="15" hidden="false" customHeight="false" outlineLevel="0" collapsed="false">
      <c r="A23" s="29"/>
      <c r="B23" s="30"/>
      <c r="C23" s="30"/>
      <c r="D23" s="30"/>
      <c r="E23" s="30"/>
      <c r="F23" s="30"/>
      <c r="G23" s="30"/>
      <c r="H23" s="30"/>
      <c r="I23" s="30"/>
      <c r="J23" s="30"/>
      <c r="K23" s="30"/>
      <c r="L23" s="30"/>
      <c r="M23" s="30"/>
      <c r="N23" s="30"/>
    </row>
    <row r="24" customFormat="false" ht="15" hidden="false" customHeight="false" outlineLevel="0" collapsed="false">
      <c r="A24" s="29"/>
      <c r="B24" s="30"/>
      <c r="C24" s="30"/>
      <c r="D24" s="30"/>
      <c r="E24" s="30"/>
      <c r="F24" s="30"/>
      <c r="G24" s="30"/>
      <c r="H24" s="30"/>
      <c r="I24" s="30"/>
      <c r="J24" s="30"/>
      <c r="K24" s="30"/>
      <c r="L24" s="30"/>
      <c r="M24" s="30"/>
      <c r="N24" s="30"/>
    </row>
    <row r="25" customFormat="false" ht="15" hidden="false" customHeight="false" outlineLevel="0" collapsed="false">
      <c r="A25" s="29"/>
      <c r="B25" s="30"/>
      <c r="C25" s="30"/>
      <c r="D25" s="30"/>
      <c r="E25" s="30"/>
      <c r="F25" s="30"/>
      <c r="G25" s="30"/>
      <c r="H25" s="30"/>
      <c r="I25" s="30"/>
      <c r="J25" s="30"/>
      <c r="K25" s="30"/>
      <c r="L25" s="30"/>
      <c r="M25" s="30"/>
      <c r="N25" s="30"/>
    </row>
    <row r="26" customFormat="false" ht="15" hidden="false" customHeight="false" outlineLevel="0" collapsed="false">
      <c r="A26" s="29"/>
      <c r="B26" s="30"/>
      <c r="C26" s="30"/>
      <c r="D26" s="30"/>
      <c r="E26" s="30"/>
      <c r="F26" s="30"/>
      <c r="G26" s="30"/>
      <c r="H26" s="30"/>
      <c r="I26" s="30"/>
      <c r="J26" s="30"/>
      <c r="K26" s="30"/>
      <c r="L26" s="30"/>
      <c r="M26" s="30"/>
      <c r="N26" s="30"/>
    </row>
    <row r="27" customFormat="false" ht="15" hidden="false" customHeight="false" outlineLevel="0" collapsed="false">
      <c r="A27" s="29"/>
      <c r="B27" s="30"/>
      <c r="C27" s="30"/>
      <c r="D27" s="30"/>
      <c r="E27" s="30"/>
      <c r="F27" s="30"/>
      <c r="G27" s="30"/>
      <c r="H27" s="30"/>
      <c r="I27" s="30"/>
      <c r="J27" s="30"/>
      <c r="K27" s="30"/>
      <c r="L27" s="30"/>
      <c r="M27" s="30"/>
      <c r="N27" s="30"/>
    </row>
    <row r="28" customFormat="false" ht="15" hidden="false" customHeight="false" outlineLevel="0" collapsed="false">
      <c r="A28" s="29"/>
      <c r="B28" s="30"/>
      <c r="C28" s="30"/>
      <c r="D28" s="30"/>
      <c r="E28" s="30"/>
      <c r="F28" s="30"/>
      <c r="G28" s="30"/>
      <c r="H28" s="30"/>
      <c r="I28" s="30"/>
      <c r="J28" s="30"/>
      <c r="K28" s="30"/>
      <c r="L28" s="30"/>
      <c r="M28" s="30"/>
      <c r="N28" s="30"/>
    </row>
    <row r="29" customFormat="false" ht="15" hidden="false" customHeight="false" outlineLevel="0" collapsed="false">
      <c r="A29" s="29"/>
      <c r="B29" s="30"/>
      <c r="C29" s="30"/>
      <c r="D29" s="30"/>
      <c r="E29" s="30"/>
      <c r="F29" s="30"/>
      <c r="G29" s="30"/>
      <c r="H29" s="30"/>
      <c r="I29" s="30"/>
      <c r="J29" s="30"/>
      <c r="K29" s="30"/>
      <c r="L29" s="30"/>
      <c r="M29" s="30"/>
      <c r="N29" s="30"/>
    </row>
    <row r="30" customFormat="false" ht="15" hidden="false" customHeight="false" outlineLevel="0" collapsed="false">
      <c r="A30" s="29"/>
      <c r="B30" s="30"/>
      <c r="C30" s="30"/>
      <c r="D30" s="30"/>
      <c r="E30" s="30"/>
      <c r="F30" s="30"/>
      <c r="G30" s="30"/>
      <c r="H30" s="30"/>
      <c r="I30" s="30"/>
      <c r="J30" s="30"/>
      <c r="K30" s="30"/>
      <c r="L30" s="30"/>
      <c r="M30" s="30"/>
      <c r="N30" s="30"/>
    </row>
    <row r="31" customFormat="false" ht="15" hidden="false" customHeight="false" outlineLevel="0" collapsed="false">
      <c r="A31" s="29"/>
      <c r="B31" s="30"/>
      <c r="C31" s="30"/>
      <c r="D31" s="30"/>
      <c r="E31" s="30"/>
      <c r="F31" s="30"/>
      <c r="G31" s="30"/>
      <c r="H31" s="30"/>
      <c r="I31" s="30"/>
      <c r="J31" s="30"/>
      <c r="K31" s="30"/>
      <c r="L31" s="30"/>
      <c r="M31" s="30"/>
      <c r="N31" s="30"/>
    </row>
    <row r="32" customFormat="false" ht="15" hidden="false" customHeight="false" outlineLevel="0" collapsed="false">
      <c r="A32" s="29"/>
      <c r="B32" s="30"/>
      <c r="C32" s="30"/>
      <c r="D32" s="30"/>
      <c r="E32" s="30"/>
      <c r="F32" s="30"/>
      <c r="G32" s="30"/>
      <c r="H32" s="30"/>
      <c r="I32" s="30"/>
      <c r="J32" s="30"/>
      <c r="K32" s="30"/>
      <c r="L32" s="30"/>
      <c r="M32" s="30"/>
      <c r="N32" s="30"/>
    </row>
    <row r="33" customFormat="false" ht="15" hidden="false" customHeight="false" outlineLevel="0" collapsed="false">
      <c r="A33" s="29"/>
      <c r="B33" s="30"/>
      <c r="C33" s="30"/>
      <c r="D33" s="30"/>
      <c r="E33" s="30"/>
      <c r="F33" s="30"/>
      <c r="G33" s="30"/>
      <c r="H33" s="30"/>
      <c r="I33" s="30"/>
      <c r="J33" s="30"/>
      <c r="K33" s="30"/>
      <c r="L33" s="30"/>
      <c r="M33" s="30"/>
      <c r="N33" s="30"/>
    </row>
    <row r="34" customFormat="false" ht="15" hidden="false" customHeight="false" outlineLevel="0" collapsed="false">
      <c r="A34" s="29"/>
      <c r="B34" s="30"/>
      <c r="C34" s="30"/>
      <c r="D34" s="30"/>
      <c r="E34" s="30"/>
      <c r="F34" s="30"/>
      <c r="G34" s="30"/>
      <c r="H34" s="30"/>
      <c r="I34" s="30"/>
      <c r="J34" s="30"/>
      <c r="K34" s="30"/>
      <c r="L34" s="30"/>
      <c r="M34" s="30"/>
      <c r="N34" s="30"/>
    </row>
    <row r="35" customFormat="false" ht="15" hidden="false" customHeight="false" outlineLevel="0" collapsed="false">
      <c r="A35" s="29"/>
      <c r="B35" s="30"/>
      <c r="C35" s="30"/>
      <c r="D35" s="30"/>
      <c r="E35" s="30"/>
      <c r="F35" s="30"/>
      <c r="G35" s="30"/>
      <c r="H35" s="30"/>
      <c r="I35" s="30"/>
      <c r="J35" s="30"/>
      <c r="K35" s="30"/>
      <c r="L35" s="30"/>
      <c r="M35" s="30"/>
      <c r="N35" s="30"/>
    </row>
    <row r="36" customFormat="false" ht="15" hidden="false" customHeight="false" outlineLevel="0" collapsed="false">
      <c r="A36" s="29"/>
      <c r="B36" s="30"/>
      <c r="C36" s="30"/>
      <c r="D36" s="30"/>
      <c r="E36" s="30"/>
      <c r="F36" s="30"/>
      <c r="G36" s="30"/>
      <c r="H36" s="30"/>
      <c r="I36" s="30"/>
      <c r="J36" s="30"/>
      <c r="K36" s="30"/>
      <c r="L36" s="30"/>
      <c r="M36" s="30"/>
      <c r="N36" s="30"/>
    </row>
    <row r="37" customFormat="false" ht="15" hidden="false" customHeight="false" outlineLevel="0" collapsed="false">
      <c r="A37" s="29"/>
      <c r="B37" s="30"/>
      <c r="C37" s="30"/>
      <c r="D37" s="30"/>
      <c r="E37" s="30"/>
      <c r="F37" s="30"/>
      <c r="G37" s="30"/>
      <c r="H37" s="30"/>
      <c r="I37" s="30"/>
      <c r="J37" s="30"/>
      <c r="K37" s="30"/>
      <c r="L37" s="30"/>
      <c r="M37" s="30"/>
      <c r="N37" s="30"/>
    </row>
    <row r="38" customFormat="false" ht="15" hidden="false" customHeight="false" outlineLevel="0" collapsed="false">
      <c r="A38" s="29"/>
      <c r="B38" s="30"/>
      <c r="C38" s="30"/>
      <c r="D38" s="30"/>
      <c r="E38" s="30"/>
      <c r="F38" s="30"/>
      <c r="G38" s="30"/>
      <c r="H38" s="30"/>
      <c r="I38" s="30"/>
      <c r="J38" s="30"/>
      <c r="K38" s="30"/>
      <c r="L38" s="30"/>
      <c r="M38" s="30"/>
      <c r="N38" s="30"/>
    </row>
    <row r="39" customFormat="false" ht="15" hidden="false" customHeight="false" outlineLevel="0" collapsed="false">
      <c r="A39" s="29"/>
      <c r="B39" s="30"/>
      <c r="C39" s="30"/>
      <c r="D39" s="30"/>
      <c r="E39" s="30"/>
      <c r="F39" s="30"/>
      <c r="G39" s="30"/>
      <c r="H39" s="30"/>
      <c r="I39" s="30"/>
      <c r="J39" s="30"/>
      <c r="K39" s="30"/>
      <c r="L39" s="30"/>
      <c r="M39" s="30"/>
      <c r="N39" s="30"/>
    </row>
    <row r="40" customFormat="false" ht="15" hidden="false" customHeight="false" outlineLevel="0" collapsed="false">
      <c r="A40" s="29"/>
      <c r="B40" s="30"/>
      <c r="C40" s="30"/>
      <c r="D40" s="30"/>
      <c r="E40" s="30"/>
      <c r="F40" s="30"/>
      <c r="G40" s="30"/>
      <c r="H40" s="30"/>
      <c r="I40" s="30"/>
      <c r="J40" s="30"/>
      <c r="K40" s="30"/>
      <c r="L40" s="30"/>
      <c r="M40" s="30"/>
      <c r="N40" s="30"/>
    </row>
    <row r="41" customFormat="false" ht="15" hidden="false" customHeight="false" outlineLevel="0" collapsed="false">
      <c r="A41" s="29"/>
      <c r="B41" s="30"/>
      <c r="C41" s="30"/>
      <c r="D41" s="30"/>
      <c r="E41" s="30"/>
      <c r="F41" s="30"/>
      <c r="G41" s="30"/>
      <c r="H41" s="30"/>
      <c r="I41" s="30"/>
      <c r="J41" s="30"/>
      <c r="K41" s="30"/>
      <c r="L41" s="30"/>
      <c r="M41" s="30"/>
      <c r="N41" s="30"/>
    </row>
    <row r="42" customFormat="false" ht="15" hidden="false" customHeight="false" outlineLevel="0" collapsed="false">
      <c r="A42" s="29"/>
      <c r="B42" s="30"/>
      <c r="C42" s="30"/>
      <c r="D42" s="30"/>
      <c r="E42" s="30"/>
      <c r="F42" s="30"/>
      <c r="G42" s="30"/>
      <c r="H42" s="30"/>
      <c r="I42" s="30"/>
      <c r="J42" s="30"/>
      <c r="K42" s="30"/>
      <c r="L42" s="30"/>
      <c r="M42" s="30"/>
      <c r="N42" s="30"/>
    </row>
    <row r="43" customFormat="false" ht="15" hidden="false" customHeight="false" outlineLevel="0" collapsed="false">
      <c r="A43" s="29"/>
      <c r="B43" s="30"/>
      <c r="C43" s="30"/>
      <c r="D43" s="30"/>
      <c r="E43" s="30"/>
      <c r="F43" s="30"/>
      <c r="G43" s="30"/>
      <c r="H43" s="30"/>
      <c r="I43" s="30"/>
      <c r="J43" s="30"/>
      <c r="K43" s="30"/>
      <c r="L43" s="30"/>
      <c r="M43" s="30"/>
      <c r="N43" s="30"/>
    </row>
    <row r="44" customFormat="false" ht="15" hidden="false" customHeight="false" outlineLevel="0" collapsed="false">
      <c r="A44" s="29"/>
      <c r="B44" s="30"/>
      <c r="C44" s="30"/>
      <c r="D44" s="30"/>
      <c r="E44" s="30"/>
      <c r="F44" s="30"/>
      <c r="G44" s="30"/>
      <c r="H44" s="30"/>
      <c r="I44" s="30"/>
      <c r="J44" s="30"/>
      <c r="K44" s="30"/>
      <c r="L44" s="30"/>
      <c r="M44" s="30"/>
      <c r="N44" s="30"/>
    </row>
    <row r="45" customFormat="false" ht="15" hidden="false" customHeight="false" outlineLevel="0" collapsed="false">
      <c r="A45" s="29"/>
      <c r="B45" s="30"/>
      <c r="C45" s="30"/>
      <c r="D45" s="30"/>
      <c r="E45" s="30"/>
      <c r="F45" s="30"/>
      <c r="G45" s="30"/>
      <c r="H45" s="30"/>
      <c r="I45" s="30"/>
      <c r="J45" s="30"/>
      <c r="K45" s="30"/>
      <c r="L45" s="30"/>
      <c r="M45" s="30"/>
      <c r="N45" s="30"/>
    </row>
    <row r="46" customFormat="false" ht="15" hidden="false" customHeight="false" outlineLevel="0" collapsed="false">
      <c r="A46" s="29"/>
      <c r="B46" s="30"/>
      <c r="C46" s="30"/>
      <c r="D46" s="30"/>
      <c r="E46" s="30"/>
      <c r="F46" s="30"/>
      <c r="G46" s="30"/>
      <c r="H46" s="30"/>
      <c r="I46" s="30"/>
      <c r="J46" s="30"/>
      <c r="K46" s="30"/>
      <c r="L46" s="30"/>
      <c r="M46" s="30"/>
      <c r="N46" s="30"/>
    </row>
    <row r="47" customFormat="false" ht="15" hidden="false" customHeight="false" outlineLevel="0" collapsed="false">
      <c r="A47" s="29"/>
      <c r="B47" s="30"/>
      <c r="C47" s="30"/>
      <c r="D47" s="30"/>
      <c r="E47" s="30"/>
      <c r="F47" s="30"/>
      <c r="G47" s="30"/>
      <c r="H47" s="30"/>
      <c r="I47" s="30"/>
      <c r="J47" s="30"/>
      <c r="K47" s="30"/>
      <c r="L47" s="30"/>
      <c r="M47" s="30"/>
      <c r="N47" s="30"/>
    </row>
    <row r="48" customFormat="false" ht="15" hidden="false" customHeight="false" outlineLevel="0" collapsed="false">
      <c r="A48" s="29"/>
      <c r="B48" s="30"/>
      <c r="C48" s="30"/>
      <c r="D48" s="30"/>
      <c r="E48" s="30"/>
      <c r="F48" s="30"/>
      <c r="G48" s="30"/>
      <c r="H48" s="30"/>
      <c r="I48" s="30"/>
      <c r="J48" s="30"/>
      <c r="K48" s="30"/>
      <c r="L48" s="30"/>
      <c r="M48" s="30"/>
      <c r="N48" s="30"/>
    </row>
    <row r="49" customFormat="false" ht="15" hidden="false" customHeight="false" outlineLevel="0" collapsed="false">
      <c r="A49" s="29"/>
      <c r="B49" s="30"/>
      <c r="C49" s="30"/>
      <c r="D49" s="30"/>
      <c r="E49" s="30"/>
      <c r="F49" s="30"/>
      <c r="G49" s="30"/>
      <c r="H49" s="30"/>
      <c r="I49" s="30"/>
      <c r="J49" s="30"/>
      <c r="K49" s="30"/>
      <c r="L49" s="30"/>
      <c r="M49" s="30"/>
      <c r="N49" s="30"/>
    </row>
    <row r="50" customFormat="false" ht="15" hidden="false" customHeight="false" outlineLevel="0" collapsed="false">
      <c r="A50" s="29"/>
      <c r="B50" s="30"/>
      <c r="C50" s="30"/>
      <c r="D50" s="30"/>
      <c r="E50" s="30"/>
      <c r="F50" s="30"/>
      <c r="G50" s="30"/>
      <c r="H50" s="30"/>
      <c r="I50" s="30"/>
      <c r="J50" s="30"/>
      <c r="K50" s="30"/>
      <c r="L50" s="30"/>
      <c r="M50" s="30"/>
      <c r="N50" s="30"/>
    </row>
    <row r="51" customFormat="false" ht="15" hidden="false" customHeight="false" outlineLevel="0" collapsed="false">
      <c r="A51" s="29"/>
      <c r="B51" s="30"/>
      <c r="C51" s="30"/>
      <c r="D51" s="30"/>
      <c r="E51" s="30"/>
      <c r="F51" s="30"/>
      <c r="G51" s="30"/>
      <c r="H51" s="30"/>
      <c r="I51" s="30"/>
      <c r="J51" s="30"/>
      <c r="K51" s="30"/>
      <c r="L51" s="30"/>
      <c r="M51" s="30"/>
      <c r="N51" s="30"/>
    </row>
    <row r="52" customFormat="false" ht="15" hidden="false" customHeight="false" outlineLevel="0" collapsed="false">
      <c r="A52" s="29"/>
      <c r="B52" s="30"/>
      <c r="C52" s="30"/>
      <c r="D52" s="30"/>
      <c r="E52" s="30"/>
      <c r="F52" s="30"/>
      <c r="G52" s="30"/>
      <c r="H52" s="30"/>
      <c r="I52" s="30"/>
      <c r="J52" s="30"/>
      <c r="K52" s="30"/>
      <c r="L52" s="30"/>
      <c r="M52" s="30"/>
      <c r="N52" s="30"/>
    </row>
    <row r="53" customFormat="false" ht="15" hidden="false" customHeight="false" outlineLevel="0" collapsed="false">
      <c r="A53" s="29"/>
      <c r="B53" s="30"/>
      <c r="C53" s="30"/>
      <c r="D53" s="30"/>
      <c r="E53" s="30"/>
      <c r="F53" s="30"/>
      <c r="G53" s="30"/>
      <c r="H53" s="30"/>
      <c r="I53" s="30"/>
      <c r="J53" s="30"/>
      <c r="K53" s="30"/>
      <c r="L53" s="30"/>
      <c r="M53" s="30"/>
      <c r="N53" s="30"/>
    </row>
    <row r="54" customFormat="false" ht="15" hidden="false" customHeight="false" outlineLevel="0" collapsed="false">
      <c r="A54" s="29"/>
      <c r="B54" s="30"/>
      <c r="C54" s="30"/>
      <c r="D54" s="30"/>
      <c r="E54" s="30"/>
      <c r="F54" s="30"/>
      <c r="G54" s="30"/>
      <c r="H54" s="30"/>
      <c r="I54" s="30"/>
      <c r="J54" s="30"/>
      <c r="K54" s="30"/>
      <c r="L54" s="30"/>
      <c r="M54" s="30"/>
      <c r="N54" s="30"/>
    </row>
    <row r="55" customFormat="false" ht="15" hidden="false" customHeight="false" outlineLevel="0" collapsed="false">
      <c r="A55" s="29"/>
      <c r="B55" s="30"/>
      <c r="C55" s="30"/>
      <c r="D55" s="30"/>
      <c r="E55" s="30"/>
      <c r="F55" s="30"/>
      <c r="G55" s="30"/>
      <c r="H55" s="30"/>
      <c r="I55" s="30"/>
      <c r="J55" s="30"/>
      <c r="K55" s="30"/>
      <c r="L55" s="30"/>
      <c r="M55" s="30"/>
      <c r="N55" s="30"/>
    </row>
    <row r="56" customFormat="false" ht="15" hidden="false" customHeight="false" outlineLevel="0" collapsed="false">
      <c r="A56" s="29"/>
      <c r="B56" s="30"/>
      <c r="C56" s="30"/>
      <c r="D56" s="30"/>
      <c r="E56" s="30"/>
      <c r="F56" s="30"/>
      <c r="G56" s="30"/>
      <c r="H56" s="30"/>
      <c r="I56" s="30"/>
      <c r="J56" s="30"/>
      <c r="K56" s="30"/>
      <c r="L56" s="30"/>
      <c r="M56" s="30"/>
      <c r="N56" s="30"/>
    </row>
    <row r="57" customFormat="false" ht="15" hidden="false" customHeight="false" outlineLevel="0" collapsed="false">
      <c r="A57" s="29"/>
      <c r="B57" s="30"/>
      <c r="C57" s="30"/>
      <c r="D57" s="30"/>
      <c r="E57" s="30"/>
      <c r="F57" s="30"/>
      <c r="G57" s="30"/>
      <c r="H57" s="30"/>
      <c r="I57" s="30"/>
      <c r="J57" s="30"/>
      <c r="K57" s="30"/>
      <c r="L57" s="30"/>
      <c r="M57" s="30"/>
      <c r="N57" s="30"/>
    </row>
    <row r="58" customFormat="false" ht="15" hidden="false" customHeight="false" outlineLevel="0" collapsed="false">
      <c r="A58" s="29"/>
      <c r="B58" s="30"/>
      <c r="C58" s="30"/>
      <c r="D58" s="30"/>
      <c r="E58" s="30"/>
      <c r="F58" s="30"/>
      <c r="G58" s="30"/>
      <c r="H58" s="30"/>
      <c r="I58" s="30"/>
      <c r="J58" s="30"/>
      <c r="K58" s="30"/>
      <c r="L58" s="30"/>
      <c r="M58" s="30"/>
      <c r="N58" s="30"/>
    </row>
    <row r="59" customFormat="false" ht="15" hidden="false" customHeight="false" outlineLevel="0" collapsed="false">
      <c r="A59" s="29"/>
      <c r="B59" s="30"/>
      <c r="C59" s="30"/>
      <c r="D59" s="30"/>
      <c r="E59" s="30"/>
      <c r="F59" s="30"/>
      <c r="G59" s="30"/>
      <c r="H59" s="30"/>
      <c r="I59" s="30"/>
      <c r="J59" s="30"/>
      <c r="K59" s="30"/>
      <c r="L59" s="30"/>
      <c r="M59" s="30"/>
      <c r="N59" s="30"/>
    </row>
    <row r="60" customFormat="false" ht="15" hidden="false" customHeight="false" outlineLevel="0" collapsed="false">
      <c r="A60" s="29"/>
      <c r="B60" s="30"/>
      <c r="C60" s="30"/>
      <c r="D60" s="30"/>
      <c r="E60" s="30"/>
      <c r="F60" s="30"/>
      <c r="G60" s="30"/>
      <c r="H60" s="30"/>
      <c r="I60" s="30"/>
      <c r="J60" s="30"/>
      <c r="K60" s="30"/>
      <c r="L60" s="30"/>
      <c r="M60" s="30"/>
      <c r="N60" s="30"/>
    </row>
    <row r="61" customFormat="false" ht="15" hidden="false" customHeight="false" outlineLevel="0" collapsed="false">
      <c r="A61" s="29"/>
      <c r="B61" s="30"/>
      <c r="C61" s="30"/>
      <c r="D61" s="30"/>
      <c r="E61" s="30"/>
      <c r="F61" s="30"/>
      <c r="G61" s="30"/>
      <c r="H61" s="30"/>
      <c r="I61" s="30"/>
      <c r="J61" s="30"/>
      <c r="K61" s="30"/>
      <c r="L61" s="30"/>
      <c r="M61" s="30"/>
      <c r="N61" s="30"/>
    </row>
    <row r="62" customFormat="false" ht="15" hidden="false" customHeight="false" outlineLevel="0" collapsed="false">
      <c r="A62" s="29"/>
      <c r="B62" s="30"/>
      <c r="C62" s="30"/>
      <c r="D62" s="30"/>
      <c r="E62" s="30"/>
      <c r="F62" s="30"/>
      <c r="G62" s="30"/>
      <c r="H62" s="30"/>
      <c r="I62" s="30"/>
      <c r="J62" s="30"/>
      <c r="K62" s="30"/>
      <c r="L62" s="30"/>
      <c r="M62" s="30"/>
      <c r="N62" s="30"/>
    </row>
    <row r="63" customFormat="false" ht="15" hidden="false" customHeight="false" outlineLevel="0" collapsed="false">
      <c r="A63" s="29"/>
      <c r="B63" s="30"/>
      <c r="C63" s="30"/>
      <c r="D63" s="30"/>
      <c r="E63" s="30"/>
      <c r="F63" s="30"/>
      <c r="G63" s="30"/>
      <c r="H63" s="30"/>
      <c r="I63" s="30"/>
      <c r="J63" s="30"/>
      <c r="K63" s="30"/>
      <c r="L63" s="30"/>
      <c r="M63" s="30"/>
      <c r="N63" s="30"/>
    </row>
    <row r="64" customFormat="false" ht="15" hidden="false" customHeight="false" outlineLevel="0" collapsed="false">
      <c r="A64" s="29"/>
      <c r="B64" s="30"/>
      <c r="C64" s="30"/>
      <c r="D64" s="30"/>
      <c r="E64" s="30"/>
      <c r="F64" s="30"/>
      <c r="G64" s="30"/>
      <c r="H64" s="30"/>
      <c r="I64" s="30"/>
      <c r="J64" s="30"/>
      <c r="K64" s="30"/>
      <c r="L64" s="30"/>
      <c r="M64" s="30"/>
      <c r="N64" s="30"/>
    </row>
    <row r="65" customFormat="false" ht="15" hidden="false" customHeight="false" outlineLevel="0" collapsed="false">
      <c r="A65" s="29"/>
      <c r="B65" s="30"/>
      <c r="C65" s="30"/>
      <c r="D65" s="30"/>
      <c r="E65" s="30"/>
      <c r="F65" s="30"/>
      <c r="G65" s="30"/>
      <c r="H65" s="30"/>
      <c r="I65" s="30"/>
      <c r="J65" s="30"/>
      <c r="K65" s="30"/>
      <c r="L65" s="30"/>
      <c r="M65" s="30"/>
      <c r="N65" s="30"/>
    </row>
    <row r="66" customFormat="false" ht="15" hidden="false" customHeight="false" outlineLevel="0" collapsed="false">
      <c r="A66" s="29"/>
      <c r="B66" s="30"/>
      <c r="C66" s="30"/>
      <c r="D66" s="30"/>
      <c r="E66" s="30"/>
      <c r="F66" s="30"/>
      <c r="G66" s="30"/>
      <c r="H66" s="30"/>
      <c r="I66" s="30"/>
      <c r="J66" s="30"/>
      <c r="K66" s="30"/>
      <c r="L66" s="30"/>
      <c r="M66" s="30"/>
      <c r="N66" s="30"/>
    </row>
    <row r="67" customFormat="false" ht="15" hidden="false" customHeight="false" outlineLevel="0" collapsed="false">
      <c r="A67" s="29"/>
      <c r="B67" s="30"/>
      <c r="C67" s="30"/>
      <c r="D67" s="30"/>
      <c r="E67" s="30"/>
      <c r="F67" s="30"/>
      <c r="G67" s="30"/>
      <c r="H67" s="30"/>
      <c r="I67" s="30"/>
      <c r="J67" s="30"/>
      <c r="K67" s="30"/>
      <c r="L67" s="30"/>
      <c r="M67" s="30"/>
      <c r="N67" s="30"/>
    </row>
    <row r="68" customFormat="false" ht="15" hidden="false" customHeight="false" outlineLevel="0" collapsed="false">
      <c r="A68" s="29"/>
      <c r="B68" s="30"/>
      <c r="C68" s="30"/>
      <c r="D68" s="30"/>
      <c r="E68" s="30"/>
      <c r="F68" s="30"/>
      <c r="G68" s="30"/>
      <c r="H68" s="30"/>
      <c r="I68" s="30"/>
      <c r="J68" s="30"/>
      <c r="K68" s="30"/>
      <c r="L68" s="30"/>
      <c r="M68" s="30"/>
      <c r="N68" s="30"/>
    </row>
    <row r="69" customFormat="false" ht="15" hidden="false" customHeight="false" outlineLevel="0" collapsed="false">
      <c r="A69" s="29"/>
      <c r="B69" s="30"/>
      <c r="C69" s="30"/>
      <c r="D69" s="30"/>
      <c r="E69" s="30"/>
      <c r="F69" s="30"/>
      <c r="G69" s="30"/>
      <c r="H69" s="30"/>
      <c r="I69" s="30"/>
      <c r="J69" s="30"/>
      <c r="K69" s="30"/>
      <c r="L69" s="30"/>
      <c r="M69" s="30"/>
      <c r="N69" s="30"/>
    </row>
    <row r="70" customFormat="false" ht="15" hidden="false" customHeight="false" outlineLevel="0" collapsed="false">
      <c r="A70" s="29"/>
      <c r="B70" s="30"/>
      <c r="C70" s="30"/>
      <c r="D70" s="30"/>
      <c r="E70" s="30"/>
      <c r="F70" s="30"/>
      <c r="G70" s="30"/>
      <c r="H70" s="30"/>
      <c r="I70" s="30"/>
      <c r="J70" s="30"/>
      <c r="K70" s="30"/>
      <c r="L70" s="30"/>
      <c r="M70" s="30"/>
      <c r="N70" s="30"/>
    </row>
    <row r="71" customFormat="false" ht="15" hidden="false" customHeight="false" outlineLevel="0" collapsed="false">
      <c r="A71" s="29"/>
      <c r="B71" s="30"/>
      <c r="C71" s="30"/>
      <c r="D71" s="30"/>
      <c r="E71" s="30"/>
      <c r="F71" s="30"/>
      <c r="G71" s="30"/>
      <c r="H71" s="30"/>
      <c r="I71" s="30"/>
      <c r="J71" s="30"/>
      <c r="K71" s="30"/>
      <c r="L71" s="30"/>
      <c r="M71" s="30"/>
      <c r="N71" s="30"/>
    </row>
    <row r="72" customFormat="false" ht="15" hidden="false" customHeight="false" outlineLevel="0" collapsed="false">
      <c r="A72" s="29"/>
      <c r="B72" s="30"/>
      <c r="C72" s="30"/>
      <c r="D72" s="30"/>
      <c r="E72" s="30"/>
      <c r="F72" s="30"/>
      <c r="G72" s="30"/>
      <c r="H72" s="30"/>
      <c r="I72" s="30"/>
      <c r="J72" s="30"/>
      <c r="K72" s="30"/>
      <c r="L72" s="30"/>
      <c r="M72" s="30"/>
      <c r="N72" s="30"/>
    </row>
    <row r="73" customFormat="false" ht="15" hidden="false" customHeight="false" outlineLevel="0" collapsed="false">
      <c r="A73" s="29"/>
      <c r="B73" s="30"/>
      <c r="C73" s="30"/>
      <c r="D73" s="30"/>
      <c r="E73" s="30"/>
      <c r="F73" s="30"/>
      <c r="G73" s="30"/>
      <c r="H73" s="30"/>
      <c r="I73" s="30"/>
      <c r="J73" s="30"/>
      <c r="K73" s="30"/>
      <c r="L73" s="30"/>
      <c r="M73" s="30"/>
      <c r="N73" s="30"/>
    </row>
    <row r="74" customFormat="false" ht="15" hidden="false" customHeight="false" outlineLevel="0" collapsed="false">
      <c r="A74" s="29"/>
      <c r="B74" s="30"/>
      <c r="C74" s="30"/>
      <c r="D74" s="30"/>
      <c r="E74" s="30"/>
      <c r="F74" s="30"/>
      <c r="G74" s="30"/>
      <c r="H74" s="30"/>
      <c r="I74" s="30"/>
      <c r="J74" s="30"/>
      <c r="K74" s="30"/>
      <c r="L74" s="30"/>
      <c r="M74" s="30"/>
      <c r="N74" s="30"/>
    </row>
    <row r="75" customFormat="false" ht="15" hidden="false" customHeight="false" outlineLevel="0" collapsed="false">
      <c r="A75" s="29"/>
      <c r="B75" s="30"/>
      <c r="C75" s="30"/>
      <c r="D75" s="30"/>
      <c r="E75" s="30"/>
      <c r="F75" s="30"/>
      <c r="G75" s="30"/>
      <c r="H75" s="30"/>
      <c r="I75" s="30"/>
      <c r="J75" s="30"/>
      <c r="K75" s="30"/>
      <c r="L75" s="30"/>
      <c r="M75" s="30"/>
      <c r="N75" s="30"/>
    </row>
    <row r="76" customFormat="false" ht="15" hidden="false" customHeight="false" outlineLevel="0" collapsed="false">
      <c r="A76" s="29"/>
      <c r="B76" s="30"/>
      <c r="C76" s="30"/>
      <c r="D76" s="30"/>
      <c r="E76" s="30"/>
      <c r="F76" s="30"/>
      <c r="G76" s="30"/>
      <c r="H76" s="30"/>
      <c r="I76" s="30"/>
      <c r="J76" s="30"/>
      <c r="K76" s="30"/>
      <c r="L76" s="30"/>
      <c r="M76" s="30"/>
      <c r="N76" s="30"/>
    </row>
    <row r="77" customFormat="false" ht="15" hidden="false" customHeight="false" outlineLevel="0" collapsed="false">
      <c r="A77" s="29"/>
      <c r="B77" s="30"/>
      <c r="C77" s="30"/>
      <c r="D77" s="30"/>
      <c r="E77" s="30"/>
      <c r="F77" s="30"/>
      <c r="G77" s="30"/>
      <c r="H77" s="30"/>
      <c r="I77" s="30"/>
      <c r="J77" s="30"/>
      <c r="K77" s="30"/>
      <c r="L77" s="30"/>
      <c r="M77" s="30"/>
      <c r="N77" s="30"/>
    </row>
    <row r="78" customFormat="false" ht="15" hidden="false" customHeight="false" outlineLevel="0" collapsed="false">
      <c r="A78" s="29"/>
      <c r="B78" s="30"/>
      <c r="C78" s="30"/>
      <c r="D78" s="30"/>
      <c r="E78" s="30"/>
      <c r="F78" s="30"/>
      <c r="G78" s="30"/>
      <c r="H78" s="30"/>
      <c r="I78" s="30"/>
      <c r="J78" s="30"/>
      <c r="K78" s="30"/>
      <c r="L78" s="30"/>
      <c r="M78" s="30"/>
      <c r="N78" s="30"/>
    </row>
    <row r="79" customFormat="false" ht="15" hidden="false" customHeight="false" outlineLevel="0" collapsed="false">
      <c r="A79" s="29"/>
      <c r="B79" s="30"/>
      <c r="C79" s="30"/>
      <c r="D79" s="30"/>
      <c r="E79" s="30"/>
      <c r="F79" s="30"/>
      <c r="G79" s="30"/>
      <c r="H79" s="30"/>
      <c r="I79" s="30"/>
      <c r="J79" s="30"/>
      <c r="K79" s="30"/>
      <c r="L79" s="30"/>
      <c r="M79" s="30"/>
      <c r="N79" s="30"/>
    </row>
    <row r="80" customFormat="false" ht="15" hidden="false" customHeight="false" outlineLevel="0" collapsed="false">
      <c r="A80" s="29"/>
      <c r="B80" s="30"/>
      <c r="C80" s="30"/>
      <c r="D80" s="30"/>
      <c r="E80" s="30"/>
      <c r="F80" s="30"/>
      <c r="G80" s="30"/>
      <c r="H80" s="30"/>
      <c r="I80" s="30"/>
      <c r="J80" s="30"/>
      <c r="K80" s="30"/>
      <c r="L80" s="30"/>
      <c r="M80" s="30"/>
      <c r="N80" s="30"/>
    </row>
    <row r="81" customFormat="false" ht="15" hidden="false" customHeight="false" outlineLevel="0" collapsed="false">
      <c r="A81" s="29"/>
      <c r="B81" s="30"/>
      <c r="C81" s="30"/>
      <c r="D81" s="30"/>
      <c r="E81" s="30"/>
      <c r="F81" s="30"/>
      <c r="G81" s="30"/>
      <c r="H81" s="30"/>
      <c r="I81" s="30"/>
      <c r="J81" s="30"/>
      <c r="K81" s="30"/>
      <c r="L81" s="30"/>
      <c r="M81" s="30"/>
      <c r="N81" s="30"/>
    </row>
    <row r="82" customFormat="false" ht="15" hidden="false" customHeight="false" outlineLevel="0" collapsed="false">
      <c r="A82" s="29"/>
      <c r="B82" s="30"/>
      <c r="C82" s="30"/>
      <c r="D82" s="30"/>
      <c r="E82" s="30"/>
      <c r="F82" s="30"/>
      <c r="G82" s="30"/>
      <c r="H82" s="30"/>
      <c r="I82" s="30"/>
      <c r="J82" s="30"/>
      <c r="K82" s="30"/>
      <c r="L82" s="30"/>
      <c r="M82" s="30"/>
      <c r="N82" s="30"/>
    </row>
    <row r="83" customFormat="false" ht="15" hidden="false" customHeight="false" outlineLevel="0" collapsed="false">
      <c r="A83" s="29"/>
      <c r="B83" s="30"/>
      <c r="C83" s="30"/>
      <c r="D83" s="30"/>
      <c r="E83" s="30"/>
      <c r="F83" s="30"/>
      <c r="G83" s="30"/>
      <c r="H83" s="30"/>
      <c r="I83" s="30"/>
      <c r="J83" s="30"/>
      <c r="K83" s="30"/>
      <c r="L83" s="30"/>
      <c r="M83" s="30"/>
      <c r="N83" s="30"/>
    </row>
    <row r="84" customFormat="false" ht="15" hidden="false" customHeight="false" outlineLevel="0" collapsed="false">
      <c r="A84" s="29"/>
      <c r="B84" s="30"/>
      <c r="C84" s="30"/>
      <c r="D84" s="30"/>
      <c r="E84" s="30"/>
      <c r="F84" s="30"/>
      <c r="G84" s="30"/>
      <c r="H84" s="30"/>
      <c r="I84" s="30"/>
      <c r="J84" s="30"/>
      <c r="K84" s="30"/>
      <c r="L84" s="30"/>
      <c r="M84" s="30"/>
      <c r="N84" s="30"/>
    </row>
    <row r="85" customFormat="false" ht="15" hidden="false" customHeight="false" outlineLevel="0" collapsed="false">
      <c r="A85" s="29"/>
      <c r="B85" s="30"/>
      <c r="C85" s="30"/>
      <c r="D85" s="30"/>
      <c r="E85" s="30"/>
      <c r="F85" s="30"/>
      <c r="G85" s="30"/>
      <c r="H85" s="30"/>
      <c r="I85" s="30"/>
      <c r="J85" s="30"/>
      <c r="K85" s="30"/>
      <c r="L85" s="30"/>
      <c r="M85" s="30"/>
      <c r="N85" s="30"/>
    </row>
    <row r="86" customFormat="false" ht="15" hidden="false" customHeight="false" outlineLevel="0" collapsed="false">
      <c r="A86" s="29"/>
      <c r="B86" s="30"/>
      <c r="C86" s="30"/>
      <c r="D86" s="30"/>
      <c r="E86" s="30"/>
      <c r="F86" s="30"/>
      <c r="G86" s="30"/>
      <c r="H86" s="30"/>
      <c r="I86" s="30"/>
      <c r="J86" s="30"/>
      <c r="K86" s="30"/>
      <c r="L86" s="30"/>
      <c r="M86" s="30"/>
      <c r="N86" s="30"/>
    </row>
    <row r="87" customFormat="false" ht="15" hidden="false" customHeight="false" outlineLevel="0" collapsed="false">
      <c r="A87" s="29"/>
      <c r="B87" s="30"/>
      <c r="C87" s="30"/>
      <c r="D87" s="30"/>
      <c r="E87" s="30"/>
      <c r="F87" s="30"/>
      <c r="G87" s="30"/>
      <c r="H87" s="30"/>
      <c r="I87" s="30"/>
      <c r="J87" s="30"/>
      <c r="K87" s="30"/>
      <c r="L87" s="30"/>
      <c r="M87" s="30"/>
      <c r="N87" s="30"/>
    </row>
    <row r="88" customFormat="false" ht="15" hidden="false" customHeight="false" outlineLevel="0" collapsed="false">
      <c r="A88" s="29"/>
      <c r="B88" s="30"/>
      <c r="C88" s="30"/>
      <c r="D88" s="30"/>
      <c r="E88" s="30"/>
      <c r="F88" s="30"/>
      <c r="G88" s="30"/>
      <c r="H88" s="30"/>
      <c r="I88" s="30"/>
      <c r="J88" s="30"/>
      <c r="K88" s="30"/>
      <c r="L88" s="30"/>
      <c r="M88" s="30"/>
      <c r="N88" s="30"/>
    </row>
    <row r="89" customFormat="false" ht="15" hidden="false" customHeight="false" outlineLevel="0" collapsed="false">
      <c r="A89" s="29"/>
      <c r="B89" s="30"/>
      <c r="C89" s="30"/>
      <c r="D89" s="30"/>
      <c r="E89" s="30"/>
      <c r="F89" s="30"/>
      <c r="G89" s="30"/>
      <c r="H89" s="30"/>
      <c r="I89" s="30"/>
      <c r="J89" s="30"/>
      <c r="K89" s="30"/>
      <c r="L89" s="30"/>
      <c r="M89" s="30"/>
      <c r="N89" s="30"/>
    </row>
    <row r="90" customFormat="false" ht="15" hidden="false" customHeight="false" outlineLevel="0" collapsed="false">
      <c r="A90" s="29"/>
      <c r="B90" s="30"/>
      <c r="C90" s="30"/>
      <c r="D90" s="30"/>
      <c r="E90" s="30"/>
      <c r="F90" s="30"/>
      <c r="G90" s="30"/>
      <c r="H90" s="30"/>
      <c r="I90" s="30"/>
      <c r="J90" s="30"/>
      <c r="K90" s="30"/>
      <c r="L90" s="30"/>
      <c r="M90" s="30"/>
      <c r="N90" s="30"/>
    </row>
    <row r="91" customFormat="false" ht="15" hidden="false" customHeight="false" outlineLevel="0" collapsed="false">
      <c r="A91" s="29"/>
      <c r="B91" s="30"/>
      <c r="C91" s="30"/>
      <c r="D91" s="30"/>
      <c r="E91" s="30"/>
      <c r="F91" s="30"/>
      <c r="G91" s="30"/>
      <c r="H91" s="30"/>
      <c r="I91" s="30"/>
      <c r="J91" s="30"/>
      <c r="K91" s="30"/>
      <c r="L91" s="30"/>
      <c r="M91" s="30"/>
      <c r="N91" s="30"/>
    </row>
    <row r="92" customFormat="false" ht="15" hidden="false" customHeight="false" outlineLevel="0" collapsed="false">
      <c r="A92" s="29"/>
      <c r="B92" s="30"/>
      <c r="C92" s="30"/>
      <c r="D92" s="30"/>
      <c r="E92" s="30"/>
      <c r="F92" s="30"/>
      <c r="G92" s="30"/>
      <c r="H92" s="30"/>
      <c r="I92" s="30"/>
      <c r="J92" s="30"/>
      <c r="K92" s="30"/>
      <c r="L92" s="30"/>
      <c r="M92" s="30"/>
      <c r="N92" s="30"/>
    </row>
    <row r="93" customFormat="false" ht="15" hidden="false" customHeight="false" outlineLevel="0" collapsed="false">
      <c r="A93" s="29"/>
      <c r="B93" s="30"/>
      <c r="C93" s="30"/>
      <c r="D93" s="30"/>
      <c r="E93" s="30"/>
      <c r="F93" s="30"/>
      <c r="G93" s="30"/>
      <c r="H93" s="30"/>
      <c r="I93" s="30"/>
      <c r="J93" s="30"/>
      <c r="K93" s="30"/>
      <c r="L93" s="30"/>
      <c r="M93" s="30"/>
      <c r="N93" s="30"/>
    </row>
    <row r="94" customFormat="false" ht="15" hidden="false" customHeight="false" outlineLevel="0" collapsed="false">
      <c r="A94" s="29"/>
      <c r="B94" s="30"/>
      <c r="C94" s="30"/>
      <c r="D94" s="30"/>
      <c r="E94" s="30"/>
      <c r="F94" s="30"/>
      <c r="G94" s="30"/>
      <c r="H94" s="30"/>
      <c r="I94" s="30"/>
      <c r="J94" s="30"/>
      <c r="K94" s="30"/>
      <c r="L94" s="30"/>
      <c r="M94" s="30"/>
      <c r="N94" s="30"/>
    </row>
    <row r="95" customFormat="false" ht="15" hidden="false" customHeight="false" outlineLevel="0" collapsed="false">
      <c r="A95" s="29"/>
      <c r="B95" s="30"/>
      <c r="C95" s="30"/>
      <c r="D95" s="30"/>
      <c r="E95" s="30"/>
      <c r="F95" s="30"/>
      <c r="G95" s="30"/>
      <c r="H95" s="30"/>
      <c r="I95" s="30"/>
      <c r="J95" s="30"/>
      <c r="K95" s="30"/>
      <c r="L95" s="30"/>
      <c r="M95" s="30"/>
      <c r="N95" s="30"/>
    </row>
    <row r="96" customFormat="false" ht="15" hidden="false" customHeight="false" outlineLevel="0" collapsed="false">
      <c r="A96" s="29"/>
      <c r="B96" s="30"/>
      <c r="C96" s="30"/>
      <c r="D96" s="30"/>
      <c r="E96" s="30"/>
      <c r="F96" s="30"/>
      <c r="G96" s="30"/>
      <c r="H96" s="30"/>
      <c r="I96" s="30"/>
      <c r="J96" s="30"/>
      <c r="K96" s="30"/>
      <c r="L96" s="30"/>
      <c r="M96" s="30"/>
      <c r="N96" s="30"/>
    </row>
    <row r="97" customFormat="false" ht="15" hidden="false" customHeight="false" outlineLevel="0" collapsed="false">
      <c r="A97" s="29"/>
      <c r="B97" s="30"/>
      <c r="C97" s="30"/>
      <c r="D97" s="30"/>
      <c r="E97" s="30"/>
      <c r="F97" s="30"/>
      <c r="G97" s="30"/>
      <c r="H97" s="30"/>
      <c r="I97" s="30"/>
      <c r="J97" s="30"/>
      <c r="K97" s="30"/>
      <c r="L97" s="30"/>
      <c r="M97" s="30"/>
      <c r="N97" s="30"/>
    </row>
    <row r="98" customFormat="false" ht="15" hidden="false" customHeight="false" outlineLevel="0" collapsed="false">
      <c r="A98" s="29"/>
      <c r="B98" s="30"/>
      <c r="C98" s="30"/>
      <c r="D98" s="30"/>
      <c r="E98" s="30"/>
      <c r="F98" s="30"/>
      <c r="G98" s="30"/>
      <c r="H98" s="30"/>
      <c r="I98" s="30"/>
      <c r="J98" s="30"/>
      <c r="K98" s="30"/>
      <c r="L98" s="30"/>
      <c r="M98" s="30"/>
      <c r="N98" s="30"/>
    </row>
    <row r="99" customFormat="false" ht="15" hidden="false" customHeight="false" outlineLevel="0" collapsed="false">
      <c r="A99" s="29"/>
      <c r="B99" s="30"/>
      <c r="C99" s="30"/>
      <c r="D99" s="30"/>
      <c r="E99" s="30"/>
      <c r="F99" s="30"/>
      <c r="G99" s="30"/>
      <c r="H99" s="30"/>
      <c r="I99" s="30"/>
      <c r="J99" s="30"/>
      <c r="K99" s="30"/>
      <c r="L99" s="30"/>
      <c r="M99" s="30"/>
      <c r="N99" s="30"/>
    </row>
    <row r="100" customFormat="false" ht="15" hidden="false" customHeight="false" outlineLevel="0" collapsed="false">
      <c r="A100" s="29"/>
      <c r="B100" s="30"/>
      <c r="C100" s="30"/>
      <c r="D100" s="30"/>
      <c r="E100" s="30"/>
      <c r="F100" s="30"/>
      <c r="G100" s="30"/>
      <c r="H100" s="30"/>
      <c r="I100" s="30"/>
      <c r="J100" s="30"/>
      <c r="K100" s="30"/>
      <c r="L100" s="30"/>
      <c r="M100" s="30"/>
      <c r="N100" s="30"/>
    </row>
    <row r="101" customFormat="false" ht="15" hidden="false" customHeight="false" outlineLevel="0" collapsed="false">
      <c r="A101" s="29"/>
      <c r="B101" s="30"/>
      <c r="C101" s="30"/>
      <c r="D101" s="30"/>
      <c r="E101" s="30"/>
      <c r="F101" s="30"/>
      <c r="G101" s="30"/>
      <c r="H101" s="30"/>
      <c r="I101" s="30"/>
      <c r="J101" s="30"/>
      <c r="K101" s="30"/>
      <c r="L101" s="30"/>
      <c r="M101" s="30"/>
      <c r="N101" s="30"/>
    </row>
    <row r="102" customFormat="false" ht="15" hidden="false" customHeight="false" outlineLevel="0" collapsed="false">
      <c r="A102" s="29"/>
      <c r="B102" s="30"/>
      <c r="C102" s="30"/>
      <c r="D102" s="30"/>
      <c r="E102" s="30"/>
      <c r="F102" s="30"/>
      <c r="G102" s="30"/>
      <c r="H102" s="30"/>
      <c r="I102" s="30"/>
      <c r="J102" s="30"/>
      <c r="K102" s="30"/>
      <c r="L102" s="30"/>
      <c r="M102" s="30"/>
      <c r="N102" s="30"/>
    </row>
    <row r="103" customFormat="false" ht="15" hidden="false" customHeight="false" outlineLevel="0" collapsed="false">
      <c r="A103" s="29"/>
      <c r="B103" s="30"/>
      <c r="C103" s="30"/>
      <c r="D103" s="30"/>
      <c r="E103" s="30"/>
      <c r="F103" s="30"/>
      <c r="G103" s="30"/>
      <c r="H103" s="30"/>
      <c r="I103" s="30"/>
      <c r="J103" s="30"/>
      <c r="K103" s="30"/>
      <c r="L103" s="30"/>
      <c r="M103" s="30"/>
      <c r="N103" s="30"/>
    </row>
    <row r="104" customFormat="false" ht="15" hidden="false" customHeight="false" outlineLevel="0" collapsed="false">
      <c r="A104" s="29"/>
      <c r="B104" s="30"/>
      <c r="C104" s="30"/>
      <c r="D104" s="30"/>
      <c r="E104" s="30"/>
      <c r="F104" s="30"/>
      <c r="G104" s="30"/>
      <c r="H104" s="30"/>
      <c r="I104" s="30"/>
      <c r="J104" s="30"/>
      <c r="K104" s="30"/>
      <c r="L104" s="30"/>
      <c r="M104" s="30"/>
      <c r="N104" s="30"/>
    </row>
    <row r="105" customFormat="false" ht="15" hidden="false" customHeight="false" outlineLevel="0" collapsed="false">
      <c r="A105" s="29"/>
      <c r="B105" s="30"/>
      <c r="C105" s="30"/>
      <c r="D105" s="30"/>
      <c r="E105" s="30"/>
      <c r="F105" s="30"/>
      <c r="G105" s="30"/>
      <c r="H105" s="30"/>
      <c r="I105" s="30"/>
      <c r="J105" s="30"/>
      <c r="K105" s="30"/>
      <c r="L105" s="30"/>
      <c r="M105" s="30"/>
      <c r="N105" s="30"/>
    </row>
    <row r="106" customFormat="false" ht="15" hidden="false" customHeight="false" outlineLevel="0" collapsed="false">
      <c r="A106" s="29"/>
      <c r="B106" s="30"/>
      <c r="C106" s="30"/>
      <c r="D106" s="30"/>
      <c r="E106" s="30"/>
      <c r="F106" s="30"/>
      <c r="G106" s="30"/>
      <c r="H106" s="30"/>
      <c r="I106" s="30"/>
      <c r="J106" s="30"/>
      <c r="K106" s="30"/>
      <c r="L106" s="30"/>
      <c r="M106" s="30"/>
      <c r="N106" s="30"/>
    </row>
    <row r="107" customFormat="false" ht="15" hidden="false" customHeight="false" outlineLevel="0" collapsed="false">
      <c r="A107" s="29"/>
      <c r="B107" s="30"/>
      <c r="C107" s="30"/>
      <c r="D107" s="30"/>
      <c r="E107" s="30"/>
      <c r="F107" s="30"/>
      <c r="G107" s="30"/>
      <c r="H107" s="30"/>
      <c r="I107" s="30"/>
      <c r="J107" s="30"/>
      <c r="K107" s="30"/>
      <c r="L107" s="30"/>
      <c r="M107" s="30"/>
      <c r="N107" s="30"/>
    </row>
    <row r="108" customFormat="false" ht="15" hidden="false" customHeight="false" outlineLevel="0" collapsed="false">
      <c r="A108" s="29"/>
      <c r="B108" s="30"/>
      <c r="C108" s="30"/>
      <c r="D108" s="30"/>
      <c r="E108" s="30"/>
      <c r="F108" s="30"/>
      <c r="G108" s="30"/>
      <c r="H108" s="30"/>
      <c r="I108" s="30"/>
      <c r="J108" s="30"/>
      <c r="K108" s="30"/>
      <c r="L108" s="30"/>
      <c r="M108" s="30"/>
      <c r="N108" s="30"/>
    </row>
    <row r="109" customFormat="false" ht="15" hidden="false" customHeight="false" outlineLevel="0" collapsed="false">
      <c r="A109" s="29"/>
      <c r="B109" s="30"/>
      <c r="C109" s="30"/>
      <c r="D109" s="30"/>
      <c r="E109" s="30"/>
      <c r="F109" s="30"/>
      <c r="G109" s="30"/>
      <c r="H109" s="30"/>
      <c r="I109" s="30"/>
      <c r="J109" s="30"/>
      <c r="K109" s="30"/>
      <c r="L109" s="30"/>
      <c r="M109" s="30"/>
      <c r="N109" s="30"/>
    </row>
    <row r="110" customFormat="false" ht="15" hidden="false" customHeight="false" outlineLevel="0" collapsed="false">
      <c r="A110" s="29"/>
      <c r="B110" s="30"/>
      <c r="C110" s="30"/>
      <c r="D110" s="30"/>
      <c r="E110" s="30"/>
      <c r="F110" s="30"/>
      <c r="G110" s="30"/>
      <c r="H110" s="30"/>
      <c r="I110" s="30"/>
      <c r="J110" s="30"/>
      <c r="K110" s="30"/>
      <c r="L110" s="30"/>
      <c r="M110" s="30"/>
      <c r="N110" s="30"/>
    </row>
    <row r="111" customFormat="false" ht="15" hidden="false" customHeight="false" outlineLevel="0" collapsed="false">
      <c r="A111" s="29"/>
      <c r="B111" s="30"/>
      <c r="C111" s="30"/>
      <c r="D111" s="30"/>
      <c r="E111" s="30"/>
      <c r="F111" s="30"/>
      <c r="G111" s="30"/>
      <c r="H111" s="30"/>
      <c r="I111" s="30"/>
      <c r="J111" s="30"/>
      <c r="K111" s="30"/>
      <c r="L111" s="30"/>
      <c r="M111" s="30"/>
      <c r="N111" s="30"/>
    </row>
    <row r="112" customFormat="false" ht="15" hidden="false" customHeight="false" outlineLevel="0" collapsed="false">
      <c r="A112" s="29"/>
      <c r="B112" s="30"/>
      <c r="C112" s="30"/>
      <c r="D112" s="30"/>
      <c r="E112" s="30"/>
      <c r="F112" s="30"/>
      <c r="G112" s="30"/>
      <c r="H112" s="30"/>
      <c r="I112" s="30"/>
      <c r="J112" s="30"/>
      <c r="K112" s="30"/>
      <c r="L112" s="30"/>
      <c r="M112" s="30"/>
      <c r="N112" s="30"/>
    </row>
    <row r="113" customFormat="false" ht="15" hidden="false" customHeight="false" outlineLevel="0" collapsed="false">
      <c r="A113" s="29"/>
      <c r="B113" s="30"/>
      <c r="C113" s="30"/>
      <c r="D113" s="30"/>
      <c r="E113" s="30"/>
      <c r="F113" s="30"/>
      <c r="G113" s="30"/>
      <c r="H113" s="30"/>
      <c r="I113" s="30"/>
      <c r="J113" s="30"/>
      <c r="K113" s="30"/>
      <c r="L113" s="30"/>
      <c r="M113" s="30"/>
      <c r="N113" s="30"/>
    </row>
    <row r="114" customFormat="false" ht="15" hidden="false" customHeight="false" outlineLevel="0" collapsed="false">
      <c r="A114" s="29"/>
      <c r="B114" s="30"/>
      <c r="C114" s="30"/>
      <c r="D114" s="30"/>
      <c r="E114" s="30"/>
      <c r="F114" s="30"/>
      <c r="G114" s="30"/>
      <c r="H114" s="30"/>
      <c r="I114" s="30"/>
      <c r="J114" s="30"/>
      <c r="K114" s="30"/>
      <c r="L114" s="30"/>
      <c r="M114" s="30"/>
      <c r="N114" s="30"/>
    </row>
    <row r="115" customFormat="false" ht="15" hidden="false" customHeight="false" outlineLevel="0" collapsed="false">
      <c r="A115" s="29"/>
      <c r="B115" s="30"/>
      <c r="C115" s="30"/>
      <c r="D115" s="30"/>
      <c r="E115" s="30"/>
      <c r="F115" s="30"/>
      <c r="G115" s="30"/>
      <c r="H115" s="30"/>
      <c r="I115" s="30"/>
      <c r="J115" s="30"/>
      <c r="K115" s="30"/>
      <c r="L115" s="30"/>
      <c r="M115" s="30"/>
      <c r="N115" s="30"/>
    </row>
    <row r="116" customFormat="false" ht="15" hidden="false" customHeight="false" outlineLevel="0" collapsed="false">
      <c r="A116" s="29"/>
      <c r="B116" s="30"/>
      <c r="C116" s="30"/>
      <c r="D116" s="30"/>
      <c r="E116" s="30"/>
      <c r="F116" s="30"/>
      <c r="G116" s="30"/>
      <c r="H116" s="30"/>
      <c r="I116" s="30"/>
      <c r="J116" s="30"/>
      <c r="K116" s="30"/>
      <c r="L116" s="30"/>
      <c r="M116" s="30"/>
      <c r="N116" s="30"/>
    </row>
    <row r="117" customFormat="false" ht="15" hidden="false" customHeight="false" outlineLevel="0" collapsed="false">
      <c r="A117" s="29"/>
      <c r="B117" s="30"/>
      <c r="C117" s="30"/>
      <c r="D117" s="30"/>
      <c r="E117" s="30"/>
      <c r="F117" s="30"/>
      <c r="G117" s="30"/>
      <c r="H117" s="30"/>
      <c r="I117" s="30"/>
      <c r="J117" s="30"/>
      <c r="K117" s="30"/>
      <c r="L117" s="30"/>
      <c r="M117" s="30"/>
      <c r="N117" s="30"/>
    </row>
    <row r="118" customFormat="false" ht="15" hidden="false" customHeight="false" outlineLevel="0" collapsed="false">
      <c r="A118" s="29"/>
      <c r="B118" s="30"/>
      <c r="C118" s="30"/>
      <c r="D118" s="30"/>
      <c r="E118" s="30"/>
      <c r="F118" s="30"/>
      <c r="G118" s="30"/>
      <c r="H118" s="30"/>
      <c r="I118" s="30"/>
      <c r="J118" s="30"/>
      <c r="K118" s="30"/>
      <c r="L118" s="30"/>
      <c r="M118" s="30"/>
      <c r="N118" s="30"/>
    </row>
    <row r="119" customFormat="false" ht="15" hidden="false" customHeight="false" outlineLevel="0" collapsed="false">
      <c r="A119" s="29"/>
      <c r="B119" s="30"/>
      <c r="C119" s="30"/>
      <c r="D119" s="30"/>
      <c r="E119" s="30"/>
      <c r="F119" s="30"/>
      <c r="G119" s="30"/>
      <c r="H119" s="30"/>
      <c r="I119" s="30"/>
      <c r="J119" s="30"/>
      <c r="K119" s="30"/>
      <c r="L119" s="30"/>
      <c r="M119" s="30"/>
      <c r="N119" s="30"/>
    </row>
    <row r="120" customFormat="false" ht="15" hidden="false" customHeight="false" outlineLevel="0" collapsed="false">
      <c r="A120" s="29"/>
      <c r="B120" s="30"/>
      <c r="C120" s="30"/>
      <c r="D120" s="30"/>
      <c r="E120" s="30"/>
      <c r="F120" s="30"/>
      <c r="G120" s="30"/>
      <c r="H120" s="30"/>
      <c r="I120" s="30"/>
      <c r="J120" s="30"/>
      <c r="K120" s="30"/>
      <c r="L120" s="30"/>
      <c r="M120" s="30"/>
      <c r="N120" s="30"/>
    </row>
    <row r="121" customFormat="false" ht="15" hidden="false" customHeight="false" outlineLevel="0" collapsed="false">
      <c r="A121" s="29"/>
      <c r="B121" s="30"/>
      <c r="C121" s="30"/>
      <c r="D121" s="30"/>
      <c r="E121" s="30"/>
      <c r="F121" s="30"/>
      <c r="G121" s="30"/>
      <c r="H121" s="30"/>
      <c r="I121" s="30"/>
      <c r="J121" s="30"/>
      <c r="K121" s="30"/>
      <c r="L121" s="30"/>
      <c r="M121" s="30"/>
      <c r="N121" s="30"/>
    </row>
    <row r="122" customFormat="false" ht="15" hidden="false" customHeight="false" outlineLevel="0" collapsed="false">
      <c r="A122" s="29"/>
      <c r="B122" s="30"/>
      <c r="C122" s="30"/>
      <c r="D122" s="30"/>
      <c r="E122" s="30"/>
      <c r="F122" s="30"/>
      <c r="G122" s="30"/>
      <c r="H122" s="30"/>
      <c r="I122" s="30"/>
      <c r="J122" s="30"/>
      <c r="K122" s="30"/>
      <c r="L122" s="30"/>
      <c r="M122" s="30"/>
      <c r="N122" s="30"/>
    </row>
    <row r="123" customFormat="false" ht="15" hidden="false" customHeight="false" outlineLevel="0" collapsed="false">
      <c r="A123" s="29"/>
      <c r="B123" s="30"/>
      <c r="C123" s="30"/>
      <c r="D123" s="30"/>
      <c r="E123" s="30"/>
      <c r="F123" s="30"/>
      <c r="G123" s="30"/>
      <c r="H123" s="30"/>
      <c r="I123" s="30"/>
      <c r="J123" s="30"/>
      <c r="K123" s="30"/>
      <c r="L123" s="30"/>
      <c r="M123" s="30"/>
      <c r="N123" s="30"/>
    </row>
    <row r="124" customFormat="false" ht="15" hidden="false" customHeight="false" outlineLevel="0" collapsed="false">
      <c r="A124" s="29"/>
      <c r="B124" s="30"/>
      <c r="C124" s="30"/>
      <c r="D124" s="30"/>
      <c r="E124" s="30"/>
      <c r="F124" s="30"/>
      <c r="G124" s="30"/>
      <c r="H124" s="30"/>
      <c r="I124" s="30"/>
      <c r="J124" s="30"/>
      <c r="K124" s="30"/>
      <c r="L124" s="30"/>
      <c r="M124" s="30"/>
      <c r="N124" s="30"/>
    </row>
    <row r="125" customFormat="false" ht="15" hidden="false" customHeight="false" outlineLevel="0" collapsed="false">
      <c r="A125" s="29"/>
      <c r="B125" s="30"/>
      <c r="C125" s="30"/>
      <c r="D125" s="30"/>
      <c r="E125" s="30"/>
      <c r="F125" s="30"/>
      <c r="G125" s="30"/>
      <c r="H125" s="30"/>
      <c r="I125" s="30"/>
      <c r="J125" s="30"/>
      <c r="K125" s="30"/>
      <c r="L125" s="30"/>
      <c r="M125" s="30"/>
      <c r="N125" s="30"/>
    </row>
    <row r="126" customFormat="false" ht="15" hidden="false" customHeight="false" outlineLevel="0" collapsed="false">
      <c r="A126" s="29"/>
      <c r="B126" s="30"/>
      <c r="C126" s="30"/>
      <c r="D126" s="30"/>
      <c r="E126" s="30"/>
      <c r="F126" s="30"/>
      <c r="G126" s="30"/>
      <c r="H126" s="30"/>
      <c r="I126" s="30"/>
      <c r="J126" s="30"/>
      <c r="K126" s="30"/>
      <c r="L126" s="30"/>
      <c r="M126" s="30"/>
      <c r="N126" s="30"/>
    </row>
    <row r="127" customFormat="false" ht="15" hidden="false" customHeight="false" outlineLevel="0" collapsed="false">
      <c r="A127" s="29"/>
      <c r="B127" s="30"/>
      <c r="C127" s="30"/>
      <c r="D127" s="30"/>
      <c r="E127" s="30"/>
      <c r="F127" s="30"/>
      <c r="G127" s="30"/>
      <c r="H127" s="30"/>
      <c r="I127" s="30"/>
      <c r="J127" s="30"/>
      <c r="K127" s="30"/>
      <c r="L127" s="30"/>
      <c r="M127" s="30"/>
      <c r="N127" s="30"/>
    </row>
    <row r="128" customFormat="false" ht="15" hidden="false" customHeight="false" outlineLevel="0" collapsed="false">
      <c r="A128" s="29"/>
      <c r="B128" s="30"/>
      <c r="C128" s="30"/>
      <c r="D128" s="30"/>
      <c r="E128" s="30"/>
      <c r="F128" s="30"/>
      <c r="G128" s="30"/>
      <c r="H128" s="30"/>
      <c r="I128" s="30"/>
      <c r="J128" s="30"/>
      <c r="K128" s="30"/>
      <c r="L128" s="30"/>
      <c r="M128" s="30"/>
      <c r="N128" s="30"/>
    </row>
    <row r="129" customFormat="false" ht="15" hidden="false" customHeight="false" outlineLevel="0" collapsed="false">
      <c r="A129" s="29"/>
      <c r="B129" s="30"/>
      <c r="C129" s="30"/>
      <c r="D129" s="30"/>
      <c r="E129" s="30"/>
      <c r="F129" s="30"/>
      <c r="G129" s="30"/>
      <c r="H129" s="30"/>
      <c r="I129" s="30"/>
      <c r="J129" s="30"/>
      <c r="K129" s="30"/>
      <c r="L129" s="30"/>
      <c r="M129" s="30"/>
      <c r="N129" s="30"/>
    </row>
    <row r="130" customFormat="false" ht="15" hidden="false" customHeight="false" outlineLevel="0" collapsed="false">
      <c r="A130" s="29"/>
      <c r="B130" s="30"/>
      <c r="C130" s="30"/>
      <c r="D130" s="30"/>
      <c r="E130" s="30"/>
      <c r="F130" s="30"/>
      <c r="G130" s="30"/>
      <c r="H130" s="30"/>
      <c r="I130" s="30"/>
      <c r="J130" s="30"/>
      <c r="K130" s="30"/>
      <c r="L130" s="30"/>
      <c r="M130" s="30"/>
      <c r="N130" s="30"/>
    </row>
    <row r="131" customFormat="false" ht="15" hidden="false" customHeight="false" outlineLevel="0" collapsed="false">
      <c r="A131" s="29"/>
      <c r="B131" s="30"/>
      <c r="C131" s="30"/>
      <c r="D131" s="30"/>
      <c r="E131" s="30"/>
      <c r="F131" s="30"/>
      <c r="G131" s="30"/>
      <c r="H131" s="30"/>
      <c r="I131" s="30"/>
      <c r="J131" s="30"/>
      <c r="K131" s="30"/>
      <c r="L131" s="30"/>
      <c r="M131" s="30"/>
      <c r="N131" s="30"/>
    </row>
    <row r="132" customFormat="false" ht="15" hidden="false" customHeight="false" outlineLevel="0" collapsed="false">
      <c r="A132" s="29"/>
      <c r="B132" s="30"/>
      <c r="C132" s="30"/>
      <c r="D132" s="30"/>
      <c r="E132" s="30"/>
      <c r="F132" s="30"/>
      <c r="G132" s="30"/>
      <c r="H132" s="30"/>
      <c r="I132" s="30"/>
      <c r="J132" s="30"/>
      <c r="K132" s="30"/>
      <c r="L132" s="30"/>
      <c r="M132" s="30"/>
      <c r="N132" s="30"/>
    </row>
    <row r="133" customFormat="false" ht="15" hidden="false" customHeight="false" outlineLevel="0" collapsed="false">
      <c r="A133" s="29"/>
      <c r="B133" s="30"/>
      <c r="C133" s="30"/>
      <c r="D133" s="30"/>
      <c r="E133" s="30"/>
      <c r="F133" s="30"/>
      <c r="G133" s="30"/>
      <c r="H133" s="30"/>
      <c r="I133" s="30"/>
      <c r="J133" s="30"/>
      <c r="K133" s="30"/>
      <c r="L133" s="30"/>
      <c r="M133" s="30"/>
      <c r="N133" s="30"/>
    </row>
    <row r="134" customFormat="false" ht="15" hidden="false" customHeight="false" outlineLevel="0" collapsed="false">
      <c r="A134" s="29"/>
      <c r="B134" s="30"/>
      <c r="C134" s="30"/>
      <c r="D134" s="30"/>
      <c r="E134" s="30"/>
      <c r="F134" s="30"/>
      <c r="G134" s="30"/>
      <c r="H134" s="30"/>
      <c r="I134" s="30"/>
      <c r="J134" s="30"/>
      <c r="K134" s="30"/>
      <c r="L134" s="30"/>
      <c r="M134" s="30"/>
      <c r="N134" s="30"/>
    </row>
    <row r="135" customFormat="false" ht="15" hidden="false" customHeight="false" outlineLevel="0" collapsed="false">
      <c r="A135" s="29"/>
      <c r="B135" s="30"/>
      <c r="C135" s="30"/>
      <c r="D135" s="30"/>
      <c r="E135" s="30"/>
      <c r="F135" s="30"/>
      <c r="G135" s="30"/>
      <c r="H135" s="30"/>
      <c r="I135" s="30"/>
      <c r="J135" s="30"/>
      <c r="K135" s="30"/>
      <c r="L135" s="30"/>
      <c r="M135" s="30"/>
      <c r="N135" s="30"/>
    </row>
    <row r="136" customFormat="false" ht="15" hidden="false" customHeight="false" outlineLevel="0" collapsed="false">
      <c r="A136" s="29"/>
      <c r="B136" s="30"/>
      <c r="C136" s="30"/>
      <c r="D136" s="30"/>
      <c r="E136" s="30"/>
      <c r="F136" s="30"/>
      <c r="G136" s="30"/>
      <c r="H136" s="30"/>
      <c r="I136" s="30"/>
      <c r="J136" s="30"/>
      <c r="K136" s="30"/>
      <c r="L136" s="30"/>
      <c r="M136" s="30"/>
      <c r="N136" s="30"/>
    </row>
    <row r="137" customFormat="false" ht="15" hidden="false" customHeight="false" outlineLevel="0" collapsed="false">
      <c r="A137" s="29"/>
      <c r="B137" s="30"/>
      <c r="C137" s="30"/>
      <c r="D137" s="30"/>
      <c r="E137" s="30"/>
      <c r="F137" s="30"/>
      <c r="G137" s="30"/>
      <c r="H137" s="30"/>
      <c r="I137" s="30"/>
      <c r="J137" s="30"/>
      <c r="K137" s="30"/>
      <c r="L137" s="30"/>
      <c r="M137" s="30"/>
      <c r="N137" s="30"/>
    </row>
    <row r="138" customFormat="false" ht="15" hidden="false" customHeight="false" outlineLevel="0" collapsed="false">
      <c r="A138" s="29"/>
      <c r="B138" s="30"/>
      <c r="C138" s="30"/>
      <c r="D138" s="30"/>
      <c r="E138" s="30"/>
      <c r="F138" s="30"/>
      <c r="G138" s="30"/>
      <c r="H138" s="30"/>
      <c r="I138" s="30"/>
      <c r="J138" s="30"/>
      <c r="K138" s="30"/>
      <c r="L138" s="30"/>
      <c r="M138" s="30"/>
      <c r="N138" s="30"/>
    </row>
    <row r="139" customFormat="false" ht="15" hidden="false" customHeight="false" outlineLevel="0" collapsed="false">
      <c r="A139" s="29"/>
      <c r="B139" s="30"/>
      <c r="C139" s="30"/>
      <c r="D139" s="30"/>
      <c r="E139" s="30"/>
      <c r="F139" s="30"/>
      <c r="G139" s="30"/>
      <c r="H139" s="30"/>
      <c r="I139" s="30"/>
      <c r="J139" s="30"/>
      <c r="K139" s="30"/>
      <c r="L139" s="30"/>
      <c r="M139" s="30"/>
      <c r="N139" s="30"/>
    </row>
    <row r="140" customFormat="false" ht="15" hidden="false" customHeight="false" outlineLevel="0" collapsed="false">
      <c r="A140" s="29"/>
      <c r="B140" s="30"/>
      <c r="C140" s="30"/>
      <c r="D140" s="30"/>
      <c r="E140" s="30"/>
      <c r="F140" s="30"/>
      <c r="G140" s="30"/>
      <c r="H140" s="30"/>
      <c r="I140" s="30"/>
      <c r="J140" s="30"/>
      <c r="K140" s="30"/>
      <c r="L140" s="30"/>
      <c r="M140" s="30"/>
      <c r="N140" s="30"/>
    </row>
    <row r="141" customFormat="false" ht="15" hidden="false" customHeight="false" outlineLevel="0" collapsed="false">
      <c r="A141" s="29"/>
      <c r="B141" s="30"/>
      <c r="C141" s="30"/>
      <c r="D141" s="30"/>
      <c r="E141" s="30"/>
      <c r="F141" s="30"/>
      <c r="G141" s="30"/>
      <c r="H141" s="30"/>
      <c r="I141" s="30"/>
      <c r="J141" s="30"/>
      <c r="K141" s="30"/>
      <c r="L141" s="30"/>
      <c r="M141" s="30"/>
      <c r="N141" s="30"/>
    </row>
    <row r="142" customFormat="false" ht="15" hidden="false" customHeight="false" outlineLevel="0" collapsed="false">
      <c r="A142" s="29"/>
      <c r="B142" s="30"/>
      <c r="C142" s="30"/>
      <c r="D142" s="30"/>
      <c r="E142" s="30"/>
      <c r="F142" s="30"/>
      <c r="G142" s="30"/>
      <c r="H142" s="30"/>
      <c r="I142" s="30"/>
      <c r="J142" s="30"/>
      <c r="K142" s="30"/>
      <c r="L142" s="30"/>
      <c r="M142" s="30"/>
      <c r="N142" s="30"/>
    </row>
    <row r="143" customFormat="false" ht="15" hidden="false" customHeight="false" outlineLevel="0" collapsed="false">
      <c r="A143" s="29"/>
      <c r="B143" s="30"/>
      <c r="C143" s="30"/>
      <c r="D143" s="30"/>
      <c r="E143" s="30"/>
      <c r="F143" s="30"/>
      <c r="G143" s="30"/>
      <c r="H143" s="30"/>
      <c r="I143" s="30"/>
      <c r="J143" s="30"/>
      <c r="K143" s="30"/>
      <c r="L143" s="30"/>
      <c r="M143" s="30"/>
      <c r="N143" s="30"/>
    </row>
    <row r="144" customFormat="false" ht="15" hidden="false" customHeight="false" outlineLevel="0" collapsed="false">
      <c r="A144" s="29"/>
      <c r="B144" s="30"/>
      <c r="C144" s="30"/>
      <c r="D144" s="30"/>
      <c r="E144" s="30"/>
      <c r="F144" s="30"/>
      <c r="G144" s="30"/>
      <c r="H144" s="30"/>
      <c r="I144" s="30"/>
      <c r="J144" s="30"/>
      <c r="K144" s="30"/>
      <c r="L144" s="30"/>
      <c r="M144" s="30"/>
      <c r="N144" s="30"/>
    </row>
    <row r="145" customFormat="false" ht="15" hidden="false" customHeight="false" outlineLevel="0" collapsed="false">
      <c r="A145" s="29"/>
      <c r="B145" s="30"/>
      <c r="C145" s="30"/>
      <c r="D145" s="30"/>
      <c r="E145" s="30"/>
      <c r="F145" s="30"/>
      <c r="G145" s="30"/>
      <c r="H145" s="30"/>
      <c r="I145" s="30"/>
      <c r="J145" s="30"/>
      <c r="K145" s="30"/>
      <c r="L145" s="30"/>
      <c r="M145" s="30"/>
      <c r="N145" s="30"/>
    </row>
    <row r="146" customFormat="false" ht="15" hidden="false" customHeight="false" outlineLevel="0" collapsed="false">
      <c r="A146" s="29"/>
      <c r="B146" s="30"/>
      <c r="C146" s="30"/>
      <c r="D146" s="30"/>
      <c r="E146" s="30"/>
      <c r="F146" s="30"/>
      <c r="G146" s="30"/>
      <c r="H146" s="30"/>
      <c r="I146" s="30"/>
      <c r="J146" s="30"/>
      <c r="K146" s="30"/>
      <c r="L146" s="30"/>
      <c r="M146" s="30"/>
      <c r="N146" s="30"/>
    </row>
    <row r="147" customFormat="false" ht="15" hidden="false" customHeight="false" outlineLevel="0" collapsed="false">
      <c r="A147" s="29"/>
      <c r="B147" s="30"/>
      <c r="C147" s="30"/>
      <c r="D147" s="30"/>
      <c r="E147" s="30"/>
      <c r="F147" s="30"/>
      <c r="G147" s="30"/>
      <c r="H147" s="30"/>
      <c r="I147" s="30"/>
      <c r="J147" s="30"/>
      <c r="K147" s="30"/>
      <c r="L147" s="30"/>
      <c r="M147" s="30"/>
      <c r="N147" s="30"/>
    </row>
    <row r="148" customFormat="false" ht="15" hidden="false" customHeight="false" outlineLevel="0" collapsed="false">
      <c r="A148" s="29"/>
      <c r="B148" s="30"/>
      <c r="C148" s="30"/>
      <c r="D148" s="30"/>
      <c r="E148" s="30"/>
      <c r="F148" s="30"/>
      <c r="G148" s="30"/>
      <c r="H148" s="30"/>
      <c r="I148" s="30"/>
      <c r="J148" s="30"/>
      <c r="K148" s="30"/>
      <c r="L148" s="30"/>
      <c r="M148" s="30"/>
      <c r="N148" s="30"/>
    </row>
    <row r="149" customFormat="false" ht="15" hidden="false" customHeight="false" outlineLevel="0" collapsed="false">
      <c r="A149" s="29"/>
      <c r="B149" s="30"/>
      <c r="C149" s="30"/>
      <c r="D149" s="30"/>
      <c r="E149" s="30"/>
      <c r="F149" s="30"/>
      <c r="G149" s="30"/>
      <c r="H149" s="30"/>
      <c r="I149" s="30"/>
      <c r="J149" s="30"/>
      <c r="K149" s="30"/>
      <c r="L149" s="30"/>
      <c r="M149" s="30"/>
      <c r="N149" s="30"/>
    </row>
    <row r="150" customFormat="false" ht="15" hidden="false" customHeight="false" outlineLevel="0" collapsed="false">
      <c r="A150" s="29"/>
      <c r="B150" s="30"/>
      <c r="C150" s="30"/>
      <c r="D150" s="30"/>
      <c r="E150" s="30"/>
      <c r="F150" s="30"/>
      <c r="G150" s="30"/>
      <c r="H150" s="30"/>
      <c r="I150" s="30"/>
      <c r="J150" s="30"/>
      <c r="K150" s="30"/>
      <c r="L150" s="30"/>
      <c r="M150" s="30"/>
      <c r="N150" s="30"/>
    </row>
    <row r="151" customFormat="false" ht="15" hidden="false" customHeight="false" outlineLevel="0" collapsed="false">
      <c r="A151" s="29"/>
      <c r="B151" s="30"/>
      <c r="C151" s="30"/>
      <c r="D151" s="30"/>
      <c r="E151" s="30"/>
      <c r="F151" s="30"/>
      <c r="G151" s="30"/>
      <c r="H151" s="30"/>
      <c r="I151" s="30"/>
      <c r="J151" s="30"/>
      <c r="K151" s="30"/>
      <c r="L151" s="30"/>
      <c r="M151" s="30"/>
      <c r="N151" s="30"/>
    </row>
    <row r="152" customFormat="false" ht="15" hidden="false" customHeight="false" outlineLevel="0" collapsed="false">
      <c r="A152" s="29"/>
      <c r="B152" s="30"/>
      <c r="C152" s="30"/>
      <c r="D152" s="30"/>
      <c r="E152" s="30"/>
      <c r="F152" s="30"/>
      <c r="G152" s="30"/>
      <c r="H152" s="30"/>
      <c r="I152" s="30"/>
      <c r="J152" s="30"/>
      <c r="K152" s="30"/>
      <c r="L152" s="30"/>
      <c r="M152" s="30"/>
      <c r="N152" s="30"/>
    </row>
    <row r="153" customFormat="false" ht="15" hidden="false" customHeight="false" outlineLevel="0" collapsed="false">
      <c r="A153" s="29"/>
      <c r="B153" s="30"/>
      <c r="C153" s="30"/>
      <c r="D153" s="30"/>
      <c r="E153" s="30"/>
      <c r="F153" s="30"/>
      <c r="G153" s="30"/>
      <c r="H153" s="30"/>
      <c r="I153" s="30"/>
      <c r="J153" s="30"/>
      <c r="K153" s="30"/>
      <c r="L153" s="30"/>
      <c r="M153" s="30"/>
      <c r="N153" s="30"/>
    </row>
    <row r="154" customFormat="false" ht="15" hidden="false" customHeight="false" outlineLevel="0" collapsed="false">
      <c r="A154" s="29"/>
      <c r="B154" s="30"/>
      <c r="C154" s="30"/>
      <c r="D154" s="30"/>
      <c r="E154" s="30"/>
      <c r="F154" s="30"/>
      <c r="G154" s="30"/>
      <c r="H154" s="30"/>
      <c r="I154" s="30"/>
      <c r="J154" s="30"/>
      <c r="K154" s="30"/>
      <c r="L154" s="30"/>
      <c r="M154" s="30"/>
      <c r="N154" s="30"/>
    </row>
  </sheetData>
  <autoFilter ref="A4:N154"/>
  <dataValidations count="4">
    <dataValidation allowBlank="true" errorStyle="stop" operator="between" showDropDown="false" showErrorMessage="false" showInputMessage="false" sqref="C5:C84" type="list">
      <formula1>"Scorecard,Dashboard,Sent report,Data pull,Table,Other"</formula1>
      <formula2>0</formula2>
    </dataValidation>
    <dataValidation allowBlank="true" errorStyle="stop" operator="between" showDropDown="false" showErrorMessage="false" showInputMessage="false" sqref="D5:D84" type="list">
      <formula1>"Tableau,QuickSight,Snowflake,Excel,Slides,Other"</formula1>
      <formula2>0</formula2>
    </dataValidation>
    <dataValidation allowBlank="true" errorStyle="stop" operator="between" showDropDown="false" showErrorMessage="false" showInputMessage="false" sqref="H5:H84" type="list">
      <formula1>"Real time,Daily,Weekly,Monthly,Quarterly,On request,Unknown"</formula1>
      <formula2>0</formula2>
    </dataValidation>
    <dataValidation allowBlank="true" errorStyle="stop" operator="between" showDropDown="false" showErrorMessage="false" showInputMessage="false" sqref="L5:L84" type="list">
      <formula1>"Found,Inferred,Guessed,Human"</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A5C"/>
    <pageSetUpPr fitToPage="true"/>
  </sheetPr>
  <dimension ref="A1:S2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30"/>
    <col collapsed="false" customWidth="true" hidden="false" outlineLevel="0" max="4" min="4" style="0" width="52"/>
    <col collapsed="false" customWidth="true" hidden="false" outlineLevel="0" max="5" min="5" style="0" width="12"/>
    <col collapsed="false" customWidth="true" hidden="false" outlineLevel="0" max="6" min="6" style="0" width="22"/>
    <col collapsed="false" customWidth="true" hidden="false" outlineLevel="0" max="7" min="7" style="0" width="14"/>
    <col collapsed="false" customWidth="true" hidden="false" outlineLevel="0" max="8" min="8" style="0" width="8"/>
    <col collapsed="false" customWidth="true" hidden="false" outlineLevel="0" max="9" min="9" style="0" width="11"/>
    <col collapsed="false" customWidth="true" hidden="false" outlineLevel="0" max="10" min="10" style="0" width="14"/>
    <col collapsed="false" customWidth="true" hidden="false" outlineLevel="0" max="11" min="11" style="0" width="10"/>
    <col collapsed="false" customWidth="true" hidden="false" outlineLevel="0" max="12" min="12" style="0" width="9"/>
    <col collapsed="false" customWidth="true" hidden="false" outlineLevel="0" max="13" min="13" style="0" width="11"/>
    <col collapsed="false" customWidth="true" hidden="false" outlineLevel="0" max="14" min="14" style="0" width="40"/>
    <col collapsed="false" customWidth="true" hidden="false" outlineLevel="0" max="15" min="15" style="0" width="22"/>
    <col collapsed="false" customWidth="true" hidden="false" outlineLevel="0" max="16" min="16" style="0" width="11"/>
    <col collapsed="false" customWidth="true" hidden="false" outlineLevel="0" max="17" min="17" style="0" width="12"/>
    <col collapsed="false" customWidth="true" hidden="false" outlineLevel="0" max="18" min="18" style="0" width="14"/>
    <col collapsed="false" customWidth="true" hidden="false" outlineLevel="0" max="19" min="19" style="0" width="9"/>
  </cols>
  <sheetData>
    <row r="1" customFormat="false" ht="17.35" hidden="false" customHeight="false" outlineLevel="0" collapsed="false">
      <c r="A1" s="1" t="s">
        <v>5</v>
      </c>
    </row>
    <row r="2" customFormat="false" ht="15" hidden="false" customHeight="false" outlineLevel="0" collapsed="false">
      <c r="A2" s="2" t="s">
        <v>378</v>
      </c>
    </row>
    <row r="4" customFormat="false" ht="31.5" hidden="false" customHeight="true" outlineLevel="0" collapsed="false">
      <c r="A4" s="21" t="s">
        <v>107</v>
      </c>
      <c r="B4" s="21" t="s">
        <v>205</v>
      </c>
      <c r="C4" s="21" t="s">
        <v>109</v>
      </c>
      <c r="D4" s="21" t="s">
        <v>188</v>
      </c>
      <c r="E4" s="21" t="s">
        <v>182</v>
      </c>
      <c r="F4" s="21" t="s">
        <v>213</v>
      </c>
      <c r="G4" s="21" t="s">
        <v>215</v>
      </c>
      <c r="H4" s="21" t="s">
        <v>218</v>
      </c>
      <c r="I4" s="21" t="s">
        <v>101</v>
      </c>
      <c r="J4" s="21" t="s">
        <v>199</v>
      </c>
      <c r="K4" s="21" t="s">
        <v>111</v>
      </c>
      <c r="L4" s="21" t="s">
        <v>223</v>
      </c>
      <c r="M4" s="21" t="s">
        <v>224</v>
      </c>
      <c r="N4" s="21" t="s">
        <v>130</v>
      </c>
      <c r="O4" s="21" t="s">
        <v>171</v>
      </c>
      <c r="P4" s="21" t="s">
        <v>174</v>
      </c>
      <c r="Q4" s="21" t="s">
        <v>177</v>
      </c>
      <c r="R4" s="21" t="s">
        <v>180</v>
      </c>
      <c r="S4" s="31" t="s">
        <v>379</v>
      </c>
    </row>
    <row r="5" customFormat="false" ht="35.05" hidden="false" customHeight="false" outlineLevel="0" collapsed="false">
      <c r="A5" s="29" t="s">
        <v>204</v>
      </c>
      <c r="B5" s="30" t="s">
        <v>207</v>
      </c>
      <c r="C5" s="30" t="s">
        <v>209</v>
      </c>
      <c r="D5" s="30" t="s">
        <v>380</v>
      </c>
      <c r="E5" s="30" t="s">
        <v>184</v>
      </c>
      <c r="F5" s="20" t="str">
        <f aca="false">IF(E5="","",IFERROR(INDEX(Populations!$B:$B,MATCH(E5,Populations!$A:$A,0)),"ID not found"))</f>
        <v>Standard requisitions</v>
      </c>
      <c r="G5" s="30" t="s">
        <v>217</v>
      </c>
      <c r="H5" s="30" t="s">
        <v>220</v>
      </c>
      <c r="I5" s="30" t="s">
        <v>198</v>
      </c>
      <c r="J5" s="30"/>
      <c r="K5" s="20" t="n">
        <f aca="false">IF(A5="","",COUNTIF('Metric to Product'!$A:$A,A5))</f>
        <v>2</v>
      </c>
      <c r="L5" s="20" t="n">
        <f aca="false">IF(A5="","",COUNTIF('Metric to Field'!$A:$A,A5))</f>
        <v>5</v>
      </c>
      <c r="M5" s="32" t="n">
        <f aca="false">IF(B5="","",COUNTIF($B$5:$B$254,B5))</f>
        <v>2</v>
      </c>
      <c r="N5" s="30" t="s">
        <v>381</v>
      </c>
      <c r="O5" s="30" t="s">
        <v>173</v>
      </c>
      <c r="P5" s="30" t="s">
        <v>176</v>
      </c>
      <c r="Q5" s="30" t="s">
        <v>179</v>
      </c>
      <c r="R5" s="30"/>
      <c r="S5" s="33" t="n">
        <f aca="false">IF(AND(A5&lt;&gt;"",M5&gt;1),COUNTIFS($A$5:A5,"&lt;&gt;",$M$5:M5,"&gt;1"),"")</f>
        <v>1</v>
      </c>
    </row>
    <row r="6" customFormat="false" ht="35.05" hidden="false" customHeight="false" outlineLevel="0" collapsed="false">
      <c r="A6" s="29" t="s">
        <v>348</v>
      </c>
      <c r="B6" s="30" t="s">
        <v>207</v>
      </c>
      <c r="C6" s="30" t="s">
        <v>382</v>
      </c>
      <c r="D6" s="30" t="s">
        <v>383</v>
      </c>
      <c r="E6" s="30" t="s">
        <v>184</v>
      </c>
      <c r="F6" s="20" t="str">
        <f aca="false">IF(E6="","",IFERROR(INDEX(Populations!$B:$B,MATCH(E6,Populations!$A:$A,0)),"ID not found"))</f>
        <v>Standard requisitions</v>
      </c>
      <c r="G6" s="30" t="s">
        <v>217</v>
      </c>
      <c r="H6" s="30" t="s">
        <v>220</v>
      </c>
      <c r="I6" s="30" t="s">
        <v>198</v>
      </c>
      <c r="J6" s="30"/>
      <c r="K6" s="20" t="n">
        <f aca="false">IF(A6="","",COUNTIF('Metric to Product'!$A:$A,A6))</f>
        <v>1</v>
      </c>
      <c r="L6" s="20" t="n">
        <f aca="false">IF(A6="","",COUNTIF('Metric to Field'!$A:$A,A6))</f>
        <v>3</v>
      </c>
      <c r="M6" s="32" t="n">
        <f aca="false">IF(B6="","",COUNTIF($B$5:$B$254,B6))</f>
        <v>2</v>
      </c>
      <c r="N6" s="30" t="s">
        <v>384</v>
      </c>
      <c r="O6" s="30" t="s">
        <v>385</v>
      </c>
      <c r="P6" s="30" t="s">
        <v>176</v>
      </c>
      <c r="Q6" s="30" t="s">
        <v>179</v>
      </c>
      <c r="R6" s="30"/>
      <c r="S6" s="33" t="n">
        <f aca="false">IF(AND(A6&lt;&gt;"",M6&gt;1),COUNTIFS($A$5:A6,"&lt;&gt;",$M$5:M6,"&gt;1"),"")</f>
        <v>2</v>
      </c>
    </row>
    <row r="7" customFormat="false" ht="23.85" hidden="false" customHeight="false" outlineLevel="0" collapsed="false">
      <c r="A7" s="29" t="s">
        <v>386</v>
      </c>
      <c r="B7" s="30" t="s">
        <v>387</v>
      </c>
      <c r="C7" s="30" t="s">
        <v>387</v>
      </c>
      <c r="D7" s="30" t="s">
        <v>388</v>
      </c>
      <c r="E7" s="30" t="s">
        <v>389</v>
      </c>
      <c r="F7" s="20" t="str">
        <f aca="false">IF(E7="","",IFERROR(INDEX(Populations!$B:$B,MATCH(E7,Populations!$A:$A,0)),"ID not found"))</f>
        <v>All accepted offers</v>
      </c>
      <c r="G7" s="30" t="s">
        <v>390</v>
      </c>
      <c r="H7" s="30" t="s">
        <v>66</v>
      </c>
      <c r="I7" s="30" t="s">
        <v>198</v>
      </c>
      <c r="J7" s="30"/>
      <c r="K7" s="20" t="n">
        <f aca="false">IF(A7="","",COUNTIF('Metric to Product'!$A:$A,A7))</f>
        <v>2</v>
      </c>
      <c r="L7" s="20" t="n">
        <f aca="false">IF(A7="","",COUNTIF('Metric to Field'!$A:$A,A7))</f>
        <v>2</v>
      </c>
      <c r="M7" s="32" t="n">
        <f aca="false">IF(B7="","",COUNTIF($B$5:$B$254,B7))</f>
        <v>1</v>
      </c>
      <c r="N7" s="30" t="s">
        <v>391</v>
      </c>
      <c r="O7" s="30" t="s">
        <v>173</v>
      </c>
      <c r="P7" s="30" t="s">
        <v>176</v>
      </c>
      <c r="Q7" s="30" t="s">
        <v>179</v>
      </c>
      <c r="R7" s="30"/>
      <c r="S7" s="33" t="str">
        <f aca="false">IF(AND(A7&lt;&gt;"",M7&gt;1),COUNTIFS($A$5:A7,"&lt;&gt;",$M$5:M7,"&gt;1"),"")</f>
        <v/>
      </c>
    </row>
    <row r="8" customFormat="false" ht="15" hidden="false" customHeight="false" outlineLevel="0" collapsed="false">
      <c r="A8" s="29"/>
      <c r="B8" s="30"/>
      <c r="C8" s="30"/>
      <c r="D8" s="30"/>
      <c r="E8" s="30"/>
      <c r="F8" s="20" t="str">
        <f aca="false">IF(E8="","",IFERROR(INDEX(Populations!$B:$B,MATCH(E8,Populations!$A:$A,0)),"ID not found"))</f>
        <v/>
      </c>
      <c r="G8" s="30"/>
      <c r="H8" s="30"/>
      <c r="I8" s="30"/>
      <c r="J8" s="30"/>
      <c r="K8" s="20" t="str">
        <f aca="false">IF(A8="","",COUNTIF('Metric to Product'!$A:$A,A8))</f>
        <v/>
      </c>
      <c r="L8" s="20" t="str">
        <f aca="false">IF(A8="","",COUNTIF('Metric to Field'!$A:$A,A8))</f>
        <v/>
      </c>
      <c r="M8" s="32" t="str">
        <f aca="false">IF(B8="","",COUNTIF($B$5:$B$254,B8))</f>
        <v/>
      </c>
      <c r="N8" s="30"/>
      <c r="O8" s="30"/>
      <c r="P8" s="30"/>
      <c r="Q8" s="30"/>
      <c r="R8" s="30"/>
      <c r="S8" s="33" t="str">
        <f aca="false">IF(AND(A8&lt;&gt;"",M8&gt;1),COUNTIFS($A$5:A8,"&lt;&gt;",$M$5:M8,"&gt;1"),"")</f>
        <v/>
      </c>
    </row>
    <row r="9" customFormat="false" ht="15" hidden="false" customHeight="false" outlineLevel="0" collapsed="false">
      <c r="A9" s="29"/>
      <c r="B9" s="30"/>
      <c r="C9" s="30"/>
      <c r="D9" s="30"/>
      <c r="E9" s="30"/>
      <c r="F9" s="20" t="str">
        <f aca="false">IF(E9="","",IFERROR(INDEX(Populations!$B:$B,MATCH(E9,Populations!$A:$A,0)),"ID not found"))</f>
        <v/>
      </c>
      <c r="G9" s="30"/>
      <c r="H9" s="30"/>
      <c r="I9" s="30"/>
      <c r="J9" s="30"/>
      <c r="K9" s="20" t="str">
        <f aca="false">IF(A9="","",COUNTIF('Metric to Product'!$A:$A,A9))</f>
        <v/>
      </c>
      <c r="L9" s="20" t="str">
        <f aca="false">IF(A9="","",COUNTIF('Metric to Field'!$A:$A,A9))</f>
        <v/>
      </c>
      <c r="M9" s="32" t="str">
        <f aca="false">IF(B9="","",COUNTIF($B$5:$B$254,B9))</f>
        <v/>
      </c>
      <c r="N9" s="30"/>
      <c r="O9" s="30"/>
      <c r="P9" s="30"/>
      <c r="Q9" s="30"/>
      <c r="R9" s="30"/>
      <c r="S9" s="33" t="str">
        <f aca="false">IF(AND(A9&lt;&gt;"",M9&gt;1),COUNTIFS($A$5:A9,"&lt;&gt;",$M$5:M9,"&gt;1"),"")</f>
        <v/>
      </c>
    </row>
    <row r="10" customFormat="false" ht="15" hidden="false" customHeight="false" outlineLevel="0" collapsed="false">
      <c r="A10" s="29"/>
      <c r="B10" s="30"/>
      <c r="C10" s="30"/>
      <c r="D10" s="30"/>
      <c r="E10" s="30"/>
      <c r="F10" s="20" t="str">
        <f aca="false">IF(E10="","",IFERROR(INDEX(Populations!$B:$B,MATCH(E10,Populations!$A:$A,0)),"ID not found"))</f>
        <v/>
      </c>
      <c r="G10" s="30"/>
      <c r="H10" s="30"/>
      <c r="I10" s="30"/>
      <c r="J10" s="30"/>
      <c r="K10" s="20" t="str">
        <f aca="false">IF(A10="","",COUNTIF('Metric to Product'!$A:$A,A10))</f>
        <v/>
      </c>
      <c r="L10" s="20" t="str">
        <f aca="false">IF(A10="","",COUNTIF('Metric to Field'!$A:$A,A10))</f>
        <v/>
      </c>
      <c r="M10" s="32" t="str">
        <f aca="false">IF(B10="","",COUNTIF($B$5:$B$254,B10))</f>
        <v/>
      </c>
      <c r="N10" s="30"/>
      <c r="O10" s="30"/>
      <c r="P10" s="30"/>
      <c r="Q10" s="30"/>
      <c r="R10" s="30"/>
      <c r="S10" s="33" t="str">
        <f aca="false">IF(AND(A10&lt;&gt;"",M10&gt;1),COUNTIFS($A$5:A10,"&lt;&gt;",$M$5:M10,"&gt;1"),"")</f>
        <v/>
      </c>
    </row>
    <row r="11" customFormat="false" ht="15" hidden="false" customHeight="false" outlineLevel="0" collapsed="false">
      <c r="A11" s="29"/>
      <c r="B11" s="30"/>
      <c r="C11" s="30"/>
      <c r="D11" s="30"/>
      <c r="E11" s="30"/>
      <c r="F11" s="20" t="str">
        <f aca="false">IF(E11="","",IFERROR(INDEX(Populations!$B:$B,MATCH(E11,Populations!$A:$A,0)),"ID not found"))</f>
        <v/>
      </c>
      <c r="G11" s="30"/>
      <c r="H11" s="30"/>
      <c r="I11" s="30"/>
      <c r="J11" s="30"/>
      <c r="K11" s="20" t="str">
        <f aca="false">IF(A11="","",COUNTIF('Metric to Product'!$A:$A,A11))</f>
        <v/>
      </c>
      <c r="L11" s="20" t="str">
        <f aca="false">IF(A11="","",COUNTIF('Metric to Field'!$A:$A,A11))</f>
        <v/>
      </c>
      <c r="M11" s="32" t="str">
        <f aca="false">IF(B11="","",COUNTIF($B$5:$B$254,B11))</f>
        <v/>
      </c>
      <c r="N11" s="30"/>
      <c r="O11" s="30"/>
      <c r="P11" s="30"/>
      <c r="Q11" s="30"/>
      <c r="R11" s="30"/>
      <c r="S11" s="33" t="str">
        <f aca="false">IF(AND(A11&lt;&gt;"",M11&gt;1),COUNTIFS($A$5:A11,"&lt;&gt;",$M$5:M11,"&gt;1"),"")</f>
        <v/>
      </c>
    </row>
    <row r="12" customFormat="false" ht="15" hidden="false" customHeight="false" outlineLevel="0" collapsed="false">
      <c r="A12" s="29"/>
      <c r="B12" s="30"/>
      <c r="C12" s="30"/>
      <c r="D12" s="30"/>
      <c r="E12" s="30"/>
      <c r="F12" s="20" t="str">
        <f aca="false">IF(E12="","",IFERROR(INDEX(Populations!$B:$B,MATCH(E12,Populations!$A:$A,0)),"ID not found"))</f>
        <v/>
      </c>
      <c r="G12" s="30"/>
      <c r="H12" s="30"/>
      <c r="I12" s="30"/>
      <c r="J12" s="30"/>
      <c r="K12" s="20" t="str">
        <f aca="false">IF(A12="","",COUNTIF('Metric to Product'!$A:$A,A12))</f>
        <v/>
      </c>
      <c r="L12" s="20" t="str">
        <f aca="false">IF(A12="","",COUNTIF('Metric to Field'!$A:$A,A12))</f>
        <v/>
      </c>
      <c r="M12" s="32" t="str">
        <f aca="false">IF(B12="","",COUNTIF($B$5:$B$254,B12))</f>
        <v/>
      </c>
      <c r="N12" s="30"/>
      <c r="O12" s="30"/>
      <c r="P12" s="30"/>
      <c r="Q12" s="30"/>
      <c r="R12" s="30"/>
      <c r="S12" s="33" t="str">
        <f aca="false">IF(AND(A12&lt;&gt;"",M12&gt;1),COUNTIFS($A$5:A12,"&lt;&gt;",$M$5:M12,"&gt;1"),"")</f>
        <v/>
      </c>
    </row>
    <row r="13" customFormat="false" ht="15" hidden="false" customHeight="false" outlineLevel="0" collapsed="false">
      <c r="A13" s="29"/>
      <c r="B13" s="30"/>
      <c r="C13" s="30"/>
      <c r="D13" s="30"/>
      <c r="E13" s="30"/>
      <c r="F13" s="20" t="str">
        <f aca="false">IF(E13="","",IFERROR(INDEX(Populations!$B:$B,MATCH(E13,Populations!$A:$A,0)),"ID not found"))</f>
        <v/>
      </c>
      <c r="G13" s="30"/>
      <c r="H13" s="30"/>
      <c r="I13" s="30"/>
      <c r="J13" s="30"/>
      <c r="K13" s="20" t="str">
        <f aca="false">IF(A13="","",COUNTIF('Metric to Product'!$A:$A,A13))</f>
        <v/>
      </c>
      <c r="L13" s="20" t="str">
        <f aca="false">IF(A13="","",COUNTIF('Metric to Field'!$A:$A,A13))</f>
        <v/>
      </c>
      <c r="M13" s="32" t="str">
        <f aca="false">IF(B13="","",COUNTIF($B$5:$B$254,B13))</f>
        <v/>
      </c>
      <c r="N13" s="30"/>
      <c r="O13" s="30"/>
      <c r="P13" s="30"/>
      <c r="Q13" s="30"/>
      <c r="R13" s="30"/>
      <c r="S13" s="33" t="str">
        <f aca="false">IF(AND(A13&lt;&gt;"",M13&gt;1),COUNTIFS($A$5:A13,"&lt;&gt;",$M$5:M13,"&gt;1"),"")</f>
        <v/>
      </c>
    </row>
    <row r="14" customFormat="false" ht="15" hidden="false" customHeight="false" outlineLevel="0" collapsed="false">
      <c r="A14" s="29"/>
      <c r="B14" s="30"/>
      <c r="C14" s="30"/>
      <c r="D14" s="30"/>
      <c r="E14" s="30"/>
      <c r="F14" s="20" t="str">
        <f aca="false">IF(E14="","",IFERROR(INDEX(Populations!$B:$B,MATCH(E14,Populations!$A:$A,0)),"ID not found"))</f>
        <v/>
      </c>
      <c r="G14" s="30"/>
      <c r="H14" s="30"/>
      <c r="I14" s="30"/>
      <c r="J14" s="30"/>
      <c r="K14" s="20" t="str">
        <f aca="false">IF(A14="","",COUNTIF('Metric to Product'!$A:$A,A14))</f>
        <v/>
      </c>
      <c r="L14" s="20" t="str">
        <f aca="false">IF(A14="","",COUNTIF('Metric to Field'!$A:$A,A14))</f>
        <v/>
      </c>
      <c r="M14" s="32" t="str">
        <f aca="false">IF(B14="","",COUNTIF($B$5:$B$254,B14))</f>
        <v/>
      </c>
      <c r="N14" s="30"/>
      <c r="O14" s="30"/>
      <c r="P14" s="30"/>
      <c r="Q14" s="30"/>
      <c r="R14" s="30"/>
      <c r="S14" s="33" t="str">
        <f aca="false">IF(AND(A14&lt;&gt;"",M14&gt;1),COUNTIFS($A$5:A14,"&lt;&gt;",$M$5:M14,"&gt;1"),"")</f>
        <v/>
      </c>
    </row>
    <row r="15" customFormat="false" ht="15" hidden="false" customHeight="false" outlineLevel="0" collapsed="false">
      <c r="A15" s="29"/>
      <c r="B15" s="30"/>
      <c r="C15" s="30"/>
      <c r="D15" s="30"/>
      <c r="E15" s="30"/>
      <c r="F15" s="20" t="str">
        <f aca="false">IF(E15="","",IFERROR(INDEX(Populations!$B:$B,MATCH(E15,Populations!$A:$A,0)),"ID not found"))</f>
        <v/>
      </c>
      <c r="G15" s="30"/>
      <c r="H15" s="30"/>
      <c r="I15" s="30"/>
      <c r="J15" s="30"/>
      <c r="K15" s="20" t="str">
        <f aca="false">IF(A15="","",COUNTIF('Metric to Product'!$A:$A,A15))</f>
        <v/>
      </c>
      <c r="L15" s="20" t="str">
        <f aca="false">IF(A15="","",COUNTIF('Metric to Field'!$A:$A,A15))</f>
        <v/>
      </c>
      <c r="M15" s="32" t="str">
        <f aca="false">IF(B15="","",COUNTIF($B$5:$B$254,B15))</f>
        <v/>
      </c>
      <c r="N15" s="30"/>
      <c r="O15" s="30"/>
      <c r="P15" s="30"/>
      <c r="Q15" s="30"/>
      <c r="R15" s="30"/>
      <c r="S15" s="33" t="str">
        <f aca="false">IF(AND(A15&lt;&gt;"",M15&gt;1),COUNTIFS($A$5:A15,"&lt;&gt;",$M$5:M15,"&gt;1"),"")</f>
        <v/>
      </c>
    </row>
    <row r="16" customFormat="false" ht="15" hidden="false" customHeight="false" outlineLevel="0" collapsed="false">
      <c r="A16" s="29"/>
      <c r="B16" s="30"/>
      <c r="C16" s="30"/>
      <c r="D16" s="30"/>
      <c r="E16" s="30"/>
      <c r="F16" s="20" t="str">
        <f aca="false">IF(E16="","",IFERROR(INDEX(Populations!$B:$B,MATCH(E16,Populations!$A:$A,0)),"ID not found"))</f>
        <v/>
      </c>
      <c r="G16" s="30"/>
      <c r="H16" s="30"/>
      <c r="I16" s="30"/>
      <c r="J16" s="30"/>
      <c r="K16" s="20" t="str">
        <f aca="false">IF(A16="","",COUNTIF('Metric to Product'!$A:$A,A16))</f>
        <v/>
      </c>
      <c r="L16" s="20" t="str">
        <f aca="false">IF(A16="","",COUNTIF('Metric to Field'!$A:$A,A16))</f>
        <v/>
      </c>
      <c r="M16" s="32" t="str">
        <f aca="false">IF(B16="","",COUNTIF($B$5:$B$254,B16))</f>
        <v/>
      </c>
      <c r="N16" s="30"/>
      <c r="O16" s="30"/>
      <c r="P16" s="30"/>
      <c r="Q16" s="30"/>
      <c r="R16" s="30"/>
      <c r="S16" s="33" t="str">
        <f aca="false">IF(AND(A16&lt;&gt;"",M16&gt;1),COUNTIFS($A$5:A16,"&lt;&gt;",$M$5:M16,"&gt;1"),"")</f>
        <v/>
      </c>
    </row>
    <row r="17" customFormat="false" ht="15" hidden="false" customHeight="false" outlineLevel="0" collapsed="false">
      <c r="A17" s="29"/>
      <c r="B17" s="30"/>
      <c r="C17" s="30"/>
      <c r="D17" s="30"/>
      <c r="E17" s="30"/>
      <c r="F17" s="20" t="str">
        <f aca="false">IF(E17="","",IFERROR(INDEX(Populations!$B:$B,MATCH(E17,Populations!$A:$A,0)),"ID not found"))</f>
        <v/>
      </c>
      <c r="G17" s="30"/>
      <c r="H17" s="30"/>
      <c r="I17" s="30"/>
      <c r="J17" s="30"/>
      <c r="K17" s="20" t="str">
        <f aca="false">IF(A17="","",COUNTIF('Metric to Product'!$A:$A,A17))</f>
        <v/>
      </c>
      <c r="L17" s="20" t="str">
        <f aca="false">IF(A17="","",COUNTIF('Metric to Field'!$A:$A,A17))</f>
        <v/>
      </c>
      <c r="M17" s="32" t="str">
        <f aca="false">IF(B17="","",COUNTIF($B$5:$B$254,B17))</f>
        <v/>
      </c>
      <c r="N17" s="30"/>
      <c r="O17" s="30"/>
      <c r="P17" s="30"/>
      <c r="Q17" s="30"/>
      <c r="R17" s="30"/>
      <c r="S17" s="33" t="str">
        <f aca="false">IF(AND(A17&lt;&gt;"",M17&gt;1),COUNTIFS($A$5:A17,"&lt;&gt;",$M$5:M17,"&gt;1"),"")</f>
        <v/>
      </c>
    </row>
    <row r="18" customFormat="false" ht="15" hidden="false" customHeight="false" outlineLevel="0" collapsed="false">
      <c r="A18" s="29"/>
      <c r="B18" s="30"/>
      <c r="C18" s="30"/>
      <c r="D18" s="30"/>
      <c r="E18" s="30"/>
      <c r="F18" s="20" t="str">
        <f aca="false">IF(E18="","",IFERROR(INDEX(Populations!$B:$B,MATCH(E18,Populations!$A:$A,0)),"ID not found"))</f>
        <v/>
      </c>
      <c r="G18" s="30"/>
      <c r="H18" s="30"/>
      <c r="I18" s="30"/>
      <c r="J18" s="30"/>
      <c r="K18" s="20" t="str">
        <f aca="false">IF(A18="","",COUNTIF('Metric to Product'!$A:$A,A18))</f>
        <v/>
      </c>
      <c r="L18" s="20" t="str">
        <f aca="false">IF(A18="","",COUNTIF('Metric to Field'!$A:$A,A18))</f>
        <v/>
      </c>
      <c r="M18" s="32" t="str">
        <f aca="false">IF(B18="","",COUNTIF($B$5:$B$254,B18))</f>
        <v/>
      </c>
      <c r="N18" s="30"/>
      <c r="O18" s="30"/>
      <c r="P18" s="30"/>
      <c r="Q18" s="30"/>
      <c r="R18" s="30"/>
      <c r="S18" s="33" t="str">
        <f aca="false">IF(AND(A18&lt;&gt;"",M18&gt;1),COUNTIFS($A$5:A18,"&lt;&gt;",$M$5:M18,"&gt;1"),"")</f>
        <v/>
      </c>
    </row>
    <row r="19" customFormat="false" ht="15" hidden="false" customHeight="false" outlineLevel="0" collapsed="false">
      <c r="A19" s="29"/>
      <c r="B19" s="30"/>
      <c r="C19" s="30"/>
      <c r="D19" s="30"/>
      <c r="E19" s="30"/>
      <c r="F19" s="20" t="str">
        <f aca="false">IF(E19="","",IFERROR(INDEX(Populations!$B:$B,MATCH(E19,Populations!$A:$A,0)),"ID not found"))</f>
        <v/>
      </c>
      <c r="G19" s="30"/>
      <c r="H19" s="30"/>
      <c r="I19" s="30"/>
      <c r="J19" s="30"/>
      <c r="K19" s="20" t="str">
        <f aca="false">IF(A19="","",COUNTIF('Metric to Product'!$A:$A,A19))</f>
        <v/>
      </c>
      <c r="L19" s="20" t="str">
        <f aca="false">IF(A19="","",COUNTIF('Metric to Field'!$A:$A,A19))</f>
        <v/>
      </c>
      <c r="M19" s="32" t="str">
        <f aca="false">IF(B19="","",COUNTIF($B$5:$B$254,B19))</f>
        <v/>
      </c>
      <c r="N19" s="30"/>
      <c r="O19" s="30"/>
      <c r="P19" s="30"/>
      <c r="Q19" s="30"/>
      <c r="R19" s="30"/>
      <c r="S19" s="33" t="str">
        <f aca="false">IF(AND(A19&lt;&gt;"",M19&gt;1),COUNTIFS($A$5:A19,"&lt;&gt;",$M$5:M19,"&gt;1"),"")</f>
        <v/>
      </c>
    </row>
    <row r="20" customFormat="false" ht="15" hidden="false" customHeight="false" outlineLevel="0" collapsed="false">
      <c r="A20" s="29"/>
      <c r="B20" s="30"/>
      <c r="C20" s="30"/>
      <c r="D20" s="30"/>
      <c r="E20" s="30"/>
      <c r="F20" s="20" t="str">
        <f aca="false">IF(E20="","",IFERROR(INDEX(Populations!$B:$B,MATCH(E20,Populations!$A:$A,0)),"ID not found"))</f>
        <v/>
      </c>
      <c r="G20" s="30"/>
      <c r="H20" s="30"/>
      <c r="I20" s="30"/>
      <c r="J20" s="30"/>
      <c r="K20" s="20" t="str">
        <f aca="false">IF(A20="","",COUNTIF('Metric to Product'!$A:$A,A20))</f>
        <v/>
      </c>
      <c r="L20" s="20" t="str">
        <f aca="false">IF(A20="","",COUNTIF('Metric to Field'!$A:$A,A20))</f>
        <v/>
      </c>
      <c r="M20" s="32" t="str">
        <f aca="false">IF(B20="","",COUNTIF($B$5:$B$254,B20))</f>
        <v/>
      </c>
      <c r="N20" s="30"/>
      <c r="O20" s="30"/>
      <c r="P20" s="30"/>
      <c r="Q20" s="30"/>
      <c r="R20" s="30"/>
      <c r="S20" s="33" t="str">
        <f aca="false">IF(AND(A20&lt;&gt;"",M20&gt;1),COUNTIFS($A$5:A20,"&lt;&gt;",$M$5:M20,"&gt;1"),"")</f>
        <v/>
      </c>
    </row>
    <row r="21" customFormat="false" ht="15" hidden="false" customHeight="false" outlineLevel="0" collapsed="false">
      <c r="A21" s="29"/>
      <c r="B21" s="30"/>
      <c r="C21" s="30"/>
      <c r="D21" s="30"/>
      <c r="E21" s="30"/>
      <c r="F21" s="20" t="str">
        <f aca="false">IF(E21="","",IFERROR(INDEX(Populations!$B:$B,MATCH(E21,Populations!$A:$A,0)),"ID not found"))</f>
        <v/>
      </c>
      <c r="G21" s="30"/>
      <c r="H21" s="30"/>
      <c r="I21" s="30"/>
      <c r="J21" s="30"/>
      <c r="K21" s="20" t="str">
        <f aca="false">IF(A21="","",COUNTIF('Metric to Product'!$A:$A,A21))</f>
        <v/>
      </c>
      <c r="L21" s="20" t="str">
        <f aca="false">IF(A21="","",COUNTIF('Metric to Field'!$A:$A,A21))</f>
        <v/>
      </c>
      <c r="M21" s="32" t="str">
        <f aca="false">IF(B21="","",COUNTIF($B$5:$B$254,B21))</f>
        <v/>
      </c>
      <c r="N21" s="30"/>
      <c r="O21" s="30"/>
      <c r="P21" s="30"/>
      <c r="Q21" s="30"/>
      <c r="R21" s="30"/>
      <c r="S21" s="33" t="str">
        <f aca="false">IF(AND(A21&lt;&gt;"",M21&gt;1),COUNTIFS($A$5:A21,"&lt;&gt;",$M$5:M21,"&gt;1"),"")</f>
        <v/>
      </c>
    </row>
    <row r="22" customFormat="false" ht="15" hidden="false" customHeight="false" outlineLevel="0" collapsed="false">
      <c r="A22" s="29"/>
      <c r="B22" s="30"/>
      <c r="C22" s="30"/>
      <c r="D22" s="30"/>
      <c r="E22" s="30"/>
      <c r="F22" s="20" t="str">
        <f aca="false">IF(E22="","",IFERROR(INDEX(Populations!$B:$B,MATCH(E22,Populations!$A:$A,0)),"ID not found"))</f>
        <v/>
      </c>
      <c r="G22" s="30"/>
      <c r="H22" s="30"/>
      <c r="I22" s="30"/>
      <c r="J22" s="30"/>
      <c r="K22" s="20" t="str">
        <f aca="false">IF(A22="","",COUNTIF('Metric to Product'!$A:$A,A22))</f>
        <v/>
      </c>
      <c r="L22" s="20" t="str">
        <f aca="false">IF(A22="","",COUNTIF('Metric to Field'!$A:$A,A22))</f>
        <v/>
      </c>
      <c r="M22" s="32" t="str">
        <f aca="false">IF(B22="","",COUNTIF($B$5:$B$254,B22))</f>
        <v/>
      </c>
      <c r="N22" s="30"/>
      <c r="O22" s="30"/>
      <c r="P22" s="30"/>
      <c r="Q22" s="30"/>
      <c r="R22" s="30"/>
      <c r="S22" s="33" t="str">
        <f aca="false">IF(AND(A22&lt;&gt;"",M22&gt;1),COUNTIFS($A$5:A22,"&lt;&gt;",$M$5:M22,"&gt;1"),"")</f>
        <v/>
      </c>
    </row>
    <row r="23" customFormat="false" ht="15" hidden="false" customHeight="false" outlineLevel="0" collapsed="false">
      <c r="A23" s="29"/>
      <c r="B23" s="30"/>
      <c r="C23" s="30"/>
      <c r="D23" s="30"/>
      <c r="E23" s="30"/>
      <c r="F23" s="20" t="str">
        <f aca="false">IF(E23="","",IFERROR(INDEX(Populations!$B:$B,MATCH(E23,Populations!$A:$A,0)),"ID not found"))</f>
        <v/>
      </c>
      <c r="G23" s="30"/>
      <c r="H23" s="30"/>
      <c r="I23" s="30"/>
      <c r="J23" s="30"/>
      <c r="K23" s="20" t="str">
        <f aca="false">IF(A23="","",COUNTIF('Metric to Product'!$A:$A,A23))</f>
        <v/>
      </c>
      <c r="L23" s="20" t="str">
        <f aca="false">IF(A23="","",COUNTIF('Metric to Field'!$A:$A,A23))</f>
        <v/>
      </c>
      <c r="M23" s="32" t="str">
        <f aca="false">IF(B23="","",COUNTIF($B$5:$B$254,B23))</f>
        <v/>
      </c>
      <c r="N23" s="30"/>
      <c r="O23" s="30"/>
      <c r="P23" s="30"/>
      <c r="Q23" s="30"/>
      <c r="R23" s="30"/>
      <c r="S23" s="33" t="str">
        <f aca="false">IF(AND(A23&lt;&gt;"",M23&gt;1),COUNTIFS($A$5:A23,"&lt;&gt;",$M$5:M23,"&gt;1"),"")</f>
        <v/>
      </c>
    </row>
    <row r="24" customFormat="false" ht="15" hidden="false" customHeight="false" outlineLevel="0" collapsed="false">
      <c r="A24" s="29"/>
      <c r="B24" s="30"/>
      <c r="C24" s="30"/>
      <c r="D24" s="30"/>
      <c r="E24" s="30"/>
      <c r="F24" s="20" t="str">
        <f aca="false">IF(E24="","",IFERROR(INDEX(Populations!$B:$B,MATCH(E24,Populations!$A:$A,0)),"ID not found"))</f>
        <v/>
      </c>
      <c r="G24" s="30"/>
      <c r="H24" s="30"/>
      <c r="I24" s="30"/>
      <c r="J24" s="30"/>
      <c r="K24" s="20" t="str">
        <f aca="false">IF(A24="","",COUNTIF('Metric to Product'!$A:$A,A24))</f>
        <v/>
      </c>
      <c r="L24" s="20" t="str">
        <f aca="false">IF(A24="","",COUNTIF('Metric to Field'!$A:$A,A24))</f>
        <v/>
      </c>
      <c r="M24" s="32" t="str">
        <f aca="false">IF(B24="","",COUNTIF($B$5:$B$254,B24))</f>
        <v/>
      </c>
      <c r="N24" s="30"/>
      <c r="O24" s="30"/>
      <c r="P24" s="30"/>
      <c r="Q24" s="30"/>
      <c r="R24" s="30"/>
      <c r="S24" s="33" t="str">
        <f aca="false">IF(AND(A24&lt;&gt;"",M24&gt;1),COUNTIFS($A$5:A24,"&lt;&gt;",$M$5:M24,"&gt;1"),"")</f>
        <v/>
      </c>
    </row>
    <row r="25" customFormat="false" ht="15" hidden="false" customHeight="false" outlineLevel="0" collapsed="false">
      <c r="A25" s="29"/>
      <c r="B25" s="30"/>
      <c r="C25" s="30"/>
      <c r="D25" s="30"/>
      <c r="E25" s="30"/>
      <c r="F25" s="20" t="str">
        <f aca="false">IF(E25="","",IFERROR(INDEX(Populations!$B:$B,MATCH(E25,Populations!$A:$A,0)),"ID not found"))</f>
        <v/>
      </c>
      <c r="G25" s="30"/>
      <c r="H25" s="30"/>
      <c r="I25" s="30"/>
      <c r="J25" s="30"/>
      <c r="K25" s="20" t="str">
        <f aca="false">IF(A25="","",COUNTIF('Metric to Product'!$A:$A,A25))</f>
        <v/>
      </c>
      <c r="L25" s="20" t="str">
        <f aca="false">IF(A25="","",COUNTIF('Metric to Field'!$A:$A,A25))</f>
        <v/>
      </c>
      <c r="M25" s="32" t="str">
        <f aca="false">IF(B25="","",COUNTIF($B$5:$B$254,B25))</f>
        <v/>
      </c>
      <c r="N25" s="30"/>
      <c r="O25" s="30"/>
      <c r="P25" s="30"/>
      <c r="Q25" s="30"/>
      <c r="R25" s="30"/>
      <c r="S25" s="33" t="str">
        <f aca="false">IF(AND(A25&lt;&gt;"",M25&gt;1),COUNTIFS($A$5:A25,"&lt;&gt;",$M$5:M25,"&gt;1"),"")</f>
        <v/>
      </c>
    </row>
    <row r="26" customFormat="false" ht="15" hidden="false" customHeight="false" outlineLevel="0" collapsed="false">
      <c r="A26" s="29"/>
      <c r="B26" s="30"/>
      <c r="C26" s="30"/>
      <c r="D26" s="30"/>
      <c r="E26" s="30"/>
      <c r="F26" s="20" t="str">
        <f aca="false">IF(E26="","",IFERROR(INDEX(Populations!$B:$B,MATCH(E26,Populations!$A:$A,0)),"ID not found"))</f>
        <v/>
      </c>
      <c r="G26" s="30"/>
      <c r="H26" s="30"/>
      <c r="I26" s="30"/>
      <c r="J26" s="30"/>
      <c r="K26" s="20" t="str">
        <f aca="false">IF(A26="","",COUNTIF('Metric to Product'!$A:$A,A26))</f>
        <v/>
      </c>
      <c r="L26" s="20" t="str">
        <f aca="false">IF(A26="","",COUNTIF('Metric to Field'!$A:$A,A26))</f>
        <v/>
      </c>
      <c r="M26" s="32" t="str">
        <f aca="false">IF(B26="","",COUNTIF($B$5:$B$254,B26))</f>
        <v/>
      </c>
      <c r="N26" s="30"/>
      <c r="O26" s="30"/>
      <c r="P26" s="30"/>
      <c r="Q26" s="30"/>
      <c r="R26" s="30"/>
      <c r="S26" s="33" t="str">
        <f aca="false">IF(AND(A26&lt;&gt;"",M26&gt;1),COUNTIFS($A$5:A26,"&lt;&gt;",$M$5:M26,"&gt;1"),"")</f>
        <v/>
      </c>
    </row>
    <row r="27" customFormat="false" ht="15" hidden="false" customHeight="false" outlineLevel="0" collapsed="false">
      <c r="A27" s="29"/>
      <c r="B27" s="30"/>
      <c r="C27" s="30"/>
      <c r="D27" s="30"/>
      <c r="E27" s="30"/>
      <c r="F27" s="20" t="str">
        <f aca="false">IF(E27="","",IFERROR(INDEX(Populations!$B:$B,MATCH(E27,Populations!$A:$A,0)),"ID not found"))</f>
        <v/>
      </c>
      <c r="G27" s="30"/>
      <c r="H27" s="30"/>
      <c r="I27" s="30"/>
      <c r="J27" s="30"/>
      <c r="K27" s="20" t="str">
        <f aca="false">IF(A27="","",COUNTIF('Metric to Product'!$A:$A,A27))</f>
        <v/>
      </c>
      <c r="L27" s="20" t="str">
        <f aca="false">IF(A27="","",COUNTIF('Metric to Field'!$A:$A,A27))</f>
        <v/>
      </c>
      <c r="M27" s="32" t="str">
        <f aca="false">IF(B27="","",COUNTIF($B$5:$B$254,B27))</f>
        <v/>
      </c>
      <c r="N27" s="30"/>
      <c r="O27" s="30"/>
      <c r="P27" s="30"/>
      <c r="Q27" s="30"/>
      <c r="R27" s="30"/>
      <c r="S27" s="33" t="str">
        <f aca="false">IF(AND(A27&lt;&gt;"",M27&gt;1),COUNTIFS($A$5:A27,"&lt;&gt;",$M$5:M27,"&gt;1"),"")</f>
        <v/>
      </c>
    </row>
    <row r="28" customFormat="false" ht="15" hidden="false" customHeight="false" outlineLevel="0" collapsed="false">
      <c r="A28" s="29"/>
      <c r="B28" s="30"/>
      <c r="C28" s="30"/>
      <c r="D28" s="30"/>
      <c r="E28" s="30"/>
      <c r="F28" s="20" t="str">
        <f aca="false">IF(E28="","",IFERROR(INDEX(Populations!$B:$B,MATCH(E28,Populations!$A:$A,0)),"ID not found"))</f>
        <v/>
      </c>
      <c r="G28" s="30"/>
      <c r="H28" s="30"/>
      <c r="I28" s="30"/>
      <c r="J28" s="30"/>
      <c r="K28" s="20" t="str">
        <f aca="false">IF(A28="","",COUNTIF('Metric to Product'!$A:$A,A28))</f>
        <v/>
      </c>
      <c r="L28" s="20" t="str">
        <f aca="false">IF(A28="","",COUNTIF('Metric to Field'!$A:$A,A28))</f>
        <v/>
      </c>
      <c r="M28" s="32" t="str">
        <f aca="false">IF(B28="","",COUNTIF($B$5:$B$254,B28))</f>
        <v/>
      </c>
      <c r="N28" s="30"/>
      <c r="O28" s="30"/>
      <c r="P28" s="30"/>
      <c r="Q28" s="30"/>
      <c r="R28" s="30"/>
      <c r="S28" s="33" t="str">
        <f aca="false">IF(AND(A28&lt;&gt;"",M28&gt;1),COUNTIFS($A$5:A28,"&lt;&gt;",$M$5:M28,"&gt;1"),"")</f>
        <v/>
      </c>
    </row>
    <row r="29" customFormat="false" ht="15" hidden="false" customHeight="false" outlineLevel="0" collapsed="false">
      <c r="A29" s="29"/>
      <c r="B29" s="30"/>
      <c r="C29" s="30"/>
      <c r="D29" s="30"/>
      <c r="E29" s="30"/>
      <c r="F29" s="20" t="str">
        <f aca="false">IF(E29="","",IFERROR(INDEX(Populations!$B:$B,MATCH(E29,Populations!$A:$A,0)),"ID not found"))</f>
        <v/>
      </c>
      <c r="G29" s="30"/>
      <c r="H29" s="30"/>
      <c r="I29" s="30"/>
      <c r="J29" s="30"/>
      <c r="K29" s="20" t="str">
        <f aca="false">IF(A29="","",COUNTIF('Metric to Product'!$A:$A,A29))</f>
        <v/>
      </c>
      <c r="L29" s="20" t="str">
        <f aca="false">IF(A29="","",COUNTIF('Metric to Field'!$A:$A,A29))</f>
        <v/>
      </c>
      <c r="M29" s="32" t="str">
        <f aca="false">IF(B29="","",COUNTIF($B$5:$B$254,B29))</f>
        <v/>
      </c>
      <c r="N29" s="30"/>
      <c r="O29" s="30"/>
      <c r="P29" s="30"/>
      <c r="Q29" s="30"/>
      <c r="R29" s="30"/>
      <c r="S29" s="33" t="str">
        <f aca="false">IF(AND(A29&lt;&gt;"",M29&gt;1),COUNTIFS($A$5:A29,"&lt;&gt;",$M$5:M29,"&gt;1"),"")</f>
        <v/>
      </c>
    </row>
    <row r="30" customFormat="false" ht="15" hidden="false" customHeight="false" outlineLevel="0" collapsed="false">
      <c r="A30" s="29"/>
      <c r="B30" s="30"/>
      <c r="C30" s="30"/>
      <c r="D30" s="30"/>
      <c r="E30" s="30"/>
      <c r="F30" s="20" t="str">
        <f aca="false">IF(E30="","",IFERROR(INDEX(Populations!$B:$B,MATCH(E30,Populations!$A:$A,0)),"ID not found"))</f>
        <v/>
      </c>
      <c r="G30" s="30"/>
      <c r="H30" s="30"/>
      <c r="I30" s="30"/>
      <c r="J30" s="30"/>
      <c r="K30" s="20" t="str">
        <f aca="false">IF(A30="","",COUNTIF('Metric to Product'!$A:$A,A30))</f>
        <v/>
      </c>
      <c r="L30" s="20" t="str">
        <f aca="false">IF(A30="","",COUNTIF('Metric to Field'!$A:$A,A30))</f>
        <v/>
      </c>
      <c r="M30" s="32" t="str">
        <f aca="false">IF(B30="","",COUNTIF($B$5:$B$254,B30))</f>
        <v/>
      </c>
      <c r="N30" s="30"/>
      <c r="O30" s="30"/>
      <c r="P30" s="30"/>
      <c r="Q30" s="30"/>
      <c r="R30" s="30"/>
      <c r="S30" s="33" t="str">
        <f aca="false">IF(AND(A30&lt;&gt;"",M30&gt;1),COUNTIFS($A$5:A30,"&lt;&gt;",$M$5:M30,"&gt;1"),"")</f>
        <v/>
      </c>
    </row>
    <row r="31" customFormat="false" ht="15" hidden="false" customHeight="false" outlineLevel="0" collapsed="false">
      <c r="A31" s="29"/>
      <c r="B31" s="30"/>
      <c r="C31" s="30"/>
      <c r="D31" s="30"/>
      <c r="E31" s="30"/>
      <c r="F31" s="20" t="str">
        <f aca="false">IF(E31="","",IFERROR(INDEX(Populations!$B:$B,MATCH(E31,Populations!$A:$A,0)),"ID not found"))</f>
        <v/>
      </c>
      <c r="G31" s="30"/>
      <c r="H31" s="30"/>
      <c r="I31" s="30"/>
      <c r="J31" s="30"/>
      <c r="K31" s="20" t="str">
        <f aca="false">IF(A31="","",COUNTIF('Metric to Product'!$A:$A,A31))</f>
        <v/>
      </c>
      <c r="L31" s="20" t="str">
        <f aca="false">IF(A31="","",COUNTIF('Metric to Field'!$A:$A,A31))</f>
        <v/>
      </c>
      <c r="M31" s="32" t="str">
        <f aca="false">IF(B31="","",COUNTIF($B$5:$B$254,B31))</f>
        <v/>
      </c>
      <c r="N31" s="30"/>
      <c r="O31" s="30"/>
      <c r="P31" s="30"/>
      <c r="Q31" s="30"/>
      <c r="R31" s="30"/>
      <c r="S31" s="33" t="str">
        <f aca="false">IF(AND(A31&lt;&gt;"",M31&gt;1),COUNTIFS($A$5:A31,"&lt;&gt;",$M$5:M31,"&gt;1"),"")</f>
        <v/>
      </c>
    </row>
    <row r="32" customFormat="false" ht="15" hidden="false" customHeight="false" outlineLevel="0" collapsed="false">
      <c r="A32" s="29"/>
      <c r="B32" s="30"/>
      <c r="C32" s="30"/>
      <c r="D32" s="30"/>
      <c r="E32" s="30"/>
      <c r="F32" s="20" t="str">
        <f aca="false">IF(E32="","",IFERROR(INDEX(Populations!$B:$B,MATCH(E32,Populations!$A:$A,0)),"ID not found"))</f>
        <v/>
      </c>
      <c r="G32" s="30"/>
      <c r="H32" s="30"/>
      <c r="I32" s="30"/>
      <c r="J32" s="30"/>
      <c r="K32" s="20" t="str">
        <f aca="false">IF(A32="","",COUNTIF('Metric to Product'!$A:$A,A32))</f>
        <v/>
      </c>
      <c r="L32" s="20" t="str">
        <f aca="false">IF(A32="","",COUNTIF('Metric to Field'!$A:$A,A32))</f>
        <v/>
      </c>
      <c r="M32" s="32" t="str">
        <f aca="false">IF(B32="","",COUNTIF($B$5:$B$254,B32))</f>
        <v/>
      </c>
      <c r="N32" s="30"/>
      <c r="O32" s="30"/>
      <c r="P32" s="30"/>
      <c r="Q32" s="30"/>
      <c r="R32" s="30"/>
      <c r="S32" s="33" t="str">
        <f aca="false">IF(AND(A32&lt;&gt;"",M32&gt;1),COUNTIFS($A$5:A32,"&lt;&gt;",$M$5:M32,"&gt;1"),"")</f>
        <v/>
      </c>
    </row>
    <row r="33" customFormat="false" ht="15" hidden="false" customHeight="false" outlineLevel="0" collapsed="false">
      <c r="A33" s="29"/>
      <c r="B33" s="30"/>
      <c r="C33" s="30"/>
      <c r="D33" s="30"/>
      <c r="E33" s="30"/>
      <c r="F33" s="20" t="str">
        <f aca="false">IF(E33="","",IFERROR(INDEX(Populations!$B:$B,MATCH(E33,Populations!$A:$A,0)),"ID not found"))</f>
        <v/>
      </c>
      <c r="G33" s="30"/>
      <c r="H33" s="30"/>
      <c r="I33" s="30"/>
      <c r="J33" s="30"/>
      <c r="K33" s="20" t="str">
        <f aca="false">IF(A33="","",COUNTIF('Metric to Product'!$A:$A,A33))</f>
        <v/>
      </c>
      <c r="L33" s="20" t="str">
        <f aca="false">IF(A33="","",COUNTIF('Metric to Field'!$A:$A,A33))</f>
        <v/>
      </c>
      <c r="M33" s="32" t="str">
        <f aca="false">IF(B33="","",COUNTIF($B$5:$B$254,B33))</f>
        <v/>
      </c>
      <c r="N33" s="30"/>
      <c r="O33" s="30"/>
      <c r="P33" s="30"/>
      <c r="Q33" s="30"/>
      <c r="R33" s="30"/>
      <c r="S33" s="33" t="str">
        <f aca="false">IF(AND(A33&lt;&gt;"",M33&gt;1),COUNTIFS($A$5:A33,"&lt;&gt;",$M$5:M33,"&gt;1"),"")</f>
        <v/>
      </c>
    </row>
    <row r="34" customFormat="false" ht="15" hidden="false" customHeight="false" outlineLevel="0" collapsed="false">
      <c r="A34" s="29"/>
      <c r="B34" s="30"/>
      <c r="C34" s="30"/>
      <c r="D34" s="30"/>
      <c r="E34" s="30"/>
      <c r="F34" s="20" t="str">
        <f aca="false">IF(E34="","",IFERROR(INDEX(Populations!$B:$B,MATCH(E34,Populations!$A:$A,0)),"ID not found"))</f>
        <v/>
      </c>
      <c r="G34" s="30"/>
      <c r="H34" s="30"/>
      <c r="I34" s="30"/>
      <c r="J34" s="30"/>
      <c r="K34" s="20" t="str">
        <f aca="false">IF(A34="","",COUNTIF('Metric to Product'!$A:$A,A34))</f>
        <v/>
      </c>
      <c r="L34" s="20" t="str">
        <f aca="false">IF(A34="","",COUNTIF('Metric to Field'!$A:$A,A34))</f>
        <v/>
      </c>
      <c r="M34" s="32" t="str">
        <f aca="false">IF(B34="","",COUNTIF($B$5:$B$254,B34))</f>
        <v/>
      </c>
      <c r="N34" s="30"/>
      <c r="O34" s="30"/>
      <c r="P34" s="30"/>
      <c r="Q34" s="30"/>
      <c r="R34" s="30"/>
      <c r="S34" s="33" t="str">
        <f aca="false">IF(AND(A34&lt;&gt;"",M34&gt;1),COUNTIFS($A$5:A34,"&lt;&gt;",$M$5:M34,"&gt;1"),"")</f>
        <v/>
      </c>
    </row>
    <row r="35" customFormat="false" ht="15" hidden="false" customHeight="false" outlineLevel="0" collapsed="false">
      <c r="A35" s="29"/>
      <c r="B35" s="30"/>
      <c r="C35" s="30"/>
      <c r="D35" s="30"/>
      <c r="E35" s="30"/>
      <c r="F35" s="20" t="str">
        <f aca="false">IF(E35="","",IFERROR(INDEX(Populations!$B:$B,MATCH(E35,Populations!$A:$A,0)),"ID not found"))</f>
        <v/>
      </c>
      <c r="G35" s="30"/>
      <c r="H35" s="30"/>
      <c r="I35" s="30"/>
      <c r="J35" s="30"/>
      <c r="K35" s="20" t="str">
        <f aca="false">IF(A35="","",COUNTIF('Metric to Product'!$A:$A,A35))</f>
        <v/>
      </c>
      <c r="L35" s="20" t="str">
        <f aca="false">IF(A35="","",COUNTIF('Metric to Field'!$A:$A,A35))</f>
        <v/>
      </c>
      <c r="M35" s="32" t="str">
        <f aca="false">IF(B35="","",COUNTIF($B$5:$B$254,B35))</f>
        <v/>
      </c>
      <c r="N35" s="30"/>
      <c r="O35" s="30"/>
      <c r="P35" s="30"/>
      <c r="Q35" s="30"/>
      <c r="R35" s="30"/>
      <c r="S35" s="33" t="str">
        <f aca="false">IF(AND(A35&lt;&gt;"",M35&gt;1),COUNTIFS($A$5:A35,"&lt;&gt;",$M$5:M35,"&gt;1"),"")</f>
        <v/>
      </c>
    </row>
    <row r="36" customFormat="false" ht="15" hidden="false" customHeight="false" outlineLevel="0" collapsed="false">
      <c r="A36" s="29"/>
      <c r="B36" s="30"/>
      <c r="C36" s="30"/>
      <c r="D36" s="30"/>
      <c r="E36" s="30"/>
      <c r="F36" s="20" t="str">
        <f aca="false">IF(E36="","",IFERROR(INDEX(Populations!$B:$B,MATCH(E36,Populations!$A:$A,0)),"ID not found"))</f>
        <v/>
      </c>
      <c r="G36" s="30"/>
      <c r="H36" s="30"/>
      <c r="I36" s="30"/>
      <c r="J36" s="30"/>
      <c r="K36" s="20" t="str">
        <f aca="false">IF(A36="","",COUNTIF('Metric to Product'!$A:$A,A36))</f>
        <v/>
      </c>
      <c r="L36" s="20" t="str">
        <f aca="false">IF(A36="","",COUNTIF('Metric to Field'!$A:$A,A36))</f>
        <v/>
      </c>
      <c r="M36" s="32" t="str">
        <f aca="false">IF(B36="","",COUNTIF($B$5:$B$254,B36))</f>
        <v/>
      </c>
      <c r="N36" s="30"/>
      <c r="O36" s="30"/>
      <c r="P36" s="30"/>
      <c r="Q36" s="30"/>
      <c r="R36" s="30"/>
      <c r="S36" s="33" t="str">
        <f aca="false">IF(AND(A36&lt;&gt;"",M36&gt;1),COUNTIFS($A$5:A36,"&lt;&gt;",$M$5:M36,"&gt;1"),"")</f>
        <v/>
      </c>
    </row>
    <row r="37" customFormat="false" ht="15" hidden="false" customHeight="false" outlineLevel="0" collapsed="false">
      <c r="A37" s="29"/>
      <c r="B37" s="30"/>
      <c r="C37" s="30"/>
      <c r="D37" s="30"/>
      <c r="E37" s="30"/>
      <c r="F37" s="20" t="str">
        <f aca="false">IF(E37="","",IFERROR(INDEX(Populations!$B:$B,MATCH(E37,Populations!$A:$A,0)),"ID not found"))</f>
        <v/>
      </c>
      <c r="G37" s="30"/>
      <c r="H37" s="30"/>
      <c r="I37" s="30"/>
      <c r="J37" s="30"/>
      <c r="K37" s="20" t="str">
        <f aca="false">IF(A37="","",COUNTIF('Metric to Product'!$A:$A,A37))</f>
        <v/>
      </c>
      <c r="L37" s="20" t="str">
        <f aca="false">IF(A37="","",COUNTIF('Metric to Field'!$A:$A,A37))</f>
        <v/>
      </c>
      <c r="M37" s="32" t="str">
        <f aca="false">IF(B37="","",COUNTIF($B$5:$B$254,B37))</f>
        <v/>
      </c>
      <c r="N37" s="30"/>
      <c r="O37" s="30"/>
      <c r="P37" s="30"/>
      <c r="Q37" s="30"/>
      <c r="R37" s="30"/>
      <c r="S37" s="33" t="str">
        <f aca="false">IF(AND(A37&lt;&gt;"",M37&gt;1),COUNTIFS($A$5:A37,"&lt;&gt;",$M$5:M37,"&gt;1"),"")</f>
        <v/>
      </c>
    </row>
    <row r="38" customFormat="false" ht="15" hidden="false" customHeight="false" outlineLevel="0" collapsed="false">
      <c r="A38" s="29"/>
      <c r="B38" s="30"/>
      <c r="C38" s="30"/>
      <c r="D38" s="30"/>
      <c r="E38" s="30"/>
      <c r="F38" s="20" t="str">
        <f aca="false">IF(E38="","",IFERROR(INDEX(Populations!$B:$B,MATCH(E38,Populations!$A:$A,0)),"ID not found"))</f>
        <v/>
      </c>
      <c r="G38" s="30"/>
      <c r="H38" s="30"/>
      <c r="I38" s="30"/>
      <c r="J38" s="30"/>
      <c r="K38" s="20" t="str">
        <f aca="false">IF(A38="","",COUNTIF('Metric to Product'!$A:$A,A38))</f>
        <v/>
      </c>
      <c r="L38" s="20" t="str">
        <f aca="false">IF(A38="","",COUNTIF('Metric to Field'!$A:$A,A38))</f>
        <v/>
      </c>
      <c r="M38" s="32" t="str">
        <f aca="false">IF(B38="","",COUNTIF($B$5:$B$254,B38))</f>
        <v/>
      </c>
      <c r="N38" s="30"/>
      <c r="O38" s="30"/>
      <c r="P38" s="30"/>
      <c r="Q38" s="30"/>
      <c r="R38" s="30"/>
      <c r="S38" s="33" t="str">
        <f aca="false">IF(AND(A38&lt;&gt;"",M38&gt;1),COUNTIFS($A$5:A38,"&lt;&gt;",$M$5:M38,"&gt;1"),"")</f>
        <v/>
      </c>
    </row>
    <row r="39" customFormat="false" ht="15" hidden="false" customHeight="false" outlineLevel="0" collapsed="false">
      <c r="A39" s="29"/>
      <c r="B39" s="30"/>
      <c r="C39" s="30"/>
      <c r="D39" s="30"/>
      <c r="E39" s="30"/>
      <c r="F39" s="20" t="str">
        <f aca="false">IF(E39="","",IFERROR(INDEX(Populations!$B:$B,MATCH(E39,Populations!$A:$A,0)),"ID not found"))</f>
        <v/>
      </c>
      <c r="G39" s="30"/>
      <c r="H39" s="30"/>
      <c r="I39" s="30"/>
      <c r="J39" s="30"/>
      <c r="K39" s="20" t="str">
        <f aca="false">IF(A39="","",COUNTIF('Metric to Product'!$A:$A,A39))</f>
        <v/>
      </c>
      <c r="L39" s="20" t="str">
        <f aca="false">IF(A39="","",COUNTIF('Metric to Field'!$A:$A,A39))</f>
        <v/>
      </c>
      <c r="M39" s="32" t="str">
        <f aca="false">IF(B39="","",COUNTIF($B$5:$B$254,B39))</f>
        <v/>
      </c>
      <c r="N39" s="30"/>
      <c r="O39" s="30"/>
      <c r="P39" s="30"/>
      <c r="Q39" s="30"/>
      <c r="R39" s="30"/>
      <c r="S39" s="33" t="str">
        <f aca="false">IF(AND(A39&lt;&gt;"",M39&gt;1),COUNTIFS($A$5:A39,"&lt;&gt;",$M$5:M39,"&gt;1"),"")</f>
        <v/>
      </c>
    </row>
    <row r="40" customFormat="false" ht="15" hidden="false" customHeight="false" outlineLevel="0" collapsed="false">
      <c r="A40" s="29"/>
      <c r="B40" s="30"/>
      <c r="C40" s="30"/>
      <c r="D40" s="30"/>
      <c r="E40" s="30"/>
      <c r="F40" s="20" t="str">
        <f aca="false">IF(E40="","",IFERROR(INDEX(Populations!$B:$B,MATCH(E40,Populations!$A:$A,0)),"ID not found"))</f>
        <v/>
      </c>
      <c r="G40" s="30"/>
      <c r="H40" s="30"/>
      <c r="I40" s="30"/>
      <c r="J40" s="30"/>
      <c r="K40" s="20" t="str">
        <f aca="false">IF(A40="","",COUNTIF('Metric to Product'!$A:$A,A40))</f>
        <v/>
      </c>
      <c r="L40" s="20" t="str">
        <f aca="false">IF(A40="","",COUNTIF('Metric to Field'!$A:$A,A40))</f>
        <v/>
      </c>
      <c r="M40" s="32" t="str">
        <f aca="false">IF(B40="","",COUNTIF($B$5:$B$254,B40))</f>
        <v/>
      </c>
      <c r="N40" s="30"/>
      <c r="O40" s="30"/>
      <c r="P40" s="30"/>
      <c r="Q40" s="30"/>
      <c r="R40" s="30"/>
      <c r="S40" s="33" t="str">
        <f aca="false">IF(AND(A40&lt;&gt;"",M40&gt;1),COUNTIFS($A$5:A40,"&lt;&gt;",$M$5:M40,"&gt;1"),"")</f>
        <v/>
      </c>
    </row>
    <row r="41" customFormat="false" ht="15" hidden="false" customHeight="false" outlineLevel="0" collapsed="false">
      <c r="A41" s="29"/>
      <c r="B41" s="30"/>
      <c r="C41" s="30"/>
      <c r="D41" s="30"/>
      <c r="E41" s="30"/>
      <c r="F41" s="20" t="str">
        <f aca="false">IF(E41="","",IFERROR(INDEX(Populations!$B:$B,MATCH(E41,Populations!$A:$A,0)),"ID not found"))</f>
        <v/>
      </c>
      <c r="G41" s="30"/>
      <c r="H41" s="30"/>
      <c r="I41" s="30"/>
      <c r="J41" s="30"/>
      <c r="K41" s="20" t="str">
        <f aca="false">IF(A41="","",COUNTIF('Metric to Product'!$A:$A,A41))</f>
        <v/>
      </c>
      <c r="L41" s="20" t="str">
        <f aca="false">IF(A41="","",COUNTIF('Metric to Field'!$A:$A,A41))</f>
        <v/>
      </c>
      <c r="M41" s="32" t="str">
        <f aca="false">IF(B41="","",COUNTIF($B$5:$B$254,B41))</f>
        <v/>
      </c>
      <c r="N41" s="30"/>
      <c r="O41" s="30"/>
      <c r="P41" s="30"/>
      <c r="Q41" s="30"/>
      <c r="R41" s="30"/>
      <c r="S41" s="33" t="str">
        <f aca="false">IF(AND(A41&lt;&gt;"",M41&gt;1),COUNTIFS($A$5:A41,"&lt;&gt;",$M$5:M41,"&gt;1"),"")</f>
        <v/>
      </c>
    </row>
    <row r="42" customFormat="false" ht="15" hidden="false" customHeight="false" outlineLevel="0" collapsed="false">
      <c r="A42" s="29"/>
      <c r="B42" s="30"/>
      <c r="C42" s="30"/>
      <c r="D42" s="30"/>
      <c r="E42" s="30"/>
      <c r="F42" s="20" t="str">
        <f aca="false">IF(E42="","",IFERROR(INDEX(Populations!$B:$B,MATCH(E42,Populations!$A:$A,0)),"ID not found"))</f>
        <v/>
      </c>
      <c r="G42" s="30"/>
      <c r="H42" s="30"/>
      <c r="I42" s="30"/>
      <c r="J42" s="30"/>
      <c r="K42" s="20" t="str">
        <f aca="false">IF(A42="","",COUNTIF('Metric to Product'!$A:$A,A42))</f>
        <v/>
      </c>
      <c r="L42" s="20" t="str">
        <f aca="false">IF(A42="","",COUNTIF('Metric to Field'!$A:$A,A42))</f>
        <v/>
      </c>
      <c r="M42" s="32" t="str">
        <f aca="false">IF(B42="","",COUNTIF($B$5:$B$254,B42))</f>
        <v/>
      </c>
      <c r="N42" s="30"/>
      <c r="O42" s="30"/>
      <c r="P42" s="30"/>
      <c r="Q42" s="30"/>
      <c r="R42" s="30"/>
      <c r="S42" s="33" t="str">
        <f aca="false">IF(AND(A42&lt;&gt;"",M42&gt;1),COUNTIFS($A$5:A42,"&lt;&gt;",$M$5:M42,"&gt;1"),"")</f>
        <v/>
      </c>
    </row>
    <row r="43" customFormat="false" ht="15" hidden="false" customHeight="false" outlineLevel="0" collapsed="false">
      <c r="A43" s="29"/>
      <c r="B43" s="30"/>
      <c r="C43" s="30"/>
      <c r="D43" s="30"/>
      <c r="E43" s="30"/>
      <c r="F43" s="20" t="str">
        <f aca="false">IF(E43="","",IFERROR(INDEX(Populations!$B:$B,MATCH(E43,Populations!$A:$A,0)),"ID not found"))</f>
        <v/>
      </c>
      <c r="G43" s="30"/>
      <c r="H43" s="30"/>
      <c r="I43" s="30"/>
      <c r="J43" s="30"/>
      <c r="K43" s="20" t="str">
        <f aca="false">IF(A43="","",COUNTIF('Metric to Product'!$A:$A,A43))</f>
        <v/>
      </c>
      <c r="L43" s="20" t="str">
        <f aca="false">IF(A43="","",COUNTIF('Metric to Field'!$A:$A,A43))</f>
        <v/>
      </c>
      <c r="M43" s="32" t="str">
        <f aca="false">IF(B43="","",COUNTIF($B$5:$B$254,B43))</f>
        <v/>
      </c>
      <c r="N43" s="30"/>
      <c r="O43" s="30"/>
      <c r="P43" s="30"/>
      <c r="Q43" s="30"/>
      <c r="R43" s="30"/>
      <c r="S43" s="33" t="str">
        <f aca="false">IF(AND(A43&lt;&gt;"",M43&gt;1),COUNTIFS($A$5:A43,"&lt;&gt;",$M$5:M43,"&gt;1"),"")</f>
        <v/>
      </c>
    </row>
    <row r="44" customFormat="false" ht="15" hidden="false" customHeight="false" outlineLevel="0" collapsed="false">
      <c r="A44" s="29"/>
      <c r="B44" s="30"/>
      <c r="C44" s="30"/>
      <c r="D44" s="30"/>
      <c r="E44" s="30"/>
      <c r="F44" s="20" t="str">
        <f aca="false">IF(E44="","",IFERROR(INDEX(Populations!$B:$B,MATCH(E44,Populations!$A:$A,0)),"ID not found"))</f>
        <v/>
      </c>
      <c r="G44" s="30"/>
      <c r="H44" s="30"/>
      <c r="I44" s="30"/>
      <c r="J44" s="30"/>
      <c r="K44" s="20" t="str">
        <f aca="false">IF(A44="","",COUNTIF('Metric to Product'!$A:$A,A44))</f>
        <v/>
      </c>
      <c r="L44" s="20" t="str">
        <f aca="false">IF(A44="","",COUNTIF('Metric to Field'!$A:$A,A44))</f>
        <v/>
      </c>
      <c r="M44" s="32" t="str">
        <f aca="false">IF(B44="","",COUNTIF($B$5:$B$254,B44))</f>
        <v/>
      </c>
      <c r="N44" s="30"/>
      <c r="O44" s="30"/>
      <c r="P44" s="30"/>
      <c r="Q44" s="30"/>
      <c r="R44" s="30"/>
      <c r="S44" s="33" t="str">
        <f aca="false">IF(AND(A44&lt;&gt;"",M44&gt;1),COUNTIFS($A$5:A44,"&lt;&gt;",$M$5:M44,"&gt;1"),"")</f>
        <v/>
      </c>
    </row>
    <row r="45" customFormat="false" ht="15" hidden="false" customHeight="false" outlineLevel="0" collapsed="false">
      <c r="A45" s="29"/>
      <c r="B45" s="30"/>
      <c r="C45" s="30"/>
      <c r="D45" s="30"/>
      <c r="E45" s="30"/>
      <c r="F45" s="20" t="str">
        <f aca="false">IF(E45="","",IFERROR(INDEX(Populations!$B:$B,MATCH(E45,Populations!$A:$A,0)),"ID not found"))</f>
        <v/>
      </c>
      <c r="G45" s="30"/>
      <c r="H45" s="30"/>
      <c r="I45" s="30"/>
      <c r="J45" s="30"/>
      <c r="K45" s="20" t="str">
        <f aca="false">IF(A45="","",COUNTIF('Metric to Product'!$A:$A,A45))</f>
        <v/>
      </c>
      <c r="L45" s="20" t="str">
        <f aca="false">IF(A45="","",COUNTIF('Metric to Field'!$A:$A,A45))</f>
        <v/>
      </c>
      <c r="M45" s="32" t="str">
        <f aca="false">IF(B45="","",COUNTIF($B$5:$B$254,B45))</f>
        <v/>
      </c>
      <c r="N45" s="30"/>
      <c r="O45" s="30"/>
      <c r="P45" s="30"/>
      <c r="Q45" s="30"/>
      <c r="R45" s="30"/>
      <c r="S45" s="33" t="str">
        <f aca="false">IF(AND(A45&lt;&gt;"",M45&gt;1),COUNTIFS($A$5:A45,"&lt;&gt;",$M$5:M45,"&gt;1"),"")</f>
        <v/>
      </c>
    </row>
    <row r="46" customFormat="false" ht="15" hidden="false" customHeight="false" outlineLevel="0" collapsed="false">
      <c r="A46" s="29"/>
      <c r="B46" s="30"/>
      <c r="C46" s="30"/>
      <c r="D46" s="30"/>
      <c r="E46" s="30"/>
      <c r="F46" s="20" t="str">
        <f aca="false">IF(E46="","",IFERROR(INDEX(Populations!$B:$B,MATCH(E46,Populations!$A:$A,0)),"ID not found"))</f>
        <v/>
      </c>
      <c r="G46" s="30"/>
      <c r="H46" s="30"/>
      <c r="I46" s="30"/>
      <c r="J46" s="30"/>
      <c r="K46" s="20" t="str">
        <f aca="false">IF(A46="","",COUNTIF('Metric to Product'!$A:$A,A46))</f>
        <v/>
      </c>
      <c r="L46" s="20" t="str">
        <f aca="false">IF(A46="","",COUNTIF('Metric to Field'!$A:$A,A46))</f>
        <v/>
      </c>
      <c r="M46" s="32" t="str">
        <f aca="false">IF(B46="","",COUNTIF($B$5:$B$254,B46))</f>
        <v/>
      </c>
      <c r="N46" s="30"/>
      <c r="O46" s="30"/>
      <c r="P46" s="30"/>
      <c r="Q46" s="30"/>
      <c r="R46" s="30"/>
      <c r="S46" s="33" t="str">
        <f aca="false">IF(AND(A46&lt;&gt;"",M46&gt;1),COUNTIFS($A$5:A46,"&lt;&gt;",$M$5:M46,"&gt;1"),"")</f>
        <v/>
      </c>
    </row>
    <row r="47" customFormat="false" ht="15" hidden="false" customHeight="false" outlineLevel="0" collapsed="false">
      <c r="A47" s="29"/>
      <c r="B47" s="30"/>
      <c r="C47" s="30"/>
      <c r="D47" s="30"/>
      <c r="E47" s="30"/>
      <c r="F47" s="20" t="str">
        <f aca="false">IF(E47="","",IFERROR(INDEX(Populations!$B:$B,MATCH(E47,Populations!$A:$A,0)),"ID not found"))</f>
        <v/>
      </c>
      <c r="G47" s="30"/>
      <c r="H47" s="30"/>
      <c r="I47" s="30"/>
      <c r="J47" s="30"/>
      <c r="K47" s="20" t="str">
        <f aca="false">IF(A47="","",COUNTIF('Metric to Product'!$A:$A,A47))</f>
        <v/>
      </c>
      <c r="L47" s="20" t="str">
        <f aca="false">IF(A47="","",COUNTIF('Metric to Field'!$A:$A,A47))</f>
        <v/>
      </c>
      <c r="M47" s="32" t="str">
        <f aca="false">IF(B47="","",COUNTIF($B$5:$B$254,B47))</f>
        <v/>
      </c>
      <c r="N47" s="30"/>
      <c r="O47" s="30"/>
      <c r="P47" s="30"/>
      <c r="Q47" s="30"/>
      <c r="R47" s="30"/>
      <c r="S47" s="33" t="str">
        <f aca="false">IF(AND(A47&lt;&gt;"",M47&gt;1),COUNTIFS($A$5:A47,"&lt;&gt;",$M$5:M47,"&gt;1"),"")</f>
        <v/>
      </c>
    </row>
    <row r="48" customFormat="false" ht="15" hidden="false" customHeight="false" outlineLevel="0" collapsed="false">
      <c r="A48" s="29"/>
      <c r="B48" s="30"/>
      <c r="C48" s="30"/>
      <c r="D48" s="30"/>
      <c r="E48" s="30"/>
      <c r="F48" s="20" t="str">
        <f aca="false">IF(E48="","",IFERROR(INDEX(Populations!$B:$B,MATCH(E48,Populations!$A:$A,0)),"ID not found"))</f>
        <v/>
      </c>
      <c r="G48" s="30"/>
      <c r="H48" s="30"/>
      <c r="I48" s="30"/>
      <c r="J48" s="30"/>
      <c r="K48" s="20" t="str">
        <f aca="false">IF(A48="","",COUNTIF('Metric to Product'!$A:$A,A48))</f>
        <v/>
      </c>
      <c r="L48" s="20" t="str">
        <f aca="false">IF(A48="","",COUNTIF('Metric to Field'!$A:$A,A48))</f>
        <v/>
      </c>
      <c r="M48" s="32" t="str">
        <f aca="false">IF(B48="","",COUNTIF($B$5:$B$254,B48))</f>
        <v/>
      </c>
      <c r="N48" s="30"/>
      <c r="O48" s="30"/>
      <c r="P48" s="30"/>
      <c r="Q48" s="30"/>
      <c r="R48" s="30"/>
      <c r="S48" s="33" t="str">
        <f aca="false">IF(AND(A48&lt;&gt;"",M48&gt;1),COUNTIFS($A$5:A48,"&lt;&gt;",$M$5:M48,"&gt;1"),"")</f>
        <v/>
      </c>
    </row>
    <row r="49" customFormat="false" ht="15" hidden="false" customHeight="false" outlineLevel="0" collapsed="false">
      <c r="A49" s="29"/>
      <c r="B49" s="30"/>
      <c r="C49" s="30"/>
      <c r="D49" s="30"/>
      <c r="E49" s="30"/>
      <c r="F49" s="20" t="str">
        <f aca="false">IF(E49="","",IFERROR(INDEX(Populations!$B:$B,MATCH(E49,Populations!$A:$A,0)),"ID not found"))</f>
        <v/>
      </c>
      <c r="G49" s="30"/>
      <c r="H49" s="30"/>
      <c r="I49" s="30"/>
      <c r="J49" s="30"/>
      <c r="K49" s="20" t="str">
        <f aca="false">IF(A49="","",COUNTIF('Metric to Product'!$A:$A,A49))</f>
        <v/>
      </c>
      <c r="L49" s="20" t="str">
        <f aca="false">IF(A49="","",COUNTIF('Metric to Field'!$A:$A,A49))</f>
        <v/>
      </c>
      <c r="M49" s="32" t="str">
        <f aca="false">IF(B49="","",COUNTIF($B$5:$B$254,B49))</f>
        <v/>
      </c>
      <c r="N49" s="30"/>
      <c r="O49" s="30"/>
      <c r="P49" s="30"/>
      <c r="Q49" s="30"/>
      <c r="R49" s="30"/>
      <c r="S49" s="33" t="str">
        <f aca="false">IF(AND(A49&lt;&gt;"",M49&gt;1),COUNTIFS($A$5:A49,"&lt;&gt;",$M$5:M49,"&gt;1"),"")</f>
        <v/>
      </c>
    </row>
    <row r="50" customFormat="false" ht="15" hidden="false" customHeight="false" outlineLevel="0" collapsed="false">
      <c r="A50" s="29"/>
      <c r="B50" s="30"/>
      <c r="C50" s="30"/>
      <c r="D50" s="30"/>
      <c r="E50" s="30"/>
      <c r="F50" s="20" t="str">
        <f aca="false">IF(E50="","",IFERROR(INDEX(Populations!$B:$B,MATCH(E50,Populations!$A:$A,0)),"ID not found"))</f>
        <v/>
      </c>
      <c r="G50" s="30"/>
      <c r="H50" s="30"/>
      <c r="I50" s="30"/>
      <c r="J50" s="30"/>
      <c r="K50" s="20" t="str">
        <f aca="false">IF(A50="","",COUNTIF('Metric to Product'!$A:$A,A50))</f>
        <v/>
      </c>
      <c r="L50" s="20" t="str">
        <f aca="false">IF(A50="","",COUNTIF('Metric to Field'!$A:$A,A50))</f>
        <v/>
      </c>
      <c r="M50" s="32" t="str">
        <f aca="false">IF(B50="","",COUNTIF($B$5:$B$254,B50))</f>
        <v/>
      </c>
      <c r="N50" s="30"/>
      <c r="O50" s="30"/>
      <c r="P50" s="30"/>
      <c r="Q50" s="30"/>
      <c r="R50" s="30"/>
      <c r="S50" s="33" t="str">
        <f aca="false">IF(AND(A50&lt;&gt;"",M50&gt;1),COUNTIFS($A$5:A50,"&lt;&gt;",$M$5:M50,"&gt;1"),"")</f>
        <v/>
      </c>
    </row>
    <row r="51" customFormat="false" ht="15" hidden="false" customHeight="false" outlineLevel="0" collapsed="false">
      <c r="A51" s="29"/>
      <c r="B51" s="30"/>
      <c r="C51" s="30"/>
      <c r="D51" s="30"/>
      <c r="E51" s="30"/>
      <c r="F51" s="20" t="str">
        <f aca="false">IF(E51="","",IFERROR(INDEX(Populations!$B:$B,MATCH(E51,Populations!$A:$A,0)),"ID not found"))</f>
        <v/>
      </c>
      <c r="G51" s="30"/>
      <c r="H51" s="30"/>
      <c r="I51" s="30"/>
      <c r="J51" s="30"/>
      <c r="K51" s="20" t="str">
        <f aca="false">IF(A51="","",COUNTIF('Metric to Product'!$A:$A,A51))</f>
        <v/>
      </c>
      <c r="L51" s="20" t="str">
        <f aca="false">IF(A51="","",COUNTIF('Metric to Field'!$A:$A,A51))</f>
        <v/>
      </c>
      <c r="M51" s="32" t="str">
        <f aca="false">IF(B51="","",COUNTIF($B$5:$B$254,B51))</f>
        <v/>
      </c>
      <c r="N51" s="30"/>
      <c r="O51" s="30"/>
      <c r="P51" s="30"/>
      <c r="Q51" s="30"/>
      <c r="R51" s="30"/>
      <c r="S51" s="33" t="str">
        <f aca="false">IF(AND(A51&lt;&gt;"",M51&gt;1),COUNTIFS($A$5:A51,"&lt;&gt;",$M$5:M51,"&gt;1"),"")</f>
        <v/>
      </c>
    </row>
    <row r="52" customFormat="false" ht="15" hidden="false" customHeight="false" outlineLevel="0" collapsed="false">
      <c r="A52" s="29"/>
      <c r="B52" s="30"/>
      <c r="C52" s="30"/>
      <c r="D52" s="30"/>
      <c r="E52" s="30"/>
      <c r="F52" s="20" t="str">
        <f aca="false">IF(E52="","",IFERROR(INDEX(Populations!$B:$B,MATCH(E52,Populations!$A:$A,0)),"ID not found"))</f>
        <v/>
      </c>
      <c r="G52" s="30"/>
      <c r="H52" s="30"/>
      <c r="I52" s="30"/>
      <c r="J52" s="30"/>
      <c r="K52" s="20" t="str">
        <f aca="false">IF(A52="","",COUNTIF('Metric to Product'!$A:$A,A52))</f>
        <v/>
      </c>
      <c r="L52" s="20" t="str">
        <f aca="false">IF(A52="","",COUNTIF('Metric to Field'!$A:$A,A52))</f>
        <v/>
      </c>
      <c r="M52" s="32" t="str">
        <f aca="false">IF(B52="","",COUNTIF($B$5:$B$254,B52))</f>
        <v/>
      </c>
      <c r="N52" s="30"/>
      <c r="O52" s="30"/>
      <c r="P52" s="30"/>
      <c r="Q52" s="30"/>
      <c r="R52" s="30"/>
      <c r="S52" s="33" t="str">
        <f aca="false">IF(AND(A52&lt;&gt;"",M52&gt;1),COUNTIFS($A$5:A52,"&lt;&gt;",$M$5:M52,"&gt;1"),"")</f>
        <v/>
      </c>
    </row>
    <row r="53" customFormat="false" ht="15" hidden="false" customHeight="false" outlineLevel="0" collapsed="false">
      <c r="A53" s="29"/>
      <c r="B53" s="30"/>
      <c r="C53" s="30"/>
      <c r="D53" s="30"/>
      <c r="E53" s="30"/>
      <c r="F53" s="20" t="str">
        <f aca="false">IF(E53="","",IFERROR(INDEX(Populations!$B:$B,MATCH(E53,Populations!$A:$A,0)),"ID not found"))</f>
        <v/>
      </c>
      <c r="G53" s="30"/>
      <c r="H53" s="30"/>
      <c r="I53" s="30"/>
      <c r="J53" s="30"/>
      <c r="K53" s="20" t="str">
        <f aca="false">IF(A53="","",COUNTIF('Metric to Product'!$A:$A,A53))</f>
        <v/>
      </c>
      <c r="L53" s="20" t="str">
        <f aca="false">IF(A53="","",COUNTIF('Metric to Field'!$A:$A,A53))</f>
        <v/>
      </c>
      <c r="M53" s="32" t="str">
        <f aca="false">IF(B53="","",COUNTIF($B$5:$B$254,B53))</f>
        <v/>
      </c>
      <c r="N53" s="30"/>
      <c r="O53" s="30"/>
      <c r="P53" s="30"/>
      <c r="Q53" s="30"/>
      <c r="R53" s="30"/>
      <c r="S53" s="33" t="str">
        <f aca="false">IF(AND(A53&lt;&gt;"",M53&gt;1),COUNTIFS($A$5:A53,"&lt;&gt;",$M$5:M53,"&gt;1"),"")</f>
        <v/>
      </c>
    </row>
    <row r="54" customFormat="false" ht="15" hidden="false" customHeight="false" outlineLevel="0" collapsed="false">
      <c r="A54" s="29"/>
      <c r="B54" s="30"/>
      <c r="C54" s="30"/>
      <c r="D54" s="30"/>
      <c r="E54" s="30"/>
      <c r="F54" s="20" t="str">
        <f aca="false">IF(E54="","",IFERROR(INDEX(Populations!$B:$B,MATCH(E54,Populations!$A:$A,0)),"ID not found"))</f>
        <v/>
      </c>
      <c r="G54" s="30"/>
      <c r="H54" s="30"/>
      <c r="I54" s="30"/>
      <c r="J54" s="30"/>
      <c r="K54" s="20" t="str">
        <f aca="false">IF(A54="","",COUNTIF('Metric to Product'!$A:$A,A54))</f>
        <v/>
      </c>
      <c r="L54" s="20" t="str">
        <f aca="false">IF(A54="","",COUNTIF('Metric to Field'!$A:$A,A54))</f>
        <v/>
      </c>
      <c r="M54" s="32" t="str">
        <f aca="false">IF(B54="","",COUNTIF($B$5:$B$254,B54))</f>
        <v/>
      </c>
      <c r="N54" s="30"/>
      <c r="O54" s="30"/>
      <c r="P54" s="30"/>
      <c r="Q54" s="30"/>
      <c r="R54" s="30"/>
      <c r="S54" s="33" t="str">
        <f aca="false">IF(AND(A54&lt;&gt;"",M54&gt;1),COUNTIFS($A$5:A54,"&lt;&gt;",$M$5:M54,"&gt;1"),"")</f>
        <v/>
      </c>
    </row>
    <row r="55" customFormat="false" ht="15" hidden="false" customHeight="false" outlineLevel="0" collapsed="false">
      <c r="A55" s="29"/>
      <c r="B55" s="30"/>
      <c r="C55" s="30"/>
      <c r="D55" s="30"/>
      <c r="E55" s="30"/>
      <c r="F55" s="20" t="str">
        <f aca="false">IF(E55="","",IFERROR(INDEX(Populations!$B:$B,MATCH(E55,Populations!$A:$A,0)),"ID not found"))</f>
        <v/>
      </c>
      <c r="G55" s="30"/>
      <c r="H55" s="30"/>
      <c r="I55" s="30"/>
      <c r="J55" s="30"/>
      <c r="K55" s="20" t="str">
        <f aca="false">IF(A55="","",COUNTIF('Metric to Product'!$A:$A,A55))</f>
        <v/>
      </c>
      <c r="L55" s="20" t="str">
        <f aca="false">IF(A55="","",COUNTIF('Metric to Field'!$A:$A,A55))</f>
        <v/>
      </c>
      <c r="M55" s="32" t="str">
        <f aca="false">IF(B55="","",COUNTIF($B$5:$B$254,B55))</f>
        <v/>
      </c>
      <c r="N55" s="30"/>
      <c r="O55" s="30"/>
      <c r="P55" s="30"/>
      <c r="Q55" s="30"/>
      <c r="R55" s="30"/>
      <c r="S55" s="33" t="str">
        <f aca="false">IF(AND(A55&lt;&gt;"",M55&gt;1),COUNTIFS($A$5:A55,"&lt;&gt;",$M$5:M55,"&gt;1"),"")</f>
        <v/>
      </c>
    </row>
    <row r="56" customFormat="false" ht="15" hidden="false" customHeight="false" outlineLevel="0" collapsed="false">
      <c r="A56" s="29"/>
      <c r="B56" s="30"/>
      <c r="C56" s="30"/>
      <c r="D56" s="30"/>
      <c r="E56" s="30"/>
      <c r="F56" s="20" t="str">
        <f aca="false">IF(E56="","",IFERROR(INDEX(Populations!$B:$B,MATCH(E56,Populations!$A:$A,0)),"ID not found"))</f>
        <v/>
      </c>
      <c r="G56" s="30"/>
      <c r="H56" s="30"/>
      <c r="I56" s="30"/>
      <c r="J56" s="30"/>
      <c r="K56" s="20" t="str">
        <f aca="false">IF(A56="","",COUNTIF('Metric to Product'!$A:$A,A56))</f>
        <v/>
      </c>
      <c r="L56" s="20" t="str">
        <f aca="false">IF(A56="","",COUNTIF('Metric to Field'!$A:$A,A56))</f>
        <v/>
      </c>
      <c r="M56" s="32" t="str">
        <f aca="false">IF(B56="","",COUNTIF($B$5:$B$254,B56))</f>
        <v/>
      </c>
      <c r="N56" s="30"/>
      <c r="O56" s="30"/>
      <c r="P56" s="30"/>
      <c r="Q56" s="30"/>
      <c r="R56" s="30"/>
      <c r="S56" s="33" t="str">
        <f aca="false">IF(AND(A56&lt;&gt;"",M56&gt;1),COUNTIFS($A$5:A56,"&lt;&gt;",$M$5:M56,"&gt;1"),"")</f>
        <v/>
      </c>
    </row>
    <row r="57" customFormat="false" ht="15" hidden="false" customHeight="false" outlineLevel="0" collapsed="false">
      <c r="A57" s="29"/>
      <c r="B57" s="30"/>
      <c r="C57" s="30"/>
      <c r="D57" s="30"/>
      <c r="E57" s="30"/>
      <c r="F57" s="20" t="str">
        <f aca="false">IF(E57="","",IFERROR(INDEX(Populations!$B:$B,MATCH(E57,Populations!$A:$A,0)),"ID not found"))</f>
        <v/>
      </c>
      <c r="G57" s="30"/>
      <c r="H57" s="30"/>
      <c r="I57" s="30"/>
      <c r="J57" s="30"/>
      <c r="K57" s="20" t="str">
        <f aca="false">IF(A57="","",COUNTIF('Metric to Product'!$A:$A,A57))</f>
        <v/>
      </c>
      <c r="L57" s="20" t="str">
        <f aca="false">IF(A57="","",COUNTIF('Metric to Field'!$A:$A,A57))</f>
        <v/>
      </c>
      <c r="M57" s="32" t="str">
        <f aca="false">IF(B57="","",COUNTIF($B$5:$B$254,B57))</f>
        <v/>
      </c>
      <c r="N57" s="30"/>
      <c r="O57" s="30"/>
      <c r="P57" s="30"/>
      <c r="Q57" s="30"/>
      <c r="R57" s="30"/>
      <c r="S57" s="33" t="str">
        <f aca="false">IF(AND(A57&lt;&gt;"",M57&gt;1),COUNTIFS($A$5:A57,"&lt;&gt;",$M$5:M57,"&gt;1"),"")</f>
        <v/>
      </c>
    </row>
    <row r="58" customFormat="false" ht="15" hidden="false" customHeight="false" outlineLevel="0" collapsed="false">
      <c r="A58" s="29"/>
      <c r="B58" s="30"/>
      <c r="C58" s="30"/>
      <c r="D58" s="30"/>
      <c r="E58" s="30"/>
      <c r="F58" s="20" t="str">
        <f aca="false">IF(E58="","",IFERROR(INDEX(Populations!$B:$B,MATCH(E58,Populations!$A:$A,0)),"ID not found"))</f>
        <v/>
      </c>
      <c r="G58" s="30"/>
      <c r="H58" s="30"/>
      <c r="I58" s="30"/>
      <c r="J58" s="30"/>
      <c r="K58" s="20" t="str">
        <f aca="false">IF(A58="","",COUNTIF('Metric to Product'!$A:$A,A58))</f>
        <v/>
      </c>
      <c r="L58" s="20" t="str">
        <f aca="false">IF(A58="","",COUNTIF('Metric to Field'!$A:$A,A58))</f>
        <v/>
      </c>
      <c r="M58" s="32" t="str">
        <f aca="false">IF(B58="","",COUNTIF($B$5:$B$254,B58))</f>
        <v/>
      </c>
      <c r="N58" s="30"/>
      <c r="O58" s="30"/>
      <c r="P58" s="30"/>
      <c r="Q58" s="30"/>
      <c r="R58" s="30"/>
      <c r="S58" s="33" t="str">
        <f aca="false">IF(AND(A58&lt;&gt;"",M58&gt;1),COUNTIFS($A$5:A58,"&lt;&gt;",$M$5:M58,"&gt;1"),"")</f>
        <v/>
      </c>
    </row>
    <row r="59" customFormat="false" ht="15" hidden="false" customHeight="false" outlineLevel="0" collapsed="false">
      <c r="A59" s="29"/>
      <c r="B59" s="30"/>
      <c r="C59" s="30"/>
      <c r="D59" s="30"/>
      <c r="E59" s="30"/>
      <c r="F59" s="20" t="str">
        <f aca="false">IF(E59="","",IFERROR(INDEX(Populations!$B:$B,MATCH(E59,Populations!$A:$A,0)),"ID not found"))</f>
        <v/>
      </c>
      <c r="G59" s="30"/>
      <c r="H59" s="30"/>
      <c r="I59" s="30"/>
      <c r="J59" s="30"/>
      <c r="K59" s="20" t="str">
        <f aca="false">IF(A59="","",COUNTIF('Metric to Product'!$A:$A,A59))</f>
        <v/>
      </c>
      <c r="L59" s="20" t="str">
        <f aca="false">IF(A59="","",COUNTIF('Metric to Field'!$A:$A,A59))</f>
        <v/>
      </c>
      <c r="M59" s="32" t="str">
        <f aca="false">IF(B59="","",COUNTIF($B$5:$B$254,B59))</f>
        <v/>
      </c>
      <c r="N59" s="30"/>
      <c r="O59" s="30"/>
      <c r="P59" s="30"/>
      <c r="Q59" s="30"/>
      <c r="R59" s="30"/>
      <c r="S59" s="33" t="str">
        <f aca="false">IF(AND(A59&lt;&gt;"",M59&gt;1),COUNTIFS($A$5:A59,"&lt;&gt;",$M$5:M59,"&gt;1"),"")</f>
        <v/>
      </c>
    </row>
    <row r="60" customFormat="false" ht="15" hidden="false" customHeight="false" outlineLevel="0" collapsed="false">
      <c r="A60" s="29"/>
      <c r="B60" s="30"/>
      <c r="C60" s="30"/>
      <c r="D60" s="30"/>
      <c r="E60" s="30"/>
      <c r="F60" s="20" t="str">
        <f aca="false">IF(E60="","",IFERROR(INDEX(Populations!$B:$B,MATCH(E60,Populations!$A:$A,0)),"ID not found"))</f>
        <v/>
      </c>
      <c r="G60" s="30"/>
      <c r="H60" s="30"/>
      <c r="I60" s="30"/>
      <c r="J60" s="30"/>
      <c r="K60" s="20" t="str">
        <f aca="false">IF(A60="","",COUNTIF('Metric to Product'!$A:$A,A60))</f>
        <v/>
      </c>
      <c r="L60" s="20" t="str">
        <f aca="false">IF(A60="","",COUNTIF('Metric to Field'!$A:$A,A60))</f>
        <v/>
      </c>
      <c r="M60" s="32" t="str">
        <f aca="false">IF(B60="","",COUNTIF($B$5:$B$254,B60))</f>
        <v/>
      </c>
      <c r="N60" s="30"/>
      <c r="O60" s="30"/>
      <c r="P60" s="30"/>
      <c r="Q60" s="30"/>
      <c r="R60" s="30"/>
      <c r="S60" s="33" t="str">
        <f aca="false">IF(AND(A60&lt;&gt;"",M60&gt;1),COUNTIFS($A$5:A60,"&lt;&gt;",$M$5:M60,"&gt;1"),"")</f>
        <v/>
      </c>
    </row>
    <row r="61" customFormat="false" ht="15" hidden="false" customHeight="false" outlineLevel="0" collapsed="false">
      <c r="A61" s="29"/>
      <c r="B61" s="30"/>
      <c r="C61" s="30"/>
      <c r="D61" s="30"/>
      <c r="E61" s="30"/>
      <c r="F61" s="20" t="str">
        <f aca="false">IF(E61="","",IFERROR(INDEX(Populations!$B:$B,MATCH(E61,Populations!$A:$A,0)),"ID not found"))</f>
        <v/>
      </c>
      <c r="G61" s="30"/>
      <c r="H61" s="30"/>
      <c r="I61" s="30"/>
      <c r="J61" s="30"/>
      <c r="K61" s="20" t="str">
        <f aca="false">IF(A61="","",COUNTIF('Metric to Product'!$A:$A,A61))</f>
        <v/>
      </c>
      <c r="L61" s="20" t="str">
        <f aca="false">IF(A61="","",COUNTIF('Metric to Field'!$A:$A,A61))</f>
        <v/>
      </c>
      <c r="M61" s="32" t="str">
        <f aca="false">IF(B61="","",COUNTIF($B$5:$B$254,B61))</f>
        <v/>
      </c>
      <c r="N61" s="30"/>
      <c r="O61" s="30"/>
      <c r="P61" s="30"/>
      <c r="Q61" s="30"/>
      <c r="R61" s="30"/>
      <c r="S61" s="33" t="str">
        <f aca="false">IF(AND(A61&lt;&gt;"",M61&gt;1),COUNTIFS($A$5:A61,"&lt;&gt;",$M$5:M61,"&gt;1"),"")</f>
        <v/>
      </c>
    </row>
    <row r="62" customFormat="false" ht="15" hidden="false" customHeight="false" outlineLevel="0" collapsed="false">
      <c r="A62" s="29"/>
      <c r="B62" s="30"/>
      <c r="C62" s="30"/>
      <c r="D62" s="30"/>
      <c r="E62" s="30"/>
      <c r="F62" s="20" t="str">
        <f aca="false">IF(E62="","",IFERROR(INDEX(Populations!$B:$B,MATCH(E62,Populations!$A:$A,0)),"ID not found"))</f>
        <v/>
      </c>
      <c r="G62" s="30"/>
      <c r="H62" s="30"/>
      <c r="I62" s="30"/>
      <c r="J62" s="30"/>
      <c r="K62" s="20" t="str">
        <f aca="false">IF(A62="","",COUNTIF('Metric to Product'!$A:$A,A62))</f>
        <v/>
      </c>
      <c r="L62" s="20" t="str">
        <f aca="false">IF(A62="","",COUNTIF('Metric to Field'!$A:$A,A62))</f>
        <v/>
      </c>
      <c r="M62" s="32" t="str">
        <f aca="false">IF(B62="","",COUNTIF($B$5:$B$254,B62))</f>
        <v/>
      </c>
      <c r="N62" s="30"/>
      <c r="O62" s="30"/>
      <c r="P62" s="30"/>
      <c r="Q62" s="30"/>
      <c r="R62" s="30"/>
      <c r="S62" s="33" t="str">
        <f aca="false">IF(AND(A62&lt;&gt;"",M62&gt;1),COUNTIFS($A$5:A62,"&lt;&gt;",$M$5:M62,"&gt;1"),"")</f>
        <v/>
      </c>
    </row>
    <row r="63" customFormat="false" ht="15" hidden="false" customHeight="false" outlineLevel="0" collapsed="false">
      <c r="A63" s="29"/>
      <c r="B63" s="30"/>
      <c r="C63" s="30"/>
      <c r="D63" s="30"/>
      <c r="E63" s="30"/>
      <c r="F63" s="20" t="str">
        <f aca="false">IF(E63="","",IFERROR(INDEX(Populations!$B:$B,MATCH(E63,Populations!$A:$A,0)),"ID not found"))</f>
        <v/>
      </c>
      <c r="G63" s="30"/>
      <c r="H63" s="30"/>
      <c r="I63" s="30"/>
      <c r="J63" s="30"/>
      <c r="K63" s="20" t="str">
        <f aca="false">IF(A63="","",COUNTIF('Metric to Product'!$A:$A,A63))</f>
        <v/>
      </c>
      <c r="L63" s="20" t="str">
        <f aca="false">IF(A63="","",COUNTIF('Metric to Field'!$A:$A,A63))</f>
        <v/>
      </c>
      <c r="M63" s="32" t="str">
        <f aca="false">IF(B63="","",COUNTIF($B$5:$B$254,B63))</f>
        <v/>
      </c>
      <c r="N63" s="30"/>
      <c r="O63" s="30"/>
      <c r="P63" s="30"/>
      <c r="Q63" s="30"/>
      <c r="R63" s="30"/>
      <c r="S63" s="33" t="str">
        <f aca="false">IF(AND(A63&lt;&gt;"",M63&gt;1),COUNTIFS($A$5:A63,"&lt;&gt;",$M$5:M63,"&gt;1"),"")</f>
        <v/>
      </c>
    </row>
    <row r="64" customFormat="false" ht="15" hidden="false" customHeight="false" outlineLevel="0" collapsed="false">
      <c r="A64" s="29"/>
      <c r="B64" s="30"/>
      <c r="C64" s="30"/>
      <c r="D64" s="30"/>
      <c r="E64" s="30"/>
      <c r="F64" s="20" t="str">
        <f aca="false">IF(E64="","",IFERROR(INDEX(Populations!$B:$B,MATCH(E64,Populations!$A:$A,0)),"ID not found"))</f>
        <v/>
      </c>
      <c r="G64" s="30"/>
      <c r="H64" s="30"/>
      <c r="I64" s="30"/>
      <c r="J64" s="30"/>
      <c r="K64" s="20" t="str">
        <f aca="false">IF(A64="","",COUNTIF('Metric to Product'!$A:$A,A64))</f>
        <v/>
      </c>
      <c r="L64" s="20" t="str">
        <f aca="false">IF(A64="","",COUNTIF('Metric to Field'!$A:$A,A64))</f>
        <v/>
      </c>
      <c r="M64" s="32" t="str">
        <f aca="false">IF(B64="","",COUNTIF($B$5:$B$254,B64))</f>
        <v/>
      </c>
      <c r="N64" s="30"/>
      <c r="O64" s="30"/>
      <c r="P64" s="30"/>
      <c r="Q64" s="30"/>
      <c r="R64" s="30"/>
      <c r="S64" s="33" t="str">
        <f aca="false">IF(AND(A64&lt;&gt;"",M64&gt;1),COUNTIFS($A$5:A64,"&lt;&gt;",$M$5:M64,"&gt;1"),"")</f>
        <v/>
      </c>
    </row>
    <row r="65" customFormat="false" ht="15" hidden="false" customHeight="false" outlineLevel="0" collapsed="false">
      <c r="A65" s="29"/>
      <c r="B65" s="30"/>
      <c r="C65" s="30"/>
      <c r="D65" s="30"/>
      <c r="E65" s="30"/>
      <c r="F65" s="20" t="str">
        <f aca="false">IF(E65="","",IFERROR(INDEX(Populations!$B:$B,MATCH(E65,Populations!$A:$A,0)),"ID not found"))</f>
        <v/>
      </c>
      <c r="G65" s="30"/>
      <c r="H65" s="30"/>
      <c r="I65" s="30"/>
      <c r="J65" s="30"/>
      <c r="K65" s="20" t="str">
        <f aca="false">IF(A65="","",COUNTIF('Metric to Product'!$A:$A,A65))</f>
        <v/>
      </c>
      <c r="L65" s="20" t="str">
        <f aca="false">IF(A65="","",COUNTIF('Metric to Field'!$A:$A,A65))</f>
        <v/>
      </c>
      <c r="M65" s="32" t="str">
        <f aca="false">IF(B65="","",COUNTIF($B$5:$B$254,B65))</f>
        <v/>
      </c>
      <c r="N65" s="30"/>
      <c r="O65" s="30"/>
      <c r="P65" s="30"/>
      <c r="Q65" s="30"/>
      <c r="R65" s="30"/>
      <c r="S65" s="33" t="str">
        <f aca="false">IF(AND(A65&lt;&gt;"",M65&gt;1),COUNTIFS($A$5:A65,"&lt;&gt;",$M$5:M65,"&gt;1"),"")</f>
        <v/>
      </c>
    </row>
    <row r="66" customFormat="false" ht="15" hidden="false" customHeight="false" outlineLevel="0" collapsed="false">
      <c r="A66" s="29"/>
      <c r="B66" s="30"/>
      <c r="C66" s="30"/>
      <c r="D66" s="30"/>
      <c r="E66" s="30"/>
      <c r="F66" s="20" t="str">
        <f aca="false">IF(E66="","",IFERROR(INDEX(Populations!$B:$B,MATCH(E66,Populations!$A:$A,0)),"ID not found"))</f>
        <v/>
      </c>
      <c r="G66" s="30"/>
      <c r="H66" s="30"/>
      <c r="I66" s="30"/>
      <c r="J66" s="30"/>
      <c r="K66" s="20" t="str">
        <f aca="false">IF(A66="","",COUNTIF('Metric to Product'!$A:$A,A66))</f>
        <v/>
      </c>
      <c r="L66" s="20" t="str">
        <f aca="false">IF(A66="","",COUNTIF('Metric to Field'!$A:$A,A66))</f>
        <v/>
      </c>
      <c r="M66" s="32" t="str">
        <f aca="false">IF(B66="","",COUNTIF($B$5:$B$254,B66))</f>
        <v/>
      </c>
      <c r="N66" s="30"/>
      <c r="O66" s="30"/>
      <c r="P66" s="30"/>
      <c r="Q66" s="30"/>
      <c r="R66" s="30"/>
      <c r="S66" s="33" t="str">
        <f aca="false">IF(AND(A66&lt;&gt;"",M66&gt;1),COUNTIFS($A$5:A66,"&lt;&gt;",$M$5:M66,"&gt;1"),"")</f>
        <v/>
      </c>
    </row>
    <row r="67" customFormat="false" ht="15" hidden="false" customHeight="false" outlineLevel="0" collapsed="false">
      <c r="A67" s="29"/>
      <c r="B67" s="30"/>
      <c r="C67" s="30"/>
      <c r="D67" s="30"/>
      <c r="E67" s="30"/>
      <c r="F67" s="20" t="str">
        <f aca="false">IF(E67="","",IFERROR(INDEX(Populations!$B:$B,MATCH(E67,Populations!$A:$A,0)),"ID not found"))</f>
        <v/>
      </c>
      <c r="G67" s="30"/>
      <c r="H67" s="30"/>
      <c r="I67" s="30"/>
      <c r="J67" s="30"/>
      <c r="K67" s="20" t="str">
        <f aca="false">IF(A67="","",COUNTIF('Metric to Product'!$A:$A,A67))</f>
        <v/>
      </c>
      <c r="L67" s="20" t="str">
        <f aca="false">IF(A67="","",COUNTIF('Metric to Field'!$A:$A,A67))</f>
        <v/>
      </c>
      <c r="M67" s="32" t="str">
        <f aca="false">IF(B67="","",COUNTIF($B$5:$B$254,B67))</f>
        <v/>
      </c>
      <c r="N67" s="30"/>
      <c r="O67" s="30"/>
      <c r="P67" s="30"/>
      <c r="Q67" s="30"/>
      <c r="R67" s="30"/>
      <c r="S67" s="33" t="str">
        <f aca="false">IF(AND(A67&lt;&gt;"",M67&gt;1),COUNTIFS($A$5:A67,"&lt;&gt;",$M$5:M67,"&gt;1"),"")</f>
        <v/>
      </c>
    </row>
    <row r="68" customFormat="false" ht="15" hidden="false" customHeight="false" outlineLevel="0" collapsed="false">
      <c r="A68" s="29"/>
      <c r="B68" s="30"/>
      <c r="C68" s="30"/>
      <c r="D68" s="30"/>
      <c r="E68" s="30"/>
      <c r="F68" s="20" t="str">
        <f aca="false">IF(E68="","",IFERROR(INDEX(Populations!$B:$B,MATCH(E68,Populations!$A:$A,0)),"ID not found"))</f>
        <v/>
      </c>
      <c r="G68" s="30"/>
      <c r="H68" s="30"/>
      <c r="I68" s="30"/>
      <c r="J68" s="30"/>
      <c r="K68" s="20" t="str">
        <f aca="false">IF(A68="","",COUNTIF('Metric to Product'!$A:$A,A68))</f>
        <v/>
      </c>
      <c r="L68" s="20" t="str">
        <f aca="false">IF(A68="","",COUNTIF('Metric to Field'!$A:$A,A68))</f>
        <v/>
      </c>
      <c r="M68" s="32" t="str">
        <f aca="false">IF(B68="","",COUNTIF($B$5:$B$254,B68))</f>
        <v/>
      </c>
      <c r="N68" s="30"/>
      <c r="O68" s="30"/>
      <c r="P68" s="30"/>
      <c r="Q68" s="30"/>
      <c r="R68" s="30"/>
      <c r="S68" s="33" t="str">
        <f aca="false">IF(AND(A68&lt;&gt;"",M68&gt;1),COUNTIFS($A$5:A68,"&lt;&gt;",$M$5:M68,"&gt;1"),"")</f>
        <v/>
      </c>
    </row>
    <row r="69" customFormat="false" ht="15" hidden="false" customHeight="false" outlineLevel="0" collapsed="false">
      <c r="A69" s="29"/>
      <c r="B69" s="30"/>
      <c r="C69" s="30"/>
      <c r="D69" s="30"/>
      <c r="E69" s="30"/>
      <c r="F69" s="20" t="str">
        <f aca="false">IF(E69="","",IFERROR(INDEX(Populations!$B:$B,MATCH(E69,Populations!$A:$A,0)),"ID not found"))</f>
        <v/>
      </c>
      <c r="G69" s="30"/>
      <c r="H69" s="30"/>
      <c r="I69" s="30"/>
      <c r="J69" s="30"/>
      <c r="K69" s="20" t="str">
        <f aca="false">IF(A69="","",COUNTIF('Metric to Product'!$A:$A,A69))</f>
        <v/>
      </c>
      <c r="L69" s="20" t="str">
        <f aca="false">IF(A69="","",COUNTIF('Metric to Field'!$A:$A,A69))</f>
        <v/>
      </c>
      <c r="M69" s="32" t="str">
        <f aca="false">IF(B69="","",COUNTIF($B$5:$B$254,B69))</f>
        <v/>
      </c>
      <c r="N69" s="30"/>
      <c r="O69" s="30"/>
      <c r="P69" s="30"/>
      <c r="Q69" s="30"/>
      <c r="R69" s="30"/>
      <c r="S69" s="33" t="str">
        <f aca="false">IF(AND(A69&lt;&gt;"",M69&gt;1),COUNTIFS($A$5:A69,"&lt;&gt;",$M$5:M69,"&gt;1"),"")</f>
        <v/>
      </c>
    </row>
    <row r="70" customFormat="false" ht="15" hidden="false" customHeight="false" outlineLevel="0" collapsed="false">
      <c r="A70" s="29"/>
      <c r="B70" s="30"/>
      <c r="C70" s="30"/>
      <c r="D70" s="30"/>
      <c r="E70" s="30"/>
      <c r="F70" s="20" t="str">
        <f aca="false">IF(E70="","",IFERROR(INDEX(Populations!$B:$B,MATCH(E70,Populations!$A:$A,0)),"ID not found"))</f>
        <v/>
      </c>
      <c r="G70" s="30"/>
      <c r="H70" s="30"/>
      <c r="I70" s="30"/>
      <c r="J70" s="30"/>
      <c r="K70" s="20" t="str">
        <f aca="false">IF(A70="","",COUNTIF('Metric to Product'!$A:$A,A70))</f>
        <v/>
      </c>
      <c r="L70" s="20" t="str">
        <f aca="false">IF(A70="","",COUNTIF('Metric to Field'!$A:$A,A70))</f>
        <v/>
      </c>
      <c r="M70" s="32" t="str">
        <f aca="false">IF(B70="","",COUNTIF($B$5:$B$254,B70))</f>
        <v/>
      </c>
      <c r="N70" s="30"/>
      <c r="O70" s="30"/>
      <c r="P70" s="30"/>
      <c r="Q70" s="30"/>
      <c r="R70" s="30"/>
      <c r="S70" s="33" t="str">
        <f aca="false">IF(AND(A70&lt;&gt;"",M70&gt;1),COUNTIFS($A$5:A70,"&lt;&gt;",$M$5:M70,"&gt;1"),"")</f>
        <v/>
      </c>
    </row>
    <row r="71" customFormat="false" ht="15" hidden="false" customHeight="false" outlineLevel="0" collapsed="false">
      <c r="A71" s="29"/>
      <c r="B71" s="30"/>
      <c r="C71" s="30"/>
      <c r="D71" s="30"/>
      <c r="E71" s="30"/>
      <c r="F71" s="20" t="str">
        <f aca="false">IF(E71="","",IFERROR(INDEX(Populations!$B:$B,MATCH(E71,Populations!$A:$A,0)),"ID not found"))</f>
        <v/>
      </c>
      <c r="G71" s="30"/>
      <c r="H71" s="30"/>
      <c r="I71" s="30"/>
      <c r="J71" s="30"/>
      <c r="K71" s="20" t="str">
        <f aca="false">IF(A71="","",COUNTIF('Metric to Product'!$A:$A,A71))</f>
        <v/>
      </c>
      <c r="L71" s="20" t="str">
        <f aca="false">IF(A71="","",COUNTIF('Metric to Field'!$A:$A,A71))</f>
        <v/>
      </c>
      <c r="M71" s="32" t="str">
        <f aca="false">IF(B71="","",COUNTIF($B$5:$B$254,B71))</f>
        <v/>
      </c>
      <c r="N71" s="30"/>
      <c r="O71" s="30"/>
      <c r="P71" s="30"/>
      <c r="Q71" s="30"/>
      <c r="R71" s="30"/>
      <c r="S71" s="33" t="str">
        <f aca="false">IF(AND(A71&lt;&gt;"",M71&gt;1),COUNTIFS($A$5:A71,"&lt;&gt;",$M$5:M71,"&gt;1"),"")</f>
        <v/>
      </c>
    </row>
    <row r="72" customFormat="false" ht="15" hidden="false" customHeight="false" outlineLevel="0" collapsed="false">
      <c r="A72" s="29"/>
      <c r="B72" s="30"/>
      <c r="C72" s="30"/>
      <c r="D72" s="30"/>
      <c r="E72" s="30"/>
      <c r="F72" s="20" t="str">
        <f aca="false">IF(E72="","",IFERROR(INDEX(Populations!$B:$B,MATCH(E72,Populations!$A:$A,0)),"ID not found"))</f>
        <v/>
      </c>
      <c r="G72" s="30"/>
      <c r="H72" s="30"/>
      <c r="I72" s="30"/>
      <c r="J72" s="30"/>
      <c r="K72" s="20" t="str">
        <f aca="false">IF(A72="","",COUNTIF('Metric to Product'!$A:$A,A72))</f>
        <v/>
      </c>
      <c r="L72" s="20" t="str">
        <f aca="false">IF(A72="","",COUNTIF('Metric to Field'!$A:$A,A72))</f>
        <v/>
      </c>
      <c r="M72" s="32" t="str">
        <f aca="false">IF(B72="","",COUNTIF($B$5:$B$254,B72))</f>
        <v/>
      </c>
      <c r="N72" s="30"/>
      <c r="O72" s="30"/>
      <c r="P72" s="30"/>
      <c r="Q72" s="30"/>
      <c r="R72" s="30"/>
      <c r="S72" s="33" t="str">
        <f aca="false">IF(AND(A72&lt;&gt;"",M72&gt;1),COUNTIFS($A$5:A72,"&lt;&gt;",$M$5:M72,"&gt;1"),"")</f>
        <v/>
      </c>
    </row>
    <row r="73" customFormat="false" ht="15" hidden="false" customHeight="false" outlineLevel="0" collapsed="false">
      <c r="A73" s="29"/>
      <c r="B73" s="30"/>
      <c r="C73" s="30"/>
      <c r="D73" s="30"/>
      <c r="E73" s="30"/>
      <c r="F73" s="20" t="str">
        <f aca="false">IF(E73="","",IFERROR(INDEX(Populations!$B:$B,MATCH(E73,Populations!$A:$A,0)),"ID not found"))</f>
        <v/>
      </c>
      <c r="G73" s="30"/>
      <c r="H73" s="30"/>
      <c r="I73" s="30"/>
      <c r="J73" s="30"/>
      <c r="K73" s="20" t="str">
        <f aca="false">IF(A73="","",COUNTIF('Metric to Product'!$A:$A,A73))</f>
        <v/>
      </c>
      <c r="L73" s="20" t="str">
        <f aca="false">IF(A73="","",COUNTIF('Metric to Field'!$A:$A,A73))</f>
        <v/>
      </c>
      <c r="M73" s="32" t="str">
        <f aca="false">IF(B73="","",COUNTIF($B$5:$B$254,B73))</f>
        <v/>
      </c>
      <c r="N73" s="30"/>
      <c r="O73" s="30"/>
      <c r="P73" s="30"/>
      <c r="Q73" s="30"/>
      <c r="R73" s="30"/>
      <c r="S73" s="33" t="str">
        <f aca="false">IF(AND(A73&lt;&gt;"",M73&gt;1),COUNTIFS($A$5:A73,"&lt;&gt;",$M$5:M73,"&gt;1"),"")</f>
        <v/>
      </c>
    </row>
    <row r="74" customFormat="false" ht="15" hidden="false" customHeight="false" outlineLevel="0" collapsed="false">
      <c r="A74" s="29"/>
      <c r="B74" s="30"/>
      <c r="C74" s="30"/>
      <c r="D74" s="30"/>
      <c r="E74" s="30"/>
      <c r="F74" s="20" t="str">
        <f aca="false">IF(E74="","",IFERROR(INDEX(Populations!$B:$B,MATCH(E74,Populations!$A:$A,0)),"ID not found"))</f>
        <v/>
      </c>
      <c r="G74" s="30"/>
      <c r="H74" s="30"/>
      <c r="I74" s="30"/>
      <c r="J74" s="30"/>
      <c r="K74" s="20" t="str">
        <f aca="false">IF(A74="","",COUNTIF('Metric to Product'!$A:$A,A74))</f>
        <v/>
      </c>
      <c r="L74" s="20" t="str">
        <f aca="false">IF(A74="","",COUNTIF('Metric to Field'!$A:$A,A74))</f>
        <v/>
      </c>
      <c r="M74" s="32" t="str">
        <f aca="false">IF(B74="","",COUNTIF($B$5:$B$254,B74))</f>
        <v/>
      </c>
      <c r="N74" s="30"/>
      <c r="O74" s="30"/>
      <c r="P74" s="30"/>
      <c r="Q74" s="30"/>
      <c r="R74" s="30"/>
      <c r="S74" s="33" t="str">
        <f aca="false">IF(AND(A74&lt;&gt;"",M74&gt;1),COUNTIFS($A$5:A74,"&lt;&gt;",$M$5:M74,"&gt;1"),"")</f>
        <v/>
      </c>
    </row>
    <row r="75" customFormat="false" ht="15" hidden="false" customHeight="false" outlineLevel="0" collapsed="false">
      <c r="A75" s="29"/>
      <c r="B75" s="30"/>
      <c r="C75" s="30"/>
      <c r="D75" s="30"/>
      <c r="E75" s="30"/>
      <c r="F75" s="20" t="str">
        <f aca="false">IF(E75="","",IFERROR(INDEX(Populations!$B:$B,MATCH(E75,Populations!$A:$A,0)),"ID not found"))</f>
        <v/>
      </c>
      <c r="G75" s="30"/>
      <c r="H75" s="30"/>
      <c r="I75" s="30"/>
      <c r="J75" s="30"/>
      <c r="K75" s="20" t="str">
        <f aca="false">IF(A75="","",COUNTIF('Metric to Product'!$A:$A,A75))</f>
        <v/>
      </c>
      <c r="L75" s="20" t="str">
        <f aca="false">IF(A75="","",COUNTIF('Metric to Field'!$A:$A,A75))</f>
        <v/>
      </c>
      <c r="M75" s="32" t="str">
        <f aca="false">IF(B75="","",COUNTIF($B$5:$B$254,B75))</f>
        <v/>
      </c>
      <c r="N75" s="30"/>
      <c r="O75" s="30"/>
      <c r="P75" s="30"/>
      <c r="Q75" s="30"/>
      <c r="R75" s="30"/>
      <c r="S75" s="33" t="str">
        <f aca="false">IF(AND(A75&lt;&gt;"",M75&gt;1),COUNTIFS($A$5:A75,"&lt;&gt;",$M$5:M75,"&gt;1"),"")</f>
        <v/>
      </c>
    </row>
    <row r="76" customFormat="false" ht="15" hidden="false" customHeight="false" outlineLevel="0" collapsed="false">
      <c r="A76" s="29"/>
      <c r="B76" s="30"/>
      <c r="C76" s="30"/>
      <c r="D76" s="30"/>
      <c r="E76" s="30"/>
      <c r="F76" s="20" t="str">
        <f aca="false">IF(E76="","",IFERROR(INDEX(Populations!$B:$B,MATCH(E76,Populations!$A:$A,0)),"ID not found"))</f>
        <v/>
      </c>
      <c r="G76" s="30"/>
      <c r="H76" s="30"/>
      <c r="I76" s="30"/>
      <c r="J76" s="30"/>
      <c r="K76" s="20" t="str">
        <f aca="false">IF(A76="","",COUNTIF('Metric to Product'!$A:$A,A76))</f>
        <v/>
      </c>
      <c r="L76" s="20" t="str">
        <f aca="false">IF(A76="","",COUNTIF('Metric to Field'!$A:$A,A76))</f>
        <v/>
      </c>
      <c r="M76" s="32" t="str">
        <f aca="false">IF(B76="","",COUNTIF($B$5:$B$254,B76))</f>
        <v/>
      </c>
      <c r="N76" s="30"/>
      <c r="O76" s="30"/>
      <c r="P76" s="30"/>
      <c r="Q76" s="30"/>
      <c r="R76" s="30"/>
      <c r="S76" s="33" t="str">
        <f aca="false">IF(AND(A76&lt;&gt;"",M76&gt;1),COUNTIFS($A$5:A76,"&lt;&gt;",$M$5:M76,"&gt;1"),"")</f>
        <v/>
      </c>
    </row>
    <row r="77" customFormat="false" ht="15" hidden="false" customHeight="false" outlineLevel="0" collapsed="false">
      <c r="A77" s="29"/>
      <c r="B77" s="30"/>
      <c r="C77" s="30"/>
      <c r="D77" s="30"/>
      <c r="E77" s="30"/>
      <c r="F77" s="20" t="str">
        <f aca="false">IF(E77="","",IFERROR(INDEX(Populations!$B:$B,MATCH(E77,Populations!$A:$A,0)),"ID not found"))</f>
        <v/>
      </c>
      <c r="G77" s="30"/>
      <c r="H77" s="30"/>
      <c r="I77" s="30"/>
      <c r="J77" s="30"/>
      <c r="K77" s="20" t="str">
        <f aca="false">IF(A77="","",COUNTIF('Metric to Product'!$A:$A,A77))</f>
        <v/>
      </c>
      <c r="L77" s="20" t="str">
        <f aca="false">IF(A77="","",COUNTIF('Metric to Field'!$A:$A,A77))</f>
        <v/>
      </c>
      <c r="M77" s="32" t="str">
        <f aca="false">IF(B77="","",COUNTIF($B$5:$B$254,B77))</f>
        <v/>
      </c>
      <c r="N77" s="30"/>
      <c r="O77" s="30"/>
      <c r="P77" s="30"/>
      <c r="Q77" s="30"/>
      <c r="R77" s="30"/>
      <c r="S77" s="33" t="str">
        <f aca="false">IF(AND(A77&lt;&gt;"",M77&gt;1),COUNTIFS($A$5:A77,"&lt;&gt;",$M$5:M77,"&gt;1"),"")</f>
        <v/>
      </c>
    </row>
    <row r="78" customFormat="false" ht="15" hidden="false" customHeight="false" outlineLevel="0" collapsed="false">
      <c r="A78" s="29"/>
      <c r="B78" s="30"/>
      <c r="C78" s="30"/>
      <c r="D78" s="30"/>
      <c r="E78" s="30"/>
      <c r="F78" s="20" t="str">
        <f aca="false">IF(E78="","",IFERROR(INDEX(Populations!$B:$B,MATCH(E78,Populations!$A:$A,0)),"ID not found"))</f>
        <v/>
      </c>
      <c r="G78" s="30"/>
      <c r="H78" s="30"/>
      <c r="I78" s="30"/>
      <c r="J78" s="30"/>
      <c r="K78" s="20" t="str">
        <f aca="false">IF(A78="","",COUNTIF('Metric to Product'!$A:$A,A78))</f>
        <v/>
      </c>
      <c r="L78" s="20" t="str">
        <f aca="false">IF(A78="","",COUNTIF('Metric to Field'!$A:$A,A78))</f>
        <v/>
      </c>
      <c r="M78" s="32" t="str">
        <f aca="false">IF(B78="","",COUNTIF($B$5:$B$254,B78))</f>
        <v/>
      </c>
      <c r="N78" s="30"/>
      <c r="O78" s="30"/>
      <c r="P78" s="30"/>
      <c r="Q78" s="30"/>
      <c r="R78" s="30"/>
      <c r="S78" s="33" t="str">
        <f aca="false">IF(AND(A78&lt;&gt;"",M78&gt;1),COUNTIFS($A$5:A78,"&lt;&gt;",$M$5:M78,"&gt;1"),"")</f>
        <v/>
      </c>
    </row>
    <row r="79" customFormat="false" ht="15" hidden="false" customHeight="false" outlineLevel="0" collapsed="false">
      <c r="A79" s="29"/>
      <c r="B79" s="30"/>
      <c r="C79" s="30"/>
      <c r="D79" s="30"/>
      <c r="E79" s="30"/>
      <c r="F79" s="20" t="str">
        <f aca="false">IF(E79="","",IFERROR(INDEX(Populations!$B:$B,MATCH(E79,Populations!$A:$A,0)),"ID not found"))</f>
        <v/>
      </c>
      <c r="G79" s="30"/>
      <c r="H79" s="30"/>
      <c r="I79" s="30"/>
      <c r="J79" s="30"/>
      <c r="K79" s="20" t="str">
        <f aca="false">IF(A79="","",COUNTIF('Metric to Product'!$A:$A,A79))</f>
        <v/>
      </c>
      <c r="L79" s="20" t="str">
        <f aca="false">IF(A79="","",COUNTIF('Metric to Field'!$A:$A,A79))</f>
        <v/>
      </c>
      <c r="M79" s="32" t="str">
        <f aca="false">IF(B79="","",COUNTIF($B$5:$B$254,B79))</f>
        <v/>
      </c>
      <c r="N79" s="30"/>
      <c r="O79" s="30"/>
      <c r="P79" s="30"/>
      <c r="Q79" s="30"/>
      <c r="R79" s="30"/>
      <c r="S79" s="33" t="str">
        <f aca="false">IF(AND(A79&lt;&gt;"",M79&gt;1),COUNTIFS($A$5:A79,"&lt;&gt;",$M$5:M79,"&gt;1"),"")</f>
        <v/>
      </c>
    </row>
    <row r="80" customFormat="false" ht="15" hidden="false" customHeight="false" outlineLevel="0" collapsed="false">
      <c r="A80" s="29"/>
      <c r="B80" s="30"/>
      <c r="C80" s="30"/>
      <c r="D80" s="30"/>
      <c r="E80" s="30"/>
      <c r="F80" s="20" t="str">
        <f aca="false">IF(E80="","",IFERROR(INDEX(Populations!$B:$B,MATCH(E80,Populations!$A:$A,0)),"ID not found"))</f>
        <v/>
      </c>
      <c r="G80" s="30"/>
      <c r="H80" s="30"/>
      <c r="I80" s="30"/>
      <c r="J80" s="30"/>
      <c r="K80" s="20" t="str">
        <f aca="false">IF(A80="","",COUNTIF('Metric to Product'!$A:$A,A80))</f>
        <v/>
      </c>
      <c r="L80" s="20" t="str">
        <f aca="false">IF(A80="","",COUNTIF('Metric to Field'!$A:$A,A80))</f>
        <v/>
      </c>
      <c r="M80" s="32" t="str">
        <f aca="false">IF(B80="","",COUNTIF($B$5:$B$254,B80))</f>
        <v/>
      </c>
      <c r="N80" s="30"/>
      <c r="O80" s="30"/>
      <c r="P80" s="30"/>
      <c r="Q80" s="30"/>
      <c r="R80" s="30"/>
      <c r="S80" s="33" t="str">
        <f aca="false">IF(AND(A80&lt;&gt;"",M80&gt;1),COUNTIFS($A$5:A80,"&lt;&gt;",$M$5:M80,"&gt;1"),"")</f>
        <v/>
      </c>
    </row>
    <row r="81" customFormat="false" ht="15" hidden="false" customHeight="false" outlineLevel="0" collapsed="false">
      <c r="A81" s="29"/>
      <c r="B81" s="30"/>
      <c r="C81" s="30"/>
      <c r="D81" s="30"/>
      <c r="E81" s="30"/>
      <c r="F81" s="20" t="str">
        <f aca="false">IF(E81="","",IFERROR(INDEX(Populations!$B:$B,MATCH(E81,Populations!$A:$A,0)),"ID not found"))</f>
        <v/>
      </c>
      <c r="G81" s="30"/>
      <c r="H81" s="30"/>
      <c r="I81" s="30"/>
      <c r="J81" s="30"/>
      <c r="K81" s="20" t="str">
        <f aca="false">IF(A81="","",COUNTIF('Metric to Product'!$A:$A,A81))</f>
        <v/>
      </c>
      <c r="L81" s="20" t="str">
        <f aca="false">IF(A81="","",COUNTIF('Metric to Field'!$A:$A,A81))</f>
        <v/>
      </c>
      <c r="M81" s="32" t="str">
        <f aca="false">IF(B81="","",COUNTIF($B$5:$B$254,B81))</f>
        <v/>
      </c>
      <c r="N81" s="30"/>
      <c r="O81" s="30"/>
      <c r="P81" s="30"/>
      <c r="Q81" s="30"/>
      <c r="R81" s="30"/>
      <c r="S81" s="33" t="str">
        <f aca="false">IF(AND(A81&lt;&gt;"",M81&gt;1),COUNTIFS($A$5:A81,"&lt;&gt;",$M$5:M81,"&gt;1"),"")</f>
        <v/>
      </c>
    </row>
    <row r="82" customFormat="false" ht="15" hidden="false" customHeight="false" outlineLevel="0" collapsed="false">
      <c r="A82" s="29"/>
      <c r="B82" s="30"/>
      <c r="C82" s="30"/>
      <c r="D82" s="30"/>
      <c r="E82" s="30"/>
      <c r="F82" s="20" t="str">
        <f aca="false">IF(E82="","",IFERROR(INDEX(Populations!$B:$B,MATCH(E82,Populations!$A:$A,0)),"ID not found"))</f>
        <v/>
      </c>
      <c r="G82" s="30"/>
      <c r="H82" s="30"/>
      <c r="I82" s="30"/>
      <c r="J82" s="30"/>
      <c r="K82" s="20" t="str">
        <f aca="false">IF(A82="","",COUNTIF('Metric to Product'!$A:$A,A82))</f>
        <v/>
      </c>
      <c r="L82" s="20" t="str">
        <f aca="false">IF(A82="","",COUNTIF('Metric to Field'!$A:$A,A82))</f>
        <v/>
      </c>
      <c r="M82" s="32" t="str">
        <f aca="false">IF(B82="","",COUNTIF($B$5:$B$254,B82))</f>
        <v/>
      </c>
      <c r="N82" s="30"/>
      <c r="O82" s="30"/>
      <c r="P82" s="30"/>
      <c r="Q82" s="30"/>
      <c r="R82" s="30"/>
      <c r="S82" s="33" t="str">
        <f aca="false">IF(AND(A82&lt;&gt;"",M82&gt;1),COUNTIFS($A$5:A82,"&lt;&gt;",$M$5:M82,"&gt;1"),"")</f>
        <v/>
      </c>
    </row>
    <row r="83" customFormat="false" ht="15" hidden="false" customHeight="false" outlineLevel="0" collapsed="false">
      <c r="A83" s="29"/>
      <c r="B83" s="30"/>
      <c r="C83" s="30"/>
      <c r="D83" s="30"/>
      <c r="E83" s="30"/>
      <c r="F83" s="20" t="str">
        <f aca="false">IF(E83="","",IFERROR(INDEX(Populations!$B:$B,MATCH(E83,Populations!$A:$A,0)),"ID not found"))</f>
        <v/>
      </c>
      <c r="G83" s="30"/>
      <c r="H83" s="30"/>
      <c r="I83" s="30"/>
      <c r="J83" s="30"/>
      <c r="K83" s="20" t="str">
        <f aca="false">IF(A83="","",COUNTIF('Metric to Product'!$A:$A,A83))</f>
        <v/>
      </c>
      <c r="L83" s="20" t="str">
        <f aca="false">IF(A83="","",COUNTIF('Metric to Field'!$A:$A,A83))</f>
        <v/>
      </c>
      <c r="M83" s="32" t="str">
        <f aca="false">IF(B83="","",COUNTIF($B$5:$B$254,B83))</f>
        <v/>
      </c>
      <c r="N83" s="30"/>
      <c r="O83" s="30"/>
      <c r="P83" s="30"/>
      <c r="Q83" s="30"/>
      <c r="R83" s="30"/>
      <c r="S83" s="33" t="str">
        <f aca="false">IF(AND(A83&lt;&gt;"",M83&gt;1),COUNTIFS($A$5:A83,"&lt;&gt;",$M$5:M83,"&gt;1"),"")</f>
        <v/>
      </c>
    </row>
    <row r="84" customFormat="false" ht="15" hidden="false" customHeight="false" outlineLevel="0" collapsed="false">
      <c r="A84" s="29"/>
      <c r="B84" s="30"/>
      <c r="C84" s="30"/>
      <c r="D84" s="30"/>
      <c r="E84" s="30"/>
      <c r="F84" s="20" t="str">
        <f aca="false">IF(E84="","",IFERROR(INDEX(Populations!$B:$B,MATCH(E84,Populations!$A:$A,0)),"ID not found"))</f>
        <v/>
      </c>
      <c r="G84" s="30"/>
      <c r="H84" s="30"/>
      <c r="I84" s="30"/>
      <c r="J84" s="30"/>
      <c r="K84" s="20" t="str">
        <f aca="false">IF(A84="","",COUNTIF('Metric to Product'!$A:$A,A84))</f>
        <v/>
      </c>
      <c r="L84" s="20" t="str">
        <f aca="false">IF(A84="","",COUNTIF('Metric to Field'!$A:$A,A84))</f>
        <v/>
      </c>
      <c r="M84" s="32" t="str">
        <f aca="false">IF(B84="","",COUNTIF($B$5:$B$254,B84))</f>
        <v/>
      </c>
      <c r="N84" s="30"/>
      <c r="O84" s="30"/>
      <c r="P84" s="30"/>
      <c r="Q84" s="30"/>
      <c r="R84" s="30"/>
      <c r="S84" s="33" t="str">
        <f aca="false">IF(AND(A84&lt;&gt;"",M84&gt;1),COUNTIFS($A$5:A84,"&lt;&gt;",$M$5:M84,"&gt;1"),"")</f>
        <v/>
      </c>
    </row>
    <row r="85" customFormat="false" ht="15" hidden="false" customHeight="false" outlineLevel="0" collapsed="false">
      <c r="A85" s="29"/>
      <c r="B85" s="30"/>
      <c r="C85" s="30"/>
      <c r="D85" s="30"/>
      <c r="E85" s="30"/>
      <c r="F85" s="20" t="str">
        <f aca="false">IF(E85="","",IFERROR(INDEX(Populations!$B:$B,MATCH(E85,Populations!$A:$A,0)),"ID not found"))</f>
        <v/>
      </c>
      <c r="G85" s="30"/>
      <c r="H85" s="30"/>
      <c r="I85" s="30"/>
      <c r="J85" s="30"/>
      <c r="K85" s="20" t="str">
        <f aca="false">IF(A85="","",COUNTIF('Metric to Product'!$A:$A,A85))</f>
        <v/>
      </c>
      <c r="L85" s="20" t="str">
        <f aca="false">IF(A85="","",COUNTIF('Metric to Field'!$A:$A,A85))</f>
        <v/>
      </c>
      <c r="M85" s="32" t="str">
        <f aca="false">IF(B85="","",COUNTIF($B$5:$B$254,B85))</f>
        <v/>
      </c>
      <c r="N85" s="30"/>
      <c r="O85" s="30"/>
      <c r="P85" s="30"/>
      <c r="Q85" s="30"/>
      <c r="R85" s="30"/>
      <c r="S85" s="33" t="str">
        <f aca="false">IF(AND(A85&lt;&gt;"",M85&gt;1),COUNTIFS($A$5:A85,"&lt;&gt;",$M$5:M85,"&gt;1"),"")</f>
        <v/>
      </c>
    </row>
    <row r="86" customFormat="false" ht="15" hidden="false" customHeight="false" outlineLevel="0" collapsed="false">
      <c r="A86" s="29"/>
      <c r="B86" s="30"/>
      <c r="C86" s="30"/>
      <c r="D86" s="30"/>
      <c r="E86" s="30"/>
      <c r="F86" s="20" t="str">
        <f aca="false">IF(E86="","",IFERROR(INDEX(Populations!$B:$B,MATCH(E86,Populations!$A:$A,0)),"ID not found"))</f>
        <v/>
      </c>
      <c r="G86" s="30"/>
      <c r="H86" s="30"/>
      <c r="I86" s="30"/>
      <c r="J86" s="30"/>
      <c r="K86" s="20" t="str">
        <f aca="false">IF(A86="","",COUNTIF('Metric to Product'!$A:$A,A86))</f>
        <v/>
      </c>
      <c r="L86" s="20" t="str">
        <f aca="false">IF(A86="","",COUNTIF('Metric to Field'!$A:$A,A86))</f>
        <v/>
      </c>
      <c r="M86" s="32" t="str">
        <f aca="false">IF(B86="","",COUNTIF($B$5:$B$254,B86))</f>
        <v/>
      </c>
      <c r="N86" s="30"/>
      <c r="O86" s="30"/>
      <c r="P86" s="30"/>
      <c r="Q86" s="30"/>
      <c r="R86" s="30"/>
      <c r="S86" s="33" t="str">
        <f aca="false">IF(AND(A86&lt;&gt;"",M86&gt;1),COUNTIFS($A$5:A86,"&lt;&gt;",$M$5:M86,"&gt;1"),"")</f>
        <v/>
      </c>
    </row>
    <row r="87" customFormat="false" ht="15" hidden="false" customHeight="false" outlineLevel="0" collapsed="false">
      <c r="A87" s="29"/>
      <c r="B87" s="30"/>
      <c r="C87" s="30"/>
      <c r="D87" s="30"/>
      <c r="E87" s="30"/>
      <c r="F87" s="20" t="str">
        <f aca="false">IF(E87="","",IFERROR(INDEX(Populations!$B:$B,MATCH(E87,Populations!$A:$A,0)),"ID not found"))</f>
        <v/>
      </c>
      <c r="G87" s="30"/>
      <c r="H87" s="30"/>
      <c r="I87" s="30"/>
      <c r="J87" s="30"/>
      <c r="K87" s="20" t="str">
        <f aca="false">IF(A87="","",COUNTIF('Metric to Product'!$A:$A,A87))</f>
        <v/>
      </c>
      <c r="L87" s="20" t="str">
        <f aca="false">IF(A87="","",COUNTIF('Metric to Field'!$A:$A,A87))</f>
        <v/>
      </c>
      <c r="M87" s="32" t="str">
        <f aca="false">IF(B87="","",COUNTIF($B$5:$B$254,B87))</f>
        <v/>
      </c>
      <c r="N87" s="30"/>
      <c r="O87" s="30"/>
      <c r="P87" s="30"/>
      <c r="Q87" s="30"/>
      <c r="R87" s="30"/>
      <c r="S87" s="33" t="str">
        <f aca="false">IF(AND(A87&lt;&gt;"",M87&gt;1),COUNTIFS($A$5:A87,"&lt;&gt;",$M$5:M87,"&gt;1"),"")</f>
        <v/>
      </c>
    </row>
    <row r="88" customFormat="false" ht="15" hidden="false" customHeight="false" outlineLevel="0" collapsed="false">
      <c r="A88" s="29"/>
      <c r="B88" s="30"/>
      <c r="C88" s="30"/>
      <c r="D88" s="30"/>
      <c r="E88" s="30"/>
      <c r="F88" s="20" t="str">
        <f aca="false">IF(E88="","",IFERROR(INDEX(Populations!$B:$B,MATCH(E88,Populations!$A:$A,0)),"ID not found"))</f>
        <v/>
      </c>
      <c r="G88" s="30"/>
      <c r="H88" s="30"/>
      <c r="I88" s="30"/>
      <c r="J88" s="30"/>
      <c r="K88" s="20" t="str">
        <f aca="false">IF(A88="","",COUNTIF('Metric to Product'!$A:$A,A88))</f>
        <v/>
      </c>
      <c r="L88" s="20" t="str">
        <f aca="false">IF(A88="","",COUNTIF('Metric to Field'!$A:$A,A88))</f>
        <v/>
      </c>
      <c r="M88" s="32" t="str">
        <f aca="false">IF(B88="","",COUNTIF($B$5:$B$254,B88))</f>
        <v/>
      </c>
      <c r="N88" s="30"/>
      <c r="O88" s="30"/>
      <c r="P88" s="30"/>
      <c r="Q88" s="30"/>
      <c r="R88" s="30"/>
      <c r="S88" s="33" t="str">
        <f aca="false">IF(AND(A88&lt;&gt;"",M88&gt;1),COUNTIFS($A$5:A88,"&lt;&gt;",$M$5:M88,"&gt;1"),"")</f>
        <v/>
      </c>
    </row>
    <row r="89" customFormat="false" ht="15" hidden="false" customHeight="false" outlineLevel="0" collapsed="false">
      <c r="A89" s="29"/>
      <c r="B89" s="30"/>
      <c r="C89" s="30"/>
      <c r="D89" s="30"/>
      <c r="E89" s="30"/>
      <c r="F89" s="20" t="str">
        <f aca="false">IF(E89="","",IFERROR(INDEX(Populations!$B:$B,MATCH(E89,Populations!$A:$A,0)),"ID not found"))</f>
        <v/>
      </c>
      <c r="G89" s="30"/>
      <c r="H89" s="30"/>
      <c r="I89" s="30"/>
      <c r="J89" s="30"/>
      <c r="K89" s="20" t="str">
        <f aca="false">IF(A89="","",COUNTIF('Metric to Product'!$A:$A,A89))</f>
        <v/>
      </c>
      <c r="L89" s="20" t="str">
        <f aca="false">IF(A89="","",COUNTIF('Metric to Field'!$A:$A,A89))</f>
        <v/>
      </c>
      <c r="M89" s="32" t="str">
        <f aca="false">IF(B89="","",COUNTIF($B$5:$B$254,B89))</f>
        <v/>
      </c>
      <c r="N89" s="30"/>
      <c r="O89" s="30"/>
      <c r="P89" s="30"/>
      <c r="Q89" s="30"/>
      <c r="R89" s="30"/>
      <c r="S89" s="33" t="str">
        <f aca="false">IF(AND(A89&lt;&gt;"",M89&gt;1),COUNTIFS($A$5:A89,"&lt;&gt;",$M$5:M89,"&gt;1"),"")</f>
        <v/>
      </c>
    </row>
    <row r="90" customFormat="false" ht="15" hidden="false" customHeight="false" outlineLevel="0" collapsed="false">
      <c r="A90" s="29"/>
      <c r="B90" s="30"/>
      <c r="C90" s="30"/>
      <c r="D90" s="30"/>
      <c r="E90" s="30"/>
      <c r="F90" s="20" t="str">
        <f aca="false">IF(E90="","",IFERROR(INDEX(Populations!$B:$B,MATCH(E90,Populations!$A:$A,0)),"ID not found"))</f>
        <v/>
      </c>
      <c r="G90" s="30"/>
      <c r="H90" s="30"/>
      <c r="I90" s="30"/>
      <c r="J90" s="30"/>
      <c r="K90" s="20" t="str">
        <f aca="false">IF(A90="","",COUNTIF('Metric to Product'!$A:$A,A90))</f>
        <v/>
      </c>
      <c r="L90" s="20" t="str">
        <f aca="false">IF(A90="","",COUNTIF('Metric to Field'!$A:$A,A90))</f>
        <v/>
      </c>
      <c r="M90" s="32" t="str">
        <f aca="false">IF(B90="","",COUNTIF($B$5:$B$254,B90))</f>
        <v/>
      </c>
      <c r="N90" s="30"/>
      <c r="O90" s="30"/>
      <c r="P90" s="30"/>
      <c r="Q90" s="30"/>
      <c r="R90" s="30"/>
      <c r="S90" s="33" t="str">
        <f aca="false">IF(AND(A90&lt;&gt;"",M90&gt;1),COUNTIFS($A$5:A90,"&lt;&gt;",$M$5:M90,"&gt;1"),"")</f>
        <v/>
      </c>
    </row>
    <row r="91" customFormat="false" ht="15" hidden="false" customHeight="false" outlineLevel="0" collapsed="false">
      <c r="A91" s="29"/>
      <c r="B91" s="30"/>
      <c r="C91" s="30"/>
      <c r="D91" s="30"/>
      <c r="E91" s="30"/>
      <c r="F91" s="20" t="str">
        <f aca="false">IF(E91="","",IFERROR(INDEX(Populations!$B:$B,MATCH(E91,Populations!$A:$A,0)),"ID not found"))</f>
        <v/>
      </c>
      <c r="G91" s="30"/>
      <c r="H91" s="30"/>
      <c r="I91" s="30"/>
      <c r="J91" s="30"/>
      <c r="K91" s="20" t="str">
        <f aca="false">IF(A91="","",COUNTIF('Metric to Product'!$A:$A,A91))</f>
        <v/>
      </c>
      <c r="L91" s="20" t="str">
        <f aca="false">IF(A91="","",COUNTIF('Metric to Field'!$A:$A,A91))</f>
        <v/>
      </c>
      <c r="M91" s="32" t="str">
        <f aca="false">IF(B91="","",COUNTIF($B$5:$B$254,B91))</f>
        <v/>
      </c>
      <c r="N91" s="30"/>
      <c r="O91" s="30"/>
      <c r="P91" s="30"/>
      <c r="Q91" s="30"/>
      <c r="R91" s="30"/>
      <c r="S91" s="33" t="str">
        <f aca="false">IF(AND(A91&lt;&gt;"",M91&gt;1),COUNTIFS($A$5:A91,"&lt;&gt;",$M$5:M91,"&gt;1"),"")</f>
        <v/>
      </c>
    </row>
    <row r="92" customFormat="false" ht="15" hidden="false" customHeight="false" outlineLevel="0" collapsed="false">
      <c r="A92" s="29"/>
      <c r="B92" s="30"/>
      <c r="C92" s="30"/>
      <c r="D92" s="30"/>
      <c r="E92" s="30"/>
      <c r="F92" s="20" t="str">
        <f aca="false">IF(E92="","",IFERROR(INDEX(Populations!$B:$B,MATCH(E92,Populations!$A:$A,0)),"ID not found"))</f>
        <v/>
      </c>
      <c r="G92" s="30"/>
      <c r="H92" s="30"/>
      <c r="I92" s="30"/>
      <c r="J92" s="30"/>
      <c r="K92" s="20" t="str">
        <f aca="false">IF(A92="","",COUNTIF('Metric to Product'!$A:$A,A92))</f>
        <v/>
      </c>
      <c r="L92" s="20" t="str">
        <f aca="false">IF(A92="","",COUNTIF('Metric to Field'!$A:$A,A92))</f>
        <v/>
      </c>
      <c r="M92" s="32" t="str">
        <f aca="false">IF(B92="","",COUNTIF($B$5:$B$254,B92))</f>
        <v/>
      </c>
      <c r="N92" s="30"/>
      <c r="O92" s="30"/>
      <c r="P92" s="30"/>
      <c r="Q92" s="30"/>
      <c r="R92" s="30"/>
      <c r="S92" s="33" t="str">
        <f aca="false">IF(AND(A92&lt;&gt;"",M92&gt;1),COUNTIFS($A$5:A92,"&lt;&gt;",$M$5:M92,"&gt;1"),"")</f>
        <v/>
      </c>
    </row>
    <row r="93" customFormat="false" ht="15" hidden="false" customHeight="false" outlineLevel="0" collapsed="false">
      <c r="A93" s="29"/>
      <c r="B93" s="30"/>
      <c r="C93" s="30"/>
      <c r="D93" s="30"/>
      <c r="E93" s="30"/>
      <c r="F93" s="20" t="str">
        <f aca="false">IF(E93="","",IFERROR(INDEX(Populations!$B:$B,MATCH(E93,Populations!$A:$A,0)),"ID not found"))</f>
        <v/>
      </c>
      <c r="G93" s="30"/>
      <c r="H93" s="30"/>
      <c r="I93" s="30"/>
      <c r="J93" s="30"/>
      <c r="K93" s="20" t="str">
        <f aca="false">IF(A93="","",COUNTIF('Metric to Product'!$A:$A,A93))</f>
        <v/>
      </c>
      <c r="L93" s="20" t="str">
        <f aca="false">IF(A93="","",COUNTIF('Metric to Field'!$A:$A,A93))</f>
        <v/>
      </c>
      <c r="M93" s="32" t="str">
        <f aca="false">IF(B93="","",COUNTIF($B$5:$B$254,B93))</f>
        <v/>
      </c>
      <c r="N93" s="30"/>
      <c r="O93" s="30"/>
      <c r="P93" s="30"/>
      <c r="Q93" s="30"/>
      <c r="R93" s="30"/>
      <c r="S93" s="33" t="str">
        <f aca="false">IF(AND(A93&lt;&gt;"",M93&gt;1),COUNTIFS($A$5:A93,"&lt;&gt;",$M$5:M93,"&gt;1"),"")</f>
        <v/>
      </c>
    </row>
    <row r="94" customFormat="false" ht="15" hidden="false" customHeight="false" outlineLevel="0" collapsed="false">
      <c r="A94" s="29"/>
      <c r="B94" s="30"/>
      <c r="C94" s="30"/>
      <c r="D94" s="30"/>
      <c r="E94" s="30"/>
      <c r="F94" s="20" t="str">
        <f aca="false">IF(E94="","",IFERROR(INDEX(Populations!$B:$B,MATCH(E94,Populations!$A:$A,0)),"ID not found"))</f>
        <v/>
      </c>
      <c r="G94" s="30"/>
      <c r="H94" s="30"/>
      <c r="I94" s="30"/>
      <c r="J94" s="30"/>
      <c r="K94" s="20" t="str">
        <f aca="false">IF(A94="","",COUNTIF('Metric to Product'!$A:$A,A94))</f>
        <v/>
      </c>
      <c r="L94" s="20" t="str">
        <f aca="false">IF(A94="","",COUNTIF('Metric to Field'!$A:$A,A94))</f>
        <v/>
      </c>
      <c r="M94" s="32" t="str">
        <f aca="false">IF(B94="","",COUNTIF($B$5:$B$254,B94))</f>
        <v/>
      </c>
      <c r="N94" s="30"/>
      <c r="O94" s="30"/>
      <c r="P94" s="30"/>
      <c r="Q94" s="30"/>
      <c r="R94" s="30"/>
      <c r="S94" s="33" t="str">
        <f aca="false">IF(AND(A94&lt;&gt;"",M94&gt;1),COUNTIFS($A$5:A94,"&lt;&gt;",$M$5:M94,"&gt;1"),"")</f>
        <v/>
      </c>
    </row>
    <row r="95" customFormat="false" ht="15" hidden="false" customHeight="false" outlineLevel="0" collapsed="false">
      <c r="A95" s="29"/>
      <c r="B95" s="30"/>
      <c r="C95" s="30"/>
      <c r="D95" s="30"/>
      <c r="E95" s="30"/>
      <c r="F95" s="20" t="str">
        <f aca="false">IF(E95="","",IFERROR(INDEX(Populations!$B:$B,MATCH(E95,Populations!$A:$A,0)),"ID not found"))</f>
        <v/>
      </c>
      <c r="G95" s="30"/>
      <c r="H95" s="30"/>
      <c r="I95" s="30"/>
      <c r="J95" s="30"/>
      <c r="K95" s="20" t="str">
        <f aca="false">IF(A95="","",COUNTIF('Metric to Product'!$A:$A,A95))</f>
        <v/>
      </c>
      <c r="L95" s="20" t="str">
        <f aca="false">IF(A95="","",COUNTIF('Metric to Field'!$A:$A,A95))</f>
        <v/>
      </c>
      <c r="M95" s="32" t="str">
        <f aca="false">IF(B95="","",COUNTIF($B$5:$B$254,B95))</f>
        <v/>
      </c>
      <c r="N95" s="30"/>
      <c r="O95" s="30"/>
      <c r="P95" s="30"/>
      <c r="Q95" s="30"/>
      <c r="R95" s="30"/>
      <c r="S95" s="33" t="str">
        <f aca="false">IF(AND(A95&lt;&gt;"",M95&gt;1),COUNTIFS($A$5:A95,"&lt;&gt;",$M$5:M95,"&gt;1"),"")</f>
        <v/>
      </c>
    </row>
    <row r="96" customFormat="false" ht="15" hidden="false" customHeight="false" outlineLevel="0" collapsed="false">
      <c r="A96" s="29"/>
      <c r="B96" s="30"/>
      <c r="C96" s="30"/>
      <c r="D96" s="30"/>
      <c r="E96" s="30"/>
      <c r="F96" s="20" t="str">
        <f aca="false">IF(E96="","",IFERROR(INDEX(Populations!$B:$B,MATCH(E96,Populations!$A:$A,0)),"ID not found"))</f>
        <v/>
      </c>
      <c r="G96" s="30"/>
      <c r="H96" s="30"/>
      <c r="I96" s="30"/>
      <c r="J96" s="30"/>
      <c r="K96" s="20" t="str">
        <f aca="false">IF(A96="","",COUNTIF('Metric to Product'!$A:$A,A96))</f>
        <v/>
      </c>
      <c r="L96" s="20" t="str">
        <f aca="false">IF(A96="","",COUNTIF('Metric to Field'!$A:$A,A96))</f>
        <v/>
      </c>
      <c r="M96" s="32" t="str">
        <f aca="false">IF(B96="","",COUNTIF($B$5:$B$254,B96))</f>
        <v/>
      </c>
      <c r="N96" s="30"/>
      <c r="O96" s="30"/>
      <c r="P96" s="30"/>
      <c r="Q96" s="30"/>
      <c r="R96" s="30"/>
      <c r="S96" s="33" t="str">
        <f aca="false">IF(AND(A96&lt;&gt;"",M96&gt;1),COUNTIFS($A$5:A96,"&lt;&gt;",$M$5:M96,"&gt;1"),"")</f>
        <v/>
      </c>
    </row>
    <row r="97" customFormat="false" ht="15" hidden="false" customHeight="false" outlineLevel="0" collapsed="false">
      <c r="A97" s="29"/>
      <c r="B97" s="30"/>
      <c r="C97" s="30"/>
      <c r="D97" s="30"/>
      <c r="E97" s="30"/>
      <c r="F97" s="20" t="str">
        <f aca="false">IF(E97="","",IFERROR(INDEX(Populations!$B:$B,MATCH(E97,Populations!$A:$A,0)),"ID not found"))</f>
        <v/>
      </c>
      <c r="G97" s="30"/>
      <c r="H97" s="30"/>
      <c r="I97" s="30"/>
      <c r="J97" s="30"/>
      <c r="K97" s="20" t="str">
        <f aca="false">IF(A97="","",COUNTIF('Metric to Product'!$A:$A,A97))</f>
        <v/>
      </c>
      <c r="L97" s="20" t="str">
        <f aca="false">IF(A97="","",COUNTIF('Metric to Field'!$A:$A,A97))</f>
        <v/>
      </c>
      <c r="M97" s="32" t="str">
        <f aca="false">IF(B97="","",COUNTIF($B$5:$B$254,B97))</f>
        <v/>
      </c>
      <c r="N97" s="30"/>
      <c r="O97" s="30"/>
      <c r="P97" s="30"/>
      <c r="Q97" s="30"/>
      <c r="R97" s="30"/>
      <c r="S97" s="33" t="str">
        <f aca="false">IF(AND(A97&lt;&gt;"",M97&gt;1),COUNTIFS($A$5:A97,"&lt;&gt;",$M$5:M97,"&gt;1"),"")</f>
        <v/>
      </c>
    </row>
    <row r="98" customFormat="false" ht="15" hidden="false" customHeight="false" outlineLevel="0" collapsed="false">
      <c r="A98" s="29"/>
      <c r="B98" s="30"/>
      <c r="C98" s="30"/>
      <c r="D98" s="30"/>
      <c r="E98" s="30"/>
      <c r="F98" s="20" t="str">
        <f aca="false">IF(E98="","",IFERROR(INDEX(Populations!$B:$B,MATCH(E98,Populations!$A:$A,0)),"ID not found"))</f>
        <v/>
      </c>
      <c r="G98" s="30"/>
      <c r="H98" s="30"/>
      <c r="I98" s="30"/>
      <c r="J98" s="30"/>
      <c r="K98" s="20" t="str">
        <f aca="false">IF(A98="","",COUNTIF('Metric to Product'!$A:$A,A98))</f>
        <v/>
      </c>
      <c r="L98" s="20" t="str">
        <f aca="false">IF(A98="","",COUNTIF('Metric to Field'!$A:$A,A98))</f>
        <v/>
      </c>
      <c r="M98" s="32" t="str">
        <f aca="false">IF(B98="","",COUNTIF($B$5:$B$254,B98))</f>
        <v/>
      </c>
      <c r="N98" s="30"/>
      <c r="O98" s="30"/>
      <c r="P98" s="30"/>
      <c r="Q98" s="30"/>
      <c r="R98" s="30"/>
      <c r="S98" s="33" t="str">
        <f aca="false">IF(AND(A98&lt;&gt;"",M98&gt;1),COUNTIFS($A$5:A98,"&lt;&gt;",$M$5:M98,"&gt;1"),"")</f>
        <v/>
      </c>
    </row>
    <row r="99" customFormat="false" ht="15" hidden="false" customHeight="false" outlineLevel="0" collapsed="false">
      <c r="A99" s="29"/>
      <c r="B99" s="30"/>
      <c r="C99" s="30"/>
      <c r="D99" s="30"/>
      <c r="E99" s="30"/>
      <c r="F99" s="20" t="str">
        <f aca="false">IF(E99="","",IFERROR(INDEX(Populations!$B:$B,MATCH(E99,Populations!$A:$A,0)),"ID not found"))</f>
        <v/>
      </c>
      <c r="G99" s="30"/>
      <c r="H99" s="30"/>
      <c r="I99" s="30"/>
      <c r="J99" s="30"/>
      <c r="K99" s="20" t="str">
        <f aca="false">IF(A99="","",COUNTIF('Metric to Product'!$A:$A,A99))</f>
        <v/>
      </c>
      <c r="L99" s="20" t="str">
        <f aca="false">IF(A99="","",COUNTIF('Metric to Field'!$A:$A,A99))</f>
        <v/>
      </c>
      <c r="M99" s="32" t="str">
        <f aca="false">IF(B99="","",COUNTIF($B$5:$B$254,B99))</f>
        <v/>
      </c>
      <c r="N99" s="30"/>
      <c r="O99" s="30"/>
      <c r="P99" s="30"/>
      <c r="Q99" s="30"/>
      <c r="R99" s="30"/>
      <c r="S99" s="33" t="str">
        <f aca="false">IF(AND(A99&lt;&gt;"",M99&gt;1),COUNTIFS($A$5:A99,"&lt;&gt;",$M$5:M99,"&gt;1"),"")</f>
        <v/>
      </c>
    </row>
    <row r="100" customFormat="false" ht="15" hidden="false" customHeight="false" outlineLevel="0" collapsed="false">
      <c r="A100" s="29"/>
      <c r="B100" s="30"/>
      <c r="C100" s="30"/>
      <c r="D100" s="30"/>
      <c r="E100" s="30"/>
      <c r="F100" s="20" t="str">
        <f aca="false">IF(E100="","",IFERROR(INDEX(Populations!$B:$B,MATCH(E100,Populations!$A:$A,0)),"ID not found"))</f>
        <v/>
      </c>
      <c r="G100" s="30"/>
      <c r="H100" s="30"/>
      <c r="I100" s="30"/>
      <c r="J100" s="30"/>
      <c r="K100" s="20" t="str">
        <f aca="false">IF(A100="","",COUNTIF('Metric to Product'!$A:$A,A100))</f>
        <v/>
      </c>
      <c r="L100" s="20" t="str">
        <f aca="false">IF(A100="","",COUNTIF('Metric to Field'!$A:$A,A100))</f>
        <v/>
      </c>
      <c r="M100" s="32" t="str">
        <f aca="false">IF(B100="","",COUNTIF($B$5:$B$254,B100))</f>
        <v/>
      </c>
      <c r="N100" s="30"/>
      <c r="O100" s="30"/>
      <c r="P100" s="30"/>
      <c r="Q100" s="30"/>
      <c r="R100" s="30"/>
      <c r="S100" s="33" t="str">
        <f aca="false">IF(AND(A100&lt;&gt;"",M100&gt;1),COUNTIFS($A$5:A100,"&lt;&gt;",$M$5:M100,"&gt;1"),"")</f>
        <v/>
      </c>
    </row>
    <row r="101" customFormat="false" ht="15" hidden="false" customHeight="false" outlineLevel="0" collapsed="false">
      <c r="A101" s="29"/>
      <c r="B101" s="30"/>
      <c r="C101" s="30"/>
      <c r="D101" s="30"/>
      <c r="E101" s="30"/>
      <c r="F101" s="20" t="str">
        <f aca="false">IF(E101="","",IFERROR(INDEX(Populations!$B:$B,MATCH(E101,Populations!$A:$A,0)),"ID not found"))</f>
        <v/>
      </c>
      <c r="G101" s="30"/>
      <c r="H101" s="30"/>
      <c r="I101" s="30"/>
      <c r="J101" s="30"/>
      <c r="K101" s="20" t="str">
        <f aca="false">IF(A101="","",COUNTIF('Metric to Product'!$A:$A,A101))</f>
        <v/>
      </c>
      <c r="L101" s="20" t="str">
        <f aca="false">IF(A101="","",COUNTIF('Metric to Field'!$A:$A,A101))</f>
        <v/>
      </c>
      <c r="M101" s="32" t="str">
        <f aca="false">IF(B101="","",COUNTIF($B$5:$B$254,B101))</f>
        <v/>
      </c>
      <c r="N101" s="30"/>
      <c r="O101" s="30"/>
      <c r="P101" s="30"/>
      <c r="Q101" s="30"/>
      <c r="R101" s="30"/>
      <c r="S101" s="33" t="str">
        <f aca="false">IF(AND(A101&lt;&gt;"",M101&gt;1),COUNTIFS($A$5:A101,"&lt;&gt;",$M$5:M101,"&gt;1"),"")</f>
        <v/>
      </c>
    </row>
    <row r="102" customFormat="false" ht="15" hidden="false" customHeight="false" outlineLevel="0" collapsed="false">
      <c r="A102" s="29"/>
      <c r="B102" s="30"/>
      <c r="C102" s="30"/>
      <c r="D102" s="30"/>
      <c r="E102" s="30"/>
      <c r="F102" s="20" t="str">
        <f aca="false">IF(E102="","",IFERROR(INDEX(Populations!$B:$B,MATCH(E102,Populations!$A:$A,0)),"ID not found"))</f>
        <v/>
      </c>
      <c r="G102" s="30"/>
      <c r="H102" s="30"/>
      <c r="I102" s="30"/>
      <c r="J102" s="30"/>
      <c r="K102" s="20" t="str">
        <f aca="false">IF(A102="","",COUNTIF('Metric to Product'!$A:$A,A102))</f>
        <v/>
      </c>
      <c r="L102" s="20" t="str">
        <f aca="false">IF(A102="","",COUNTIF('Metric to Field'!$A:$A,A102))</f>
        <v/>
      </c>
      <c r="M102" s="32" t="str">
        <f aca="false">IF(B102="","",COUNTIF($B$5:$B$254,B102))</f>
        <v/>
      </c>
      <c r="N102" s="30"/>
      <c r="O102" s="30"/>
      <c r="P102" s="30"/>
      <c r="Q102" s="30"/>
      <c r="R102" s="30"/>
      <c r="S102" s="33" t="str">
        <f aca="false">IF(AND(A102&lt;&gt;"",M102&gt;1),COUNTIFS($A$5:A102,"&lt;&gt;",$M$5:M102,"&gt;1"),"")</f>
        <v/>
      </c>
    </row>
    <row r="103" customFormat="false" ht="15" hidden="false" customHeight="false" outlineLevel="0" collapsed="false">
      <c r="A103" s="29"/>
      <c r="B103" s="30"/>
      <c r="C103" s="30"/>
      <c r="D103" s="30"/>
      <c r="E103" s="30"/>
      <c r="F103" s="20" t="str">
        <f aca="false">IF(E103="","",IFERROR(INDEX(Populations!$B:$B,MATCH(E103,Populations!$A:$A,0)),"ID not found"))</f>
        <v/>
      </c>
      <c r="G103" s="30"/>
      <c r="H103" s="30"/>
      <c r="I103" s="30"/>
      <c r="J103" s="30"/>
      <c r="K103" s="20" t="str">
        <f aca="false">IF(A103="","",COUNTIF('Metric to Product'!$A:$A,A103))</f>
        <v/>
      </c>
      <c r="L103" s="20" t="str">
        <f aca="false">IF(A103="","",COUNTIF('Metric to Field'!$A:$A,A103))</f>
        <v/>
      </c>
      <c r="M103" s="32" t="str">
        <f aca="false">IF(B103="","",COUNTIF($B$5:$B$254,B103))</f>
        <v/>
      </c>
      <c r="N103" s="30"/>
      <c r="O103" s="30"/>
      <c r="P103" s="30"/>
      <c r="Q103" s="30"/>
      <c r="R103" s="30"/>
      <c r="S103" s="33" t="str">
        <f aca="false">IF(AND(A103&lt;&gt;"",M103&gt;1),COUNTIFS($A$5:A103,"&lt;&gt;",$M$5:M103,"&gt;1"),"")</f>
        <v/>
      </c>
    </row>
    <row r="104" customFormat="false" ht="15" hidden="false" customHeight="false" outlineLevel="0" collapsed="false">
      <c r="A104" s="29"/>
      <c r="B104" s="30"/>
      <c r="C104" s="30"/>
      <c r="D104" s="30"/>
      <c r="E104" s="30"/>
      <c r="F104" s="20" t="str">
        <f aca="false">IF(E104="","",IFERROR(INDEX(Populations!$B:$B,MATCH(E104,Populations!$A:$A,0)),"ID not found"))</f>
        <v/>
      </c>
      <c r="G104" s="30"/>
      <c r="H104" s="30"/>
      <c r="I104" s="30"/>
      <c r="J104" s="30"/>
      <c r="K104" s="20" t="str">
        <f aca="false">IF(A104="","",COUNTIF('Metric to Product'!$A:$A,A104))</f>
        <v/>
      </c>
      <c r="L104" s="20" t="str">
        <f aca="false">IF(A104="","",COUNTIF('Metric to Field'!$A:$A,A104))</f>
        <v/>
      </c>
      <c r="M104" s="32" t="str">
        <f aca="false">IF(B104="","",COUNTIF($B$5:$B$254,B104))</f>
        <v/>
      </c>
      <c r="N104" s="30"/>
      <c r="O104" s="30"/>
      <c r="P104" s="30"/>
      <c r="Q104" s="30"/>
      <c r="R104" s="30"/>
      <c r="S104" s="33" t="str">
        <f aca="false">IF(AND(A104&lt;&gt;"",M104&gt;1),COUNTIFS($A$5:A104,"&lt;&gt;",$M$5:M104,"&gt;1"),"")</f>
        <v/>
      </c>
    </row>
    <row r="105" customFormat="false" ht="15" hidden="false" customHeight="false" outlineLevel="0" collapsed="false">
      <c r="A105" s="29"/>
      <c r="B105" s="30"/>
      <c r="C105" s="30"/>
      <c r="D105" s="30"/>
      <c r="E105" s="30"/>
      <c r="F105" s="20" t="str">
        <f aca="false">IF(E105="","",IFERROR(INDEX(Populations!$B:$B,MATCH(E105,Populations!$A:$A,0)),"ID not found"))</f>
        <v/>
      </c>
      <c r="G105" s="30"/>
      <c r="H105" s="30"/>
      <c r="I105" s="30"/>
      <c r="J105" s="30"/>
      <c r="K105" s="20" t="str">
        <f aca="false">IF(A105="","",COUNTIF('Metric to Product'!$A:$A,A105))</f>
        <v/>
      </c>
      <c r="L105" s="20" t="str">
        <f aca="false">IF(A105="","",COUNTIF('Metric to Field'!$A:$A,A105))</f>
        <v/>
      </c>
      <c r="M105" s="32" t="str">
        <f aca="false">IF(B105="","",COUNTIF($B$5:$B$254,B105))</f>
        <v/>
      </c>
      <c r="N105" s="30"/>
      <c r="O105" s="30"/>
      <c r="P105" s="30"/>
      <c r="Q105" s="30"/>
      <c r="R105" s="30"/>
      <c r="S105" s="33" t="str">
        <f aca="false">IF(AND(A105&lt;&gt;"",M105&gt;1),COUNTIFS($A$5:A105,"&lt;&gt;",$M$5:M105,"&gt;1"),"")</f>
        <v/>
      </c>
    </row>
    <row r="106" customFormat="false" ht="15" hidden="false" customHeight="false" outlineLevel="0" collapsed="false">
      <c r="A106" s="29"/>
      <c r="B106" s="30"/>
      <c r="C106" s="30"/>
      <c r="D106" s="30"/>
      <c r="E106" s="30"/>
      <c r="F106" s="20" t="str">
        <f aca="false">IF(E106="","",IFERROR(INDEX(Populations!$B:$B,MATCH(E106,Populations!$A:$A,0)),"ID not found"))</f>
        <v/>
      </c>
      <c r="G106" s="30"/>
      <c r="H106" s="30"/>
      <c r="I106" s="30"/>
      <c r="J106" s="30"/>
      <c r="K106" s="20" t="str">
        <f aca="false">IF(A106="","",COUNTIF('Metric to Product'!$A:$A,A106))</f>
        <v/>
      </c>
      <c r="L106" s="20" t="str">
        <f aca="false">IF(A106="","",COUNTIF('Metric to Field'!$A:$A,A106))</f>
        <v/>
      </c>
      <c r="M106" s="32" t="str">
        <f aca="false">IF(B106="","",COUNTIF($B$5:$B$254,B106))</f>
        <v/>
      </c>
      <c r="N106" s="30"/>
      <c r="O106" s="30"/>
      <c r="P106" s="30"/>
      <c r="Q106" s="30"/>
      <c r="R106" s="30"/>
      <c r="S106" s="33" t="str">
        <f aca="false">IF(AND(A106&lt;&gt;"",M106&gt;1),COUNTIFS($A$5:A106,"&lt;&gt;",$M$5:M106,"&gt;1"),"")</f>
        <v/>
      </c>
    </row>
    <row r="107" customFormat="false" ht="15" hidden="false" customHeight="false" outlineLevel="0" collapsed="false">
      <c r="A107" s="29"/>
      <c r="B107" s="30"/>
      <c r="C107" s="30"/>
      <c r="D107" s="30"/>
      <c r="E107" s="30"/>
      <c r="F107" s="20" t="str">
        <f aca="false">IF(E107="","",IFERROR(INDEX(Populations!$B:$B,MATCH(E107,Populations!$A:$A,0)),"ID not found"))</f>
        <v/>
      </c>
      <c r="G107" s="30"/>
      <c r="H107" s="30"/>
      <c r="I107" s="30"/>
      <c r="J107" s="30"/>
      <c r="K107" s="20" t="str">
        <f aca="false">IF(A107="","",COUNTIF('Metric to Product'!$A:$A,A107))</f>
        <v/>
      </c>
      <c r="L107" s="20" t="str">
        <f aca="false">IF(A107="","",COUNTIF('Metric to Field'!$A:$A,A107))</f>
        <v/>
      </c>
      <c r="M107" s="32" t="str">
        <f aca="false">IF(B107="","",COUNTIF($B$5:$B$254,B107))</f>
        <v/>
      </c>
      <c r="N107" s="30"/>
      <c r="O107" s="30"/>
      <c r="P107" s="30"/>
      <c r="Q107" s="30"/>
      <c r="R107" s="30"/>
      <c r="S107" s="33" t="str">
        <f aca="false">IF(AND(A107&lt;&gt;"",M107&gt;1),COUNTIFS($A$5:A107,"&lt;&gt;",$M$5:M107,"&gt;1"),"")</f>
        <v/>
      </c>
    </row>
    <row r="108" customFormat="false" ht="15" hidden="false" customHeight="false" outlineLevel="0" collapsed="false">
      <c r="A108" s="29"/>
      <c r="B108" s="30"/>
      <c r="C108" s="30"/>
      <c r="D108" s="30"/>
      <c r="E108" s="30"/>
      <c r="F108" s="20" t="str">
        <f aca="false">IF(E108="","",IFERROR(INDEX(Populations!$B:$B,MATCH(E108,Populations!$A:$A,0)),"ID not found"))</f>
        <v/>
      </c>
      <c r="G108" s="30"/>
      <c r="H108" s="30"/>
      <c r="I108" s="30"/>
      <c r="J108" s="30"/>
      <c r="K108" s="20" t="str">
        <f aca="false">IF(A108="","",COUNTIF('Metric to Product'!$A:$A,A108))</f>
        <v/>
      </c>
      <c r="L108" s="20" t="str">
        <f aca="false">IF(A108="","",COUNTIF('Metric to Field'!$A:$A,A108))</f>
        <v/>
      </c>
      <c r="M108" s="32" t="str">
        <f aca="false">IF(B108="","",COUNTIF($B$5:$B$254,B108))</f>
        <v/>
      </c>
      <c r="N108" s="30"/>
      <c r="O108" s="30"/>
      <c r="P108" s="30"/>
      <c r="Q108" s="30"/>
      <c r="R108" s="30"/>
      <c r="S108" s="33" t="str">
        <f aca="false">IF(AND(A108&lt;&gt;"",M108&gt;1),COUNTIFS($A$5:A108,"&lt;&gt;",$M$5:M108,"&gt;1"),"")</f>
        <v/>
      </c>
    </row>
    <row r="109" customFormat="false" ht="15" hidden="false" customHeight="false" outlineLevel="0" collapsed="false">
      <c r="A109" s="29"/>
      <c r="B109" s="30"/>
      <c r="C109" s="30"/>
      <c r="D109" s="30"/>
      <c r="E109" s="30"/>
      <c r="F109" s="20" t="str">
        <f aca="false">IF(E109="","",IFERROR(INDEX(Populations!$B:$B,MATCH(E109,Populations!$A:$A,0)),"ID not found"))</f>
        <v/>
      </c>
      <c r="G109" s="30"/>
      <c r="H109" s="30"/>
      <c r="I109" s="30"/>
      <c r="J109" s="30"/>
      <c r="K109" s="20" t="str">
        <f aca="false">IF(A109="","",COUNTIF('Metric to Product'!$A:$A,A109))</f>
        <v/>
      </c>
      <c r="L109" s="20" t="str">
        <f aca="false">IF(A109="","",COUNTIF('Metric to Field'!$A:$A,A109))</f>
        <v/>
      </c>
      <c r="M109" s="32" t="str">
        <f aca="false">IF(B109="","",COUNTIF($B$5:$B$254,B109))</f>
        <v/>
      </c>
      <c r="N109" s="30"/>
      <c r="O109" s="30"/>
      <c r="P109" s="30"/>
      <c r="Q109" s="30"/>
      <c r="R109" s="30"/>
      <c r="S109" s="33" t="str">
        <f aca="false">IF(AND(A109&lt;&gt;"",M109&gt;1),COUNTIFS($A$5:A109,"&lt;&gt;",$M$5:M109,"&gt;1"),"")</f>
        <v/>
      </c>
    </row>
    <row r="110" customFormat="false" ht="15" hidden="false" customHeight="false" outlineLevel="0" collapsed="false">
      <c r="A110" s="29"/>
      <c r="B110" s="30"/>
      <c r="C110" s="30"/>
      <c r="D110" s="30"/>
      <c r="E110" s="30"/>
      <c r="F110" s="20" t="str">
        <f aca="false">IF(E110="","",IFERROR(INDEX(Populations!$B:$B,MATCH(E110,Populations!$A:$A,0)),"ID not found"))</f>
        <v/>
      </c>
      <c r="G110" s="30"/>
      <c r="H110" s="30"/>
      <c r="I110" s="30"/>
      <c r="J110" s="30"/>
      <c r="K110" s="20" t="str">
        <f aca="false">IF(A110="","",COUNTIF('Metric to Product'!$A:$A,A110))</f>
        <v/>
      </c>
      <c r="L110" s="20" t="str">
        <f aca="false">IF(A110="","",COUNTIF('Metric to Field'!$A:$A,A110))</f>
        <v/>
      </c>
      <c r="M110" s="32" t="str">
        <f aca="false">IF(B110="","",COUNTIF($B$5:$B$254,B110))</f>
        <v/>
      </c>
      <c r="N110" s="30"/>
      <c r="O110" s="30"/>
      <c r="P110" s="30"/>
      <c r="Q110" s="30"/>
      <c r="R110" s="30"/>
      <c r="S110" s="33" t="str">
        <f aca="false">IF(AND(A110&lt;&gt;"",M110&gt;1),COUNTIFS($A$5:A110,"&lt;&gt;",$M$5:M110,"&gt;1"),"")</f>
        <v/>
      </c>
    </row>
    <row r="111" customFormat="false" ht="15" hidden="false" customHeight="false" outlineLevel="0" collapsed="false">
      <c r="A111" s="29"/>
      <c r="B111" s="30"/>
      <c r="C111" s="30"/>
      <c r="D111" s="30"/>
      <c r="E111" s="30"/>
      <c r="F111" s="20" t="str">
        <f aca="false">IF(E111="","",IFERROR(INDEX(Populations!$B:$B,MATCH(E111,Populations!$A:$A,0)),"ID not found"))</f>
        <v/>
      </c>
      <c r="G111" s="30"/>
      <c r="H111" s="30"/>
      <c r="I111" s="30"/>
      <c r="J111" s="30"/>
      <c r="K111" s="20" t="str">
        <f aca="false">IF(A111="","",COUNTIF('Metric to Product'!$A:$A,A111))</f>
        <v/>
      </c>
      <c r="L111" s="20" t="str">
        <f aca="false">IF(A111="","",COUNTIF('Metric to Field'!$A:$A,A111))</f>
        <v/>
      </c>
      <c r="M111" s="32" t="str">
        <f aca="false">IF(B111="","",COUNTIF($B$5:$B$254,B111))</f>
        <v/>
      </c>
      <c r="N111" s="30"/>
      <c r="O111" s="30"/>
      <c r="P111" s="30"/>
      <c r="Q111" s="30"/>
      <c r="R111" s="30"/>
      <c r="S111" s="33" t="str">
        <f aca="false">IF(AND(A111&lt;&gt;"",M111&gt;1),COUNTIFS($A$5:A111,"&lt;&gt;",$M$5:M111,"&gt;1"),"")</f>
        <v/>
      </c>
    </row>
    <row r="112" customFormat="false" ht="15" hidden="false" customHeight="false" outlineLevel="0" collapsed="false">
      <c r="A112" s="29"/>
      <c r="B112" s="30"/>
      <c r="C112" s="30"/>
      <c r="D112" s="30"/>
      <c r="E112" s="30"/>
      <c r="F112" s="20" t="str">
        <f aca="false">IF(E112="","",IFERROR(INDEX(Populations!$B:$B,MATCH(E112,Populations!$A:$A,0)),"ID not found"))</f>
        <v/>
      </c>
      <c r="G112" s="30"/>
      <c r="H112" s="30"/>
      <c r="I112" s="30"/>
      <c r="J112" s="30"/>
      <c r="K112" s="20" t="str">
        <f aca="false">IF(A112="","",COUNTIF('Metric to Product'!$A:$A,A112))</f>
        <v/>
      </c>
      <c r="L112" s="20" t="str">
        <f aca="false">IF(A112="","",COUNTIF('Metric to Field'!$A:$A,A112))</f>
        <v/>
      </c>
      <c r="M112" s="32" t="str">
        <f aca="false">IF(B112="","",COUNTIF($B$5:$B$254,B112))</f>
        <v/>
      </c>
      <c r="N112" s="30"/>
      <c r="O112" s="30"/>
      <c r="P112" s="30"/>
      <c r="Q112" s="30"/>
      <c r="R112" s="30"/>
      <c r="S112" s="33" t="str">
        <f aca="false">IF(AND(A112&lt;&gt;"",M112&gt;1),COUNTIFS($A$5:A112,"&lt;&gt;",$M$5:M112,"&gt;1"),"")</f>
        <v/>
      </c>
    </row>
    <row r="113" customFormat="false" ht="15" hidden="false" customHeight="false" outlineLevel="0" collapsed="false">
      <c r="A113" s="29"/>
      <c r="B113" s="30"/>
      <c r="C113" s="30"/>
      <c r="D113" s="30"/>
      <c r="E113" s="30"/>
      <c r="F113" s="20" t="str">
        <f aca="false">IF(E113="","",IFERROR(INDEX(Populations!$B:$B,MATCH(E113,Populations!$A:$A,0)),"ID not found"))</f>
        <v/>
      </c>
      <c r="G113" s="30"/>
      <c r="H113" s="30"/>
      <c r="I113" s="30"/>
      <c r="J113" s="30"/>
      <c r="K113" s="20" t="str">
        <f aca="false">IF(A113="","",COUNTIF('Metric to Product'!$A:$A,A113))</f>
        <v/>
      </c>
      <c r="L113" s="20" t="str">
        <f aca="false">IF(A113="","",COUNTIF('Metric to Field'!$A:$A,A113))</f>
        <v/>
      </c>
      <c r="M113" s="32" t="str">
        <f aca="false">IF(B113="","",COUNTIF($B$5:$B$254,B113))</f>
        <v/>
      </c>
      <c r="N113" s="30"/>
      <c r="O113" s="30"/>
      <c r="P113" s="30"/>
      <c r="Q113" s="30"/>
      <c r="R113" s="30"/>
      <c r="S113" s="33" t="str">
        <f aca="false">IF(AND(A113&lt;&gt;"",M113&gt;1),COUNTIFS($A$5:A113,"&lt;&gt;",$M$5:M113,"&gt;1"),"")</f>
        <v/>
      </c>
    </row>
    <row r="114" customFormat="false" ht="15" hidden="false" customHeight="false" outlineLevel="0" collapsed="false">
      <c r="A114" s="29"/>
      <c r="B114" s="30"/>
      <c r="C114" s="30"/>
      <c r="D114" s="30"/>
      <c r="E114" s="30"/>
      <c r="F114" s="20" t="str">
        <f aca="false">IF(E114="","",IFERROR(INDEX(Populations!$B:$B,MATCH(E114,Populations!$A:$A,0)),"ID not found"))</f>
        <v/>
      </c>
      <c r="G114" s="30"/>
      <c r="H114" s="30"/>
      <c r="I114" s="30"/>
      <c r="J114" s="30"/>
      <c r="K114" s="20" t="str">
        <f aca="false">IF(A114="","",COUNTIF('Metric to Product'!$A:$A,A114))</f>
        <v/>
      </c>
      <c r="L114" s="20" t="str">
        <f aca="false">IF(A114="","",COUNTIF('Metric to Field'!$A:$A,A114))</f>
        <v/>
      </c>
      <c r="M114" s="32" t="str">
        <f aca="false">IF(B114="","",COUNTIF($B$5:$B$254,B114))</f>
        <v/>
      </c>
      <c r="N114" s="30"/>
      <c r="O114" s="30"/>
      <c r="P114" s="30"/>
      <c r="Q114" s="30"/>
      <c r="R114" s="30"/>
      <c r="S114" s="33" t="str">
        <f aca="false">IF(AND(A114&lt;&gt;"",M114&gt;1),COUNTIFS($A$5:A114,"&lt;&gt;",$M$5:M114,"&gt;1"),"")</f>
        <v/>
      </c>
    </row>
    <row r="115" customFormat="false" ht="15" hidden="false" customHeight="false" outlineLevel="0" collapsed="false">
      <c r="A115" s="29"/>
      <c r="B115" s="30"/>
      <c r="C115" s="30"/>
      <c r="D115" s="30"/>
      <c r="E115" s="30"/>
      <c r="F115" s="20" t="str">
        <f aca="false">IF(E115="","",IFERROR(INDEX(Populations!$B:$B,MATCH(E115,Populations!$A:$A,0)),"ID not found"))</f>
        <v/>
      </c>
      <c r="G115" s="30"/>
      <c r="H115" s="30"/>
      <c r="I115" s="30"/>
      <c r="J115" s="30"/>
      <c r="K115" s="20" t="str">
        <f aca="false">IF(A115="","",COUNTIF('Metric to Product'!$A:$A,A115))</f>
        <v/>
      </c>
      <c r="L115" s="20" t="str">
        <f aca="false">IF(A115="","",COUNTIF('Metric to Field'!$A:$A,A115))</f>
        <v/>
      </c>
      <c r="M115" s="32" t="str">
        <f aca="false">IF(B115="","",COUNTIF($B$5:$B$254,B115))</f>
        <v/>
      </c>
      <c r="N115" s="30"/>
      <c r="O115" s="30"/>
      <c r="P115" s="30"/>
      <c r="Q115" s="30"/>
      <c r="R115" s="30"/>
      <c r="S115" s="33" t="str">
        <f aca="false">IF(AND(A115&lt;&gt;"",M115&gt;1),COUNTIFS($A$5:A115,"&lt;&gt;",$M$5:M115,"&gt;1"),"")</f>
        <v/>
      </c>
    </row>
    <row r="116" customFormat="false" ht="15" hidden="false" customHeight="false" outlineLevel="0" collapsed="false">
      <c r="A116" s="29"/>
      <c r="B116" s="30"/>
      <c r="C116" s="30"/>
      <c r="D116" s="30"/>
      <c r="E116" s="30"/>
      <c r="F116" s="20" t="str">
        <f aca="false">IF(E116="","",IFERROR(INDEX(Populations!$B:$B,MATCH(E116,Populations!$A:$A,0)),"ID not found"))</f>
        <v/>
      </c>
      <c r="G116" s="30"/>
      <c r="H116" s="30"/>
      <c r="I116" s="30"/>
      <c r="J116" s="30"/>
      <c r="K116" s="20" t="str">
        <f aca="false">IF(A116="","",COUNTIF('Metric to Product'!$A:$A,A116))</f>
        <v/>
      </c>
      <c r="L116" s="20" t="str">
        <f aca="false">IF(A116="","",COUNTIF('Metric to Field'!$A:$A,A116))</f>
        <v/>
      </c>
      <c r="M116" s="32" t="str">
        <f aca="false">IF(B116="","",COUNTIF($B$5:$B$254,B116))</f>
        <v/>
      </c>
      <c r="N116" s="30"/>
      <c r="O116" s="30"/>
      <c r="P116" s="30"/>
      <c r="Q116" s="30"/>
      <c r="R116" s="30"/>
      <c r="S116" s="33" t="str">
        <f aca="false">IF(AND(A116&lt;&gt;"",M116&gt;1),COUNTIFS($A$5:A116,"&lt;&gt;",$M$5:M116,"&gt;1"),"")</f>
        <v/>
      </c>
    </row>
    <row r="117" customFormat="false" ht="15" hidden="false" customHeight="false" outlineLevel="0" collapsed="false">
      <c r="A117" s="29"/>
      <c r="B117" s="30"/>
      <c r="C117" s="30"/>
      <c r="D117" s="30"/>
      <c r="E117" s="30"/>
      <c r="F117" s="20" t="str">
        <f aca="false">IF(E117="","",IFERROR(INDEX(Populations!$B:$B,MATCH(E117,Populations!$A:$A,0)),"ID not found"))</f>
        <v/>
      </c>
      <c r="G117" s="30"/>
      <c r="H117" s="30"/>
      <c r="I117" s="30"/>
      <c r="J117" s="30"/>
      <c r="K117" s="20" t="str">
        <f aca="false">IF(A117="","",COUNTIF('Metric to Product'!$A:$A,A117))</f>
        <v/>
      </c>
      <c r="L117" s="20" t="str">
        <f aca="false">IF(A117="","",COUNTIF('Metric to Field'!$A:$A,A117))</f>
        <v/>
      </c>
      <c r="M117" s="32" t="str">
        <f aca="false">IF(B117="","",COUNTIF($B$5:$B$254,B117))</f>
        <v/>
      </c>
      <c r="N117" s="30"/>
      <c r="O117" s="30"/>
      <c r="P117" s="30"/>
      <c r="Q117" s="30"/>
      <c r="R117" s="30"/>
      <c r="S117" s="33" t="str">
        <f aca="false">IF(AND(A117&lt;&gt;"",M117&gt;1),COUNTIFS($A$5:A117,"&lt;&gt;",$M$5:M117,"&gt;1"),"")</f>
        <v/>
      </c>
    </row>
    <row r="118" customFormat="false" ht="15" hidden="false" customHeight="false" outlineLevel="0" collapsed="false">
      <c r="A118" s="29"/>
      <c r="B118" s="30"/>
      <c r="C118" s="30"/>
      <c r="D118" s="30"/>
      <c r="E118" s="30"/>
      <c r="F118" s="20" t="str">
        <f aca="false">IF(E118="","",IFERROR(INDEX(Populations!$B:$B,MATCH(E118,Populations!$A:$A,0)),"ID not found"))</f>
        <v/>
      </c>
      <c r="G118" s="30"/>
      <c r="H118" s="30"/>
      <c r="I118" s="30"/>
      <c r="J118" s="30"/>
      <c r="K118" s="20" t="str">
        <f aca="false">IF(A118="","",COUNTIF('Metric to Product'!$A:$A,A118))</f>
        <v/>
      </c>
      <c r="L118" s="20" t="str">
        <f aca="false">IF(A118="","",COUNTIF('Metric to Field'!$A:$A,A118))</f>
        <v/>
      </c>
      <c r="M118" s="32" t="str">
        <f aca="false">IF(B118="","",COUNTIF($B$5:$B$254,B118))</f>
        <v/>
      </c>
      <c r="N118" s="30"/>
      <c r="O118" s="30"/>
      <c r="P118" s="30"/>
      <c r="Q118" s="30"/>
      <c r="R118" s="30"/>
      <c r="S118" s="33" t="str">
        <f aca="false">IF(AND(A118&lt;&gt;"",M118&gt;1),COUNTIFS($A$5:A118,"&lt;&gt;",$M$5:M118,"&gt;1"),"")</f>
        <v/>
      </c>
    </row>
    <row r="119" customFormat="false" ht="15" hidden="false" customHeight="false" outlineLevel="0" collapsed="false">
      <c r="A119" s="29"/>
      <c r="B119" s="30"/>
      <c r="C119" s="30"/>
      <c r="D119" s="30"/>
      <c r="E119" s="30"/>
      <c r="F119" s="20" t="str">
        <f aca="false">IF(E119="","",IFERROR(INDEX(Populations!$B:$B,MATCH(E119,Populations!$A:$A,0)),"ID not found"))</f>
        <v/>
      </c>
      <c r="G119" s="30"/>
      <c r="H119" s="30"/>
      <c r="I119" s="30"/>
      <c r="J119" s="30"/>
      <c r="K119" s="20" t="str">
        <f aca="false">IF(A119="","",COUNTIF('Metric to Product'!$A:$A,A119))</f>
        <v/>
      </c>
      <c r="L119" s="20" t="str">
        <f aca="false">IF(A119="","",COUNTIF('Metric to Field'!$A:$A,A119))</f>
        <v/>
      </c>
      <c r="M119" s="32" t="str">
        <f aca="false">IF(B119="","",COUNTIF($B$5:$B$254,B119))</f>
        <v/>
      </c>
      <c r="N119" s="30"/>
      <c r="O119" s="30"/>
      <c r="P119" s="30"/>
      <c r="Q119" s="30"/>
      <c r="R119" s="30"/>
      <c r="S119" s="33" t="str">
        <f aca="false">IF(AND(A119&lt;&gt;"",M119&gt;1),COUNTIFS($A$5:A119,"&lt;&gt;",$M$5:M119,"&gt;1"),"")</f>
        <v/>
      </c>
    </row>
    <row r="120" customFormat="false" ht="15" hidden="false" customHeight="false" outlineLevel="0" collapsed="false">
      <c r="A120" s="29"/>
      <c r="B120" s="30"/>
      <c r="C120" s="30"/>
      <c r="D120" s="30"/>
      <c r="E120" s="30"/>
      <c r="F120" s="20" t="str">
        <f aca="false">IF(E120="","",IFERROR(INDEX(Populations!$B:$B,MATCH(E120,Populations!$A:$A,0)),"ID not found"))</f>
        <v/>
      </c>
      <c r="G120" s="30"/>
      <c r="H120" s="30"/>
      <c r="I120" s="30"/>
      <c r="J120" s="30"/>
      <c r="K120" s="20" t="str">
        <f aca="false">IF(A120="","",COUNTIF('Metric to Product'!$A:$A,A120))</f>
        <v/>
      </c>
      <c r="L120" s="20" t="str">
        <f aca="false">IF(A120="","",COUNTIF('Metric to Field'!$A:$A,A120))</f>
        <v/>
      </c>
      <c r="M120" s="32" t="str">
        <f aca="false">IF(B120="","",COUNTIF($B$5:$B$254,B120))</f>
        <v/>
      </c>
      <c r="N120" s="30"/>
      <c r="O120" s="30"/>
      <c r="P120" s="30"/>
      <c r="Q120" s="30"/>
      <c r="R120" s="30"/>
      <c r="S120" s="33" t="str">
        <f aca="false">IF(AND(A120&lt;&gt;"",M120&gt;1),COUNTIFS($A$5:A120,"&lt;&gt;",$M$5:M120,"&gt;1"),"")</f>
        <v/>
      </c>
    </row>
    <row r="121" customFormat="false" ht="15" hidden="false" customHeight="false" outlineLevel="0" collapsed="false">
      <c r="A121" s="29"/>
      <c r="B121" s="30"/>
      <c r="C121" s="30"/>
      <c r="D121" s="30"/>
      <c r="E121" s="30"/>
      <c r="F121" s="20" t="str">
        <f aca="false">IF(E121="","",IFERROR(INDEX(Populations!$B:$B,MATCH(E121,Populations!$A:$A,0)),"ID not found"))</f>
        <v/>
      </c>
      <c r="G121" s="30"/>
      <c r="H121" s="30"/>
      <c r="I121" s="30"/>
      <c r="J121" s="30"/>
      <c r="K121" s="20" t="str">
        <f aca="false">IF(A121="","",COUNTIF('Metric to Product'!$A:$A,A121))</f>
        <v/>
      </c>
      <c r="L121" s="20" t="str">
        <f aca="false">IF(A121="","",COUNTIF('Metric to Field'!$A:$A,A121))</f>
        <v/>
      </c>
      <c r="M121" s="32" t="str">
        <f aca="false">IF(B121="","",COUNTIF($B$5:$B$254,B121))</f>
        <v/>
      </c>
      <c r="N121" s="30"/>
      <c r="O121" s="30"/>
      <c r="P121" s="30"/>
      <c r="Q121" s="30"/>
      <c r="R121" s="30"/>
      <c r="S121" s="33" t="str">
        <f aca="false">IF(AND(A121&lt;&gt;"",M121&gt;1),COUNTIFS($A$5:A121,"&lt;&gt;",$M$5:M121,"&gt;1"),"")</f>
        <v/>
      </c>
    </row>
    <row r="122" customFormat="false" ht="15" hidden="false" customHeight="false" outlineLevel="0" collapsed="false">
      <c r="A122" s="29"/>
      <c r="B122" s="30"/>
      <c r="C122" s="30"/>
      <c r="D122" s="30"/>
      <c r="E122" s="30"/>
      <c r="F122" s="20" t="str">
        <f aca="false">IF(E122="","",IFERROR(INDEX(Populations!$B:$B,MATCH(E122,Populations!$A:$A,0)),"ID not found"))</f>
        <v/>
      </c>
      <c r="G122" s="30"/>
      <c r="H122" s="30"/>
      <c r="I122" s="30"/>
      <c r="J122" s="30"/>
      <c r="K122" s="20" t="str">
        <f aca="false">IF(A122="","",COUNTIF('Metric to Product'!$A:$A,A122))</f>
        <v/>
      </c>
      <c r="L122" s="20" t="str">
        <f aca="false">IF(A122="","",COUNTIF('Metric to Field'!$A:$A,A122))</f>
        <v/>
      </c>
      <c r="M122" s="32" t="str">
        <f aca="false">IF(B122="","",COUNTIF($B$5:$B$254,B122))</f>
        <v/>
      </c>
      <c r="N122" s="30"/>
      <c r="O122" s="30"/>
      <c r="P122" s="30"/>
      <c r="Q122" s="30"/>
      <c r="R122" s="30"/>
      <c r="S122" s="33" t="str">
        <f aca="false">IF(AND(A122&lt;&gt;"",M122&gt;1),COUNTIFS($A$5:A122,"&lt;&gt;",$M$5:M122,"&gt;1"),"")</f>
        <v/>
      </c>
    </row>
    <row r="123" customFormat="false" ht="15" hidden="false" customHeight="false" outlineLevel="0" collapsed="false">
      <c r="A123" s="29"/>
      <c r="B123" s="30"/>
      <c r="C123" s="30"/>
      <c r="D123" s="30"/>
      <c r="E123" s="30"/>
      <c r="F123" s="20" t="str">
        <f aca="false">IF(E123="","",IFERROR(INDEX(Populations!$B:$B,MATCH(E123,Populations!$A:$A,0)),"ID not found"))</f>
        <v/>
      </c>
      <c r="G123" s="30"/>
      <c r="H123" s="30"/>
      <c r="I123" s="30"/>
      <c r="J123" s="30"/>
      <c r="K123" s="20" t="str">
        <f aca="false">IF(A123="","",COUNTIF('Metric to Product'!$A:$A,A123))</f>
        <v/>
      </c>
      <c r="L123" s="20" t="str">
        <f aca="false">IF(A123="","",COUNTIF('Metric to Field'!$A:$A,A123))</f>
        <v/>
      </c>
      <c r="M123" s="32" t="str">
        <f aca="false">IF(B123="","",COUNTIF($B$5:$B$254,B123))</f>
        <v/>
      </c>
      <c r="N123" s="30"/>
      <c r="O123" s="30"/>
      <c r="P123" s="30"/>
      <c r="Q123" s="30"/>
      <c r="R123" s="30"/>
      <c r="S123" s="33" t="str">
        <f aca="false">IF(AND(A123&lt;&gt;"",M123&gt;1),COUNTIFS($A$5:A123,"&lt;&gt;",$M$5:M123,"&gt;1"),"")</f>
        <v/>
      </c>
    </row>
    <row r="124" customFormat="false" ht="15" hidden="false" customHeight="false" outlineLevel="0" collapsed="false">
      <c r="A124" s="29"/>
      <c r="B124" s="30"/>
      <c r="C124" s="30"/>
      <c r="D124" s="30"/>
      <c r="E124" s="30"/>
      <c r="F124" s="20" t="str">
        <f aca="false">IF(E124="","",IFERROR(INDEX(Populations!$B:$B,MATCH(E124,Populations!$A:$A,0)),"ID not found"))</f>
        <v/>
      </c>
      <c r="G124" s="30"/>
      <c r="H124" s="30"/>
      <c r="I124" s="30"/>
      <c r="J124" s="30"/>
      <c r="K124" s="20" t="str">
        <f aca="false">IF(A124="","",COUNTIF('Metric to Product'!$A:$A,A124))</f>
        <v/>
      </c>
      <c r="L124" s="20" t="str">
        <f aca="false">IF(A124="","",COUNTIF('Metric to Field'!$A:$A,A124))</f>
        <v/>
      </c>
      <c r="M124" s="32" t="str">
        <f aca="false">IF(B124="","",COUNTIF($B$5:$B$254,B124))</f>
        <v/>
      </c>
      <c r="N124" s="30"/>
      <c r="O124" s="30"/>
      <c r="P124" s="30"/>
      <c r="Q124" s="30"/>
      <c r="R124" s="30"/>
      <c r="S124" s="33" t="str">
        <f aca="false">IF(AND(A124&lt;&gt;"",M124&gt;1),COUNTIFS($A$5:A124,"&lt;&gt;",$M$5:M124,"&gt;1"),"")</f>
        <v/>
      </c>
    </row>
    <row r="125" customFormat="false" ht="15" hidden="false" customHeight="false" outlineLevel="0" collapsed="false">
      <c r="A125" s="29"/>
      <c r="B125" s="30"/>
      <c r="C125" s="30"/>
      <c r="D125" s="30"/>
      <c r="E125" s="30"/>
      <c r="F125" s="20" t="str">
        <f aca="false">IF(E125="","",IFERROR(INDEX(Populations!$B:$B,MATCH(E125,Populations!$A:$A,0)),"ID not found"))</f>
        <v/>
      </c>
      <c r="G125" s="30"/>
      <c r="H125" s="30"/>
      <c r="I125" s="30"/>
      <c r="J125" s="30"/>
      <c r="K125" s="20" t="str">
        <f aca="false">IF(A125="","",COUNTIF('Metric to Product'!$A:$A,A125))</f>
        <v/>
      </c>
      <c r="L125" s="20" t="str">
        <f aca="false">IF(A125="","",COUNTIF('Metric to Field'!$A:$A,A125))</f>
        <v/>
      </c>
      <c r="M125" s="32" t="str">
        <f aca="false">IF(B125="","",COUNTIF($B$5:$B$254,B125))</f>
        <v/>
      </c>
      <c r="N125" s="30"/>
      <c r="O125" s="30"/>
      <c r="P125" s="30"/>
      <c r="Q125" s="30"/>
      <c r="R125" s="30"/>
      <c r="S125" s="33" t="str">
        <f aca="false">IF(AND(A125&lt;&gt;"",M125&gt;1),COUNTIFS($A$5:A125,"&lt;&gt;",$M$5:M125,"&gt;1"),"")</f>
        <v/>
      </c>
    </row>
    <row r="126" customFormat="false" ht="15" hidden="false" customHeight="false" outlineLevel="0" collapsed="false">
      <c r="A126" s="29"/>
      <c r="B126" s="30"/>
      <c r="C126" s="30"/>
      <c r="D126" s="30"/>
      <c r="E126" s="30"/>
      <c r="F126" s="20" t="str">
        <f aca="false">IF(E126="","",IFERROR(INDEX(Populations!$B:$B,MATCH(E126,Populations!$A:$A,0)),"ID not found"))</f>
        <v/>
      </c>
      <c r="G126" s="30"/>
      <c r="H126" s="30"/>
      <c r="I126" s="30"/>
      <c r="J126" s="30"/>
      <c r="K126" s="20" t="str">
        <f aca="false">IF(A126="","",COUNTIF('Metric to Product'!$A:$A,A126))</f>
        <v/>
      </c>
      <c r="L126" s="20" t="str">
        <f aca="false">IF(A126="","",COUNTIF('Metric to Field'!$A:$A,A126))</f>
        <v/>
      </c>
      <c r="M126" s="32" t="str">
        <f aca="false">IF(B126="","",COUNTIF($B$5:$B$254,B126))</f>
        <v/>
      </c>
      <c r="N126" s="30"/>
      <c r="O126" s="30"/>
      <c r="P126" s="30"/>
      <c r="Q126" s="30"/>
      <c r="R126" s="30"/>
      <c r="S126" s="33" t="str">
        <f aca="false">IF(AND(A126&lt;&gt;"",M126&gt;1),COUNTIFS($A$5:A126,"&lt;&gt;",$M$5:M126,"&gt;1"),"")</f>
        <v/>
      </c>
    </row>
    <row r="127" customFormat="false" ht="15" hidden="false" customHeight="false" outlineLevel="0" collapsed="false">
      <c r="A127" s="29"/>
      <c r="B127" s="30"/>
      <c r="C127" s="30"/>
      <c r="D127" s="30"/>
      <c r="E127" s="30"/>
      <c r="F127" s="20" t="str">
        <f aca="false">IF(E127="","",IFERROR(INDEX(Populations!$B:$B,MATCH(E127,Populations!$A:$A,0)),"ID not found"))</f>
        <v/>
      </c>
      <c r="G127" s="30"/>
      <c r="H127" s="30"/>
      <c r="I127" s="30"/>
      <c r="J127" s="30"/>
      <c r="K127" s="20" t="str">
        <f aca="false">IF(A127="","",COUNTIF('Metric to Product'!$A:$A,A127))</f>
        <v/>
      </c>
      <c r="L127" s="20" t="str">
        <f aca="false">IF(A127="","",COUNTIF('Metric to Field'!$A:$A,A127))</f>
        <v/>
      </c>
      <c r="M127" s="32" t="str">
        <f aca="false">IF(B127="","",COUNTIF($B$5:$B$254,B127))</f>
        <v/>
      </c>
      <c r="N127" s="30"/>
      <c r="O127" s="30"/>
      <c r="P127" s="30"/>
      <c r="Q127" s="30"/>
      <c r="R127" s="30"/>
      <c r="S127" s="33" t="str">
        <f aca="false">IF(AND(A127&lt;&gt;"",M127&gt;1),COUNTIFS($A$5:A127,"&lt;&gt;",$M$5:M127,"&gt;1"),"")</f>
        <v/>
      </c>
    </row>
    <row r="128" customFormat="false" ht="15" hidden="false" customHeight="false" outlineLevel="0" collapsed="false">
      <c r="A128" s="29"/>
      <c r="B128" s="30"/>
      <c r="C128" s="30"/>
      <c r="D128" s="30"/>
      <c r="E128" s="30"/>
      <c r="F128" s="20" t="str">
        <f aca="false">IF(E128="","",IFERROR(INDEX(Populations!$B:$B,MATCH(E128,Populations!$A:$A,0)),"ID not found"))</f>
        <v/>
      </c>
      <c r="G128" s="30"/>
      <c r="H128" s="30"/>
      <c r="I128" s="30"/>
      <c r="J128" s="30"/>
      <c r="K128" s="20" t="str">
        <f aca="false">IF(A128="","",COUNTIF('Metric to Product'!$A:$A,A128))</f>
        <v/>
      </c>
      <c r="L128" s="20" t="str">
        <f aca="false">IF(A128="","",COUNTIF('Metric to Field'!$A:$A,A128))</f>
        <v/>
      </c>
      <c r="M128" s="32" t="str">
        <f aca="false">IF(B128="","",COUNTIF($B$5:$B$254,B128))</f>
        <v/>
      </c>
      <c r="N128" s="30"/>
      <c r="O128" s="30"/>
      <c r="P128" s="30"/>
      <c r="Q128" s="30"/>
      <c r="R128" s="30"/>
      <c r="S128" s="33" t="str">
        <f aca="false">IF(AND(A128&lt;&gt;"",M128&gt;1),COUNTIFS($A$5:A128,"&lt;&gt;",$M$5:M128,"&gt;1"),"")</f>
        <v/>
      </c>
    </row>
    <row r="129" customFormat="false" ht="15" hidden="false" customHeight="false" outlineLevel="0" collapsed="false">
      <c r="A129" s="29"/>
      <c r="B129" s="30"/>
      <c r="C129" s="30"/>
      <c r="D129" s="30"/>
      <c r="E129" s="30"/>
      <c r="F129" s="20" t="str">
        <f aca="false">IF(E129="","",IFERROR(INDEX(Populations!$B:$B,MATCH(E129,Populations!$A:$A,0)),"ID not found"))</f>
        <v/>
      </c>
      <c r="G129" s="30"/>
      <c r="H129" s="30"/>
      <c r="I129" s="30"/>
      <c r="J129" s="30"/>
      <c r="K129" s="20" t="str">
        <f aca="false">IF(A129="","",COUNTIF('Metric to Product'!$A:$A,A129))</f>
        <v/>
      </c>
      <c r="L129" s="20" t="str">
        <f aca="false">IF(A129="","",COUNTIF('Metric to Field'!$A:$A,A129))</f>
        <v/>
      </c>
      <c r="M129" s="32" t="str">
        <f aca="false">IF(B129="","",COUNTIF($B$5:$B$254,B129))</f>
        <v/>
      </c>
      <c r="N129" s="30"/>
      <c r="O129" s="30"/>
      <c r="P129" s="30"/>
      <c r="Q129" s="30"/>
      <c r="R129" s="30"/>
      <c r="S129" s="33" t="str">
        <f aca="false">IF(AND(A129&lt;&gt;"",M129&gt;1),COUNTIFS($A$5:A129,"&lt;&gt;",$M$5:M129,"&gt;1"),"")</f>
        <v/>
      </c>
    </row>
    <row r="130" customFormat="false" ht="15" hidden="false" customHeight="false" outlineLevel="0" collapsed="false">
      <c r="A130" s="29"/>
      <c r="B130" s="30"/>
      <c r="C130" s="30"/>
      <c r="D130" s="30"/>
      <c r="E130" s="30"/>
      <c r="F130" s="20" t="str">
        <f aca="false">IF(E130="","",IFERROR(INDEX(Populations!$B:$B,MATCH(E130,Populations!$A:$A,0)),"ID not found"))</f>
        <v/>
      </c>
      <c r="G130" s="30"/>
      <c r="H130" s="30"/>
      <c r="I130" s="30"/>
      <c r="J130" s="30"/>
      <c r="K130" s="20" t="str">
        <f aca="false">IF(A130="","",COUNTIF('Metric to Product'!$A:$A,A130))</f>
        <v/>
      </c>
      <c r="L130" s="20" t="str">
        <f aca="false">IF(A130="","",COUNTIF('Metric to Field'!$A:$A,A130))</f>
        <v/>
      </c>
      <c r="M130" s="32" t="str">
        <f aca="false">IF(B130="","",COUNTIF($B$5:$B$254,B130))</f>
        <v/>
      </c>
      <c r="N130" s="30"/>
      <c r="O130" s="30"/>
      <c r="P130" s="30"/>
      <c r="Q130" s="30"/>
      <c r="R130" s="30"/>
      <c r="S130" s="33" t="str">
        <f aca="false">IF(AND(A130&lt;&gt;"",M130&gt;1),COUNTIFS($A$5:A130,"&lt;&gt;",$M$5:M130,"&gt;1"),"")</f>
        <v/>
      </c>
    </row>
    <row r="131" customFormat="false" ht="15" hidden="false" customHeight="false" outlineLevel="0" collapsed="false">
      <c r="A131" s="29"/>
      <c r="B131" s="30"/>
      <c r="C131" s="30"/>
      <c r="D131" s="30"/>
      <c r="E131" s="30"/>
      <c r="F131" s="20" t="str">
        <f aca="false">IF(E131="","",IFERROR(INDEX(Populations!$B:$B,MATCH(E131,Populations!$A:$A,0)),"ID not found"))</f>
        <v/>
      </c>
      <c r="G131" s="30"/>
      <c r="H131" s="30"/>
      <c r="I131" s="30"/>
      <c r="J131" s="30"/>
      <c r="K131" s="20" t="str">
        <f aca="false">IF(A131="","",COUNTIF('Metric to Product'!$A:$A,A131))</f>
        <v/>
      </c>
      <c r="L131" s="20" t="str">
        <f aca="false">IF(A131="","",COUNTIF('Metric to Field'!$A:$A,A131))</f>
        <v/>
      </c>
      <c r="M131" s="32" t="str">
        <f aca="false">IF(B131="","",COUNTIF($B$5:$B$254,B131))</f>
        <v/>
      </c>
      <c r="N131" s="30"/>
      <c r="O131" s="30"/>
      <c r="P131" s="30"/>
      <c r="Q131" s="30"/>
      <c r="R131" s="30"/>
      <c r="S131" s="33" t="str">
        <f aca="false">IF(AND(A131&lt;&gt;"",M131&gt;1),COUNTIFS($A$5:A131,"&lt;&gt;",$M$5:M131,"&gt;1"),"")</f>
        <v/>
      </c>
    </row>
    <row r="132" customFormat="false" ht="15" hidden="false" customHeight="false" outlineLevel="0" collapsed="false">
      <c r="A132" s="29"/>
      <c r="B132" s="30"/>
      <c r="C132" s="30"/>
      <c r="D132" s="30"/>
      <c r="E132" s="30"/>
      <c r="F132" s="20" t="str">
        <f aca="false">IF(E132="","",IFERROR(INDEX(Populations!$B:$B,MATCH(E132,Populations!$A:$A,0)),"ID not found"))</f>
        <v/>
      </c>
      <c r="G132" s="30"/>
      <c r="H132" s="30"/>
      <c r="I132" s="30"/>
      <c r="J132" s="30"/>
      <c r="K132" s="20" t="str">
        <f aca="false">IF(A132="","",COUNTIF('Metric to Product'!$A:$A,A132))</f>
        <v/>
      </c>
      <c r="L132" s="20" t="str">
        <f aca="false">IF(A132="","",COUNTIF('Metric to Field'!$A:$A,A132))</f>
        <v/>
      </c>
      <c r="M132" s="32" t="str">
        <f aca="false">IF(B132="","",COUNTIF($B$5:$B$254,B132))</f>
        <v/>
      </c>
      <c r="N132" s="30"/>
      <c r="O132" s="30"/>
      <c r="P132" s="30"/>
      <c r="Q132" s="30"/>
      <c r="R132" s="30"/>
      <c r="S132" s="33" t="str">
        <f aca="false">IF(AND(A132&lt;&gt;"",M132&gt;1),COUNTIFS($A$5:A132,"&lt;&gt;",$M$5:M132,"&gt;1"),"")</f>
        <v/>
      </c>
    </row>
    <row r="133" customFormat="false" ht="15" hidden="false" customHeight="false" outlineLevel="0" collapsed="false">
      <c r="A133" s="29"/>
      <c r="B133" s="30"/>
      <c r="C133" s="30"/>
      <c r="D133" s="30"/>
      <c r="E133" s="30"/>
      <c r="F133" s="20" t="str">
        <f aca="false">IF(E133="","",IFERROR(INDEX(Populations!$B:$B,MATCH(E133,Populations!$A:$A,0)),"ID not found"))</f>
        <v/>
      </c>
      <c r="G133" s="30"/>
      <c r="H133" s="30"/>
      <c r="I133" s="30"/>
      <c r="J133" s="30"/>
      <c r="K133" s="20" t="str">
        <f aca="false">IF(A133="","",COUNTIF('Metric to Product'!$A:$A,A133))</f>
        <v/>
      </c>
      <c r="L133" s="20" t="str">
        <f aca="false">IF(A133="","",COUNTIF('Metric to Field'!$A:$A,A133))</f>
        <v/>
      </c>
      <c r="M133" s="32" t="str">
        <f aca="false">IF(B133="","",COUNTIF($B$5:$B$254,B133))</f>
        <v/>
      </c>
      <c r="N133" s="30"/>
      <c r="O133" s="30"/>
      <c r="P133" s="30"/>
      <c r="Q133" s="30"/>
      <c r="R133" s="30"/>
      <c r="S133" s="33" t="str">
        <f aca="false">IF(AND(A133&lt;&gt;"",M133&gt;1),COUNTIFS($A$5:A133,"&lt;&gt;",$M$5:M133,"&gt;1"),"")</f>
        <v/>
      </c>
    </row>
    <row r="134" customFormat="false" ht="15" hidden="false" customHeight="false" outlineLevel="0" collapsed="false">
      <c r="A134" s="29"/>
      <c r="B134" s="30"/>
      <c r="C134" s="30"/>
      <c r="D134" s="30"/>
      <c r="E134" s="30"/>
      <c r="F134" s="20" t="str">
        <f aca="false">IF(E134="","",IFERROR(INDEX(Populations!$B:$B,MATCH(E134,Populations!$A:$A,0)),"ID not found"))</f>
        <v/>
      </c>
      <c r="G134" s="30"/>
      <c r="H134" s="30"/>
      <c r="I134" s="30"/>
      <c r="J134" s="30"/>
      <c r="K134" s="20" t="str">
        <f aca="false">IF(A134="","",COUNTIF('Metric to Product'!$A:$A,A134))</f>
        <v/>
      </c>
      <c r="L134" s="20" t="str">
        <f aca="false">IF(A134="","",COUNTIF('Metric to Field'!$A:$A,A134))</f>
        <v/>
      </c>
      <c r="M134" s="32" t="str">
        <f aca="false">IF(B134="","",COUNTIF($B$5:$B$254,B134))</f>
        <v/>
      </c>
      <c r="N134" s="30"/>
      <c r="O134" s="30"/>
      <c r="P134" s="30"/>
      <c r="Q134" s="30"/>
      <c r="R134" s="30"/>
      <c r="S134" s="33" t="str">
        <f aca="false">IF(AND(A134&lt;&gt;"",M134&gt;1),COUNTIFS($A$5:A134,"&lt;&gt;",$M$5:M134,"&gt;1"),"")</f>
        <v/>
      </c>
    </row>
    <row r="135" customFormat="false" ht="15" hidden="false" customHeight="false" outlineLevel="0" collapsed="false">
      <c r="A135" s="29"/>
      <c r="B135" s="30"/>
      <c r="C135" s="30"/>
      <c r="D135" s="30"/>
      <c r="E135" s="30"/>
      <c r="F135" s="20" t="str">
        <f aca="false">IF(E135="","",IFERROR(INDEX(Populations!$B:$B,MATCH(E135,Populations!$A:$A,0)),"ID not found"))</f>
        <v/>
      </c>
      <c r="G135" s="30"/>
      <c r="H135" s="30"/>
      <c r="I135" s="30"/>
      <c r="J135" s="30"/>
      <c r="K135" s="20" t="str">
        <f aca="false">IF(A135="","",COUNTIF('Metric to Product'!$A:$A,A135))</f>
        <v/>
      </c>
      <c r="L135" s="20" t="str">
        <f aca="false">IF(A135="","",COUNTIF('Metric to Field'!$A:$A,A135))</f>
        <v/>
      </c>
      <c r="M135" s="32" t="str">
        <f aca="false">IF(B135="","",COUNTIF($B$5:$B$254,B135))</f>
        <v/>
      </c>
      <c r="N135" s="30"/>
      <c r="O135" s="30"/>
      <c r="P135" s="30"/>
      <c r="Q135" s="30"/>
      <c r="R135" s="30"/>
      <c r="S135" s="33" t="str">
        <f aca="false">IF(AND(A135&lt;&gt;"",M135&gt;1),COUNTIFS($A$5:A135,"&lt;&gt;",$M$5:M135,"&gt;1"),"")</f>
        <v/>
      </c>
    </row>
    <row r="136" customFormat="false" ht="15" hidden="false" customHeight="false" outlineLevel="0" collapsed="false">
      <c r="A136" s="29"/>
      <c r="B136" s="30"/>
      <c r="C136" s="30"/>
      <c r="D136" s="30"/>
      <c r="E136" s="30"/>
      <c r="F136" s="20" t="str">
        <f aca="false">IF(E136="","",IFERROR(INDEX(Populations!$B:$B,MATCH(E136,Populations!$A:$A,0)),"ID not found"))</f>
        <v/>
      </c>
      <c r="G136" s="30"/>
      <c r="H136" s="30"/>
      <c r="I136" s="30"/>
      <c r="J136" s="30"/>
      <c r="K136" s="20" t="str">
        <f aca="false">IF(A136="","",COUNTIF('Metric to Product'!$A:$A,A136))</f>
        <v/>
      </c>
      <c r="L136" s="20" t="str">
        <f aca="false">IF(A136="","",COUNTIF('Metric to Field'!$A:$A,A136))</f>
        <v/>
      </c>
      <c r="M136" s="32" t="str">
        <f aca="false">IF(B136="","",COUNTIF($B$5:$B$254,B136))</f>
        <v/>
      </c>
      <c r="N136" s="30"/>
      <c r="O136" s="30"/>
      <c r="P136" s="30"/>
      <c r="Q136" s="30"/>
      <c r="R136" s="30"/>
      <c r="S136" s="33" t="str">
        <f aca="false">IF(AND(A136&lt;&gt;"",M136&gt;1),COUNTIFS($A$5:A136,"&lt;&gt;",$M$5:M136,"&gt;1"),"")</f>
        <v/>
      </c>
    </row>
    <row r="137" customFormat="false" ht="15" hidden="false" customHeight="false" outlineLevel="0" collapsed="false">
      <c r="A137" s="29"/>
      <c r="B137" s="30"/>
      <c r="C137" s="30"/>
      <c r="D137" s="30"/>
      <c r="E137" s="30"/>
      <c r="F137" s="20" t="str">
        <f aca="false">IF(E137="","",IFERROR(INDEX(Populations!$B:$B,MATCH(E137,Populations!$A:$A,0)),"ID not found"))</f>
        <v/>
      </c>
      <c r="G137" s="30"/>
      <c r="H137" s="30"/>
      <c r="I137" s="30"/>
      <c r="J137" s="30"/>
      <c r="K137" s="20" t="str">
        <f aca="false">IF(A137="","",COUNTIF('Metric to Product'!$A:$A,A137))</f>
        <v/>
      </c>
      <c r="L137" s="20" t="str">
        <f aca="false">IF(A137="","",COUNTIF('Metric to Field'!$A:$A,A137))</f>
        <v/>
      </c>
      <c r="M137" s="32" t="str">
        <f aca="false">IF(B137="","",COUNTIF($B$5:$B$254,B137))</f>
        <v/>
      </c>
      <c r="N137" s="30"/>
      <c r="O137" s="30"/>
      <c r="P137" s="30"/>
      <c r="Q137" s="30"/>
      <c r="R137" s="30"/>
      <c r="S137" s="33" t="str">
        <f aca="false">IF(AND(A137&lt;&gt;"",M137&gt;1),COUNTIFS($A$5:A137,"&lt;&gt;",$M$5:M137,"&gt;1"),"")</f>
        <v/>
      </c>
    </row>
    <row r="138" customFormat="false" ht="15" hidden="false" customHeight="false" outlineLevel="0" collapsed="false">
      <c r="A138" s="29"/>
      <c r="B138" s="30"/>
      <c r="C138" s="30"/>
      <c r="D138" s="30"/>
      <c r="E138" s="30"/>
      <c r="F138" s="20" t="str">
        <f aca="false">IF(E138="","",IFERROR(INDEX(Populations!$B:$B,MATCH(E138,Populations!$A:$A,0)),"ID not found"))</f>
        <v/>
      </c>
      <c r="G138" s="30"/>
      <c r="H138" s="30"/>
      <c r="I138" s="30"/>
      <c r="J138" s="30"/>
      <c r="K138" s="20" t="str">
        <f aca="false">IF(A138="","",COUNTIF('Metric to Product'!$A:$A,A138))</f>
        <v/>
      </c>
      <c r="L138" s="20" t="str">
        <f aca="false">IF(A138="","",COUNTIF('Metric to Field'!$A:$A,A138))</f>
        <v/>
      </c>
      <c r="M138" s="32" t="str">
        <f aca="false">IF(B138="","",COUNTIF($B$5:$B$254,B138))</f>
        <v/>
      </c>
      <c r="N138" s="30"/>
      <c r="O138" s="30"/>
      <c r="P138" s="30"/>
      <c r="Q138" s="30"/>
      <c r="R138" s="30"/>
      <c r="S138" s="33" t="str">
        <f aca="false">IF(AND(A138&lt;&gt;"",M138&gt;1),COUNTIFS($A$5:A138,"&lt;&gt;",$M$5:M138,"&gt;1"),"")</f>
        <v/>
      </c>
    </row>
    <row r="139" customFormat="false" ht="15" hidden="false" customHeight="false" outlineLevel="0" collapsed="false">
      <c r="A139" s="29"/>
      <c r="B139" s="30"/>
      <c r="C139" s="30"/>
      <c r="D139" s="30"/>
      <c r="E139" s="30"/>
      <c r="F139" s="20" t="str">
        <f aca="false">IF(E139="","",IFERROR(INDEX(Populations!$B:$B,MATCH(E139,Populations!$A:$A,0)),"ID not found"))</f>
        <v/>
      </c>
      <c r="G139" s="30"/>
      <c r="H139" s="30"/>
      <c r="I139" s="30"/>
      <c r="J139" s="30"/>
      <c r="K139" s="20" t="str">
        <f aca="false">IF(A139="","",COUNTIF('Metric to Product'!$A:$A,A139))</f>
        <v/>
      </c>
      <c r="L139" s="20" t="str">
        <f aca="false">IF(A139="","",COUNTIF('Metric to Field'!$A:$A,A139))</f>
        <v/>
      </c>
      <c r="M139" s="32" t="str">
        <f aca="false">IF(B139="","",COUNTIF($B$5:$B$254,B139))</f>
        <v/>
      </c>
      <c r="N139" s="30"/>
      <c r="O139" s="30"/>
      <c r="P139" s="30"/>
      <c r="Q139" s="30"/>
      <c r="R139" s="30"/>
      <c r="S139" s="33" t="str">
        <f aca="false">IF(AND(A139&lt;&gt;"",M139&gt;1),COUNTIFS($A$5:A139,"&lt;&gt;",$M$5:M139,"&gt;1"),"")</f>
        <v/>
      </c>
    </row>
    <row r="140" customFormat="false" ht="15" hidden="false" customHeight="false" outlineLevel="0" collapsed="false">
      <c r="A140" s="29"/>
      <c r="B140" s="30"/>
      <c r="C140" s="30"/>
      <c r="D140" s="30"/>
      <c r="E140" s="30"/>
      <c r="F140" s="20" t="str">
        <f aca="false">IF(E140="","",IFERROR(INDEX(Populations!$B:$B,MATCH(E140,Populations!$A:$A,0)),"ID not found"))</f>
        <v/>
      </c>
      <c r="G140" s="30"/>
      <c r="H140" s="30"/>
      <c r="I140" s="30"/>
      <c r="J140" s="30"/>
      <c r="K140" s="20" t="str">
        <f aca="false">IF(A140="","",COUNTIF('Metric to Product'!$A:$A,A140))</f>
        <v/>
      </c>
      <c r="L140" s="20" t="str">
        <f aca="false">IF(A140="","",COUNTIF('Metric to Field'!$A:$A,A140))</f>
        <v/>
      </c>
      <c r="M140" s="32" t="str">
        <f aca="false">IF(B140="","",COUNTIF($B$5:$B$254,B140))</f>
        <v/>
      </c>
      <c r="N140" s="30"/>
      <c r="O140" s="30"/>
      <c r="P140" s="30"/>
      <c r="Q140" s="30"/>
      <c r="R140" s="30"/>
      <c r="S140" s="33" t="str">
        <f aca="false">IF(AND(A140&lt;&gt;"",M140&gt;1),COUNTIFS($A$5:A140,"&lt;&gt;",$M$5:M140,"&gt;1"),"")</f>
        <v/>
      </c>
    </row>
    <row r="141" customFormat="false" ht="15" hidden="false" customHeight="false" outlineLevel="0" collapsed="false">
      <c r="A141" s="29"/>
      <c r="B141" s="30"/>
      <c r="C141" s="30"/>
      <c r="D141" s="30"/>
      <c r="E141" s="30"/>
      <c r="F141" s="20" t="str">
        <f aca="false">IF(E141="","",IFERROR(INDEX(Populations!$B:$B,MATCH(E141,Populations!$A:$A,0)),"ID not found"))</f>
        <v/>
      </c>
      <c r="G141" s="30"/>
      <c r="H141" s="30"/>
      <c r="I141" s="30"/>
      <c r="J141" s="30"/>
      <c r="K141" s="20" t="str">
        <f aca="false">IF(A141="","",COUNTIF('Metric to Product'!$A:$A,A141))</f>
        <v/>
      </c>
      <c r="L141" s="20" t="str">
        <f aca="false">IF(A141="","",COUNTIF('Metric to Field'!$A:$A,A141))</f>
        <v/>
      </c>
      <c r="M141" s="32" t="str">
        <f aca="false">IF(B141="","",COUNTIF($B$5:$B$254,B141))</f>
        <v/>
      </c>
      <c r="N141" s="30"/>
      <c r="O141" s="30"/>
      <c r="P141" s="30"/>
      <c r="Q141" s="30"/>
      <c r="R141" s="30"/>
      <c r="S141" s="33" t="str">
        <f aca="false">IF(AND(A141&lt;&gt;"",M141&gt;1),COUNTIFS($A$5:A141,"&lt;&gt;",$M$5:M141,"&gt;1"),"")</f>
        <v/>
      </c>
    </row>
    <row r="142" customFormat="false" ht="15" hidden="false" customHeight="false" outlineLevel="0" collapsed="false">
      <c r="A142" s="29"/>
      <c r="B142" s="30"/>
      <c r="C142" s="30"/>
      <c r="D142" s="30"/>
      <c r="E142" s="30"/>
      <c r="F142" s="20" t="str">
        <f aca="false">IF(E142="","",IFERROR(INDEX(Populations!$B:$B,MATCH(E142,Populations!$A:$A,0)),"ID not found"))</f>
        <v/>
      </c>
      <c r="G142" s="30"/>
      <c r="H142" s="30"/>
      <c r="I142" s="30"/>
      <c r="J142" s="30"/>
      <c r="K142" s="20" t="str">
        <f aca="false">IF(A142="","",COUNTIF('Metric to Product'!$A:$A,A142))</f>
        <v/>
      </c>
      <c r="L142" s="20" t="str">
        <f aca="false">IF(A142="","",COUNTIF('Metric to Field'!$A:$A,A142))</f>
        <v/>
      </c>
      <c r="M142" s="32" t="str">
        <f aca="false">IF(B142="","",COUNTIF($B$5:$B$254,B142))</f>
        <v/>
      </c>
      <c r="N142" s="30"/>
      <c r="O142" s="30"/>
      <c r="P142" s="30"/>
      <c r="Q142" s="30"/>
      <c r="R142" s="30"/>
      <c r="S142" s="33" t="str">
        <f aca="false">IF(AND(A142&lt;&gt;"",M142&gt;1),COUNTIFS($A$5:A142,"&lt;&gt;",$M$5:M142,"&gt;1"),"")</f>
        <v/>
      </c>
    </row>
    <row r="143" customFormat="false" ht="15" hidden="false" customHeight="false" outlineLevel="0" collapsed="false">
      <c r="A143" s="29"/>
      <c r="B143" s="30"/>
      <c r="C143" s="30"/>
      <c r="D143" s="30"/>
      <c r="E143" s="30"/>
      <c r="F143" s="20" t="str">
        <f aca="false">IF(E143="","",IFERROR(INDEX(Populations!$B:$B,MATCH(E143,Populations!$A:$A,0)),"ID not found"))</f>
        <v/>
      </c>
      <c r="G143" s="30"/>
      <c r="H143" s="30"/>
      <c r="I143" s="30"/>
      <c r="J143" s="30"/>
      <c r="K143" s="20" t="str">
        <f aca="false">IF(A143="","",COUNTIF('Metric to Product'!$A:$A,A143))</f>
        <v/>
      </c>
      <c r="L143" s="20" t="str">
        <f aca="false">IF(A143="","",COUNTIF('Metric to Field'!$A:$A,A143))</f>
        <v/>
      </c>
      <c r="M143" s="32" t="str">
        <f aca="false">IF(B143="","",COUNTIF($B$5:$B$254,B143))</f>
        <v/>
      </c>
      <c r="N143" s="30"/>
      <c r="O143" s="30"/>
      <c r="P143" s="30"/>
      <c r="Q143" s="30"/>
      <c r="R143" s="30"/>
      <c r="S143" s="33" t="str">
        <f aca="false">IF(AND(A143&lt;&gt;"",M143&gt;1),COUNTIFS($A$5:A143,"&lt;&gt;",$M$5:M143,"&gt;1"),"")</f>
        <v/>
      </c>
    </row>
    <row r="144" customFormat="false" ht="15" hidden="false" customHeight="false" outlineLevel="0" collapsed="false">
      <c r="A144" s="29"/>
      <c r="B144" s="30"/>
      <c r="C144" s="30"/>
      <c r="D144" s="30"/>
      <c r="E144" s="30"/>
      <c r="F144" s="20" t="str">
        <f aca="false">IF(E144="","",IFERROR(INDEX(Populations!$B:$B,MATCH(E144,Populations!$A:$A,0)),"ID not found"))</f>
        <v/>
      </c>
      <c r="G144" s="30"/>
      <c r="H144" s="30"/>
      <c r="I144" s="30"/>
      <c r="J144" s="30"/>
      <c r="K144" s="20" t="str">
        <f aca="false">IF(A144="","",COUNTIF('Metric to Product'!$A:$A,A144))</f>
        <v/>
      </c>
      <c r="L144" s="20" t="str">
        <f aca="false">IF(A144="","",COUNTIF('Metric to Field'!$A:$A,A144))</f>
        <v/>
      </c>
      <c r="M144" s="32" t="str">
        <f aca="false">IF(B144="","",COUNTIF($B$5:$B$254,B144))</f>
        <v/>
      </c>
      <c r="N144" s="30"/>
      <c r="O144" s="30"/>
      <c r="P144" s="30"/>
      <c r="Q144" s="30"/>
      <c r="R144" s="30"/>
      <c r="S144" s="33" t="str">
        <f aca="false">IF(AND(A144&lt;&gt;"",M144&gt;1),COUNTIFS($A$5:A144,"&lt;&gt;",$M$5:M144,"&gt;1"),"")</f>
        <v/>
      </c>
    </row>
    <row r="145" customFormat="false" ht="15" hidden="false" customHeight="false" outlineLevel="0" collapsed="false">
      <c r="A145" s="29"/>
      <c r="B145" s="30"/>
      <c r="C145" s="30"/>
      <c r="D145" s="30"/>
      <c r="E145" s="30"/>
      <c r="F145" s="20" t="str">
        <f aca="false">IF(E145="","",IFERROR(INDEX(Populations!$B:$B,MATCH(E145,Populations!$A:$A,0)),"ID not found"))</f>
        <v/>
      </c>
      <c r="G145" s="30"/>
      <c r="H145" s="30"/>
      <c r="I145" s="30"/>
      <c r="J145" s="30"/>
      <c r="K145" s="20" t="str">
        <f aca="false">IF(A145="","",COUNTIF('Metric to Product'!$A:$A,A145))</f>
        <v/>
      </c>
      <c r="L145" s="20" t="str">
        <f aca="false">IF(A145="","",COUNTIF('Metric to Field'!$A:$A,A145))</f>
        <v/>
      </c>
      <c r="M145" s="32" t="str">
        <f aca="false">IF(B145="","",COUNTIF($B$5:$B$254,B145))</f>
        <v/>
      </c>
      <c r="N145" s="30"/>
      <c r="O145" s="30"/>
      <c r="P145" s="30"/>
      <c r="Q145" s="30"/>
      <c r="R145" s="30"/>
      <c r="S145" s="33" t="str">
        <f aca="false">IF(AND(A145&lt;&gt;"",M145&gt;1),COUNTIFS($A$5:A145,"&lt;&gt;",$M$5:M145,"&gt;1"),"")</f>
        <v/>
      </c>
    </row>
    <row r="146" customFormat="false" ht="15" hidden="false" customHeight="false" outlineLevel="0" collapsed="false">
      <c r="A146" s="29"/>
      <c r="B146" s="30"/>
      <c r="C146" s="30"/>
      <c r="D146" s="30"/>
      <c r="E146" s="30"/>
      <c r="F146" s="20" t="str">
        <f aca="false">IF(E146="","",IFERROR(INDEX(Populations!$B:$B,MATCH(E146,Populations!$A:$A,0)),"ID not found"))</f>
        <v/>
      </c>
      <c r="G146" s="30"/>
      <c r="H146" s="30"/>
      <c r="I146" s="30"/>
      <c r="J146" s="30"/>
      <c r="K146" s="20" t="str">
        <f aca="false">IF(A146="","",COUNTIF('Metric to Product'!$A:$A,A146))</f>
        <v/>
      </c>
      <c r="L146" s="20" t="str">
        <f aca="false">IF(A146="","",COUNTIF('Metric to Field'!$A:$A,A146))</f>
        <v/>
      </c>
      <c r="M146" s="32" t="str">
        <f aca="false">IF(B146="","",COUNTIF($B$5:$B$254,B146))</f>
        <v/>
      </c>
      <c r="N146" s="30"/>
      <c r="O146" s="30"/>
      <c r="P146" s="30"/>
      <c r="Q146" s="30"/>
      <c r="R146" s="30"/>
      <c r="S146" s="33" t="str">
        <f aca="false">IF(AND(A146&lt;&gt;"",M146&gt;1),COUNTIFS($A$5:A146,"&lt;&gt;",$M$5:M146,"&gt;1"),"")</f>
        <v/>
      </c>
    </row>
    <row r="147" customFormat="false" ht="15" hidden="false" customHeight="false" outlineLevel="0" collapsed="false">
      <c r="A147" s="29"/>
      <c r="B147" s="30"/>
      <c r="C147" s="30"/>
      <c r="D147" s="30"/>
      <c r="E147" s="30"/>
      <c r="F147" s="20" t="str">
        <f aca="false">IF(E147="","",IFERROR(INDEX(Populations!$B:$B,MATCH(E147,Populations!$A:$A,0)),"ID not found"))</f>
        <v/>
      </c>
      <c r="G147" s="30"/>
      <c r="H147" s="30"/>
      <c r="I147" s="30"/>
      <c r="J147" s="30"/>
      <c r="K147" s="20" t="str">
        <f aca="false">IF(A147="","",COUNTIF('Metric to Product'!$A:$A,A147))</f>
        <v/>
      </c>
      <c r="L147" s="20" t="str">
        <f aca="false">IF(A147="","",COUNTIF('Metric to Field'!$A:$A,A147))</f>
        <v/>
      </c>
      <c r="M147" s="32" t="str">
        <f aca="false">IF(B147="","",COUNTIF($B$5:$B$254,B147))</f>
        <v/>
      </c>
      <c r="N147" s="30"/>
      <c r="O147" s="30"/>
      <c r="P147" s="30"/>
      <c r="Q147" s="30"/>
      <c r="R147" s="30"/>
      <c r="S147" s="33" t="str">
        <f aca="false">IF(AND(A147&lt;&gt;"",M147&gt;1),COUNTIFS($A$5:A147,"&lt;&gt;",$M$5:M147,"&gt;1"),"")</f>
        <v/>
      </c>
    </row>
    <row r="148" customFormat="false" ht="15" hidden="false" customHeight="false" outlineLevel="0" collapsed="false">
      <c r="A148" s="29"/>
      <c r="B148" s="30"/>
      <c r="C148" s="30"/>
      <c r="D148" s="30"/>
      <c r="E148" s="30"/>
      <c r="F148" s="20" t="str">
        <f aca="false">IF(E148="","",IFERROR(INDEX(Populations!$B:$B,MATCH(E148,Populations!$A:$A,0)),"ID not found"))</f>
        <v/>
      </c>
      <c r="G148" s="30"/>
      <c r="H148" s="30"/>
      <c r="I148" s="30"/>
      <c r="J148" s="30"/>
      <c r="K148" s="20" t="str">
        <f aca="false">IF(A148="","",COUNTIF('Metric to Product'!$A:$A,A148))</f>
        <v/>
      </c>
      <c r="L148" s="20" t="str">
        <f aca="false">IF(A148="","",COUNTIF('Metric to Field'!$A:$A,A148))</f>
        <v/>
      </c>
      <c r="M148" s="32" t="str">
        <f aca="false">IF(B148="","",COUNTIF($B$5:$B$254,B148))</f>
        <v/>
      </c>
      <c r="N148" s="30"/>
      <c r="O148" s="30"/>
      <c r="P148" s="30"/>
      <c r="Q148" s="30"/>
      <c r="R148" s="30"/>
      <c r="S148" s="33" t="str">
        <f aca="false">IF(AND(A148&lt;&gt;"",M148&gt;1),COUNTIFS($A$5:A148,"&lt;&gt;",$M$5:M148,"&gt;1"),"")</f>
        <v/>
      </c>
    </row>
    <row r="149" customFormat="false" ht="15" hidden="false" customHeight="false" outlineLevel="0" collapsed="false">
      <c r="A149" s="29"/>
      <c r="B149" s="30"/>
      <c r="C149" s="30"/>
      <c r="D149" s="30"/>
      <c r="E149" s="30"/>
      <c r="F149" s="20" t="str">
        <f aca="false">IF(E149="","",IFERROR(INDEX(Populations!$B:$B,MATCH(E149,Populations!$A:$A,0)),"ID not found"))</f>
        <v/>
      </c>
      <c r="G149" s="30"/>
      <c r="H149" s="30"/>
      <c r="I149" s="30"/>
      <c r="J149" s="30"/>
      <c r="K149" s="20" t="str">
        <f aca="false">IF(A149="","",COUNTIF('Metric to Product'!$A:$A,A149))</f>
        <v/>
      </c>
      <c r="L149" s="20" t="str">
        <f aca="false">IF(A149="","",COUNTIF('Metric to Field'!$A:$A,A149))</f>
        <v/>
      </c>
      <c r="M149" s="32" t="str">
        <f aca="false">IF(B149="","",COUNTIF($B$5:$B$254,B149))</f>
        <v/>
      </c>
      <c r="N149" s="30"/>
      <c r="O149" s="30"/>
      <c r="P149" s="30"/>
      <c r="Q149" s="30"/>
      <c r="R149" s="30"/>
      <c r="S149" s="33" t="str">
        <f aca="false">IF(AND(A149&lt;&gt;"",M149&gt;1),COUNTIFS($A$5:A149,"&lt;&gt;",$M$5:M149,"&gt;1"),"")</f>
        <v/>
      </c>
    </row>
    <row r="150" customFormat="false" ht="15" hidden="false" customHeight="false" outlineLevel="0" collapsed="false">
      <c r="A150" s="29"/>
      <c r="B150" s="30"/>
      <c r="C150" s="30"/>
      <c r="D150" s="30"/>
      <c r="E150" s="30"/>
      <c r="F150" s="20" t="str">
        <f aca="false">IF(E150="","",IFERROR(INDEX(Populations!$B:$B,MATCH(E150,Populations!$A:$A,0)),"ID not found"))</f>
        <v/>
      </c>
      <c r="G150" s="30"/>
      <c r="H150" s="30"/>
      <c r="I150" s="30"/>
      <c r="J150" s="30"/>
      <c r="K150" s="20" t="str">
        <f aca="false">IF(A150="","",COUNTIF('Metric to Product'!$A:$A,A150))</f>
        <v/>
      </c>
      <c r="L150" s="20" t="str">
        <f aca="false">IF(A150="","",COUNTIF('Metric to Field'!$A:$A,A150))</f>
        <v/>
      </c>
      <c r="M150" s="32" t="str">
        <f aca="false">IF(B150="","",COUNTIF($B$5:$B$254,B150))</f>
        <v/>
      </c>
      <c r="N150" s="30"/>
      <c r="O150" s="30"/>
      <c r="P150" s="30"/>
      <c r="Q150" s="30"/>
      <c r="R150" s="30"/>
      <c r="S150" s="33" t="str">
        <f aca="false">IF(AND(A150&lt;&gt;"",M150&gt;1),COUNTIFS($A$5:A150,"&lt;&gt;",$M$5:M150,"&gt;1"),"")</f>
        <v/>
      </c>
    </row>
    <row r="151" customFormat="false" ht="15" hidden="false" customHeight="false" outlineLevel="0" collapsed="false">
      <c r="A151" s="29"/>
      <c r="B151" s="30"/>
      <c r="C151" s="30"/>
      <c r="D151" s="30"/>
      <c r="E151" s="30"/>
      <c r="F151" s="20" t="str">
        <f aca="false">IF(E151="","",IFERROR(INDEX(Populations!$B:$B,MATCH(E151,Populations!$A:$A,0)),"ID not found"))</f>
        <v/>
      </c>
      <c r="G151" s="30"/>
      <c r="H151" s="30"/>
      <c r="I151" s="30"/>
      <c r="J151" s="30"/>
      <c r="K151" s="20" t="str">
        <f aca="false">IF(A151="","",COUNTIF('Metric to Product'!$A:$A,A151))</f>
        <v/>
      </c>
      <c r="L151" s="20" t="str">
        <f aca="false">IF(A151="","",COUNTIF('Metric to Field'!$A:$A,A151))</f>
        <v/>
      </c>
      <c r="M151" s="32" t="str">
        <f aca="false">IF(B151="","",COUNTIF($B$5:$B$254,B151))</f>
        <v/>
      </c>
      <c r="N151" s="30"/>
      <c r="O151" s="30"/>
      <c r="P151" s="30"/>
      <c r="Q151" s="30"/>
      <c r="R151" s="30"/>
      <c r="S151" s="33" t="str">
        <f aca="false">IF(AND(A151&lt;&gt;"",M151&gt;1),COUNTIFS($A$5:A151,"&lt;&gt;",$M$5:M151,"&gt;1"),"")</f>
        <v/>
      </c>
    </row>
    <row r="152" customFormat="false" ht="15" hidden="false" customHeight="false" outlineLevel="0" collapsed="false">
      <c r="A152" s="29"/>
      <c r="B152" s="30"/>
      <c r="C152" s="30"/>
      <c r="D152" s="30"/>
      <c r="E152" s="30"/>
      <c r="F152" s="20" t="str">
        <f aca="false">IF(E152="","",IFERROR(INDEX(Populations!$B:$B,MATCH(E152,Populations!$A:$A,0)),"ID not found"))</f>
        <v/>
      </c>
      <c r="G152" s="30"/>
      <c r="H152" s="30"/>
      <c r="I152" s="30"/>
      <c r="J152" s="30"/>
      <c r="K152" s="20" t="str">
        <f aca="false">IF(A152="","",COUNTIF('Metric to Product'!$A:$A,A152))</f>
        <v/>
      </c>
      <c r="L152" s="20" t="str">
        <f aca="false">IF(A152="","",COUNTIF('Metric to Field'!$A:$A,A152))</f>
        <v/>
      </c>
      <c r="M152" s="32" t="str">
        <f aca="false">IF(B152="","",COUNTIF($B$5:$B$254,B152))</f>
        <v/>
      </c>
      <c r="N152" s="30"/>
      <c r="O152" s="30"/>
      <c r="P152" s="30"/>
      <c r="Q152" s="30"/>
      <c r="R152" s="30"/>
      <c r="S152" s="33" t="str">
        <f aca="false">IF(AND(A152&lt;&gt;"",M152&gt;1),COUNTIFS($A$5:A152,"&lt;&gt;",$M$5:M152,"&gt;1"),"")</f>
        <v/>
      </c>
    </row>
    <row r="153" customFormat="false" ht="15" hidden="false" customHeight="false" outlineLevel="0" collapsed="false">
      <c r="A153" s="29"/>
      <c r="B153" s="30"/>
      <c r="C153" s="30"/>
      <c r="D153" s="30"/>
      <c r="E153" s="30"/>
      <c r="F153" s="20" t="str">
        <f aca="false">IF(E153="","",IFERROR(INDEX(Populations!$B:$B,MATCH(E153,Populations!$A:$A,0)),"ID not found"))</f>
        <v/>
      </c>
      <c r="G153" s="30"/>
      <c r="H153" s="30"/>
      <c r="I153" s="30"/>
      <c r="J153" s="30"/>
      <c r="K153" s="20" t="str">
        <f aca="false">IF(A153="","",COUNTIF('Metric to Product'!$A:$A,A153))</f>
        <v/>
      </c>
      <c r="L153" s="20" t="str">
        <f aca="false">IF(A153="","",COUNTIF('Metric to Field'!$A:$A,A153))</f>
        <v/>
      </c>
      <c r="M153" s="32" t="str">
        <f aca="false">IF(B153="","",COUNTIF($B$5:$B$254,B153))</f>
        <v/>
      </c>
      <c r="N153" s="30"/>
      <c r="O153" s="30"/>
      <c r="P153" s="30"/>
      <c r="Q153" s="30"/>
      <c r="R153" s="30"/>
      <c r="S153" s="33" t="str">
        <f aca="false">IF(AND(A153&lt;&gt;"",M153&gt;1),COUNTIFS($A$5:A153,"&lt;&gt;",$M$5:M153,"&gt;1"),"")</f>
        <v/>
      </c>
    </row>
    <row r="154" customFormat="false" ht="15" hidden="false" customHeight="false" outlineLevel="0" collapsed="false">
      <c r="A154" s="29"/>
      <c r="B154" s="30"/>
      <c r="C154" s="30"/>
      <c r="D154" s="30"/>
      <c r="E154" s="30"/>
      <c r="F154" s="20" t="str">
        <f aca="false">IF(E154="","",IFERROR(INDEX(Populations!$B:$B,MATCH(E154,Populations!$A:$A,0)),"ID not found"))</f>
        <v/>
      </c>
      <c r="G154" s="30"/>
      <c r="H154" s="30"/>
      <c r="I154" s="30"/>
      <c r="J154" s="30"/>
      <c r="K154" s="20" t="str">
        <f aca="false">IF(A154="","",COUNTIF('Metric to Product'!$A:$A,A154))</f>
        <v/>
      </c>
      <c r="L154" s="20" t="str">
        <f aca="false">IF(A154="","",COUNTIF('Metric to Field'!$A:$A,A154))</f>
        <v/>
      </c>
      <c r="M154" s="32" t="str">
        <f aca="false">IF(B154="","",COUNTIF($B$5:$B$254,B154))</f>
        <v/>
      </c>
      <c r="N154" s="30"/>
      <c r="O154" s="30"/>
      <c r="P154" s="30"/>
      <c r="Q154" s="30"/>
      <c r="R154" s="30"/>
      <c r="S154" s="33" t="str">
        <f aca="false">IF(AND(A154&lt;&gt;"",M154&gt;1),COUNTIFS($A$5:A154,"&lt;&gt;",$M$5:M154,"&gt;1"),"")</f>
        <v/>
      </c>
    </row>
    <row r="155" customFormat="false" ht="15" hidden="false" customHeight="false" outlineLevel="0" collapsed="false">
      <c r="A155" s="29"/>
      <c r="B155" s="30"/>
      <c r="C155" s="30"/>
      <c r="D155" s="30"/>
      <c r="E155" s="30"/>
      <c r="F155" s="20" t="str">
        <f aca="false">IF(E155="","",IFERROR(INDEX(Populations!$B:$B,MATCH(E155,Populations!$A:$A,0)),"ID not found"))</f>
        <v/>
      </c>
      <c r="G155" s="30"/>
      <c r="H155" s="30"/>
      <c r="I155" s="30"/>
      <c r="J155" s="30"/>
      <c r="K155" s="20" t="str">
        <f aca="false">IF(A155="","",COUNTIF('Metric to Product'!$A:$A,A155))</f>
        <v/>
      </c>
      <c r="L155" s="20" t="str">
        <f aca="false">IF(A155="","",COUNTIF('Metric to Field'!$A:$A,A155))</f>
        <v/>
      </c>
      <c r="M155" s="32" t="str">
        <f aca="false">IF(B155="","",COUNTIF($B$5:$B$254,B155))</f>
        <v/>
      </c>
      <c r="N155" s="30"/>
      <c r="O155" s="30"/>
      <c r="P155" s="30"/>
      <c r="Q155" s="30"/>
      <c r="R155" s="30"/>
      <c r="S155" s="33" t="str">
        <f aca="false">IF(AND(A155&lt;&gt;"",M155&gt;1),COUNTIFS($A$5:A155,"&lt;&gt;",$M$5:M155,"&gt;1"),"")</f>
        <v/>
      </c>
    </row>
    <row r="156" customFormat="false" ht="15" hidden="false" customHeight="false" outlineLevel="0" collapsed="false">
      <c r="A156" s="29"/>
      <c r="B156" s="30"/>
      <c r="C156" s="30"/>
      <c r="D156" s="30"/>
      <c r="E156" s="30"/>
      <c r="F156" s="20" t="str">
        <f aca="false">IF(E156="","",IFERROR(INDEX(Populations!$B:$B,MATCH(E156,Populations!$A:$A,0)),"ID not found"))</f>
        <v/>
      </c>
      <c r="G156" s="30"/>
      <c r="H156" s="30"/>
      <c r="I156" s="30"/>
      <c r="J156" s="30"/>
      <c r="K156" s="20" t="str">
        <f aca="false">IF(A156="","",COUNTIF('Metric to Product'!$A:$A,A156))</f>
        <v/>
      </c>
      <c r="L156" s="20" t="str">
        <f aca="false">IF(A156="","",COUNTIF('Metric to Field'!$A:$A,A156))</f>
        <v/>
      </c>
      <c r="M156" s="32" t="str">
        <f aca="false">IF(B156="","",COUNTIF($B$5:$B$254,B156))</f>
        <v/>
      </c>
      <c r="N156" s="30"/>
      <c r="O156" s="30"/>
      <c r="P156" s="30"/>
      <c r="Q156" s="30"/>
      <c r="R156" s="30"/>
      <c r="S156" s="33" t="str">
        <f aca="false">IF(AND(A156&lt;&gt;"",M156&gt;1),COUNTIFS($A$5:A156,"&lt;&gt;",$M$5:M156,"&gt;1"),"")</f>
        <v/>
      </c>
    </row>
    <row r="157" customFormat="false" ht="15" hidden="false" customHeight="false" outlineLevel="0" collapsed="false">
      <c r="A157" s="29"/>
      <c r="B157" s="30"/>
      <c r="C157" s="30"/>
      <c r="D157" s="30"/>
      <c r="E157" s="30"/>
      <c r="F157" s="20" t="str">
        <f aca="false">IF(E157="","",IFERROR(INDEX(Populations!$B:$B,MATCH(E157,Populations!$A:$A,0)),"ID not found"))</f>
        <v/>
      </c>
      <c r="G157" s="30"/>
      <c r="H157" s="30"/>
      <c r="I157" s="30"/>
      <c r="J157" s="30"/>
      <c r="K157" s="20" t="str">
        <f aca="false">IF(A157="","",COUNTIF('Metric to Product'!$A:$A,A157))</f>
        <v/>
      </c>
      <c r="L157" s="20" t="str">
        <f aca="false">IF(A157="","",COUNTIF('Metric to Field'!$A:$A,A157))</f>
        <v/>
      </c>
      <c r="M157" s="32" t="str">
        <f aca="false">IF(B157="","",COUNTIF($B$5:$B$254,B157))</f>
        <v/>
      </c>
      <c r="N157" s="30"/>
      <c r="O157" s="30"/>
      <c r="P157" s="30"/>
      <c r="Q157" s="30"/>
      <c r="R157" s="30"/>
      <c r="S157" s="33" t="str">
        <f aca="false">IF(AND(A157&lt;&gt;"",M157&gt;1),COUNTIFS($A$5:A157,"&lt;&gt;",$M$5:M157,"&gt;1"),"")</f>
        <v/>
      </c>
    </row>
    <row r="158" customFormat="false" ht="15" hidden="false" customHeight="false" outlineLevel="0" collapsed="false">
      <c r="A158" s="29"/>
      <c r="B158" s="30"/>
      <c r="C158" s="30"/>
      <c r="D158" s="30"/>
      <c r="E158" s="30"/>
      <c r="F158" s="20" t="str">
        <f aca="false">IF(E158="","",IFERROR(INDEX(Populations!$B:$B,MATCH(E158,Populations!$A:$A,0)),"ID not found"))</f>
        <v/>
      </c>
      <c r="G158" s="30"/>
      <c r="H158" s="30"/>
      <c r="I158" s="30"/>
      <c r="J158" s="30"/>
      <c r="K158" s="20" t="str">
        <f aca="false">IF(A158="","",COUNTIF('Metric to Product'!$A:$A,A158))</f>
        <v/>
      </c>
      <c r="L158" s="20" t="str">
        <f aca="false">IF(A158="","",COUNTIF('Metric to Field'!$A:$A,A158))</f>
        <v/>
      </c>
      <c r="M158" s="32" t="str">
        <f aca="false">IF(B158="","",COUNTIF($B$5:$B$254,B158))</f>
        <v/>
      </c>
      <c r="N158" s="30"/>
      <c r="O158" s="30"/>
      <c r="P158" s="30"/>
      <c r="Q158" s="30"/>
      <c r="R158" s="30"/>
      <c r="S158" s="33" t="str">
        <f aca="false">IF(AND(A158&lt;&gt;"",M158&gt;1),COUNTIFS($A$5:A158,"&lt;&gt;",$M$5:M158,"&gt;1"),"")</f>
        <v/>
      </c>
    </row>
    <row r="159" customFormat="false" ht="15" hidden="false" customHeight="false" outlineLevel="0" collapsed="false">
      <c r="A159" s="29"/>
      <c r="B159" s="30"/>
      <c r="C159" s="30"/>
      <c r="D159" s="30"/>
      <c r="E159" s="30"/>
      <c r="F159" s="20" t="str">
        <f aca="false">IF(E159="","",IFERROR(INDEX(Populations!$B:$B,MATCH(E159,Populations!$A:$A,0)),"ID not found"))</f>
        <v/>
      </c>
      <c r="G159" s="30"/>
      <c r="H159" s="30"/>
      <c r="I159" s="30"/>
      <c r="J159" s="30"/>
      <c r="K159" s="20" t="str">
        <f aca="false">IF(A159="","",COUNTIF('Metric to Product'!$A:$A,A159))</f>
        <v/>
      </c>
      <c r="L159" s="20" t="str">
        <f aca="false">IF(A159="","",COUNTIF('Metric to Field'!$A:$A,A159))</f>
        <v/>
      </c>
      <c r="M159" s="32" t="str">
        <f aca="false">IF(B159="","",COUNTIF($B$5:$B$254,B159))</f>
        <v/>
      </c>
      <c r="N159" s="30"/>
      <c r="O159" s="30"/>
      <c r="P159" s="30"/>
      <c r="Q159" s="30"/>
      <c r="R159" s="30"/>
      <c r="S159" s="33" t="str">
        <f aca="false">IF(AND(A159&lt;&gt;"",M159&gt;1),COUNTIFS($A$5:A159,"&lt;&gt;",$M$5:M159,"&gt;1"),"")</f>
        <v/>
      </c>
    </row>
    <row r="160" customFormat="false" ht="15" hidden="false" customHeight="false" outlineLevel="0" collapsed="false">
      <c r="A160" s="29"/>
      <c r="B160" s="30"/>
      <c r="C160" s="30"/>
      <c r="D160" s="30"/>
      <c r="E160" s="30"/>
      <c r="F160" s="20" t="str">
        <f aca="false">IF(E160="","",IFERROR(INDEX(Populations!$B:$B,MATCH(E160,Populations!$A:$A,0)),"ID not found"))</f>
        <v/>
      </c>
      <c r="G160" s="30"/>
      <c r="H160" s="30"/>
      <c r="I160" s="30"/>
      <c r="J160" s="30"/>
      <c r="K160" s="20" t="str">
        <f aca="false">IF(A160="","",COUNTIF('Metric to Product'!$A:$A,A160))</f>
        <v/>
      </c>
      <c r="L160" s="20" t="str">
        <f aca="false">IF(A160="","",COUNTIF('Metric to Field'!$A:$A,A160))</f>
        <v/>
      </c>
      <c r="M160" s="32" t="str">
        <f aca="false">IF(B160="","",COUNTIF($B$5:$B$254,B160))</f>
        <v/>
      </c>
      <c r="N160" s="30"/>
      <c r="O160" s="30"/>
      <c r="P160" s="30"/>
      <c r="Q160" s="30"/>
      <c r="R160" s="30"/>
      <c r="S160" s="33" t="str">
        <f aca="false">IF(AND(A160&lt;&gt;"",M160&gt;1),COUNTIFS($A$5:A160,"&lt;&gt;",$M$5:M160,"&gt;1"),"")</f>
        <v/>
      </c>
    </row>
    <row r="161" customFormat="false" ht="15" hidden="false" customHeight="false" outlineLevel="0" collapsed="false">
      <c r="A161" s="29"/>
      <c r="B161" s="30"/>
      <c r="C161" s="30"/>
      <c r="D161" s="30"/>
      <c r="E161" s="30"/>
      <c r="F161" s="20" t="str">
        <f aca="false">IF(E161="","",IFERROR(INDEX(Populations!$B:$B,MATCH(E161,Populations!$A:$A,0)),"ID not found"))</f>
        <v/>
      </c>
      <c r="G161" s="30"/>
      <c r="H161" s="30"/>
      <c r="I161" s="30"/>
      <c r="J161" s="30"/>
      <c r="K161" s="20" t="str">
        <f aca="false">IF(A161="","",COUNTIF('Metric to Product'!$A:$A,A161))</f>
        <v/>
      </c>
      <c r="L161" s="20" t="str">
        <f aca="false">IF(A161="","",COUNTIF('Metric to Field'!$A:$A,A161))</f>
        <v/>
      </c>
      <c r="M161" s="32" t="str">
        <f aca="false">IF(B161="","",COUNTIF($B$5:$B$254,B161))</f>
        <v/>
      </c>
      <c r="N161" s="30"/>
      <c r="O161" s="30"/>
      <c r="P161" s="30"/>
      <c r="Q161" s="30"/>
      <c r="R161" s="30"/>
      <c r="S161" s="33" t="str">
        <f aca="false">IF(AND(A161&lt;&gt;"",M161&gt;1),COUNTIFS($A$5:A161,"&lt;&gt;",$M$5:M161,"&gt;1"),"")</f>
        <v/>
      </c>
    </row>
    <row r="162" customFormat="false" ht="15" hidden="false" customHeight="false" outlineLevel="0" collapsed="false">
      <c r="A162" s="29"/>
      <c r="B162" s="30"/>
      <c r="C162" s="30"/>
      <c r="D162" s="30"/>
      <c r="E162" s="30"/>
      <c r="F162" s="20" t="str">
        <f aca="false">IF(E162="","",IFERROR(INDEX(Populations!$B:$B,MATCH(E162,Populations!$A:$A,0)),"ID not found"))</f>
        <v/>
      </c>
      <c r="G162" s="30"/>
      <c r="H162" s="30"/>
      <c r="I162" s="30"/>
      <c r="J162" s="30"/>
      <c r="K162" s="20" t="str">
        <f aca="false">IF(A162="","",COUNTIF('Metric to Product'!$A:$A,A162))</f>
        <v/>
      </c>
      <c r="L162" s="20" t="str">
        <f aca="false">IF(A162="","",COUNTIF('Metric to Field'!$A:$A,A162))</f>
        <v/>
      </c>
      <c r="M162" s="32" t="str">
        <f aca="false">IF(B162="","",COUNTIF($B$5:$B$254,B162))</f>
        <v/>
      </c>
      <c r="N162" s="30"/>
      <c r="O162" s="30"/>
      <c r="P162" s="30"/>
      <c r="Q162" s="30"/>
      <c r="R162" s="30"/>
      <c r="S162" s="33" t="str">
        <f aca="false">IF(AND(A162&lt;&gt;"",M162&gt;1),COUNTIFS($A$5:A162,"&lt;&gt;",$M$5:M162,"&gt;1"),"")</f>
        <v/>
      </c>
    </row>
    <row r="163" customFormat="false" ht="15" hidden="false" customHeight="false" outlineLevel="0" collapsed="false">
      <c r="A163" s="29"/>
      <c r="B163" s="30"/>
      <c r="C163" s="30"/>
      <c r="D163" s="30"/>
      <c r="E163" s="30"/>
      <c r="F163" s="20" t="str">
        <f aca="false">IF(E163="","",IFERROR(INDEX(Populations!$B:$B,MATCH(E163,Populations!$A:$A,0)),"ID not found"))</f>
        <v/>
      </c>
      <c r="G163" s="30"/>
      <c r="H163" s="30"/>
      <c r="I163" s="30"/>
      <c r="J163" s="30"/>
      <c r="K163" s="20" t="str">
        <f aca="false">IF(A163="","",COUNTIF('Metric to Product'!$A:$A,A163))</f>
        <v/>
      </c>
      <c r="L163" s="20" t="str">
        <f aca="false">IF(A163="","",COUNTIF('Metric to Field'!$A:$A,A163))</f>
        <v/>
      </c>
      <c r="M163" s="32" t="str">
        <f aca="false">IF(B163="","",COUNTIF($B$5:$B$254,B163))</f>
        <v/>
      </c>
      <c r="N163" s="30"/>
      <c r="O163" s="30"/>
      <c r="P163" s="30"/>
      <c r="Q163" s="30"/>
      <c r="R163" s="30"/>
      <c r="S163" s="33" t="str">
        <f aca="false">IF(AND(A163&lt;&gt;"",M163&gt;1),COUNTIFS($A$5:A163,"&lt;&gt;",$M$5:M163,"&gt;1"),"")</f>
        <v/>
      </c>
    </row>
    <row r="164" customFormat="false" ht="15" hidden="false" customHeight="false" outlineLevel="0" collapsed="false">
      <c r="A164" s="29"/>
      <c r="B164" s="30"/>
      <c r="C164" s="30"/>
      <c r="D164" s="30"/>
      <c r="E164" s="30"/>
      <c r="F164" s="20" t="str">
        <f aca="false">IF(E164="","",IFERROR(INDEX(Populations!$B:$B,MATCH(E164,Populations!$A:$A,0)),"ID not found"))</f>
        <v/>
      </c>
      <c r="G164" s="30"/>
      <c r="H164" s="30"/>
      <c r="I164" s="30"/>
      <c r="J164" s="30"/>
      <c r="K164" s="20" t="str">
        <f aca="false">IF(A164="","",COUNTIF('Metric to Product'!$A:$A,A164))</f>
        <v/>
      </c>
      <c r="L164" s="20" t="str">
        <f aca="false">IF(A164="","",COUNTIF('Metric to Field'!$A:$A,A164))</f>
        <v/>
      </c>
      <c r="M164" s="32" t="str">
        <f aca="false">IF(B164="","",COUNTIF($B$5:$B$254,B164))</f>
        <v/>
      </c>
      <c r="N164" s="30"/>
      <c r="O164" s="30"/>
      <c r="P164" s="30"/>
      <c r="Q164" s="30"/>
      <c r="R164" s="30"/>
      <c r="S164" s="33" t="str">
        <f aca="false">IF(AND(A164&lt;&gt;"",M164&gt;1),COUNTIFS($A$5:A164,"&lt;&gt;",$M$5:M164,"&gt;1"),"")</f>
        <v/>
      </c>
    </row>
    <row r="165" customFormat="false" ht="15" hidden="false" customHeight="false" outlineLevel="0" collapsed="false">
      <c r="A165" s="29"/>
      <c r="B165" s="30"/>
      <c r="C165" s="30"/>
      <c r="D165" s="30"/>
      <c r="E165" s="30"/>
      <c r="F165" s="20" t="str">
        <f aca="false">IF(E165="","",IFERROR(INDEX(Populations!$B:$B,MATCH(E165,Populations!$A:$A,0)),"ID not found"))</f>
        <v/>
      </c>
      <c r="G165" s="30"/>
      <c r="H165" s="30"/>
      <c r="I165" s="30"/>
      <c r="J165" s="30"/>
      <c r="K165" s="20" t="str">
        <f aca="false">IF(A165="","",COUNTIF('Metric to Product'!$A:$A,A165))</f>
        <v/>
      </c>
      <c r="L165" s="20" t="str">
        <f aca="false">IF(A165="","",COUNTIF('Metric to Field'!$A:$A,A165))</f>
        <v/>
      </c>
      <c r="M165" s="32" t="str">
        <f aca="false">IF(B165="","",COUNTIF($B$5:$B$254,B165))</f>
        <v/>
      </c>
      <c r="N165" s="30"/>
      <c r="O165" s="30"/>
      <c r="P165" s="30"/>
      <c r="Q165" s="30"/>
      <c r="R165" s="30"/>
      <c r="S165" s="33" t="str">
        <f aca="false">IF(AND(A165&lt;&gt;"",M165&gt;1),COUNTIFS($A$5:A165,"&lt;&gt;",$M$5:M165,"&gt;1"),"")</f>
        <v/>
      </c>
    </row>
    <row r="166" customFormat="false" ht="15" hidden="false" customHeight="false" outlineLevel="0" collapsed="false">
      <c r="A166" s="29"/>
      <c r="B166" s="30"/>
      <c r="C166" s="30"/>
      <c r="D166" s="30"/>
      <c r="E166" s="30"/>
      <c r="F166" s="20" t="str">
        <f aca="false">IF(E166="","",IFERROR(INDEX(Populations!$B:$B,MATCH(E166,Populations!$A:$A,0)),"ID not found"))</f>
        <v/>
      </c>
      <c r="G166" s="30"/>
      <c r="H166" s="30"/>
      <c r="I166" s="30"/>
      <c r="J166" s="30"/>
      <c r="K166" s="20" t="str">
        <f aca="false">IF(A166="","",COUNTIF('Metric to Product'!$A:$A,A166))</f>
        <v/>
      </c>
      <c r="L166" s="20" t="str">
        <f aca="false">IF(A166="","",COUNTIF('Metric to Field'!$A:$A,A166))</f>
        <v/>
      </c>
      <c r="M166" s="32" t="str">
        <f aca="false">IF(B166="","",COUNTIF($B$5:$B$254,B166))</f>
        <v/>
      </c>
      <c r="N166" s="30"/>
      <c r="O166" s="30"/>
      <c r="P166" s="30"/>
      <c r="Q166" s="30"/>
      <c r="R166" s="30"/>
      <c r="S166" s="33" t="str">
        <f aca="false">IF(AND(A166&lt;&gt;"",M166&gt;1),COUNTIFS($A$5:A166,"&lt;&gt;",$M$5:M166,"&gt;1"),"")</f>
        <v/>
      </c>
    </row>
    <row r="167" customFormat="false" ht="15" hidden="false" customHeight="false" outlineLevel="0" collapsed="false">
      <c r="A167" s="29"/>
      <c r="B167" s="30"/>
      <c r="C167" s="30"/>
      <c r="D167" s="30"/>
      <c r="E167" s="30"/>
      <c r="F167" s="20" t="str">
        <f aca="false">IF(E167="","",IFERROR(INDEX(Populations!$B:$B,MATCH(E167,Populations!$A:$A,0)),"ID not found"))</f>
        <v/>
      </c>
      <c r="G167" s="30"/>
      <c r="H167" s="30"/>
      <c r="I167" s="30"/>
      <c r="J167" s="30"/>
      <c r="K167" s="20" t="str">
        <f aca="false">IF(A167="","",COUNTIF('Metric to Product'!$A:$A,A167))</f>
        <v/>
      </c>
      <c r="L167" s="20" t="str">
        <f aca="false">IF(A167="","",COUNTIF('Metric to Field'!$A:$A,A167))</f>
        <v/>
      </c>
      <c r="M167" s="32" t="str">
        <f aca="false">IF(B167="","",COUNTIF($B$5:$B$254,B167))</f>
        <v/>
      </c>
      <c r="N167" s="30"/>
      <c r="O167" s="30"/>
      <c r="P167" s="30"/>
      <c r="Q167" s="30"/>
      <c r="R167" s="30"/>
      <c r="S167" s="33" t="str">
        <f aca="false">IF(AND(A167&lt;&gt;"",M167&gt;1),COUNTIFS($A$5:A167,"&lt;&gt;",$M$5:M167,"&gt;1"),"")</f>
        <v/>
      </c>
    </row>
    <row r="168" customFormat="false" ht="15" hidden="false" customHeight="false" outlineLevel="0" collapsed="false">
      <c r="A168" s="29"/>
      <c r="B168" s="30"/>
      <c r="C168" s="30"/>
      <c r="D168" s="30"/>
      <c r="E168" s="30"/>
      <c r="F168" s="20" t="str">
        <f aca="false">IF(E168="","",IFERROR(INDEX(Populations!$B:$B,MATCH(E168,Populations!$A:$A,0)),"ID not found"))</f>
        <v/>
      </c>
      <c r="G168" s="30"/>
      <c r="H168" s="30"/>
      <c r="I168" s="30"/>
      <c r="J168" s="30"/>
      <c r="K168" s="20" t="str">
        <f aca="false">IF(A168="","",COUNTIF('Metric to Product'!$A:$A,A168))</f>
        <v/>
      </c>
      <c r="L168" s="20" t="str">
        <f aca="false">IF(A168="","",COUNTIF('Metric to Field'!$A:$A,A168))</f>
        <v/>
      </c>
      <c r="M168" s="32" t="str">
        <f aca="false">IF(B168="","",COUNTIF($B$5:$B$254,B168))</f>
        <v/>
      </c>
      <c r="N168" s="30"/>
      <c r="O168" s="30"/>
      <c r="P168" s="30"/>
      <c r="Q168" s="30"/>
      <c r="R168" s="30"/>
      <c r="S168" s="33" t="str">
        <f aca="false">IF(AND(A168&lt;&gt;"",M168&gt;1),COUNTIFS($A$5:A168,"&lt;&gt;",$M$5:M168,"&gt;1"),"")</f>
        <v/>
      </c>
    </row>
    <row r="169" customFormat="false" ht="15" hidden="false" customHeight="false" outlineLevel="0" collapsed="false">
      <c r="A169" s="29"/>
      <c r="B169" s="30"/>
      <c r="C169" s="30"/>
      <c r="D169" s="30"/>
      <c r="E169" s="30"/>
      <c r="F169" s="20" t="str">
        <f aca="false">IF(E169="","",IFERROR(INDEX(Populations!$B:$B,MATCH(E169,Populations!$A:$A,0)),"ID not found"))</f>
        <v/>
      </c>
      <c r="G169" s="30"/>
      <c r="H169" s="30"/>
      <c r="I169" s="30"/>
      <c r="J169" s="30"/>
      <c r="K169" s="20" t="str">
        <f aca="false">IF(A169="","",COUNTIF('Metric to Product'!$A:$A,A169))</f>
        <v/>
      </c>
      <c r="L169" s="20" t="str">
        <f aca="false">IF(A169="","",COUNTIF('Metric to Field'!$A:$A,A169))</f>
        <v/>
      </c>
      <c r="M169" s="32" t="str">
        <f aca="false">IF(B169="","",COUNTIF($B$5:$B$254,B169))</f>
        <v/>
      </c>
      <c r="N169" s="30"/>
      <c r="O169" s="30"/>
      <c r="P169" s="30"/>
      <c r="Q169" s="30"/>
      <c r="R169" s="30"/>
      <c r="S169" s="33" t="str">
        <f aca="false">IF(AND(A169&lt;&gt;"",M169&gt;1),COUNTIFS($A$5:A169,"&lt;&gt;",$M$5:M169,"&gt;1"),"")</f>
        <v/>
      </c>
    </row>
    <row r="170" customFormat="false" ht="15" hidden="false" customHeight="false" outlineLevel="0" collapsed="false">
      <c r="A170" s="29"/>
      <c r="B170" s="30"/>
      <c r="C170" s="30"/>
      <c r="D170" s="30"/>
      <c r="E170" s="30"/>
      <c r="F170" s="20" t="str">
        <f aca="false">IF(E170="","",IFERROR(INDEX(Populations!$B:$B,MATCH(E170,Populations!$A:$A,0)),"ID not found"))</f>
        <v/>
      </c>
      <c r="G170" s="30"/>
      <c r="H170" s="30"/>
      <c r="I170" s="30"/>
      <c r="J170" s="30"/>
      <c r="K170" s="20" t="str">
        <f aca="false">IF(A170="","",COUNTIF('Metric to Product'!$A:$A,A170))</f>
        <v/>
      </c>
      <c r="L170" s="20" t="str">
        <f aca="false">IF(A170="","",COUNTIF('Metric to Field'!$A:$A,A170))</f>
        <v/>
      </c>
      <c r="M170" s="32" t="str">
        <f aca="false">IF(B170="","",COUNTIF($B$5:$B$254,B170))</f>
        <v/>
      </c>
      <c r="N170" s="30"/>
      <c r="O170" s="30"/>
      <c r="P170" s="30"/>
      <c r="Q170" s="30"/>
      <c r="R170" s="30"/>
      <c r="S170" s="33" t="str">
        <f aca="false">IF(AND(A170&lt;&gt;"",M170&gt;1),COUNTIFS($A$5:A170,"&lt;&gt;",$M$5:M170,"&gt;1"),"")</f>
        <v/>
      </c>
    </row>
    <row r="171" customFormat="false" ht="15" hidden="false" customHeight="false" outlineLevel="0" collapsed="false">
      <c r="A171" s="29"/>
      <c r="B171" s="30"/>
      <c r="C171" s="30"/>
      <c r="D171" s="30"/>
      <c r="E171" s="30"/>
      <c r="F171" s="20" t="str">
        <f aca="false">IF(E171="","",IFERROR(INDEX(Populations!$B:$B,MATCH(E171,Populations!$A:$A,0)),"ID not found"))</f>
        <v/>
      </c>
      <c r="G171" s="30"/>
      <c r="H171" s="30"/>
      <c r="I171" s="30"/>
      <c r="J171" s="30"/>
      <c r="K171" s="20" t="str">
        <f aca="false">IF(A171="","",COUNTIF('Metric to Product'!$A:$A,A171))</f>
        <v/>
      </c>
      <c r="L171" s="20" t="str">
        <f aca="false">IF(A171="","",COUNTIF('Metric to Field'!$A:$A,A171))</f>
        <v/>
      </c>
      <c r="M171" s="32" t="str">
        <f aca="false">IF(B171="","",COUNTIF($B$5:$B$254,B171))</f>
        <v/>
      </c>
      <c r="N171" s="30"/>
      <c r="O171" s="30"/>
      <c r="P171" s="30"/>
      <c r="Q171" s="30"/>
      <c r="R171" s="30"/>
      <c r="S171" s="33" t="str">
        <f aca="false">IF(AND(A171&lt;&gt;"",M171&gt;1),COUNTIFS($A$5:A171,"&lt;&gt;",$M$5:M171,"&gt;1"),"")</f>
        <v/>
      </c>
    </row>
    <row r="172" customFormat="false" ht="15" hidden="false" customHeight="false" outlineLevel="0" collapsed="false">
      <c r="A172" s="29"/>
      <c r="B172" s="30"/>
      <c r="C172" s="30"/>
      <c r="D172" s="30"/>
      <c r="E172" s="30"/>
      <c r="F172" s="20" t="str">
        <f aca="false">IF(E172="","",IFERROR(INDEX(Populations!$B:$B,MATCH(E172,Populations!$A:$A,0)),"ID not found"))</f>
        <v/>
      </c>
      <c r="G172" s="30"/>
      <c r="H172" s="30"/>
      <c r="I172" s="30"/>
      <c r="J172" s="30"/>
      <c r="K172" s="20" t="str">
        <f aca="false">IF(A172="","",COUNTIF('Metric to Product'!$A:$A,A172))</f>
        <v/>
      </c>
      <c r="L172" s="20" t="str">
        <f aca="false">IF(A172="","",COUNTIF('Metric to Field'!$A:$A,A172))</f>
        <v/>
      </c>
      <c r="M172" s="32" t="str">
        <f aca="false">IF(B172="","",COUNTIF($B$5:$B$254,B172))</f>
        <v/>
      </c>
      <c r="N172" s="30"/>
      <c r="O172" s="30"/>
      <c r="P172" s="30"/>
      <c r="Q172" s="30"/>
      <c r="R172" s="30"/>
      <c r="S172" s="33" t="str">
        <f aca="false">IF(AND(A172&lt;&gt;"",M172&gt;1),COUNTIFS($A$5:A172,"&lt;&gt;",$M$5:M172,"&gt;1"),"")</f>
        <v/>
      </c>
    </row>
    <row r="173" customFormat="false" ht="15" hidden="false" customHeight="false" outlineLevel="0" collapsed="false">
      <c r="A173" s="29"/>
      <c r="B173" s="30"/>
      <c r="C173" s="30"/>
      <c r="D173" s="30"/>
      <c r="E173" s="30"/>
      <c r="F173" s="20" t="str">
        <f aca="false">IF(E173="","",IFERROR(INDEX(Populations!$B:$B,MATCH(E173,Populations!$A:$A,0)),"ID not found"))</f>
        <v/>
      </c>
      <c r="G173" s="30"/>
      <c r="H173" s="30"/>
      <c r="I173" s="30"/>
      <c r="J173" s="30"/>
      <c r="K173" s="20" t="str">
        <f aca="false">IF(A173="","",COUNTIF('Metric to Product'!$A:$A,A173))</f>
        <v/>
      </c>
      <c r="L173" s="20" t="str">
        <f aca="false">IF(A173="","",COUNTIF('Metric to Field'!$A:$A,A173))</f>
        <v/>
      </c>
      <c r="M173" s="32" t="str">
        <f aca="false">IF(B173="","",COUNTIF($B$5:$B$254,B173))</f>
        <v/>
      </c>
      <c r="N173" s="30"/>
      <c r="O173" s="30"/>
      <c r="P173" s="30"/>
      <c r="Q173" s="30"/>
      <c r="R173" s="30"/>
      <c r="S173" s="33" t="str">
        <f aca="false">IF(AND(A173&lt;&gt;"",M173&gt;1),COUNTIFS($A$5:A173,"&lt;&gt;",$M$5:M173,"&gt;1"),"")</f>
        <v/>
      </c>
    </row>
    <row r="174" customFormat="false" ht="15" hidden="false" customHeight="false" outlineLevel="0" collapsed="false">
      <c r="A174" s="29"/>
      <c r="B174" s="30"/>
      <c r="C174" s="30"/>
      <c r="D174" s="30"/>
      <c r="E174" s="30"/>
      <c r="F174" s="20" t="str">
        <f aca="false">IF(E174="","",IFERROR(INDEX(Populations!$B:$B,MATCH(E174,Populations!$A:$A,0)),"ID not found"))</f>
        <v/>
      </c>
      <c r="G174" s="30"/>
      <c r="H174" s="30"/>
      <c r="I174" s="30"/>
      <c r="J174" s="30"/>
      <c r="K174" s="20" t="str">
        <f aca="false">IF(A174="","",COUNTIF('Metric to Product'!$A:$A,A174))</f>
        <v/>
      </c>
      <c r="L174" s="20" t="str">
        <f aca="false">IF(A174="","",COUNTIF('Metric to Field'!$A:$A,A174))</f>
        <v/>
      </c>
      <c r="M174" s="32" t="str">
        <f aca="false">IF(B174="","",COUNTIF($B$5:$B$254,B174))</f>
        <v/>
      </c>
      <c r="N174" s="30"/>
      <c r="O174" s="30"/>
      <c r="P174" s="30"/>
      <c r="Q174" s="30"/>
      <c r="R174" s="30"/>
      <c r="S174" s="33" t="str">
        <f aca="false">IF(AND(A174&lt;&gt;"",M174&gt;1),COUNTIFS($A$5:A174,"&lt;&gt;",$M$5:M174,"&gt;1"),"")</f>
        <v/>
      </c>
    </row>
    <row r="175" customFormat="false" ht="15" hidden="false" customHeight="false" outlineLevel="0" collapsed="false">
      <c r="A175" s="29"/>
      <c r="B175" s="30"/>
      <c r="C175" s="30"/>
      <c r="D175" s="30"/>
      <c r="E175" s="30"/>
      <c r="F175" s="20" t="str">
        <f aca="false">IF(E175="","",IFERROR(INDEX(Populations!$B:$B,MATCH(E175,Populations!$A:$A,0)),"ID not found"))</f>
        <v/>
      </c>
      <c r="G175" s="30"/>
      <c r="H175" s="30"/>
      <c r="I175" s="30"/>
      <c r="J175" s="30"/>
      <c r="K175" s="20" t="str">
        <f aca="false">IF(A175="","",COUNTIF('Metric to Product'!$A:$A,A175))</f>
        <v/>
      </c>
      <c r="L175" s="20" t="str">
        <f aca="false">IF(A175="","",COUNTIF('Metric to Field'!$A:$A,A175))</f>
        <v/>
      </c>
      <c r="M175" s="32" t="str">
        <f aca="false">IF(B175="","",COUNTIF($B$5:$B$254,B175))</f>
        <v/>
      </c>
      <c r="N175" s="30"/>
      <c r="O175" s="30"/>
      <c r="P175" s="30"/>
      <c r="Q175" s="30"/>
      <c r="R175" s="30"/>
      <c r="S175" s="33" t="str">
        <f aca="false">IF(AND(A175&lt;&gt;"",M175&gt;1),COUNTIFS($A$5:A175,"&lt;&gt;",$M$5:M175,"&gt;1"),"")</f>
        <v/>
      </c>
    </row>
    <row r="176" customFormat="false" ht="15" hidden="false" customHeight="false" outlineLevel="0" collapsed="false">
      <c r="A176" s="29"/>
      <c r="B176" s="30"/>
      <c r="C176" s="30"/>
      <c r="D176" s="30"/>
      <c r="E176" s="30"/>
      <c r="F176" s="20" t="str">
        <f aca="false">IF(E176="","",IFERROR(INDEX(Populations!$B:$B,MATCH(E176,Populations!$A:$A,0)),"ID not found"))</f>
        <v/>
      </c>
      <c r="G176" s="30"/>
      <c r="H176" s="30"/>
      <c r="I176" s="30"/>
      <c r="J176" s="30"/>
      <c r="K176" s="20" t="str">
        <f aca="false">IF(A176="","",COUNTIF('Metric to Product'!$A:$A,A176))</f>
        <v/>
      </c>
      <c r="L176" s="20" t="str">
        <f aca="false">IF(A176="","",COUNTIF('Metric to Field'!$A:$A,A176))</f>
        <v/>
      </c>
      <c r="M176" s="32" t="str">
        <f aca="false">IF(B176="","",COUNTIF($B$5:$B$254,B176))</f>
        <v/>
      </c>
      <c r="N176" s="30"/>
      <c r="O176" s="30"/>
      <c r="P176" s="30"/>
      <c r="Q176" s="30"/>
      <c r="R176" s="30"/>
      <c r="S176" s="33" t="str">
        <f aca="false">IF(AND(A176&lt;&gt;"",M176&gt;1),COUNTIFS($A$5:A176,"&lt;&gt;",$M$5:M176,"&gt;1"),"")</f>
        <v/>
      </c>
    </row>
    <row r="177" customFormat="false" ht="15" hidden="false" customHeight="false" outlineLevel="0" collapsed="false">
      <c r="A177" s="29"/>
      <c r="B177" s="30"/>
      <c r="C177" s="30"/>
      <c r="D177" s="30"/>
      <c r="E177" s="30"/>
      <c r="F177" s="20" t="str">
        <f aca="false">IF(E177="","",IFERROR(INDEX(Populations!$B:$B,MATCH(E177,Populations!$A:$A,0)),"ID not found"))</f>
        <v/>
      </c>
      <c r="G177" s="30"/>
      <c r="H177" s="30"/>
      <c r="I177" s="30"/>
      <c r="J177" s="30"/>
      <c r="K177" s="20" t="str">
        <f aca="false">IF(A177="","",COUNTIF('Metric to Product'!$A:$A,A177))</f>
        <v/>
      </c>
      <c r="L177" s="20" t="str">
        <f aca="false">IF(A177="","",COUNTIF('Metric to Field'!$A:$A,A177))</f>
        <v/>
      </c>
      <c r="M177" s="32" t="str">
        <f aca="false">IF(B177="","",COUNTIF($B$5:$B$254,B177))</f>
        <v/>
      </c>
      <c r="N177" s="30"/>
      <c r="O177" s="30"/>
      <c r="P177" s="30"/>
      <c r="Q177" s="30"/>
      <c r="R177" s="30"/>
      <c r="S177" s="33" t="str">
        <f aca="false">IF(AND(A177&lt;&gt;"",M177&gt;1),COUNTIFS($A$5:A177,"&lt;&gt;",$M$5:M177,"&gt;1"),"")</f>
        <v/>
      </c>
    </row>
    <row r="178" customFormat="false" ht="15" hidden="false" customHeight="false" outlineLevel="0" collapsed="false">
      <c r="A178" s="29"/>
      <c r="B178" s="30"/>
      <c r="C178" s="30"/>
      <c r="D178" s="30"/>
      <c r="E178" s="30"/>
      <c r="F178" s="20" t="str">
        <f aca="false">IF(E178="","",IFERROR(INDEX(Populations!$B:$B,MATCH(E178,Populations!$A:$A,0)),"ID not found"))</f>
        <v/>
      </c>
      <c r="G178" s="30"/>
      <c r="H178" s="30"/>
      <c r="I178" s="30"/>
      <c r="J178" s="30"/>
      <c r="K178" s="20" t="str">
        <f aca="false">IF(A178="","",COUNTIF('Metric to Product'!$A:$A,A178))</f>
        <v/>
      </c>
      <c r="L178" s="20" t="str">
        <f aca="false">IF(A178="","",COUNTIF('Metric to Field'!$A:$A,A178))</f>
        <v/>
      </c>
      <c r="M178" s="32" t="str">
        <f aca="false">IF(B178="","",COUNTIF($B$5:$B$254,B178))</f>
        <v/>
      </c>
      <c r="N178" s="30"/>
      <c r="O178" s="30"/>
      <c r="P178" s="30"/>
      <c r="Q178" s="30"/>
      <c r="R178" s="30"/>
      <c r="S178" s="33" t="str">
        <f aca="false">IF(AND(A178&lt;&gt;"",M178&gt;1),COUNTIFS($A$5:A178,"&lt;&gt;",$M$5:M178,"&gt;1"),"")</f>
        <v/>
      </c>
    </row>
    <row r="179" customFormat="false" ht="15" hidden="false" customHeight="false" outlineLevel="0" collapsed="false">
      <c r="A179" s="29"/>
      <c r="B179" s="30"/>
      <c r="C179" s="30"/>
      <c r="D179" s="30"/>
      <c r="E179" s="30"/>
      <c r="F179" s="20" t="str">
        <f aca="false">IF(E179="","",IFERROR(INDEX(Populations!$B:$B,MATCH(E179,Populations!$A:$A,0)),"ID not found"))</f>
        <v/>
      </c>
      <c r="G179" s="30"/>
      <c r="H179" s="30"/>
      <c r="I179" s="30"/>
      <c r="J179" s="30"/>
      <c r="K179" s="20" t="str">
        <f aca="false">IF(A179="","",COUNTIF('Metric to Product'!$A:$A,A179))</f>
        <v/>
      </c>
      <c r="L179" s="20" t="str">
        <f aca="false">IF(A179="","",COUNTIF('Metric to Field'!$A:$A,A179))</f>
        <v/>
      </c>
      <c r="M179" s="32" t="str">
        <f aca="false">IF(B179="","",COUNTIF($B$5:$B$254,B179))</f>
        <v/>
      </c>
      <c r="N179" s="30"/>
      <c r="O179" s="30"/>
      <c r="P179" s="30"/>
      <c r="Q179" s="30"/>
      <c r="R179" s="30"/>
      <c r="S179" s="33" t="str">
        <f aca="false">IF(AND(A179&lt;&gt;"",M179&gt;1),COUNTIFS($A$5:A179,"&lt;&gt;",$M$5:M179,"&gt;1"),"")</f>
        <v/>
      </c>
    </row>
    <row r="180" customFormat="false" ht="15" hidden="false" customHeight="false" outlineLevel="0" collapsed="false">
      <c r="A180" s="29"/>
      <c r="B180" s="30"/>
      <c r="C180" s="30"/>
      <c r="D180" s="30"/>
      <c r="E180" s="30"/>
      <c r="F180" s="20" t="str">
        <f aca="false">IF(E180="","",IFERROR(INDEX(Populations!$B:$B,MATCH(E180,Populations!$A:$A,0)),"ID not found"))</f>
        <v/>
      </c>
      <c r="G180" s="30"/>
      <c r="H180" s="30"/>
      <c r="I180" s="30"/>
      <c r="J180" s="30"/>
      <c r="K180" s="20" t="str">
        <f aca="false">IF(A180="","",COUNTIF('Metric to Product'!$A:$A,A180))</f>
        <v/>
      </c>
      <c r="L180" s="20" t="str">
        <f aca="false">IF(A180="","",COUNTIF('Metric to Field'!$A:$A,A180))</f>
        <v/>
      </c>
      <c r="M180" s="32" t="str">
        <f aca="false">IF(B180="","",COUNTIF($B$5:$B$254,B180))</f>
        <v/>
      </c>
      <c r="N180" s="30"/>
      <c r="O180" s="30"/>
      <c r="P180" s="30"/>
      <c r="Q180" s="30"/>
      <c r="R180" s="30"/>
      <c r="S180" s="33" t="str">
        <f aca="false">IF(AND(A180&lt;&gt;"",M180&gt;1),COUNTIFS($A$5:A180,"&lt;&gt;",$M$5:M180,"&gt;1"),"")</f>
        <v/>
      </c>
    </row>
    <row r="181" customFormat="false" ht="15" hidden="false" customHeight="false" outlineLevel="0" collapsed="false">
      <c r="A181" s="29"/>
      <c r="B181" s="30"/>
      <c r="C181" s="30"/>
      <c r="D181" s="30"/>
      <c r="E181" s="30"/>
      <c r="F181" s="20" t="str">
        <f aca="false">IF(E181="","",IFERROR(INDEX(Populations!$B:$B,MATCH(E181,Populations!$A:$A,0)),"ID not found"))</f>
        <v/>
      </c>
      <c r="G181" s="30"/>
      <c r="H181" s="30"/>
      <c r="I181" s="30"/>
      <c r="J181" s="30"/>
      <c r="K181" s="20" t="str">
        <f aca="false">IF(A181="","",COUNTIF('Metric to Product'!$A:$A,A181))</f>
        <v/>
      </c>
      <c r="L181" s="20" t="str">
        <f aca="false">IF(A181="","",COUNTIF('Metric to Field'!$A:$A,A181))</f>
        <v/>
      </c>
      <c r="M181" s="32" t="str">
        <f aca="false">IF(B181="","",COUNTIF($B$5:$B$254,B181))</f>
        <v/>
      </c>
      <c r="N181" s="30"/>
      <c r="O181" s="30"/>
      <c r="P181" s="30"/>
      <c r="Q181" s="30"/>
      <c r="R181" s="30"/>
      <c r="S181" s="33" t="str">
        <f aca="false">IF(AND(A181&lt;&gt;"",M181&gt;1),COUNTIFS($A$5:A181,"&lt;&gt;",$M$5:M181,"&gt;1"),"")</f>
        <v/>
      </c>
    </row>
    <row r="182" customFormat="false" ht="15" hidden="false" customHeight="false" outlineLevel="0" collapsed="false">
      <c r="A182" s="29"/>
      <c r="B182" s="30"/>
      <c r="C182" s="30"/>
      <c r="D182" s="30"/>
      <c r="E182" s="30"/>
      <c r="F182" s="20" t="str">
        <f aca="false">IF(E182="","",IFERROR(INDEX(Populations!$B:$B,MATCH(E182,Populations!$A:$A,0)),"ID not found"))</f>
        <v/>
      </c>
      <c r="G182" s="30"/>
      <c r="H182" s="30"/>
      <c r="I182" s="30"/>
      <c r="J182" s="30"/>
      <c r="K182" s="20" t="str">
        <f aca="false">IF(A182="","",COUNTIF('Metric to Product'!$A:$A,A182))</f>
        <v/>
      </c>
      <c r="L182" s="20" t="str">
        <f aca="false">IF(A182="","",COUNTIF('Metric to Field'!$A:$A,A182))</f>
        <v/>
      </c>
      <c r="M182" s="32" t="str">
        <f aca="false">IF(B182="","",COUNTIF($B$5:$B$254,B182))</f>
        <v/>
      </c>
      <c r="N182" s="30"/>
      <c r="O182" s="30"/>
      <c r="P182" s="30"/>
      <c r="Q182" s="30"/>
      <c r="R182" s="30"/>
      <c r="S182" s="33" t="str">
        <f aca="false">IF(AND(A182&lt;&gt;"",M182&gt;1),COUNTIFS($A$5:A182,"&lt;&gt;",$M$5:M182,"&gt;1"),"")</f>
        <v/>
      </c>
    </row>
    <row r="183" customFormat="false" ht="15" hidden="false" customHeight="false" outlineLevel="0" collapsed="false">
      <c r="A183" s="29"/>
      <c r="B183" s="30"/>
      <c r="C183" s="30"/>
      <c r="D183" s="30"/>
      <c r="E183" s="30"/>
      <c r="F183" s="20" t="str">
        <f aca="false">IF(E183="","",IFERROR(INDEX(Populations!$B:$B,MATCH(E183,Populations!$A:$A,0)),"ID not found"))</f>
        <v/>
      </c>
      <c r="G183" s="30"/>
      <c r="H183" s="30"/>
      <c r="I183" s="30"/>
      <c r="J183" s="30"/>
      <c r="K183" s="20" t="str">
        <f aca="false">IF(A183="","",COUNTIF('Metric to Product'!$A:$A,A183))</f>
        <v/>
      </c>
      <c r="L183" s="20" t="str">
        <f aca="false">IF(A183="","",COUNTIF('Metric to Field'!$A:$A,A183))</f>
        <v/>
      </c>
      <c r="M183" s="32" t="str">
        <f aca="false">IF(B183="","",COUNTIF($B$5:$B$254,B183))</f>
        <v/>
      </c>
      <c r="N183" s="30"/>
      <c r="O183" s="30"/>
      <c r="P183" s="30"/>
      <c r="Q183" s="30"/>
      <c r="R183" s="30"/>
      <c r="S183" s="33" t="str">
        <f aca="false">IF(AND(A183&lt;&gt;"",M183&gt;1),COUNTIFS($A$5:A183,"&lt;&gt;",$M$5:M183,"&gt;1"),"")</f>
        <v/>
      </c>
    </row>
    <row r="184" customFormat="false" ht="15" hidden="false" customHeight="false" outlineLevel="0" collapsed="false">
      <c r="A184" s="29"/>
      <c r="B184" s="30"/>
      <c r="C184" s="30"/>
      <c r="D184" s="30"/>
      <c r="E184" s="30"/>
      <c r="F184" s="20" t="str">
        <f aca="false">IF(E184="","",IFERROR(INDEX(Populations!$B:$B,MATCH(E184,Populations!$A:$A,0)),"ID not found"))</f>
        <v/>
      </c>
      <c r="G184" s="30"/>
      <c r="H184" s="30"/>
      <c r="I184" s="30"/>
      <c r="J184" s="30"/>
      <c r="K184" s="20" t="str">
        <f aca="false">IF(A184="","",COUNTIF('Metric to Product'!$A:$A,A184))</f>
        <v/>
      </c>
      <c r="L184" s="20" t="str">
        <f aca="false">IF(A184="","",COUNTIF('Metric to Field'!$A:$A,A184))</f>
        <v/>
      </c>
      <c r="M184" s="32" t="str">
        <f aca="false">IF(B184="","",COUNTIF($B$5:$B$254,B184))</f>
        <v/>
      </c>
      <c r="N184" s="30"/>
      <c r="O184" s="30"/>
      <c r="P184" s="30"/>
      <c r="Q184" s="30"/>
      <c r="R184" s="30"/>
      <c r="S184" s="33" t="str">
        <f aca="false">IF(AND(A184&lt;&gt;"",M184&gt;1),COUNTIFS($A$5:A184,"&lt;&gt;",$M$5:M184,"&gt;1"),"")</f>
        <v/>
      </c>
    </row>
    <row r="185" customFormat="false" ht="15" hidden="false" customHeight="false" outlineLevel="0" collapsed="false">
      <c r="A185" s="29"/>
      <c r="B185" s="30"/>
      <c r="C185" s="30"/>
      <c r="D185" s="30"/>
      <c r="E185" s="30"/>
      <c r="F185" s="20" t="str">
        <f aca="false">IF(E185="","",IFERROR(INDEX(Populations!$B:$B,MATCH(E185,Populations!$A:$A,0)),"ID not found"))</f>
        <v/>
      </c>
      <c r="G185" s="30"/>
      <c r="H185" s="30"/>
      <c r="I185" s="30"/>
      <c r="J185" s="30"/>
      <c r="K185" s="20" t="str">
        <f aca="false">IF(A185="","",COUNTIF('Metric to Product'!$A:$A,A185))</f>
        <v/>
      </c>
      <c r="L185" s="20" t="str">
        <f aca="false">IF(A185="","",COUNTIF('Metric to Field'!$A:$A,A185))</f>
        <v/>
      </c>
      <c r="M185" s="32" t="str">
        <f aca="false">IF(B185="","",COUNTIF($B$5:$B$254,B185))</f>
        <v/>
      </c>
      <c r="N185" s="30"/>
      <c r="O185" s="30"/>
      <c r="P185" s="30"/>
      <c r="Q185" s="30"/>
      <c r="R185" s="30"/>
      <c r="S185" s="33" t="str">
        <f aca="false">IF(AND(A185&lt;&gt;"",M185&gt;1),COUNTIFS($A$5:A185,"&lt;&gt;",$M$5:M185,"&gt;1"),"")</f>
        <v/>
      </c>
    </row>
    <row r="186" customFormat="false" ht="15" hidden="false" customHeight="false" outlineLevel="0" collapsed="false">
      <c r="A186" s="29"/>
      <c r="B186" s="30"/>
      <c r="C186" s="30"/>
      <c r="D186" s="30"/>
      <c r="E186" s="30"/>
      <c r="F186" s="20" t="str">
        <f aca="false">IF(E186="","",IFERROR(INDEX(Populations!$B:$B,MATCH(E186,Populations!$A:$A,0)),"ID not found"))</f>
        <v/>
      </c>
      <c r="G186" s="30"/>
      <c r="H186" s="30"/>
      <c r="I186" s="30"/>
      <c r="J186" s="30"/>
      <c r="K186" s="20" t="str">
        <f aca="false">IF(A186="","",COUNTIF('Metric to Product'!$A:$A,A186))</f>
        <v/>
      </c>
      <c r="L186" s="20" t="str">
        <f aca="false">IF(A186="","",COUNTIF('Metric to Field'!$A:$A,A186))</f>
        <v/>
      </c>
      <c r="M186" s="32" t="str">
        <f aca="false">IF(B186="","",COUNTIF($B$5:$B$254,B186))</f>
        <v/>
      </c>
      <c r="N186" s="30"/>
      <c r="O186" s="30"/>
      <c r="P186" s="30"/>
      <c r="Q186" s="30"/>
      <c r="R186" s="30"/>
      <c r="S186" s="33" t="str">
        <f aca="false">IF(AND(A186&lt;&gt;"",M186&gt;1),COUNTIFS($A$5:A186,"&lt;&gt;",$M$5:M186,"&gt;1"),"")</f>
        <v/>
      </c>
    </row>
    <row r="187" customFormat="false" ht="15" hidden="false" customHeight="false" outlineLevel="0" collapsed="false">
      <c r="A187" s="29"/>
      <c r="B187" s="30"/>
      <c r="C187" s="30"/>
      <c r="D187" s="30"/>
      <c r="E187" s="30"/>
      <c r="F187" s="20" t="str">
        <f aca="false">IF(E187="","",IFERROR(INDEX(Populations!$B:$B,MATCH(E187,Populations!$A:$A,0)),"ID not found"))</f>
        <v/>
      </c>
      <c r="G187" s="30"/>
      <c r="H187" s="30"/>
      <c r="I187" s="30"/>
      <c r="J187" s="30"/>
      <c r="K187" s="20" t="str">
        <f aca="false">IF(A187="","",COUNTIF('Metric to Product'!$A:$A,A187))</f>
        <v/>
      </c>
      <c r="L187" s="20" t="str">
        <f aca="false">IF(A187="","",COUNTIF('Metric to Field'!$A:$A,A187))</f>
        <v/>
      </c>
      <c r="M187" s="32" t="str">
        <f aca="false">IF(B187="","",COUNTIF($B$5:$B$254,B187))</f>
        <v/>
      </c>
      <c r="N187" s="30"/>
      <c r="O187" s="30"/>
      <c r="P187" s="30"/>
      <c r="Q187" s="30"/>
      <c r="R187" s="30"/>
      <c r="S187" s="33" t="str">
        <f aca="false">IF(AND(A187&lt;&gt;"",M187&gt;1),COUNTIFS($A$5:A187,"&lt;&gt;",$M$5:M187,"&gt;1"),"")</f>
        <v/>
      </c>
    </row>
    <row r="188" customFormat="false" ht="15" hidden="false" customHeight="false" outlineLevel="0" collapsed="false">
      <c r="A188" s="29"/>
      <c r="B188" s="30"/>
      <c r="C188" s="30"/>
      <c r="D188" s="30"/>
      <c r="E188" s="30"/>
      <c r="F188" s="20" t="str">
        <f aca="false">IF(E188="","",IFERROR(INDEX(Populations!$B:$B,MATCH(E188,Populations!$A:$A,0)),"ID not found"))</f>
        <v/>
      </c>
      <c r="G188" s="30"/>
      <c r="H188" s="30"/>
      <c r="I188" s="30"/>
      <c r="J188" s="30"/>
      <c r="K188" s="20" t="str">
        <f aca="false">IF(A188="","",COUNTIF('Metric to Product'!$A:$A,A188))</f>
        <v/>
      </c>
      <c r="L188" s="20" t="str">
        <f aca="false">IF(A188="","",COUNTIF('Metric to Field'!$A:$A,A188))</f>
        <v/>
      </c>
      <c r="M188" s="32" t="str">
        <f aca="false">IF(B188="","",COUNTIF($B$5:$B$254,B188))</f>
        <v/>
      </c>
      <c r="N188" s="30"/>
      <c r="O188" s="30"/>
      <c r="P188" s="30"/>
      <c r="Q188" s="30"/>
      <c r="R188" s="30"/>
      <c r="S188" s="33" t="str">
        <f aca="false">IF(AND(A188&lt;&gt;"",M188&gt;1),COUNTIFS($A$5:A188,"&lt;&gt;",$M$5:M188,"&gt;1"),"")</f>
        <v/>
      </c>
    </row>
    <row r="189" customFormat="false" ht="15" hidden="false" customHeight="false" outlineLevel="0" collapsed="false">
      <c r="A189" s="29"/>
      <c r="B189" s="30"/>
      <c r="C189" s="30"/>
      <c r="D189" s="30"/>
      <c r="E189" s="30"/>
      <c r="F189" s="20" t="str">
        <f aca="false">IF(E189="","",IFERROR(INDEX(Populations!$B:$B,MATCH(E189,Populations!$A:$A,0)),"ID not found"))</f>
        <v/>
      </c>
      <c r="G189" s="30"/>
      <c r="H189" s="30"/>
      <c r="I189" s="30"/>
      <c r="J189" s="30"/>
      <c r="K189" s="20" t="str">
        <f aca="false">IF(A189="","",COUNTIF('Metric to Product'!$A:$A,A189))</f>
        <v/>
      </c>
      <c r="L189" s="20" t="str">
        <f aca="false">IF(A189="","",COUNTIF('Metric to Field'!$A:$A,A189))</f>
        <v/>
      </c>
      <c r="M189" s="32" t="str">
        <f aca="false">IF(B189="","",COUNTIF($B$5:$B$254,B189))</f>
        <v/>
      </c>
      <c r="N189" s="30"/>
      <c r="O189" s="30"/>
      <c r="P189" s="30"/>
      <c r="Q189" s="30"/>
      <c r="R189" s="30"/>
      <c r="S189" s="33" t="str">
        <f aca="false">IF(AND(A189&lt;&gt;"",M189&gt;1),COUNTIFS($A$5:A189,"&lt;&gt;",$M$5:M189,"&gt;1"),"")</f>
        <v/>
      </c>
    </row>
    <row r="190" customFormat="false" ht="15" hidden="false" customHeight="false" outlineLevel="0" collapsed="false">
      <c r="A190" s="29"/>
      <c r="B190" s="30"/>
      <c r="C190" s="30"/>
      <c r="D190" s="30"/>
      <c r="E190" s="30"/>
      <c r="F190" s="20" t="str">
        <f aca="false">IF(E190="","",IFERROR(INDEX(Populations!$B:$B,MATCH(E190,Populations!$A:$A,0)),"ID not found"))</f>
        <v/>
      </c>
      <c r="G190" s="30"/>
      <c r="H190" s="30"/>
      <c r="I190" s="30"/>
      <c r="J190" s="30"/>
      <c r="K190" s="20" t="str">
        <f aca="false">IF(A190="","",COUNTIF('Metric to Product'!$A:$A,A190))</f>
        <v/>
      </c>
      <c r="L190" s="20" t="str">
        <f aca="false">IF(A190="","",COUNTIF('Metric to Field'!$A:$A,A190))</f>
        <v/>
      </c>
      <c r="M190" s="32" t="str">
        <f aca="false">IF(B190="","",COUNTIF($B$5:$B$254,B190))</f>
        <v/>
      </c>
      <c r="N190" s="30"/>
      <c r="O190" s="30"/>
      <c r="P190" s="30"/>
      <c r="Q190" s="30"/>
      <c r="R190" s="30"/>
      <c r="S190" s="33" t="str">
        <f aca="false">IF(AND(A190&lt;&gt;"",M190&gt;1),COUNTIFS($A$5:A190,"&lt;&gt;",$M$5:M190,"&gt;1"),"")</f>
        <v/>
      </c>
    </row>
    <row r="191" customFormat="false" ht="15" hidden="false" customHeight="false" outlineLevel="0" collapsed="false">
      <c r="A191" s="29"/>
      <c r="B191" s="30"/>
      <c r="C191" s="30"/>
      <c r="D191" s="30"/>
      <c r="E191" s="30"/>
      <c r="F191" s="20" t="str">
        <f aca="false">IF(E191="","",IFERROR(INDEX(Populations!$B:$B,MATCH(E191,Populations!$A:$A,0)),"ID not found"))</f>
        <v/>
      </c>
      <c r="G191" s="30"/>
      <c r="H191" s="30"/>
      <c r="I191" s="30"/>
      <c r="J191" s="30"/>
      <c r="K191" s="20" t="str">
        <f aca="false">IF(A191="","",COUNTIF('Metric to Product'!$A:$A,A191))</f>
        <v/>
      </c>
      <c r="L191" s="20" t="str">
        <f aca="false">IF(A191="","",COUNTIF('Metric to Field'!$A:$A,A191))</f>
        <v/>
      </c>
      <c r="M191" s="32" t="str">
        <f aca="false">IF(B191="","",COUNTIF($B$5:$B$254,B191))</f>
        <v/>
      </c>
      <c r="N191" s="30"/>
      <c r="O191" s="30"/>
      <c r="P191" s="30"/>
      <c r="Q191" s="30"/>
      <c r="R191" s="30"/>
      <c r="S191" s="33" t="str">
        <f aca="false">IF(AND(A191&lt;&gt;"",M191&gt;1),COUNTIFS($A$5:A191,"&lt;&gt;",$M$5:M191,"&gt;1"),"")</f>
        <v/>
      </c>
    </row>
    <row r="192" customFormat="false" ht="15" hidden="false" customHeight="false" outlineLevel="0" collapsed="false">
      <c r="A192" s="29"/>
      <c r="B192" s="30"/>
      <c r="C192" s="30"/>
      <c r="D192" s="30"/>
      <c r="E192" s="30"/>
      <c r="F192" s="20" t="str">
        <f aca="false">IF(E192="","",IFERROR(INDEX(Populations!$B:$B,MATCH(E192,Populations!$A:$A,0)),"ID not found"))</f>
        <v/>
      </c>
      <c r="G192" s="30"/>
      <c r="H192" s="30"/>
      <c r="I192" s="30"/>
      <c r="J192" s="30"/>
      <c r="K192" s="20" t="str">
        <f aca="false">IF(A192="","",COUNTIF('Metric to Product'!$A:$A,A192))</f>
        <v/>
      </c>
      <c r="L192" s="20" t="str">
        <f aca="false">IF(A192="","",COUNTIF('Metric to Field'!$A:$A,A192))</f>
        <v/>
      </c>
      <c r="M192" s="32" t="str">
        <f aca="false">IF(B192="","",COUNTIF($B$5:$B$254,B192))</f>
        <v/>
      </c>
      <c r="N192" s="30"/>
      <c r="O192" s="30"/>
      <c r="P192" s="30"/>
      <c r="Q192" s="30"/>
      <c r="R192" s="30"/>
      <c r="S192" s="33" t="str">
        <f aca="false">IF(AND(A192&lt;&gt;"",M192&gt;1),COUNTIFS($A$5:A192,"&lt;&gt;",$M$5:M192,"&gt;1"),"")</f>
        <v/>
      </c>
    </row>
    <row r="193" customFormat="false" ht="15" hidden="false" customHeight="false" outlineLevel="0" collapsed="false">
      <c r="A193" s="29"/>
      <c r="B193" s="30"/>
      <c r="C193" s="30"/>
      <c r="D193" s="30"/>
      <c r="E193" s="30"/>
      <c r="F193" s="20" t="str">
        <f aca="false">IF(E193="","",IFERROR(INDEX(Populations!$B:$B,MATCH(E193,Populations!$A:$A,0)),"ID not found"))</f>
        <v/>
      </c>
      <c r="G193" s="30"/>
      <c r="H193" s="30"/>
      <c r="I193" s="30"/>
      <c r="J193" s="30"/>
      <c r="K193" s="20" t="str">
        <f aca="false">IF(A193="","",COUNTIF('Metric to Product'!$A:$A,A193))</f>
        <v/>
      </c>
      <c r="L193" s="20" t="str">
        <f aca="false">IF(A193="","",COUNTIF('Metric to Field'!$A:$A,A193))</f>
        <v/>
      </c>
      <c r="M193" s="32" t="str">
        <f aca="false">IF(B193="","",COUNTIF($B$5:$B$254,B193))</f>
        <v/>
      </c>
      <c r="N193" s="30"/>
      <c r="O193" s="30"/>
      <c r="P193" s="30"/>
      <c r="Q193" s="30"/>
      <c r="R193" s="30"/>
      <c r="S193" s="33" t="str">
        <f aca="false">IF(AND(A193&lt;&gt;"",M193&gt;1),COUNTIFS($A$5:A193,"&lt;&gt;",$M$5:M193,"&gt;1"),"")</f>
        <v/>
      </c>
    </row>
    <row r="194" customFormat="false" ht="15" hidden="false" customHeight="false" outlineLevel="0" collapsed="false">
      <c r="A194" s="29"/>
      <c r="B194" s="30"/>
      <c r="C194" s="30"/>
      <c r="D194" s="30"/>
      <c r="E194" s="30"/>
      <c r="F194" s="20" t="str">
        <f aca="false">IF(E194="","",IFERROR(INDEX(Populations!$B:$B,MATCH(E194,Populations!$A:$A,0)),"ID not found"))</f>
        <v/>
      </c>
      <c r="G194" s="30"/>
      <c r="H194" s="30"/>
      <c r="I194" s="30"/>
      <c r="J194" s="30"/>
      <c r="K194" s="20" t="str">
        <f aca="false">IF(A194="","",COUNTIF('Metric to Product'!$A:$A,A194))</f>
        <v/>
      </c>
      <c r="L194" s="20" t="str">
        <f aca="false">IF(A194="","",COUNTIF('Metric to Field'!$A:$A,A194))</f>
        <v/>
      </c>
      <c r="M194" s="32" t="str">
        <f aca="false">IF(B194="","",COUNTIF($B$5:$B$254,B194))</f>
        <v/>
      </c>
      <c r="N194" s="30"/>
      <c r="O194" s="30"/>
      <c r="P194" s="30"/>
      <c r="Q194" s="30"/>
      <c r="R194" s="30"/>
      <c r="S194" s="33" t="str">
        <f aca="false">IF(AND(A194&lt;&gt;"",M194&gt;1),COUNTIFS($A$5:A194,"&lt;&gt;",$M$5:M194,"&gt;1"),"")</f>
        <v/>
      </c>
    </row>
    <row r="195" customFormat="false" ht="15" hidden="false" customHeight="false" outlineLevel="0" collapsed="false">
      <c r="A195" s="29"/>
      <c r="B195" s="30"/>
      <c r="C195" s="30"/>
      <c r="D195" s="30"/>
      <c r="E195" s="30"/>
      <c r="F195" s="20" t="str">
        <f aca="false">IF(E195="","",IFERROR(INDEX(Populations!$B:$B,MATCH(E195,Populations!$A:$A,0)),"ID not found"))</f>
        <v/>
      </c>
      <c r="G195" s="30"/>
      <c r="H195" s="30"/>
      <c r="I195" s="30"/>
      <c r="J195" s="30"/>
      <c r="K195" s="20" t="str">
        <f aca="false">IF(A195="","",COUNTIF('Metric to Product'!$A:$A,A195))</f>
        <v/>
      </c>
      <c r="L195" s="20" t="str">
        <f aca="false">IF(A195="","",COUNTIF('Metric to Field'!$A:$A,A195))</f>
        <v/>
      </c>
      <c r="M195" s="32" t="str">
        <f aca="false">IF(B195="","",COUNTIF($B$5:$B$254,B195))</f>
        <v/>
      </c>
      <c r="N195" s="30"/>
      <c r="O195" s="30"/>
      <c r="P195" s="30"/>
      <c r="Q195" s="30"/>
      <c r="R195" s="30"/>
      <c r="S195" s="33" t="str">
        <f aca="false">IF(AND(A195&lt;&gt;"",M195&gt;1),COUNTIFS($A$5:A195,"&lt;&gt;",$M$5:M195,"&gt;1"),"")</f>
        <v/>
      </c>
    </row>
    <row r="196" customFormat="false" ht="15" hidden="false" customHeight="false" outlineLevel="0" collapsed="false">
      <c r="A196" s="29"/>
      <c r="B196" s="30"/>
      <c r="C196" s="30"/>
      <c r="D196" s="30"/>
      <c r="E196" s="30"/>
      <c r="F196" s="20" t="str">
        <f aca="false">IF(E196="","",IFERROR(INDEX(Populations!$B:$B,MATCH(E196,Populations!$A:$A,0)),"ID not found"))</f>
        <v/>
      </c>
      <c r="G196" s="30"/>
      <c r="H196" s="30"/>
      <c r="I196" s="30"/>
      <c r="J196" s="30"/>
      <c r="K196" s="20" t="str">
        <f aca="false">IF(A196="","",COUNTIF('Metric to Product'!$A:$A,A196))</f>
        <v/>
      </c>
      <c r="L196" s="20" t="str">
        <f aca="false">IF(A196="","",COUNTIF('Metric to Field'!$A:$A,A196))</f>
        <v/>
      </c>
      <c r="M196" s="32" t="str">
        <f aca="false">IF(B196="","",COUNTIF($B$5:$B$254,B196))</f>
        <v/>
      </c>
      <c r="N196" s="30"/>
      <c r="O196" s="30"/>
      <c r="P196" s="30"/>
      <c r="Q196" s="30"/>
      <c r="R196" s="30"/>
      <c r="S196" s="33" t="str">
        <f aca="false">IF(AND(A196&lt;&gt;"",M196&gt;1),COUNTIFS($A$5:A196,"&lt;&gt;",$M$5:M196,"&gt;1"),"")</f>
        <v/>
      </c>
    </row>
    <row r="197" customFormat="false" ht="15" hidden="false" customHeight="false" outlineLevel="0" collapsed="false">
      <c r="A197" s="29"/>
      <c r="B197" s="30"/>
      <c r="C197" s="30"/>
      <c r="D197" s="30"/>
      <c r="E197" s="30"/>
      <c r="F197" s="20" t="str">
        <f aca="false">IF(E197="","",IFERROR(INDEX(Populations!$B:$B,MATCH(E197,Populations!$A:$A,0)),"ID not found"))</f>
        <v/>
      </c>
      <c r="G197" s="30"/>
      <c r="H197" s="30"/>
      <c r="I197" s="30"/>
      <c r="J197" s="30"/>
      <c r="K197" s="20" t="str">
        <f aca="false">IF(A197="","",COUNTIF('Metric to Product'!$A:$A,A197))</f>
        <v/>
      </c>
      <c r="L197" s="20" t="str">
        <f aca="false">IF(A197="","",COUNTIF('Metric to Field'!$A:$A,A197))</f>
        <v/>
      </c>
      <c r="M197" s="32" t="str">
        <f aca="false">IF(B197="","",COUNTIF($B$5:$B$254,B197))</f>
        <v/>
      </c>
      <c r="N197" s="30"/>
      <c r="O197" s="30"/>
      <c r="P197" s="30"/>
      <c r="Q197" s="30"/>
      <c r="R197" s="30"/>
      <c r="S197" s="33" t="str">
        <f aca="false">IF(AND(A197&lt;&gt;"",M197&gt;1),COUNTIFS($A$5:A197,"&lt;&gt;",$M$5:M197,"&gt;1"),"")</f>
        <v/>
      </c>
    </row>
    <row r="198" customFormat="false" ht="15" hidden="false" customHeight="false" outlineLevel="0" collapsed="false">
      <c r="A198" s="29"/>
      <c r="B198" s="30"/>
      <c r="C198" s="30"/>
      <c r="D198" s="30"/>
      <c r="E198" s="30"/>
      <c r="F198" s="20" t="str">
        <f aca="false">IF(E198="","",IFERROR(INDEX(Populations!$B:$B,MATCH(E198,Populations!$A:$A,0)),"ID not found"))</f>
        <v/>
      </c>
      <c r="G198" s="30"/>
      <c r="H198" s="30"/>
      <c r="I198" s="30"/>
      <c r="J198" s="30"/>
      <c r="K198" s="20" t="str">
        <f aca="false">IF(A198="","",COUNTIF('Metric to Product'!$A:$A,A198))</f>
        <v/>
      </c>
      <c r="L198" s="20" t="str">
        <f aca="false">IF(A198="","",COUNTIF('Metric to Field'!$A:$A,A198))</f>
        <v/>
      </c>
      <c r="M198" s="32" t="str">
        <f aca="false">IF(B198="","",COUNTIF($B$5:$B$254,B198))</f>
        <v/>
      </c>
      <c r="N198" s="30"/>
      <c r="O198" s="30"/>
      <c r="P198" s="30"/>
      <c r="Q198" s="30"/>
      <c r="R198" s="30"/>
      <c r="S198" s="33" t="str">
        <f aca="false">IF(AND(A198&lt;&gt;"",M198&gt;1),COUNTIFS($A$5:A198,"&lt;&gt;",$M$5:M198,"&gt;1"),"")</f>
        <v/>
      </c>
    </row>
    <row r="199" customFormat="false" ht="15" hidden="false" customHeight="false" outlineLevel="0" collapsed="false">
      <c r="A199" s="29"/>
      <c r="B199" s="30"/>
      <c r="C199" s="30"/>
      <c r="D199" s="30"/>
      <c r="E199" s="30"/>
      <c r="F199" s="20" t="str">
        <f aca="false">IF(E199="","",IFERROR(INDEX(Populations!$B:$B,MATCH(E199,Populations!$A:$A,0)),"ID not found"))</f>
        <v/>
      </c>
      <c r="G199" s="30"/>
      <c r="H199" s="30"/>
      <c r="I199" s="30"/>
      <c r="J199" s="30"/>
      <c r="K199" s="20" t="str">
        <f aca="false">IF(A199="","",COUNTIF('Metric to Product'!$A:$A,A199))</f>
        <v/>
      </c>
      <c r="L199" s="20" t="str">
        <f aca="false">IF(A199="","",COUNTIF('Metric to Field'!$A:$A,A199))</f>
        <v/>
      </c>
      <c r="M199" s="32" t="str">
        <f aca="false">IF(B199="","",COUNTIF($B$5:$B$254,B199))</f>
        <v/>
      </c>
      <c r="N199" s="30"/>
      <c r="O199" s="30"/>
      <c r="P199" s="30"/>
      <c r="Q199" s="30"/>
      <c r="R199" s="30"/>
      <c r="S199" s="33" t="str">
        <f aca="false">IF(AND(A199&lt;&gt;"",M199&gt;1),COUNTIFS($A$5:A199,"&lt;&gt;",$M$5:M199,"&gt;1"),"")</f>
        <v/>
      </c>
    </row>
    <row r="200" customFormat="false" ht="15" hidden="false" customHeight="false" outlineLevel="0" collapsed="false">
      <c r="A200" s="29"/>
      <c r="B200" s="30"/>
      <c r="C200" s="30"/>
      <c r="D200" s="30"/>
      <c r="E200" s="30"/>
      <c r="F200" s="20" t="str">
        <f aca="false">IF(E200="","",IFERROR(INDEX(Populations!$B:$B,MATCH(E200,Populations!$A:$A,0)),"ID not found"))</f>
        <v/>
      </c>
      <c r="G200" s="30"/>
      <c r="H200" s="30"/>
      <c r="I200" s="30"/>
      <c r="J200" s="30"/>
      <c r="K200" s="20" t="str">
        <f aca="false">IF(A200="","",COUNTIF('Metric to Product'!$A:$A,A200))</f>
        <v/>
      </c>
      <c r="L200" s="20" t="str">
        <f aca="false">IF(A200="","",COUNTIF('Metric to Field'!$A:$A,A200))</f>
        <v/>
      </c>
      <c r="M200" s="32" t="str">
        <f aca="false">IF(B200="","",COUNTIF($B$5:$B$254,B200))</f>
        <v/>
      </c>
      <c r="N200" s="30"/>
      <c r="O200" s="30"/>
      <c r="P200" s="30"/>
      <c r="Q200" s="30"/>
      <c r="R200" s="30"/>
      <c r="S200" s="33" t="str">
        <f aca="false">IF(AND(A200&lt;&gt;"",M200&gt;1),COUNTIFS($A$5:A200,"&lt;&gt;",$M$5:M200,"&gt;1"),"")</f>
        <v/>
      </c>
    </row>
    <row r="201" customFormat="false" ht="15" hidden="false" customHeight="false" outlineLevel="0" collapsed="false">
      <c r="A201" s="29"/>
      <c r="B201" s="30"/>
      <c r="C201" s="30"/>
      <c r="D201" s="30"/>
      <c r="E201" s="30"/>
      <c r="F201" s="20" t="str">
        <f aca="false">IF(E201="","",IFERROR(INDEX(Populations!$B:$B,MATCH(E201,Populations!$A:$A,0)),"ID not found"))</f>
        <v/>
      </c>
      <c r="G201" s="30"/>
      <c r="H201" s="30"/>
      <c r="I201" s="30"/>
      <c r="J201" s="30"/>
      <c r="K201" s="20" t="str">
        <f aca="false">IF(A201="","",COUNTIF('Metric to Product'!$A:$A,A201))</f>
        <v/>
      </c>
      <c r="L201" s="20" t="str">
        <f aca="false">IF(A201="","",COUNTIF('Metric to Field'!$A:$A,A201))</f>
        <v/>
      </c>
      <c r="M201" s="32" t="str">
        <f aca="false">IF(B201="","",COUNTIF($B$5:$B$254,B201))</f>
        <v/>
      </c>
      <c r="N201" s="30"/>
      <c r="O201" s="30"/>
      <c r="P201" s="30"/>
      <c r="Q201" s="30"/>
      <c r="R201" s="30"/>
      <c r="S201" s="33" t="str">
        <f aca="false">IF(AND(A201&lt;&gt;"",M201&gt;1),COUNTIFS($A$5:A201,"&lt;&gt;",$M$5:M201,"&gt;1"),"")</f>
        <v/>
      </c>
    </row>
    <row r="202" customFormat="false" ht="15" hidden="false" customHeight="false" outlineLevel="0" collapsed="false">
      <c r="A202" s="29"/>
      <c r="B202" s="30"/>
      <c r="C202" s="30"/>
      <c r="D202" s="30"/>
      <c r="E202" s="30"/>
      <c r="F202" s="20" t="str">
        <f aca="false">IF(E202="","",IFERROR(INDEX(Populations!$B:$B,MATCH(E202,Populations!$A:$A,0)),"ID not found"))</f>
        <v/>
      </c>
      <c r="G202" s="30"/>
      <c r="H202" s="30"/>
      <c r="I202" s="30"/>
      <c r="J202" s="30"/>
      <c r="K202" s="20" t="str">
        <f aca="false">IF(A202="","",COUNTIF('Metric to Product'!$A:$A,A202))</f>
        <v/>
      </c>
      <c r="L202" s="20" t="str">
        <f aca="false">IF(A202="","",COUNTIF('Metric to Field'!$A:$A,A202))</f>
        <v/>
      </c>
      <c r="M202" s="32" t="str">
        <f aca="false">IF(B202="","",COUNTIF($B$5:$B$254,B202))</f>
        <v/>
      </c>
      <c r="N202" s="30"/>
      <c r="O202" s="30"/>
      <c r="P202" s="30"/>
      <c r="Q202" s="30"/>
      <c r="R202" s="30"/>
      <c r="S202" s="33" t="str">
        <f aca="false">IF(AND(A202&lt;&gt;"",M202&gt;1),COUNTIFS($A$5:A202,"&lt;&gt;",$M$5:M202,"&gt;1"),"")</f>
        <v/>
      </c>
    </row>
    <row r="203" customFormat="false" ht="15" hidden="false" customHeight="false" outlineLevel="0" collapsed="false">
      <c r="A203" s="29"/>
      <c r="B203" s="30"/>
      <c r="C203" s="30"/>
      <c r="D203" s="30"/>
      <c r="E203" s="30"/>
      <c r="F203" s="20" t="str">
        <f aca="false">IF(E203="","",IFERROR(INDEX(Populations!$B:$B,MATCH(E203,Populations!$A:$A,0)),"ID not found"))</f>
        <v/>
      </c>
      <c r="G203" s="30"/>
      <c r="H203" s="30"/>
      <c r="I203" s="30"/>
      <c r="J203" s="30"/>
      <c r="K203" s="20" t="str">
        <f aca="false">IF(A203="","",COUNTIF('Metric to Product'!$A:$A,A203))</f>
        <v/>
      </c>
      <c r="L203" s="20" t="str">
        <f aca="false">IF(A203="","",COUNTIF('Metric to Field'!$A:$A,A203))</f>
        <v/>
      </c>
      <c r="M203" s="32" t="str">
        <f aca="false">IF(B203="","",COUNTIF($B$5:$B$254,B203))</f>
        <v/>
      </c>
      <c r="N203" s="30"/>
      <c r="O203" s="30"/>
      <c r="P203" s="30"/>
      <c r="Q203" s="30"/>
      <c r="R203" s="30"/>
      <c r="S203" s="33" t="str">
        <f aca="false">IF(AND(A203&lt;&gt;"",M203&gt;1),COUNTIFS($A$5:A203,"&lt;&gt;",$M$5:M203,"&gt;1"),"")</f>
        <v/>
      </c>
    </row>
    <row r="204" customFormat="false" ht="15" hidden="false" customHeight="false" outlineLevel="0" collapsed="false">
      <c r="A204" s="29"/>
      <c r="B204" s="30"/>
      <c r="C204" s="30"/>
      <c r="D204" s="30"/>
      <c r="E204" s="30"/>
      <c r="F204" s="20" t="str">
        <f aca="false">IF(E204="","",IFERROR(INDEX(Populations!$B:$B,MATCH(E204,Populations!$A:$A,0)),"ID not found"))</f>
        <v/>
      </c>
      <c r="G204" s="30"/>
      <c r="H204" s="30"/>
      <c r="I204" s="30"/>
      <c r="J204" s="30"/>
      <c r="K204" s="20" t="str">
        <f aca="false">IF(A204="","",COUNTIF('Metric to Product'!$A:$A,A204))</f>
        <v/>
      </c>
      <c r="L204" s="20" t="str">
        <f aca="false">IF(A204="","",COUNTIF('Metric to Field'!$A:$A,A204))</f>
        <v/>
      </c>
      <c r="M204" s="32" t="str">
        <f aca="false">IF(B204="","",COUNTIF($B$5:$B$254,B204))</f>
        <v/>
      </c>
      <c r="N204" s="30"/>
      <c r="O204" s="30"/>
      <c r="P204" s="30"/>
      <c r="Q204" s="30"/>
      <c r="R204" s="30"/>
      <c r="S204" s="33" t="str">
        <f aca="false">IF(AND(A204&lt;&gt;"",M204&gt;1),COUNTIFS($A$5:A204,"&lt;&gt;",$M$5:M204,"&gt;1"),"")</f>
        <v/>
      </c>
    </row>
    <row r="205" customFormat="false" ht="15" hidden="false" customHeight="false" outlineLevel="0" collapsed="false">
      <c r="A205" s="29"/>
      <c r="B205" s="30"/>
      <c r="C205" s="30"/>
      <c r="D205" s="30"/>
      <c r="E205" s="30"/>
      <c r="F205" s="20" t="str">
        <f aca="false">IF(E205="","",IFERROR(INDEX(Populations!$B:$B,MATCH(E205,Populations!$A:$A,0)),"ID not found"))</f>
        <v/>
      </c>
      <c r="G205" s="30"/>
      <c r="H205" s="30"/>
      <c r="I205" s="30"/>
      <c r="J205" s="30"/>
      <c r="K205" s="20" t="str">
        <f aca="false">IF(A205="","",COUNTIF('Metric to Product'!$A:$A,A205))</f>
        <v/>
      </c>
      <c r="L205" s="20" t="str">
        <f aca="false">IF(A205="","",COUNTIF('Metric to Field'!$A:$A,A205))</f>
        <v/>
      </c>
      <c r="M205" s="32" t="str">
        <f aca="false">IF(B205="","",COUNTIF($B$5:$B$254,B205))</f>
        <v/>
      </c>
      <c r="N205" s="30"/>
      <c r="O205" s="30"/>
      <c r="P205" s="30"/>
      <c r="Q205" s="30"/>
      <c r="R205" s="30"/>
      <c r="S205" s="33" t="str">
        <f aca="false">IF(AND(A205&lt;&gt;"",M205&gt;1),COUNTIFS($A$5:A205,"&lt;&gt;",$M$5:M205,"&gt;1"),"")</f>
        <v/>
      </c>
    </row>
    <row r="206" customFormat="false" ht="15" hidden="false" customHeight="false" outlineLevel="0" collapsed="false">
      <c r="A206" s="29"/>
      <c r="B206" s="30"/>
      <c r="C206" s="30"/>
      <c r="D206" s="30"/>
      <c r="E206" s="30"/>
      <c r="F206" s="20" t="str">
        <f aca="false">IF(E206="","",IFERROR(INDEX(Populations!$B:$B,MATCH(E206,Populations!$A:$A,0)),"ID not found"))</f>
        <v/>
      </c>
      <c r="G206" s="30"/>
      <c r="H206" s="30"/>
      <c r="I206" s="30"/>
      <c r="J206" s="30"/>
      <c r="K206" s="20" t="str">
        <f aca="false">IF(A206="","",COUNTIF('Metric to Product'!$A:$A,A206))</f>
        <v/>
      </c>
      <c r="L206" s="20" t="str">
        <f aca="false">IF(A206="","",COUNTIF('Metric to Field'!$A:$A,A206))</f>
        <v/>
      </c>
      <c r="M206" s="32" t="str">
        <f aca="false">IF(B206="","",COUNTIF($B$5:$B$254,B206))</f>
        <v/>
      </c>
      <c r="N206" s="30"/>
      <c r="O206" s="30"/>
      <c r="P206" s="30"/>
      <c r="Q206" s="30"/>
      <c r="R206" s="30"/>
      <c r="S206" s="33" t="str">
        <f aca="false">IF(AND(A206&lt;&gt;"",M206&gt;1),COUNTIFS($A$5:A206,"&lt;&gt;",$M$5:M206,"&gt;1"),"")</f>
        <v/>
      </c>
    </row>
    <row r="207" customFormat="false" ht="15" hidden="false" customHeight="false" outlineLevel="0" collapsed="false">
      <c r="A207" s="29"/>
      <c r="B207" s="30"/>
      <c r="C207" s="30"/>
      <c r="D207" s="30"/>
      <c r="E207" s="30"/>
      <c r="F207" s="20" t="str">
        <f aca="false">IF(E207="","",IFERROR(INDEX(Populations!$B:$B,MATCH(E207,Populations!$A:$A,0)),"ID not found"))</f>
        <v/>
      </c>
      <c r="G207" s="30"/>
      <c r="H207" s="30"/>
      <c r="I207" s="30"/>
      <c r="J207" s="30"/>
      <c r="K207" s="20" t="str">
        <f aca="false">IF(A207="","",COUNTIF('Metric to Product'!$A:$A,A207))</f>
        <v/>
      </c>
      <c r="L207" s="20" t="str">
        <f aca="false">IF(A207="","",COUNTIF('Metric to Field'!$A:$A,A207))</f>
        <v/>
      </c>
      <c r="M207" s="32" t="str">
        <f aca="false">IF(B207="","",COUNTIF($B$5:$B$254,B207))</f>
        <v/>
      </c>
      <c r="N207" s="30"/>
      <c r="O207" s="30"/>
      <c r="P207" s="30"/>
      <c r="Q207" s="30"/>
      <c r="R207" s="30"/>
      <c r="S207" s="33" t="str">
        <f aca="false">IF(AND(A207&lt;&gt;"",M207&gt;1),COUNTIFS($A$5:A207,"&lt;&gt;",$M$5:M207,"&gt;1"),"")</f>
        <v/>
      </c>
    </row>
    <row r="208" customFormat="false" ht="15" hidden="false" customHeight="false" outlineLevel="0" collapsed="false">
      <c r="A208" s="29"/>
      <c r="B208" s="30"/>
      <c r="C208" s="30"/>
      <c r="D208" s="30"/>
      <c r="E208" s="30"/>
      <c r="F208" s="20" t="str">
        <f aca="false">IF(E208="","",IFERROR(INDEX(Populations!$B:$B,MATCH(E208,Populations!$A:$A,0)),"ID not found"))</f>
        <v/>
      </c>
      <c r="G208" s="30"/>
      <c r="H208" s="30"/>
      <c r="I208" s="30"/>
      <c r="J208" s="30"/>
      <c r="K208" s="20" t="str">
        <f aca="false">IF(A208="","",COUNTIF('Metric to Product'!$A:$A,A208))</f>
        <v/>
      </c>
      <c r="L208" s="20" t="str">
        <f aca="false">IF(A208="","",COUNTIF('Metric to Field'!$A:$A,A208))</f>
        <v/>
      </c>
      <c r="M208" s="32" t="str">
        <f aca="false">IF(B208="","",COUNTIF($B$5:$B$254,B208))</f>
        <v/>
      </c>
      <c r="N208" s="30"/>
      <c r="O208" s="30"/>
      <c r="P208" s="30"/>
      <c r="Q208" s="30"/>
      <c r="R208" s="30"/>
      <c r="S208" s="33" t="str">
        <f aca="false">IF(AND(A208&lt;&gt;"",M208&gt;1),COUNTIFS($A$5:A208,"&lt;&gt;",$M$5:M208,"&gt;1"),"")</f>
        <v/>
      </c>
    </row>
    <row r="209" customFormat="false" ht="15" hidden="false" customHeight="false" outlineLevel="0" collapsed="false">
      <c r="A209" s="29"/>
      <c r="B209" s="30"/>
      <c r="C209" s="30"/>
      <c r="D209" s="30"/>
      <c r="E209" s="30"/>
      <c r="F209" s="20" t="str">
        <f aca="false">IF(E209="","",IFERROR(INDEX(Populations!$B:$B,MATCH(E209,Populations!$A:$A,0)),"ID not found"))</f>
        <v/>
      </c>
      <c r="G209" s="30"/>
      <c r="H209" s="30"/>
      <c r="I209" s="30"/>
      <c r="J209" s="30"/>
      <c r="K209" s="20" t="str">
        <f aca="false">IF(A209="","",COUNTIF('Metric to Product'!$A:$A,A209))</f>
        <v/>
      </c>
      <c r="L209" s="20" t="str">
        <f aca="false">IF(A209="","",COUNTIF('Metric to Field'!$A:$A,A209))</f>
        <v/>
      </c>
      <c r="M209" s="32" t="str">
        <f aca="false">IF(B209="","",COUNTIF($B$5:$B$254,B209))</f>
        <v/>
      </c>
      <c r="N209" s="30"/>
      <c r="O209" s="30"/>
      <c r="P209" s="30"/>
      <c r="Q209" s="30"/>
      <c r="R209" s="30"/>
      <c r="S209" s="33" t="str">
        <f aca="false">IF(AND(A209&lt;&gt;"",M209&gt;1),COUNTIFS($A$5:A209,"&lt;&gt;",$M$5:M209,"&gt;1"),"")</f>
        <v/>
      </c>
    </row>
    <row r="210" customFormat="false" ht="15" hidden="false" customHeight="false" outlineLevel="0" collapsed="false">
      <c r="A210" s="29"/>
      <c r="B210" s="30"/>
      <c r="C210" s="30"/>
      <c r="D210" s="30"/>
      <c r="E210" s="30"/>
      <c r="F210" s="20" t="str">
        <f aca="false">IF(E210="","",IFERROR(INDEX(Populations!$B:$B,MATCH(E210,Populations!$A:$A,0)),"ID not found"))</f>
        <v/>
      </c>
      <c r="G210" s="30"/>
      <c r="H210" s="30"/>
      <c r="I210" s="30"/>
      <c r="J210" s="30"/>
      <c r="K210" s="20" t="str">
        <f aca="false">IF(A210="","",COUNTIF('Metric to Product'!$A:$A,A210))</f>
        <v/>
      </c>
      <c r="L210" s="20" t="str">
        <f aca="false">IF(A210="","",COUNTIF('Metric to Field'!$A:$A,A210))</f>
        <v/>
      </c>
      <c r="M210" s="32" t="str">
        <f aca="false">IF(B210="","",COUNTIF($B$5:$B$254,B210))</f>
        <v/>
      </c>
      <c r="N210" s="30"/>
      <c r="O210" s="30"/>
      <c r="P210" s="30"/>
      <c r="Q210" s="30"/>
      <c r="R210" s="30"/>
      <c r="S210" s="33" t="str">
        <f aca="false">IF(AND(A210&lt;&gt;"",M210&gt;1),COUNTIFS($A$5:A210,"&lt;&gt;",$M$5:M210,"&gt;1"),"")</f>
        <v/>
      </c>
    </row>
    <row r="211" customFormat="false" ht="15" hidden="false" customHeight="false" outlineLevel="0" collapsed="false">
      <c r="A211" s="29"/>
      <c r="B211" s="30"/>
      <c r="C211" s="30"/>
      <c r="D211" s="30"/>
      <c r="E211" s="30"/>
      <c r="F211" s="20" t="str">
        <f aca="false">IF(E211="","",IFERROR(INDEX(Populations!$B:$B,MATCH(E211,Populations!$A:$A,0)),"ID not found"))</f>
        <v/>
      </c>
      <c r="G211" s="30"/>
      <c r="H211" s="30"/>
      <c r="I211" s="30"/>
      <c r="J211" s="30"/>
      <c r="K211" s="20" t="str">
        <f aca="false">IF(A211="","",COUNTIF('Metric to Product'!$A:$A,A211))</f>
        <v/>
      </c>
      <c r="L211" s="20" t="str">
        <f aca="false">IF(A211="","",COUNTIF('Metric to Field'!$A:$A,A211))</f>
        <v/>
      </c>
      <c r="M211" s="32" t="str">
        <f aca="false">IF(B211="","",COUNTIF($B$5:$B$254,B211))</f>
        <v/>
      </c>
      <c r="N211" s="30"/>
      <c r="O211" s="30"/>
      <c r="P211" s="30"/>
      <c r="Q211" s="30"/>
      <c r="R211" s="30"/>
      <c r="S211" s="33" t="str">
        <f aca="false">IF(AND(A211&lt;&gt;"",M211&gt;1),COUNTIFS($A$5:A211,"&lt;&gt;",$M$5:M211,"&gt;1"),"")</f>
        <v/>
      </c>
    </row>
    <row r="212" customFormat="false" ht="15" hidden="false" customHeight="false" outlineLevel="0" collapsed="false">
      <c r="A212" s="29"/>
      <c r="B212" s="30"/>
      <c r="C212" s="30"/>
      <c r="D212" s="30"/>
      <c r="E212" s="30"/>
      <c r="F212" s="20" t="str">
        <f aca="false">IF(E212="","",IFERROR(INDEX(Populations!$B:$B,MATCH(E212,Populations!$A:$A,0)),"ID not found"))</f>
        <v/>
      </c>
      <c r="G212" s="30"/>
      <c r="H212" s="30"/>
      <c r="I212" s="30"/>
      <c r="J212" s="30"/>
      <c r="K212" s="20" t="str">
        <f aca="false">IF(A212="","",COUNTIF('Metric to Product'!$A:$A,A212))</f>
        <v/>
      </c>
      <c r="L212" s="20" t="str">
        <f aca="false">IF(A212="","",COUNTIF('Metric to Field'!$A:$A,A212))</f>
        <v/>
      </c>
      <c r="M212" s="32" t="str">
        <f aca="false">IF(B212="","",COUNTIF($B$5:$B$254,B212))</f>
        <v/>
      </c>
      <c r="N212" s="30"/>
      <c r="O212" s="30"/>
      <c r="P212" s="30"/>
      <c r="Q212" s="30"/>
      <c r="R212" s="30"/>
      <c r="S212" s="33" t="str">
        <f aca="false">IF(AND(A212&lt;&gt;"",M212&gt;1),COUNTIFS($A$5:A212,"&lt;&gt;",$M$5:M212,"&gt;1"),"")</f>
        <v/>
      </c>
    </row>
    <row r="213" customFormat="false" ht="15" hidden="false" customHeight="false" outlineLevel="0" collapsed="false">
      <c r="A213" s="29"/>
      <c r="B213" s="30"/>
      <c r="C213" s="30"/>
      <c r="D213" s="30"/>
      <c r="E213" s="30"/>
      <c r="F213" s="20" t="str">
        <f aca="false">IF(E213="","",IFERROR(INDEX(Populations!$B:$B,MATCH(E213,Populations!$A:$A,0)),"ID not found"))</f>
        <v/>
      </c>
      <c r="G213" s="30"/>
      <c r="H213" s="30"/>
      <c r="I213" s="30"/>
      <c r="J213" s="30"/>
      <c r="K213" s="20" t="str">
        <f aca="false">IF(A213="","",COUNTIF('Metric to Product'!$A:$A,A213))</f>
        <v/>
      </c>
      <c r="L213" s="20" t="str">
        <f aca="false">IF(A213="","",COUNTIF('Metric to Field'!$A:$A,A213))</f>
        <v/>
      </c>
      <c r="M213" s="32" t="str">
        <f aca="false">IF(B213="","",COUNTIF($B$5:$B$254,B213))</f>
        <v/>
      </c>
      <c r="N213" s="30"/>
      <c r="O213" s="30"/>
      <c r="P213" s="30"/>
      <c r="Q213" s="30"/>
      <c r="R213" s="30"/>
      <c r="S213" s="33" t="str">
        <f aca="false">IF(AND(A213&lt;&gt;"",M213&gt;1),COUNTIFS($A$5:A213,"&lt;&gt;",$M$5:M213,"&gt;1"),"")</f>
        <v/>
      </c>
    </row>
    <row r="214" customFormat="false" ht="15" hidden="false" customHeight="false" outlineLevel="0" collapsed="false">
      <c r="A214" s="29"/>
      <c r="B214" s="30"/>
      <c r="C214" s="30"/>
      <c r="D214" s="30"/>
      <c r="E214" s="30"/>
      <c r="F214" s="20" t="str">
        <f aca="false">IF(E214="","",IFERROR(INDEX(Populations!$B:$B,MATCH(E214,Populations!$A:$A,0)),"ID not found"))</f>
        <v/>
      </c>
      <c r="G214" s="30"/>
      <c r="H214" s="30"/>
      <c r="I214" s="30"/>
      <c r="J214" s="30"/>
      <c r="K214" s="20" t="str">
        <f aca="false">IF(A214="","",COUNTIF('Metric to Product'!$A:$A,A214))</f>
        <v/>
      </c>
      <c r="L214" s="20" t="str">
        <f aca="false">IF(A214="","",COUNTIF('Metric to Field'!$A:$A,A214))</f>
        <v/>
      </c>
      <c r="M214" s="32" t="str">
        <f aca="false">IF(B214="","",COUNTIF($B$5:$B$254,B214))</f>
        <v/>
      </c>
      <c r="N214" s="30"/>
      <c r="O214" s="30"/>
      <c r="P214" s="30"/>
      <c r="Q214" s="30"/>
      <c r="R214" s="30"/>
      <c r="S214" s="33" t="str">
        <f aca="false">IF(AND(A214&lt;&gt;"",M214&gt;1),COUNTIFS($A$5:A214,"&lt;&gt;",$M$5:M214,"&gt;1"),"")</f>
        <v/>
      </c>
    </row>
    <row r="215" customFormat="false" ht="15" hidden="false" customHeight="false" outlineLevel="0" collapsed="false">
      <c r="A215" s="29"/>
      <c r="B215" s="30"/>
      <c r="C215" s="30"/>
      <c r="D215" s="30"/>
      <c r="E215" s="30"/>
      <c r="F215" s="20" t="str">
        <f aca="false">IF(E215="","",IFERROR(INDEX(Populations!$B:$B,MATCH(E215,Populations!$A:$A,0)),"ID not found"))</f>
        <v/>
      </c>
      <c r="G215" s="30"/>
      <c r="H215" s="30"/>
      <c r="I215" s="30"/>
      <c r="J215" s="30"/>
      <c r="K215" s="20" t="str">
        <f aca="false">IF(A215="","",COUNTIF('Metric to Product'!$A:$A,A215))</f>
        <v/>
      </c>
      <c r="L215" s="20" t="str">
        <f aca="false">IF(A215="","",COUNTIF('Metric to Field'!$A:$A,A215))</f>
        <v/>
      </c>
      <c r="M215" s="32" t="str">
        <f aca="false">IF(B215="","",COUNTIF($B$5:$B$254,B215))</f>
        <v/>
      </c>
      <c r="N215" s="30"/>
      <c r="O215" s="30"/>
      <c r="P215" s="30"/>
      <c r="Q215" s="30"/>
      <c r="R215" s="30"/>
      <c r="S215" s="33" t="str">
        <f aca="false">IF(AND(A215&lt;&gt;"",M215&gt;1),COUNTIFS($A$5:A215,"&lt;&gt;",$M$5:M215,"&gt;1"),"")</f>
        <v/>
      </c>
    </row>
    <row r="216" customFormat="false" ht="15" hidden="false" customHeight="false" outlineLevel="0" collapsed="false">
      <c r="A216" s="29"/>
      <c r="B216" s="30"/>
      <c r="C216" s="30"/>
      <c r="D216" s="30"/>
      <c r="E216" s="30"/>
      <c r="F216" s="20" t="str">
        <f aca="false">IF(E216="","",IFERROR(INDEX(Populations!$B:$B,MATCH(E216,Populations!$A:$A,0)),"ID not found"))</f>
        <v/>
      </c>
      <c r="G216" s="30"/>
      <c r="H216" s="30"/>
      <c r="I216" s="30"/>
      <c r="J216" s="30"/>
      <c r="K216" s="20" t="str">
        <f aca="false">IF(A216="","",COUNTIF('Metric to Product'!$A:$A,A216))</f>
        <v/>
      </c>
      <c r="L216" s="20" t="str">
        <f aca="false">IF(A216="","",COUNTIF('Metric to Field'!$A:$A,A216))</f>
        <v/>
      </c>
      <c r="M216" s="32" t="str">
        <f aca="false">IF(B216="","",COUNTIF($B$5:$B$254,B216))</f>
        <v/>
      </c>
      <c r="N216" s="30"/>
      <c r="O216" s="30"/>
      <c r="P216" s="30"/>
      <c r="Q216" s="30"/>
      <c r="R216" s="30"/>
      <c r="S216" s="33" t="str">
        <f aca="false">IF(AND(A216&lt;&gt;"",M216&gt;1),COUNTIFS($A$5:A216,"&lt;&gt;",$M$5:M216,"&gt;1"),"")</f>
        <v/>
      </c>
    </row>
    <row r="217" customFormat="false" ht="15" hidden="false" customHeight="false" outlineLevel="0" collapsed="false">
      <c r="A217" s="29"/>
      <c r="B217" s="30"/>
      <c r="C217" s="30"/>
      <c r="D217" s="30"/>
      <c r="E217" s="30"/>
      <c r="F217" s="20" t="str">
        <f aca="false">IF(E217="","",IFERROR(INDEX(Populations!$B:$B,MATCH(E217,Populations!$A:$A,0)),"ID not found"))</f>
        <v/>
      </c>
      <c r="G217" s="30"/>
      <c r="H217" s="30"/>
      <c r="I217" s="30"/>
      <c r="J217" s="30"/>
      <c r="K217" s="20" t="str">
        <f aca="false">IF(A217="","",COUNTIF('Metric to Product'!$A:$A,A217))</f>
        <v/>
      </c>
      <c r="L217" s="20" t="str">
        <f aca="false">IF(A217="","",COUNTIF('Metric to Field'!$A:$A,A217))</f>
        <v/>
      </c>
      <c r="M217" s="32" t="str">
        <f aca="false">IF(B217="","",COUNTIF($B$5:$B$254,B217))</f>
        <v/>
      </c>
      <c r="N217" s="30"/>
      <c r="O217" s="30"/>
      <c r="P217" s="30"/>
      <c r="Q217" s="30"/>
      <c r="R217" s="30"/>
      <c r="S217" s="33" t="str">
        <f aca="false">IF(AND(A217&lt;&gt;"",M217&gt;1),COUNTIFS($A$5:A217,"&lt;&gt;",$M$5:M217,"&gt;1"),"")</f>
        <v/>
      </c>
    </row>
    <row r="218" customFormat="false" ht="15" hidden="false" customHeight="false" outlineLevel="0" collapsed="false">
      <c r="A218" s="29"/>
      <c r="B218" s="30"/>
      <c r="C218" s="30"/>
      <c r="D218" s="30"/>
      <c r="E218" s="30"/>
      <c r="F218" s="20" t="str">
        <f aca="false">IF(E218="","",IFERROR(INDEX(Populations!$B:$B,MATCH(E218,Populations!$A:$A,0)),"ID not found"))</f>
        <v/>
      </c>
      <c r="G218" s="30"/>
      <c r="H218" s="30"/>
      <c r="I218" s="30"/>
      <c r="J218" s="30"/>
      <c r="K218" s="20" t="str">
        <f aca="false">IF(A218="","",COUNTIF('Metric to Product'!$A:$A,A218))</f>
        <v/>
      </c>
      <c r="L218" s="20" t="str">
        <f aca="false">IF(A218="","",COUNTIF('Metric to Field'!$A:$A,A218))</f>
        <v/>
      </c>
      <c r="M218" s="32" t="str">
        <f aca="false">IF(B218="","",COUNTIF($B$5:$B$254,B218))</f>
        <v/>
      </c>
      <c r="N218" s="30"/>
      <c r="O218" s="30"/>
      <c r="P218" s="30"/>
      <c r="Q218" s="30"/>
      <c r="R218" s="30"/>
      <c r="S218" s="33" t="str">
        <f aca="false">IF(AND(A218&lt;&gt;"",M218&gt;1),COUNTIFS($A$5:A218,"&lt;&gt;",$M$5:M218,"&gt;1"),"")</f>
        <v/>
      </c>
    </row>
    <row r="219" customFormat="false" ht="15" hidden="false" customHeight="false" outlineLevel="0" collapsed="false">
      <c r="A219" s="29"/>
      <c r="B219" s="30"/>
      <c r="C219" s="30"/>
      <c r="D219" s="30"/>
      <c r="E219" s="30"/>
      <c r="F219" s="20" t="str">
        <f aca="false">IF(E219="","",IFERROR(INDEX(Populations!$B:$B,MATCH(E219,Populations!$A:$A,0)),"ID not found"))</f>
        <v/>
      </c>
      <c r="G219" s="30"/>
      <c r="H219" s="30"/>
      <c r="I219" s="30"/>
      <c r="J219" s="30"/>
      <c r="K219" s="20" t="str">
        <f aca="false">IF(A219="","",COUNTIF('Metric to Product'!$A:$A,A219))</f>
        <v/>
      </c>
      <c r="L219" s="20" t="str">
        <f aca="false">IF(A219="","",COUNTIF('Metric to Field'!$A:$A,A219))</f>
        <v/>
      </c>
      <c r="M219" s="32" t="str">
        <f aca="false">IF(B219="","",COUNTIF($B$5:$B$254,B219))</f>
        <v/>
      </c>
      <c r="N219" s="30"/>
      <c r="O219" s="30"/>
      <c r="P219" s="30"/>
      <c r="Q219" s="30"/>
      <c r="R219" s="30"/>
      <c r="S219" s="33" t="str">
        <f aca="false">IF(AND(A219&lt;&gt;"",M219&gt;1),COUNTIFS($A$5:A219,"&lt;&gt;",$M$5:M219,"&gt;1"),"")</f>
        <v/>
      </c>
    </row>
    <row r="220" customFormat="false" ht="15" hidden="false" customHeight="false" outlineLevel="0" collapsed="false">
      <c r="A220" s="29"/>
      <c r="B220" s="30"/>
      <c r="C220" s="30"/>
      <c r="D220" s="30"/>
      <c r="E220" s="30"/>
      <c r="F220" s="20" t="str">
        <f aca="false">IF(E220="","",IFERROR(INDEX(Populations!$B:$B,MATCH(E220,Populations!$A:$A,0)),"ID not found"))</f>
        <v/>
      </c>
      <c r="G220" s="30"/>
      <c r="H220" s="30"/>
      <c r="I220" s="30"/>
      <c r="J220" s="30"/>
      <c r="K220" s="20" t="str">
        <f aca="false">IF(A220="","",COUNTIF('Metric to Product'!$A:$A,A220))</f>
        <v/>
      </c>
      <c r="L220" s="20" t="str">
        <f aca="false">IF(A220="","",COUNTIF('Metric to Field'!$A:$A,A220))</f>
        <v/>
      </c>
      <c r="M220" s="32" t="str">
        <f aca="false">IF(B220="","",COUNTIF($B$5:$B$254,B220))</f>
        <v/>
      </c>
      <c r="N220" s="30"/>
      <c r="O220" s="30"/>
      <c r="P220" s="30"/>
      <c r="Q220" s="30"/>
      <c r="R220" s="30"/>
      <c r="S220" s="33" t="str">
        <f aca="false">IF(AND(A220&lt;&gt;"",M220&gt;1),COUNTIFS($A$5:A220,"&lt;&gt;",$M$5:M220,"&gt;1"),"")</f>
        <v/>
      </c>
    </row>
    <row r="221" customFormat="false" ht="15" hidden="false" customHeight="false" outlineLevel="0" collapsed="false">
      <c r="A221" s="29"/>
      <c r="B221" s="30"/>
      <c r="C221" s="30"/>
      <c r="D221" s="30"/>
      <c r="E221" s="30"/>
      <c r="F221" s="20" t="str">
        <f aca="false">IF(E221="","",IFERROR(INDEX(Populations!$B:$B,MATCH(E221,Populations!$A:$A,0)),"ID not found"))</f>
        <v/>
      </c>
      <c r="G221" s="30"/>
      <c r="H221" s="30"/>
      <c r="I221" s="30"/>
      <c r="J221" s="30"/>
      <c r="K221" s="20" t="str">
        <f aca="false">IF(A221="","",COUNTIF('Metric to Product'!$A:$A,A221))</f>
        <v/>
      </c>
      <c r="L221" s="20" t="str">
        <f aca="false">IF(A221="","",COUNTIF('Metric to Field'!$A:$A,A221))</f>
        <v/>
      </c>
      <c r="M221" s="32" t="str">
        <f aca="false">IF(B221="","",COUNTIF($B$5:$B$254,B221))</f>
        <v/>
      </c>
      <c r="N221" s="30"/>
      <c r="O221" s="30"/>
      <c r="P221" s="30"/>
      <c r="Q221" s="30"/>
      <c r="R221" s="30"/>
      <c r="S221" s="33" t="str">
        <f aca="false">IF(AND(A221&lt;&gt;"",M221&gt;1),COUNTIFS($A$5:A221,"&lt;&gt;",$M$5:M221,"&gt;1"),"")</f>
        <v/>
      </c>
    </row>
    <row r="222" customFormat="false" ht="15" hidden="false" customHeight="false" outlineLevel="0" collapsed="false">
      <c r="A222" s="29"/>
      <c r="B222" s="30"/>
      <c r="C222" s="30"/>
      <c r="D222" s="30"/>
      <c r="E222" s="30"/>
      <c r="F222" s="20" t="str">
        <f aca="false">IF(E222="","",IFERROR(INDEX(Populations!$B:$B,MATCH(E222,Populations!$A:$A,0)),"ID not found"))</f>
        <v/>
      </c>
      <c r="G222" s="30"/>
      <c r="H222" s="30"/>
      <c r="I222" s="30"/>
      <c r="J222" s="30"/>
      <c r="K222" s="20" t="str">
        <f aca="false">IF(A222="","",COUNTIF('Metric to Product'!$A:$A,A222))</f>
        <v/>
      </c>
      <c r="L222" s="20" t="str">
        <f aca="false">IF(A222="","",COUNTIF('Metric to Field'!$A:$A,A222))</f>
        <v/>
      </c>
      <c r="M222" s="32" t="str">
        <f aca="false">IF(B222="","",COUNTIF($B$5:$B$254,B222))</f>
        <v/>
      </c>
      <c r="N222" s="30"/>
      <c r="O222" s="30"/>
      <c r="P222" s="30"/>
      <c r="Q222" s="30"/>
      <c r="R222" s="30"/>
      <c r="S222" s="33" t="str">
        <f aca="false">IF(AND(A222&lt;&gt;"",M222&gt;1),COUNTIFS($A$5:A222,"&lt;&gt;",$M$5:M222,"&gt;1"),"")</f>
        <v/>
      </c>
    </row>
    <row r="223" customFormat="false" ht="15" hidden="false" customHeight="false" outlineLevel="0" collapsed="false">
      <c r="A223" s="29"/>
      <c r="B223" s="30"/>
      <c r="C223" s="30"/>
      <c r="D223" s="30"/>
      <c r="E223" s="30"/>
      <c r="F223" s="20" t="str">
        <f aca="false">IF(E223="","",IFERROR(INDEX(Populations!$B:$B,MATCH(E223,Populations!$A:$A,0)),"ID not found"))</f>
        <v/>
      </c>
      <c r="G223" s="30"/>
      <c r="H223" s="30"/>
      <c r="I223" s="30"/>
      <c r="J223" s="30"/>
      <c r="K223" s="20" t="str">
        <f aca="false">IF(A223="","",COUNTIF('Metric to Product'!$A:$A,A223))</f>
        <v/>
      </c>
      <c r="L223" s="20" t="str">
        <f aca="false">IF(A223="","",COUNTIF('Metric to Field'!$A:$A,A223))</f>
        <v/>
      </c>
      <c r="M223" s="32" t="str">
        <f aca="false">IF(B223="","",COUNTIF($B$5:$B$254,B223))</f>
        <v/>
      </c>
      <c r="N223" s="30"/>
      <c r="O223" s="30"/>
      <c r="P223" s="30"/>
      <c r="Q223" s="30"/>
      <c r="R223" s="30"/>
      <c r="S223" s="33" t="str">
        <f aca="false">IF(AND(A223&lt;&gt;"",M223&gt;1),COUNTIFS($A$5:A223,"&lt;&gt;",$M$5:M223,"&gt;1"),"")</f>
        <v/>
      </c>
    </row>
    <row r="224" customFormat="false" ht="15" hidden="false" customHeight="false" outlineLevel="0" collapsed="false">
      <c r="A224" s="29"/>
      <c r="B224" s="30"/>
      <c r="C224" s="30"/>
      <c r="D224" s="30"/>
      <c r="E224" s="30"/>
      <c r="F224" s="20" t="str">
        <f aca="false">IF(E224="","",IFERROR(INDEX(Populations!$B:$B,MATCH(E224,Populations!$A:$A,0)),"ID not found"))</f>
        <v/>
      </c>
      <c r="G224" s="30"/>
      <c r="H224" s="30"/>
      <c r="I224" s="30"/>
      <c r="J224" s="30"/>
      <c r="K224" s="20" t="str">
        <f aca="false">IF(A224="","",COUNTIF('Metric to Product'!$A:$A,A224))</f>
        <v/>
      </c>
      <c r="L224" s="20" t="str">
        <f aca="false">IF(A224="","",COUNTIF('Metric to Field'!$A:$A,A224))</f>
        <v/>
      </c>
      <c r="M224" s="32" t="str">
        <f aca="false">IF(B224="","",COUNTIF($B$5:$B$254,B224))</f>
        <v/>
      </c>
      <c r="N224" s="30"/>
      <c r="O224" s="30"/>
      <c r="P224" s="30"/>
      <c r="Q224" s="30"/>
      <c r="R224" s="30"/>
      <c r="S224" s="33" t="str">
        <f aca="false">IF(AND(A224&lt;&gt;"",M224&gt;1),COUNTIFS($A$5:A224,"&lt;&gt;",$M$5:M224,"&gt;1"),"")</f>
        <v/>
      </c>
    </row>
    <row r="225" customFormat="false" ht="15" hidden="false" customHeight="false" outlineLevel="0" collapsed="false">
      <c r="A225" s="29"/>
      <c r="B225" s="30"/>
      <c r="C225" s="30"/>
      <c r="D225" s="30"/>
      <c r="E225" s="30"/>
      <c r="F225" s="20" t="str">
        <f aca="false">IF(E225="","",IFERROR(INDEX(Populations!$B:$B,MATCH(E225,Populations!$A:$A,0)),"ID not found"))</f>
        <v/>
      </c>
      <c r="G225" s="30"/>
      <c r="H225" s="30"/>
      <c r="I225" s="30"/>
      <c r="J225" s="30"/>
      <c r="K225" s="20" t="str">
        <f aca="false">IF(A225="","",COUNTIF('Metric to Product'!$A:$A,A225))</f>
        <v/>
      </c>
      <c r="L225" s="20" t="str">
        <f aca="false">IF(A225="","",COUNTIF('Metric to Field'!$A:$A,A225))</f>
        <v/>
      </c>
      <c r="M225" s="32" t="str">
        <f aca="false">IF(B225="","",COUNTIF($B$5:$B$254,B225))</f>
        <v/>
      </c>
      <c r="N225" s="30"/>
      <c r="O225" s="30"/>
      <c r="P225" s="30"/>
      <c r="Q225" s="30"/>
      <c r="R225" s="30"/>
      <c r="S225" s="33" t="str">
        <f aca="false">IF(AND(A225&lt;&gt;"",M225&gt;1),COUNTIFS($A$5:A225,"&lt;&gt;",$M$5:M225,"&gt;1"),"")</f>
        <v/>
      </c>
    </row>
    <row r="226" customFormat="false" ht="15" hidden="false" customHeight="false" outlineLevel="0" collapsed="false">
      <c r="A226" s="29"/>
      <c r="B226" s="30"/>
      <c r="C226" s="30"/>
      <c r="D226" s="30"/>
      <c r="E226" s="30"/>
      <c r="F226" s="20" t="str">
        <f aca="false">IF(E226="","",IFERROR(INDEX(Populations!$B:$B,MATCH(E226,Populations!$A:$A,0)),"ID not found"))</f>
        <v/>
      </c>
      <c r="G226" s="30"/>
      <c r="H226" s="30"/>
      <c r="I226" s="30"/>
      <c r="J226" s="30"/>
      <c r="K226" s="20" t="str">
        <f aca="false">IF(A226="","",COUNTIF('Metric to Product'!$A:$A,A226))</f>
        <v/>
      </c>
      <c r="L226" s="20" t="str">
        <f aca="false">IF(A226="","",COUNTIF('Metric to Field'!$A:$A,A226))</f>
        <v/>
      </c>
      <c r="M226" s="32" t="str">
        <f aca="false">IF(B226="","",COUNTIF($B$5:$B$254,B226))</f>
        <v/>
      </c>
      <c r="N226" s="30"/>
      <c r="O226" s="30"/>
      <c r="P226" s="30"/>
      <c r="Q226" s="30"/>
      <c r="R226" s="30"/>
      <c r="S226" s="33" t="str">
        <f aca="false">IF(AND(A226&lt;&gt;"",M226&gt;1),COUNTIFS($A$5:A226,"&lt;&gt;",$M$5:M226,"&gt;1"),"")</f>
        <v/>
      </c>
    </row>
    <row r="227" customFormat="false" ht="15" hidden="false" customHeight="false" outlineLevel="0" collapsed="false">
      <c r="A227" s="29"/>
      <c r="B227" s="30"/>
      <c r="C227" s="30"/>
      <c r="D227" s="30"/>
      <c r="E227" s="30"/>
      <c r="F227" s="20" t="str">
        <f aca="false">IF(E227="","",IFERROR(INDEX(Populations!$B:$B,MATCH(E227,Populations!$A:$A,0)),"ID not found"))</f>
        <v/>
      </c>
      <c r="G227" s="30"/>
      <c r="H227" s="30"/>
      <c r="I227" s="30"/>
      <c r="J227" s="30"/>
      <c r="K227" s="20" t="str">
        <f aca="false">IF(A227="","",COUNTIF('Metric to Product'!$A:$A,A227))</f>
        <v/>
      </c>
      <c r="L227" s="20" t="str">
        <f aca="false">IF(A227="","",COUNTIF('Metric to Field'!$A:$A,A227))</f>
        <v/>
      </c>
      <c r="M227" s="32" t="str">
        <f aca="false">IF(B227="","",COUNTIF($B$5:$B$254,B227))</f>
        <v/>
      </c>
      <c r="N227" s="30"/>
      <c r="O227" s="30"/>
      <c r="P227" s="30"/>
      <c r="Q227" s="30"/>
      <c r="R227" s="30"/>
      <c r="S227" s="33" t="str">
        <f aca="false">IF(AND(A227&lt;&gt;"",M227&gt;1),COUNTIFS($A$5:A227,"&lt;&gt;",$M$5:M227,"&gt;1"),"")</f>
        <v/>
      </c>
    </row>
    <row r="228" customFormat="false" ht="15" hidden="false" customHeight="false" outlineLevel="0" collapsed="false">
      <c r="A228" s="29"/>
      <c r="B228" s="30"/>
      <c r="C228" s="30"/>
      <c r="D228" s="30"/>
      <c r="E228" s="30"/>
      <c r="F228" s="20" t="str">
        <f aca="false">IF(E228="","",IFERROR(INDEX(Populations!$B:$B,MATCH(E228,Populations!$A:$A,0)),"ID not found"))</f>
        <v/>
      </c>
      <c r="G228" s="30"/>
      <c r="H228" s="30"/>
      <c r="I228" s="30"/>
      <c r="J228" s="30"/>
      <c r="K228" s="20" t="str">
        <f aca="false">IF(A228="","",COUNTIF('Metric to Product'!$A:$A,A228))</f>
        <v/>
      </c>
      <c r="L228" s="20" t="str">
        <f aca="false">IF(A228="","",COUNTIF('Metric to Field'!$A:$A,A228))</f>
        <v/>
      </c>
      <c r="M228" s="32" t="str">
        <f aca="false">IF(B228="","",COUNTIF($B$5:$B$254,B228))</f>
        <v/>
      </c>
      <c r="N228" s="30"/>
      <c r="O228" s="30"/>
      <c r="P228" s="30"/>
      <c r="Q228" s="30"/>
      <c r="R228" s="30"/>
      <c r="S228" s="33" t="str">
        <f aca="false">IF(AND(A228&lt;&gt;"",M228&gt;1),COUNTIFS($A$5:A228,"&lt;&gt;",$M$5:M228,"&gt;1"),"")</f>
        <v/>
      </c>
    </row>
    <row r="229" customFormat="false" ht="15" hidden="false" customHeight="false" outlineLevel="0" collapsed="false">
      <c r="A229" s="29"/>
      <c r="B229" s="30"/>
      <c r="C229" s="30"/>
      <c r="D229" s="30"/>
      <c r="E229" s="30"/>
      <c r="F229" s="20" t="str">
        <f aca="false">IF(E229="","",IFERROR(INDEX(Populations!$B:$B,MATCH(E229,Populations!$A:$A,0)),"ID not found"))</f>
        <v/>
      </c>
      <c r="G229" s="30"/>
      <c r="H229" s="30"/>
      <c r="I229" s="30"/>
      <c r="J229" s="30"/>
      <c r="K229" s="20" t="str">
        <f aca="false">IF(A229="","",COUNTIF('Metric to Product'!$A:$A,A229))</f>
        <v/>
      </c>
      <c r="L229" s="20" t="str">
        <f aca="false">IF(A229="","",COUNTIF('Metric to Field'!$A:$A,A229))</f>
        <v/>
      </c>
      <c r="M229" s="32" t="str">
        <f aca="false">IF(B229="","",COUNTIF($B$5:$B$254,B229))</f>
        <v/>
      </c>
      <c r="N229" s="30"/>
      <c r="O229" s="30"/>
      <c r="P229" s="30"/>
      <c r="Q229" s="30"/>
      <c r="R229" s="30"/>
      <c r="S229" s="33" t="str">
        <f aca="false">IF(AND(A229&lt;&gt;"",M229&gt;1),COUNTIFS($A$5:A229,"&lt;&gt;",$M$5:M229,"&gt;1"),"")</f>
        <v/>
      </c>
    </row>
    <row r="230" customFormat="false" ht="15" hidden="false" customHeight="false" outlineLevel="0" collapsed="false">
      <c r="A230" s="29"/>
      <c r="B230" s="30"/>
      <c r="C230" s="30"/>
      <c r="D230" s="30"/>
      <c r="E230" s="30"/>
      <c r="F230" s="20" t="str">
        <f aca="false">IF(E230="","",IFERROR(INDEX(Populations!$B:$B,MATCH(E230,Populations!$A:$A,0)),"ID not found"))</f>
        <v/>
      </c>
      <c r="G230" s="30"/>
      <c r="H230" s="30"/>
      <c r="I230" s="30"/>
      <c r="J230" s="30"/>
      <c r="K230" s="20" t="str">
        <f aca="false">IF(A230="","",COUNTIF('Metric to Product'!$A:$A,A230))</f>
        <v/>
      </c>
      <c r="L230" s="20" t="str">
        <f aca="false">IF(A230="","",COUNTIF('Metric to Field'!$A:$A,A230))</f>
        <v/>
      </c>
      <c r="M230" s="32" t="str">
        <f aca="false">IF(B230="","",COUNTIF($B$5:$B$254,B230))</f>
        <v/>
      </c>
      <c r="N230" s="30"/>
      <c r="O230" s="30"/>
      <c r="P230" s="30"/>
      <c r="Q230" s="30"/>
      <c r="R230" s="30"/>
      <c r="S230" s="33" t="str">
        <f aca="false">IF(AND(A230&lt;&gt;"",M230&gt;1),COUNTIFS($A$5:A230,"&lt;&gt;",$M$5:M230,"&gt;1"),"")</f>
        <v/>
      </c>
    </row>
    <row r="231" customFormat="false" ht="15" hidden="false" customHeight="false" outlineLevel="0" collapsed="false">
      <c r="A231" s="29"/>
      <c r="B231" s="30"/>
      <c r="C231" s="30"/>
      <c r="D231" s="30"/>
      <c r="E231" s="30"/>
      <c r="F231" s="20" t="str">
        <f aca="false">IF(E231="","",IFERROR(INDEX(Populations!$B:$B,MATCH(E231,Populations!$A:$A,0)),"ID not found"))</f>
        <v/>
      </c>
      <c r="G231" s="30"/>
      <c r="H231" s="30"/>
      <c r="I231" s="30"/>
      <c r="J231" s="30"/>
      <c r="K231" s="20" t="str">
        <f aca="false">IF(A231="","",COUNTIF('Metric to Product'!$A:$A,A231))</f>
        <v/>
      </c>
      <c r="L231" s="20" t="str">
        <f aca="false">IF(A231="","",COUNTIF('Metric to Field'!$A:$A,A231))</f>
        <v/>
      </c>
      <c r="M231" s="32" t="str">
        <f aca="false">IF(B231="","",COUNTIF($B$5:$B$254,B231))</f>
        <v/>
      </c>
      <c r="N231" s="30"/>
      <c r="O231" s="30"/>
      <c r="P231" s="30"/>
      <c r="Q231" s="30"/>
      <c r="R231" s="30"/>
      <c r="S231" s="33" t="str">
        <f aca="false">IF(AND(A231&lt;&gt;"",M231&gt;1),COUNTIFS($A$5:A231,"&lt;&gt;",$M$5:M231,"&gt;1"),"")</f>
        <v/>
      </c>
    </row>
    <row r="232" customFormat="false" ht="15" hidden="false" customHeight="false" outlineLevel="0" collapsed="false">
      <c r="A232" s="29"/>
      <c r="B232" s="30"/>
      <c r="C232" s="30"/>
      <c r="D232" s="30"/>
      <c r="E232" s="30"/>
      <c r="F232" s="20" t="str">
        <f aca="false">IF(E232="","",IFERROR(INDEX(Populations!$B:$B,MATCH(E232,Populations!$A:$A,0)),"ID not found"))</f>
        <v/>
      </c>
      <c r="G232" s="30"/>
      <c r="H232" s="30"/>
      <c r="I232" s="30"/>
      <c r="J232" s="30"/>
      <c r="K232" s="20" t="str">
        <f aca="false">IF(A232="","",COUNTIF('Metric to Product'!$A:$A,A232))</f>
        <v/>
      </c>
      <c r="L232" s="20" t="str">
        <f aca="false">IF(A232="","",COUNTIF('Metric to Field'!$A:$A,A232))</f>
        <v/>
      </c>
      <c r="M232" s="32" t="str">
        <f aca="false">IF(B232="","",COUNTIF($B$5:$B$254,B232))</f>
        <v/>
      </c>
      <c r="N232" s="30"/>
      <c r="O232" s="30"/>
      <c r="P232" s="30"/>
      <c r="Q232" s="30"/>
      <c r="R232" s="30"/>
      <c r="S232" s="33" t="str">
        <f aca="false">IF(AND(A232&lt;&gt;"",M232&gt;1),COUNTIFS($A$5:A232,"&lt;&gt;",$M$5:M232,"&gt;1"),"")</f>
        <v/>
      </c>
    </row>
    <row r="233" customFormat="false" ht="15" hidden="false" customHeight="false" outlineLevel="0" collapsed="false">
      <c r="A233" s="29"/>
      <c r="B233" s="30"/>
      <c r="C233" s="30"/>
      <c r="D233" s="30"/>
      <c r="E233" s="30"/>
      <c r="F233" s="20" t="str">
        <f aca="false">IF(E233="","",IFERROR(INDEX(Populations!$B:$B,MATCH(E233,Populations!$A:$A,0)),"ID not found"))</f>
        <v/>
      </c>
      <c r="G233" s="30"/>
      <c r="H233" s="30"/>
      <c r="I233" s="30"/>
      <c r="J233" s="30"/>
      <c r="K233" s="20" t="str">
        <f aca="false">IF(A233="","",COUNTIF('Metric to Product'!$A:$A,A233))</f>
        <v/>
      </c>
      <c r="L233" s="20" t="str">
        <f aca="false">IF(A233="","",COUNTIF('Metric to Field'!$A:$A,A233))</f>
        <v/>
      </c>
      <c r="M233" s="32" t="str">
        <f aca="false">IF(B233="","",COUNTIF($B$5:$B$254,B233))</f>
        <v/>
      </c>
      <c r="N233" s="30"/>
      <c r="O233" s="30"/>
      <c r="P233" s="30"/>
      <c r="Q233" s="30"/>
      <c r="R233" s="30"/>
      <c r="S233" s="33" t="str">
        <f aca="false">IF(AND(A233&lt;&gt;"",M233&gt;1),COUNTIFS($A$5:A233,"&lt;&gt;",$M$5:M233,"&gt;1"),"")</f>
        <v/>
      </c>
    </row>
    <row r="234" customFormat="false" ht="15" hidden="false" customHeight="false" outlineLevel="0" collapsed="false">
      <c r="A234" s="29"/>
      <c r="B234" s="30"/>
      <c r="C234" s="30"/>
      <c r="D234" s="30"/>
      <c r="E234" s="30"/>
      <c r="F234" s="20" t="str">
        <f aca="false">IF(E234="","",IFERROR(INDEX(Populations!$B:$B,MATCH(E234,Populations!$A:$A,0)),"ID not found"))</f>
        <v/>
      </c>
      <c r="G234" s="30"/>
      <c r="H234" s="30"/>
      <c r="I234" s="30"/>
      <c r="J234" s="30"/>
      <c r="K234" s="20" t="str">
        <f aca="false">IF(A234="","",COUNTIF('Metric to Product'!$A:$A,A234))</f>
        <v/>
      </c>
      <c r="L234" s="20" t="str">
        <f aca="false">IF(A234="","",COUNTIF('Metric to Field'!$A:$A,A234))</f>
        <v/>
      </c>
      <c r="M234" s="32" t="str">
        <f aca="false">IF(B234="","",COUNTIF($B$5:$B$254,B234))</f>
        <v/>
      </c>
      <c r="N234" s="30"/>
      <c r="O234" s="30"/>
      <c r="P234" s="30"/>
      <c r="Q234" s="30"/>
      <c r="R234" s="30"/>
      <c r="S234" s="33" t="str">
        <f aca="false">IF(AND(A234&lt;&gt;"",M234&gt;1),COUNTIFS($A$5:A234,"&lt;&gt;",$M$5:M234,"&gt;1"),"")</f>
        <v/>
      </c>
    </row>
    <row r="235" customFormat="false" ht="15" hidden="false" customHeight="false" outlineLevel="0" collapsed="false">
      <c r="A235" s="29"/>
      <c r="B235" s="30"/>
      <c r="C235" s="30"/>
      <c r="D235" s="30"/>
      <c r="E235" s="30"/>
      <c r="F235" s="20" t="str">
        <f aca="false">IF(E235="","",IFERROR(INDEX(Populations!$B:$B,MATCH(E235,Populations!$A:$A,0)),"ID not found"))</f>
        <v/>
      </c>
      <c r="G235" s="30"/>
      <c r="H235" s="30"/>
      <c r="I235" s="30"/>
      <c r="J235" s="30"/>
      <c r="K235" s="20" t="str">
        <f aca="false">IF(A235="","",COUNTIF('Metric to Product'!$A:$A,A235))</f>
        <v/>
      </c>
      <c r="L235" s="20" t="str">
        <f aca="false">IF(A235="","",COUNTIF('Metric to Field'!$A:$A,A235))</f>
        <v/>
      </c>
      <c r="M235" s="32" t="str">
        <f aca="false">IF(B235="","",COUNTIF($B$5:$B$254,B235))</f>
        <v/>
      </c>
      <c r="N235" s="30"/>
      <c r="O235" s="30"/>
      <c r="P235" s="30"/>
      <c r="Q235" s="30"/>
      <c r="R235" s="30"/>
      <c r="S235" s="33" t="str">
        <f aca="false">IF(AND(A235&lt;&gt;"",M235&gt;1),COUNTIFS($A$5:A235,"&lt;&gt;",$M$5:M235,"&gt;1"),"")</f>
        <v/>
      </c>
    </row>
    <row r="236" customFormat="false" ht="15" hidden="false" customHeight="false" outlineLevel="0" collapsed="false">
      <c r="A236" s="29"/>
      <c r="B236" s="30"/>
      <c r="C236" s="30"/>
      <c r="D236" s="30"/>
      <c r="E236" s="30"/>
      <c r="F236" s="20" t="str">
        <f aca="false">IF(E236="","",IFERROR(INDEX(Populations!$B:$B,MATCH(E236,Populations!$A:$A,0)),"ID not found"))</f>
        <v/>
      </c>
      <c r="G236" s="30"/>
      <c r="H236" s="30"/>
      <c r="I236" s="30"/>
      <c r="J236" s="30"/>
      <c r="K236" s="20" t="str">
        <f aca="false">IF(A236="","",COUNTIF('Metric to Product'!$A:$A,A236))</f>
        <v/>
      </c>
      <c r="L236" s="20" t="str">
        <f aca="false">IF(A236="","",COUNTIF('Metric to Field'!$A:$A,A236))</f>
        <v/>
      </c>
      <c r="M236" s="32" t="str">
        <f aca="false">IF(B236="","",COUNTIF($B$5:$B$254,B236))</f>
        <v/>
      </c>
      <c r="N236" s="30"/>
      <c r="O236" s="30"/>
      <c r="P236" s="30"/>
      <c r="Q236" s="30"/>
      <c r="R236" s="30"/>
      <c r="S236" s="33" t="str">
        <f aca="false">IF(AND(A236&lt;&gt;"",M236&gt;1),COUNTIFS($A$5:A236,"&lt;&gt;",$M$5:M236,"&gt;1"),"")</f>
        <v/>
      </c>
    </row>
    <row r="237" customFormat="false" ht="15" hidden="false" customHeight="false" outlineLevel="0" collapsed="false">
      <c r="A237" s="29"/>
      <c r="B237" s="30"/>
      <c r="C237" s="30"/>
      <c r="D237" s="30"/>
      <c r="E237" s="30"/>
      <c r="F237" s="20" t="str">
        <f aca="false">IF(E237="","",IFERROR(INDEX(Populations!$B:$B,MATCH(E237,Populations!$A:$A,0)),"ID not found"))</f>
        <v/>
      </c>
      <c r="G237" s="30"/>
      <c r="H237" s="30"/>
      <c r="I237" s="30"/>
      <c r="J237" s="30"/>
      <c r="K237" s="20" t="str">
        <f aca="false">IF(A237="","",COUNTIF('Metric to Product'!$A:$A,A237))</f>
        <v/>
      </c>
      <c r="L237" s="20" t="str">
        <f aca="false">IF(A237="","",COUNTIF('Metric to Field'!$A:$A,A237))</f>
        <v/>
      </c>
      <c r="M237" s="32" t="str">
        <f aca="false">IF(B237="","",COUNTIF($B$5:$B$254,B237))</f>
        <v/>
      </c>
      <c r="N237" s="30"/>
      <c r="O237" s="30"/>
      <c r="P237" s="30"/>
      <c r="Q237" s="30"/>
      <c r="R237" s="30"/>
      <c r="S237" s="33" t="str">
        <f aca="false">IF(AND(A237&lt;&gt;"",M237&gt;1),COUNTIFS($A$5:A237,"&lt;&gt;",$M$5:M237,"&gt;1"),"")</f>
        <v/>
      </c>
    </row>
    <row r="238" customFormat="false" ht="15" hidden="false" customHeight="false" outlineLevel="0" collapsed="false">
      <c r="A238" s="29"/>
      <c r="B238" s="30"/>
      <c r="C238" s="30"/>
      <c r="D238" s="30"/>
      <c r="E238" s="30"/>
      <c r="F238" s="20" t="str">
        <f aca="false">IF(E238="","",IFERROR(INDEX(Populations!$B:$B,MATCH(E238,Populations!$A:$A,0)),"ID not found"))</f>
        <v/>
      </c>
      <c r="G238" s="30"/>
      <c r="H238" s="30"/>
      <c r="I238" s="30"/>
      <c r="J238" s="30"/>
      <c r="K238" s="20" t="str">
        <f aca="false">IF(A238="","",COUNTIF('Metric to Product'!$A:$A,A238))</f>
        <v/>
      </c>
      <c r="L238" s="20" t="str">
        <f aca="false">IF(A238="","",COUNTIF('Metric to Field'!$A:$A,A238))</f>
        <v/>
      </c>
      <c r="M238" s="32" t="str">
        <f aca="false">IF(B238="","",COUNTIF($B$5:$B$254,B238))</f>
        <v/>
      </c>
      <c r="N238" s="30"/>
      <c r="O238" s="30"/>
      <c r="P238" s="30"/>
      <c r="Q238" s="30"/>
      <c r="R238" s="30"/>
      <c r="S238" s="33" t="str">
        <f aca="false">IF(AND(A238&lt;&gt;"",M238&gt;1),COUNTIFS($A$5:A238,"&lt;&gt;",$M$5:M238,"&gt;1"),"")</f>
        <v/>
      </c>
    </row>
    <row r="239" customFormat="false" ht="15" hidden="false" customHeight="false" outlineLevel="0" collapsed="false">
      <c r="A239" s="29"/>
      <c r="B239" s="30"/>
      <c r="C239" s="30"/>
      <c r="D239" s="30"/>
      <c r="E239" s="30"/>
      <c r="F239" s="20" t="str">
        <f aca="false">IF(E239="","",IFERROR(INDEX(Populations!$B:$B,MATCH(E239,Populations!$A:$A,0)),"ID not found"))</f>
        <v/>
      </c>
      <c r="G239" s="30"/>
      <c r="H239" s="30"/>
      <c r="I239" s="30"/>
      <c r="J239" s="30"/>
      <c r="K239" s="20" t="str">
        <f aca="false">IF(A239="","",COUNTIF('Metric to Product'!$A:$A,A239))</f>
        <v/>
      </c>
      <c r="L239" s="20" t="str">
        <f aca="false">IF(A239="","",COUNTIF('Metric to Field'!$A:$A,A239))</f>
        <v/>
      </c>
      <c r="M239" s="32" t="str">
        <f aca="false">IF(B239="","",COUNTIF($B$5:$B$254,B239))</f>
        <v/>
      </c>
      <c r="N239" s="30"/>
      <c r="O239" s="30"/>
      <c r="P239" s="30"/>
      <c r="Q239" s="30"/>
      <c r="R239" s="30"/>
      <c r="S239" s="33" t="str">
        <f aca="false">IF(AND(A239&lt;&gt;"",M239&gt;1),COUNTIFS($A$5:A239,"&lt;&gt;",$M$5:M239,"&gt;1"),"")</f>
        <v/>
      </c>
    </row>
    <row r="240" customFormat="false" ht="15" hidden="false" customHeight="false" outlineLevel="0" collapsed="false">
      <c r="A240" s="29"/>
      <c r="B240" s="30"/>
      <c r="C240" s="30"/>
      <c r="D240" s="30"/>
      <c r="E240" s="30"/>
      <c r="F240" s="20" t="str">
        <f aca="false">IF(E240="","",IFERROR(INDEX(Populations!$B:$B,MATCH(E240,Populations!$A:$A,0)),"ID not found"))</f>
        <v/>
      </c>
      <c r="G240" s="30"/>
      <c r="H240" s="30"/>
      <c r="I240" s="30"/>
      <c r="J240" s="30"/>
      <c r="K240" s="20" t="str">
        <f aca="false">IF(A240="","",COUNTIF('Metric to Product'!$A:$A,A240))</f>
        <v/>
      </c>
      <c r="L240" s="20" t="str">
        <f aca="false">IF(A240="","",COUNTIF('Metric to Field'!$A:$A,A240))</f>
        <v/>
      </c>
      <c r="M240" s="32" t="str">
        <f aca="false">IF(B240="","",COUNTIF($B$5:$B$254,B240))</f>
        <v/>
      </c>
      <c r="N240" s="30"/>
      <c r="O240" s="30"/>
      <c r="P240" s="30"/>
      <c r="Q240" s="30"/>
      <c r="R240" s="30"/>
      <c r="S240" s="33" t="str">
        <f aca="false">IF(AND(A240&lt;&gt;"",M240&gt;1),COUNTIFS($A$5:A240,"&lt;&gt;",$M$5:M240,"&gt;1"),"")</f>
        <v/>
      </c>
    </row>
    <row r="241" customFormat="false" ht="15" hidden="false" customHeight="false" outlineLevel="0" collapsed="false">
      <c r="A241" s="29"/>
      <c r="B241" s="30"/>
      <c r="C241" s="30"/>
      <c r="D241" s="30"/>
      <c r="E241" s="30"/>
      <c r="F241" s="20" t="str">
        <f aca="false">IF(E241="","",IFERROR(INDEX(Populations!$B:$B,MATCH(E241,Populations!$A:$A,0)),"ID not found"))</f>
        <v/>
      </c>
      <c r="G241" s="30"/>
      <c r="H241" s="30"/>
      <c r="I241" s="30"/>
      <c r="J241" s="30"/>
      <c r="K241" s="20" t="str">
        <f aca="false">IF(A241="","",COUNTIF('Metric to Product'!$A:$A,A241))</f>
        <v/>
      </c>
      <c r="L241" s="20" t="str">
        <f aca="false">IF(A241="","",COUNTIF('Metric to Field'!$A:$A,A241))</f>
        <v/>
      </c>
      <c r="M241" s="32" t="str">
        <f aca="false">IF(B241="","",COUNTIF($B$5:$B$254,B241))</f>
        <v/>
      </c>
      <c r="N241" s="30"/>
      <c r="O241" s="30"/>
      <c r="P241" s="30"/>
      <c r="Q241" s="30"/>
      <c r="R241" s="30"/>
      <c r="S241" s="33" t="str">
        <f aca="false">IF(AND(A241&lt;&gt;"",M241&gt;1),COUNTIFS($A$5:A241,"&lt;&gt;",$M$5:M241,"&gt;1"),"")</f>
        <v/>
      </c>
    </row>
    <row r="242" customFormat="false" ht="15" hidden="false" customHeight="false" outlineLevel="0" collapsed="false">
      <c r="A242" s="29"/>
      <c r="B242" s="30"/>
      <c r="C242" s="30"/>
      <c r="D242" s="30"/>
      <c r="E242" s="30"/>
      <c r="F242" s="20" t="str">
        <f aca="false">IF(E242="","",IFERROR(INDEX(Populations!$B:$B,MATCH(E242,Populations!$A:$A,0)),"ID not found"))</f>
        <v/>
      </c>
      <c r="G242" s="30"/>
      <c r="H242" s="30"/>
      <c r="I242" s="30"/>
      <c r="J242" s="30"/>
      <c r="K242" s="20" t="str">
        <f aca="false">IF(A242="","",COUNTIF('Metric to Product'!$A:$A,A242))</f>
        <v/>
      </c>
      <c r="L242" s="20" t="str">
        <f aca="false">IF(A242="","",COUNTIF('Metric to Field'!$A:$A,A242))</f>
        <v/>
      </c>
      <c r="M242" s="32" t="str">
        <f aca="false">IF(B242="","",COUNTIF($B$5:$B$254,B242))</f>
        <v/>
      </c>
      <c r="N242" s="30"/>
      <c r="O242" s="30"/>
      <c r="P242" s="30"/>
      <c r="Q242" s="30"/>
      <c r="R242" s="30"/>
      <c r="S242" s="33" t="str">
        <f aca="false">IF(AND(A242&lt;&gt;"",M242&gt;1),COUNTIFS($A$5:A242,"&lt;&gt;",$M$5:M242,"&gt;1"),"")</f>
        <v/>
      </c>
    </row>
    <row r="243" customFormat="false" ht="15" hidden="false" customHeight="false" outlineLevel="0" collapsed="false">
      <c r="A243" s="29"/>
      <c r="B243" s="30"/>
      <c r="C243" s="30"/>
      <c r="D243" s="30"/>
      <c r="E243" s="30"/>
      <c r="F243" s="20" t="str">
        <f aca="false">IF(E243="","",IFERROR(INDEX(Populations!$B:$B,MATCH(E243,Populations!$A:$A,0)),"ID not found"))</f>
        <v/>
      </c>
      <c r="G243" s="30"/>
      <c r="H243" s="30"/>
      <c r="I243" s="30"/>
      <c r="J243" s="30"/>
      <c r="K243" s="20" t="str">
        <f aca="false">IF(A243="","",COUNTIF('Metric to Product'!$A:$A,A243))</f>
        <v/>
      </c>
      <c r="L243" s="20" t="str">
        <f aca="false">IF(A243="","",COUNTIF('Metric to Field'!$A:$A,A243))</f>
        <v/>
      </c>
      <c r="M243" s="32" t="str">
        <f aca="false">IF(B243="","",COUNTIF($B$5:$B$254,B243))</f>
        <v/>
      </c>
      <c r="N243" s="30"/>
      <c r="O243" s="30"/>
      <c r="P243" s="30"/>
      <c r="Q243" s="30"/>
      <c r="R243" s="30"/>
      <c r="S243" s="33" t="str">
        <f aca="false">IF(AND(A243&lt;&gt;"",M243&gt;1),COUNTIFS($A$5:A243,"&lt;&gt;",$M$5:M243,"&gt;1"),"")</f>
        <v/>
      </c>
    </row>
    <row r="244" customFormat="false" ht="15" hidden="false" customHeight="false" outlineLevel="0" collapsed="false">
      <c r="A244" s="29"/>
      <c r="B244" s="30"/>
      <c r="C244" s="30"/>
      <c r="D244" s="30"/>
      <c r="E244" s="30"/>
      <c r="F244" s="20" t="str">
        <f aca="false">IF(E244="","",IFERROR(INDEX(Populations!$B:$B,MATCH(E244,Populations!$A:$A,0)),"ID not found"))</f>
        <v/>
      </c>
      <c r="G244" s="30"/>
      <c r="H244" s="30"/>
      <c r="I244" s="30"/>
      <c r="J244" s="30"/>
      <c r="K244" s="20" t="str">
        <f aca="false">IF(A244="","",COUNTIF('Metric to Product'!$A:$A,A244))</f>
        <v/>
      </c>
      <c r="L244" s="20" t="str">
        <f aca="false">IF(A244="","",COUNTIF('Metric to Field'!$A:$A,A244))</f>
        <v/>
      </c>
      <c r="M244" s="32" t="str">
        <f aca="false">IF(B244="","",COUNTIF($B$5:$B$254,B244))</f>
        <v/>
      </c>
      <c r="N244" s="30"/>
      <c r="O244" s="30"/>
      <c r="P244" s="30"/>
      <c r="Q244" s="30"/>
      <c r="R244" s="30"/>
      <c r="S244" s="33" t="str">
        <f aca="false">IF(AND(A244&lt;&gt;"",M244&gt;1),COUNTIFS($A$5:A244,"&lt;&gt;",$M$5:M244,"&gt;1"),"")</f>
        <v/>
      </c>
    </row>
    <row r="245" customFormat="false" ht="15" hidden="false" customHeight="false" outlineLevel="0" collapsed="false">
      <c r="A245" s="29"/>
      <c r="B245" s="30"/>
      <c r="C245" s="30"/>
      <c r="D245" s="30"/>
      <c r="E245" s="30"/>
      <c r="F245" s="20" t="str">
        <f aca="false">IF(E245="","",IFERROR(INDEX(Populations!$B:$B,MATCH(E245,Populations!$A:$A,0)),"ID not found"))</f>
        <v/>
      </c>
      <c r="G245" s="30"/>
      <c r="H245" s="30"/>
      <c r="I245" s="30"/>
      <c r="J245" s="30"/>
      <c r="K245" s="20" t="str">
        <f aca="false">IF(A245="","",COUNTIF('Metric to Product'!$A:$A,A245))</f>
        <v/>
      </c>
      <c r="L245" s="20" t="str">
        <f aca="false">IF(A245="","",COUNTIF('Metric to Field'!$A:$A,A245))</f>
        <v/>
      </c>
      <c r="M245" s="32" t="str">
        <f aca="false">IF(B245="","",COUNTIF($B$5:$B$254,B245))</f>
        <v/>
      </c>
      <c r="N245" s="30"/>
      <c r="O245" s="30"/>
      <c r="P245" s="30"/>
      <c r="Q245" s="30"/>
      <c r="R245" s="30"/>
      <c r="S245" s="33" t="str">
        <f aca="false">IF(AND(A245&lt;&gt;"",M245&gt;1),COUNTIFS($A$5:A245,"&lt;&gt;",$M$5:M245,"&gt;1"),"")</f>
        <v/>
      </c>
    </row>
    <row r="246" customFormat="false" ht="15" hidden="false" customHeight="false" outlineLevel="0" collapsed="false">
      <c r="A246" s="29"/>
      <c r="B246" s="30"/>
      <c r="C246" s="30"/>
      <c r="D246" s="30"/>
      <c r="E246" s="30"/>
      <c r="F246" s="20" t="str">
        <f aca="false">IF(E246="","",IFERROR(INDEX(Populations!$B:$B,MATCH(E246,Populations!$A:$A,0)),"ID not found"))</f>
        <v/>
      </c>
      <c r="G246" s="30"/>
      <c r="H246" s="30"/>
      <c r="I246" s="30"/>
      <c r="J246" s="30"/>
      <c r="K246" s="20" t="str">
        <f aca="false">IF(A246="","",COUNTIF('Metric to Product'!$A:$A,A246))</f>
        <v/>
      </c>
      <c r="L246" s="20" t="str">
        <f aca="false">IF(A246="","",COUNTIF('Metric to Field'!$A:$A,A246))</f>
        <v/>
      </c>
      <c r="M246" s="32" t="str">
        <f aca="false">IF(B246="","",COUNTIF($B$5:$B$254,B246))</f>
        <v/>
      </c>
      <c r="N246" s="30"/>
      <c r="O246" s="30"/>
      <c r="P246" s="30"/>
      <c r="Q246" s="30"/>
      <c r="R246" s="30"/>
      <c r="S246" s="33" t="str">
        <f aca="false">IF(AND(A246&lt;&gt;"",M246&gt;1),COUNTIFS($A$5:A246,"&lt;&gt;",$M$5:M246,"&gt;1"),"")</f>
        <v/>
      </c>
    </row>
    <row r="247" customFormat="false" ht="15" hidden="false" customHeight="false" outlineLevel="0" collapsed="false">
      <c r="A247" s="29"/>
      <c r="B247" s="30"/>
      <c r="C247" s="30"/>
      <c r="D247" s="30"/>
      <c r="E247" s="30"/>
      <c r="F247" s="20" t="str">
        <f aca="false">IF(E247="","",IFERROR(INDEX(Populations!$B:$B,MATCH(E247,Populations!$A:$A,0)),"ID not found"))</f>
        <v/>
      </c>
      <c r="G247" s="30"/>
      <c r="H247" s="30"/>
      <c r="I247" s="30"/>
      <c r="J247" s="30"/>
      <c r="K247" s="20" t="str">
        <f aca="false">IF(A247="","",COUNTIF('Metric to Product'!$A:$A,A247))</f>
        <v/>
      </c>
      <c r="L247" s="20" t="str">
        <f aca="false">IF(A247="","",COUNTIF('Metric to Field'!$A:$A,A247))</f>
        <v/>
      </c>
      <c r="M247" s="32" t="str">
        <f aca="false">IF(B247="","",COUNTIF($B$5:$B$254,B247))</f>
        <v/>
      </c>
      <c r="N247" s="30"/>
      <c r="O247" s="30"/>
      <c r="P247" s="30"/>
      <c r="Q247" s="30"/>
      <c r="R247" s="30"/>
      <c r="S247" s="33" t="str">
        <f aca="false">IF(AND(A247&lt;&gt;"",M247&gt;1),COUNTIFS($A$5:A247,"&lt;&gt;",$M$5:M247,"&gt;1"),"")</f>
        <v/>
      </c>
    </row>
    <row r="248" customFormat="false" ht="15" hidden="false" customHeight="false" outlineLevel="0" collapsed="false">
      <c r="A248" s="29"/>
      <c r="B248" s="30"/>
      <c r="C248" s="30"/>
      <c r="D248" s="30"/>
      <c r="E248" s="30"/>
      <c r="F248" s="20" t="str">
        <f aca="false">IF(E248="","",IFERROR(INDEX(Populations!$B:$B,MATCH(E248,Populations!$A:$A,0)),"ID not found"))</f>
        <v/>
      </c>
      <c r="G248" s="30"/>
      <c r="H248" s="30"/>
      <c r="I248" s="30"/>
      <c r="J248" s="30"/>
      <c r="K248" s="20" t="str">
        <f aca="false">IF(A248="","",COUNTIF('Metric to Product'!$A:$A,A248))</f>
        <v/>
      </c>
      <c r="L248" s="20" t="str">
        <f aca="false">IF(A248="","",COUNTIF('Metric to Field'!$A:$A,A248))</f>
        <v/>
      </c>
      <c r="M248" s="32" t="str">
        <f aca="false">IF(B248="","",COUNTIF($B$5:$B$254,B248))</f>
        <v/>
      </c>
      <c r="N248" s="30"/>
      <c r="O248" s="30"/>
      <c r="P248" s="30"/>
      <c r="Q248" s="30"/>
      <c r="R248" s="30"/>
      <c r="S248" s="33" t="str">
        <f aca="false">IF(AND(A248&lt;&gt;"",M248&gt;1),COUNTIFS($A$5:A248,"&lt;&gt;",$M$5:M248,"&gt;1"),"")</f>
        <v/>
      </c>
    </row>
    <row r="249" customFormat="false" ht="15" hidden="false" customHeight="false" outlineLevel="0" collapsed="false">
      <c r="A249" s="29"/>
      <c r="B249" s="30"/>
      <c r="C249" s="30"/>
      <c r="D249" s="30"/>
      <c r="E249" s="30"/>
      <c r="F249" s="20" t="str">
        <f aca="false">IF(E249="","",IFERROR(INDEX(Populations!$B:$B,MATCH(E249,Populations!$A:$A,0)),"ID not found"))</f>
        <v/>
      </c>
      <c r="G249" s="30"/>
      <c r="H249" s="30"/>
      <c r="I249" s="30"/>
      <c r="J249" s="30"/>
      <c r="K249" s="20" t="str">
        <f aca="false">IF(A249="","",COUNTIF('Metric to Product'!$A:$A,A249))</f>
        <v/>
      </c>
      <c r="L249" s="20" t="str">
        <f aca="false">IF(A249="","",COUNTIF('Metric to Field'!$A:$A,A249))</f>
        <v/>
      </c>
      <c r="M249" s="32" t="str">
        <f aca="false">IF(B249="","",COUNTIF($B$5:$B$254,B249))</f>
        <v/>
      </c>
      <c r="N249" s="30"/>
      <c r="O249" s="30"/>
      <c r="P249" s="30"/>
      <c r="Q249" s="30"/>
      <c r="R249" s="30"/>
      <c r="S249" s="33" t="str">
        <f aca="false">IF(AND(A249&lt;&gt;"",M249&gt;1),COUNTIFS($A$5:A249,"&lt;&gt;",$M$5:M249,"&gt;1"),"")</f>
        <v/>
      </c>
    </row>
    <row r="250" customFormat="false" ht="15" hidden="false" customHeight="false" outlineLevel="0" collapsed="false">
      <c r="A250" s="29"/>
      <c r="B250" s="30"/>
      <c r="C250" s="30"/>
      <c r="D250" s="30"/>
      <c r="E250" s="30"/>
      <c r="F250" s="20" t="str">
        <f aca="false">IF(E250="","",IFERROR(INDEX(Populations!$B:$B,MATCH(E250,Populations!$A:$A,0)),"ID not found"))</f>
        <v/>
      </c>
      <c r="G250" s="30"/>
      <c r="H250" s="30"/>
      <c r="I250" s="30"/>
      <c r="J250" s="30"/>
      <c r="K250" s="20" t="str">
        <f aca="false">IF(A250="","",COUNTIF('Metric to Product'!$A:$A,A250))</f>
        <v/>
      </c>
      <c r="L250" s="20" t="str">
        <f aca="false">IF(A250="","",COUNTIF('Metric to Field'!$A:$A,A250))</f>
        <v/>
      </c>
      <c r="M250" s="32" t="str">
        <f aca="false">IF(B250="","",COUNTIF($B$5:$B$254,B250))</f>
        <v/>
      </c>
      <c r="N250" s="30"/>
      <c r="O250" s="30"/>
      <c r="P250" s="30"/>
      <c r="Q250" s="30"/>
      <c r="R250" s="30"/>
      <c r="S250" s="33" t="str">
        <f aca="false">IF(AND(A250&lt;&gt;"",M250&gt;1),COUNTIFS($A$5:A250,"&lt;&gt;",$M$5:M250,"&gt;1"),"")</f>
        <v/>
      </c>
    </row>
    <row r="251" customFormat="false" ht="15" hidden="false" customHeight="false" outlineLevel="0" collapsed="false">
      <c r="A251" s="29"/>
      <c r="B251" s="30"/>
      <c r="C251" s="30"/>
      <c r="D251" s="30"/>
      <c r="E251" s="30"/>
      <c r="F251" s="20" t="str">
        <f aca="false">IF(E251="","",IFERROR(INDEX(Populations!$B:$B,MATCH(E251,Populations!$A:$A,0)),"ID not found"))</f>
        <v/>
      </c>
      <c r="G251" s="30"/>
      <c r="H251" s="30"/>
      <c r="I251" s="30"/>
      <c r="J251" s="30"/>
      <c r="K251" s="20" t="str">
        <f aca="false">IF(A251="","",COUNTIF('Metric to Product'!$A:$A,A251))</f>
        <v/>
      </c>
      <c r="L251" s="20" t="str">
        <f aca="false">IF(A251="","",COUNTIF('Metric to Field'!$A:$A,A251))</f>
        <v/>
      </c>
      <c r="M251" s="32" t="str">
        <f aca="false">IF(B251="","",COUNTIF($B$5:$B$254,B251))</f>
        <v/>
      </c>
      <c r="N251" s="30"/>
      <c r="O251" s="30"/>
      <c r="P251" s="30"/>
      <c r="Q251" s="30"/>
      <c r="R251" s="30"/>
      <c r="S251" s="33" t="str">
        <f aca="false">IF(AND(A251&lt;&gt;"",M251&gt;1),COUNTIFS($A$5:A251,"&lt;&gt;",$M$5:M251,"&gt;1"),"")</f>
        <v/>
      </c>
    </row>
    <row r="252" customFormat="false" ht="15" hidden="false" customHeight="false" outlineLevel="0" collapsed="false">
      <c r="A252" s="29"/>
      <c r="B252" s="30"/>
      <c r="C252" s="30"/>
      <c r="D252" s="30"/>
      <c r="E252" s="30"/>
      <c r="F252" s="20" t="str">
        <f aca="false">IF(E252="","",IFERROR(INDEX(Populations!$B:$B,MATCH(E252,Populations!$A:$A,0)),"ID not found"))</f>
        <v/>
      </c>
      <c r="G252" s="30"/>
      <c r="H252" s="30"/>
      <c r="I252" s="30"/>
      <c r="J252" s="30"/>
      <c r="K252" s="20" t="str">
        <f aca="false">IF(A252="","",COUNTIF('Metric to Product'!$A:$A,A252))</f>
        <v/>
      </c>
      <c r="L252" s="20" t="str">
        <f aca="false">IF(A252="","",COUNTIF('Metric to Field'!$A:$A,A252))</f>
        <v/>
      </c>
      <c r="M252" s="32" t="str">
        <f aca="false">IF(B252="","",COUNTIF($B$5:$B$254,B252))</f>
        <v/>
      </c>
      <c r="N252" s="30"/>
      <c r="O252" s="30"/>
      <c r="P252" s="30"/>
      <c r="Q252" s="30"/>
      <c r="R252" s="30"/>
      <c r="S252" s="33" t="str">
        <f aca="false">IF(AND(A252&lt;&gt;"",M252&gt;1),COUNTIFS($A$5:A252,"&lt;&gt;",$M$5:M252,"&gt;1"),"")</f>
        <v/>
      </c>
    </row>
    <row r="253" customFormat="false" ht="15" hidden="false" customHeight="false" outlineLevel="0" collapsed="false">
      <c r="A253" s="29"/>
      <c r="B253" s="30"/>
      <c r="C253" s="30"/>
      <c r="D253" s="30"/>
      <c r="E253" s="30"/>
      <c r="F253" s="20" t="str">
        <f aca="false">IF(E253="","",IFERROR(INDEX(Populations!$B:$B,MATCH(E253,Populations!$A:$A,0)),"ID not found"))</f>
        <v/>
      </c>
      <c r="G253" s="30"/>
      <c r="H253" s="30"/>
      <c r="I253" s="30"/>
      <c r="J253" s="30"/>
      <c r="K253" s="20" t="str">
        <f aca="false">IF(A253="","",COUNTIF('Metric to Product'!$A:$A,A253))</f>
        <v/>
      </c>
      <c r="L253" s="20" t="str">
        <f aca="false">IF(A253="","",COUNTIF('Metric to Field'!$A:$A,A253))</f>
        <v/>
      </c>
      <c r="M253" s="32" t="str">
        <f aca="false">IF(B253="","",COUNTIF($B$5:$B$254,B253))</f>
        <v/>
      </c>
      <c r="N253" s="30"/>
      <c r="O253" s="30"/>
      <c r="P253" s="30"/>
      <c r="Q253" s="30"/>
      <c r="R253" s="30"/>
      <c r="S253" s="33" t="str">
        <f aca="false">IF(AND(A253&lt;&gt;"",M253&gt;1),COUNTIFS($A$5:A253,"&lt;&gt;",$M$5:M253,"&gt;1"),"")</f>
        <v/>
      </c>
    </row>
    <row r="254" customFormat="false" ht="15" hidden="false" customHeight="false" outlineLevel="0" collapsed="false">
      <c r="A254" s="29"/>
      <c r="B254" s="30"/>
      <c r="C254" s="30"/>
      <c r="D254" s="30"/>
      <c r="E254" s="30"/>
      <c r="F254" s="20" t="str">
        <f aca="false">IF(E254="","",IFERROR(INDEX(Populations!$B:$B,MATCH(E254,Populations!$A:$A,0)),"ID not found"))</f>
        <v/>
      </c>
      <c r="G254" s="30"/>
      <c r="H254" s="30"/>
      <c r="I254" s="30"/>
      <c r="J254" s="30"/>
      <c r="K254" s="20" t="str">
        <f aca="false">IF(A254="","",COUNTIF('Metric to Product'!$A:$A,A254))</f>
        <v/>
      </c>
      <c r="L254" s="20" t="str">
        <f aca="false">IF(A254="","",COUNTIF('Metric to Field'!$A:$A,A254))</f>
        <v/>
      </c>
      <c r="M254" s="32" t="str">
        <f aca="false">IF(B254="","",COUNTIF($B$5:$B$254,B254))</f>
        <v/>
      </c>
      <c r="N254" s="30"/>
      <c r="O254" s="30"/>
      <c r="P254" s="30"/>
      <c r="Q254" s="30"/>
      <c r="R254" s="30"/>
      <c r="S254" s="33" t="str">
        <f aca="false">IF(AND(A254&lt;&gt;"",M254&gt;1),COUNTIFS($A$5:A254,"&lt;&gt;",$M$5:M254,"&gt;1"),"")</f>
        <v/>
      </c>
    </row>
  </sheetData>
  <autoFilter ref="A4:S254"/>
  <conditionalFormatting sqref="I5:I254">
    <cfRule type="cellIs" priority="2" operator="equal" aboveAverage="0" equalAverage="0" bottom="0" percent="0" rank="0" text="" dxfId="14">
      <formula>"Certified"</formula>
    </cfRule>
    <cfRule type="cellIs" priority="3" operator="equal" aboveAverage="0" equalAverage="0" bottom="0" percent="0" rank="0" text="" dxfId="14">
      <formula>"Agreed"</formula>
    </cfRule>
    <cfRule type="cellIs" priority="4" operator="equal" aboveAverage="0" equalAverage="0" bottom="0" percent="0" rank="0" text="" dxfId="15">
      <formula>"Draft"</formula>
    </cfRule>
  </conditionalFormatting>
  <conditionalFormatting sqref="F5:F254">
    <cfRule type="cellIs" priority="5" operator="equal" aboveAverage="0" equalAverage="0" bottom="0" percent="0" rank="0" text="" dxfId="16">
      <formula>"ID not found"</formula>
    </cfRule>
  </conditionalFormatting>
  <conditionalFormatting sqref="M5:M254">
    <cfRule type="cellIs" priority="6" operator="greaterThan" aboveAverage="0" equalAverage="0" bottom="0" percent="0" rank="0" text="" dxfId="16">
      <formula>1</formula>
    </cfRule>
  </conditionalFormatting>
  <dataValidations count="3">
    <dataValidation allowBlank="true" errorStyle="stop" operator="between" showDropDown="false" showErrorMessage="false" showInputMessage="false" sqref="G5:G84" type="list">
      <formula1>"Requisition,Opening,Application,Offer,Hire,Interview,Other"</formula1>
      <formula2>0</formula2>
    </dataValidation>
    <dataValidation allowBlank="true" errorStyle="stop" operator="between" showDropDown="false" showErrorMessage="false" showInputMessage="false" sqref="I5:I84" type="list">
      <formula1>"Draft,Under review,Agreed,Certified"</formula1>
      <formula2>0</formula2>
    </dataValidation>
    <dataValidation allowBlank="true" errorStyle="stop" operator="between" showDropDown="false" showErrorMessage="false" showInputMessage="false" sqref="P5:P84" type="list">
      <formula1>"Found,Inferred,Guessed,Human"</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A5C"/>
    <pageSetUpPr fitToPage="true"/>
  </sheetPr>
  <dimension ref="A1:H5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30"/>
    <col collapsed="false" customWidth="true" hidden="false" outlineLevel="0" max="4" min="4" style="0" width="22"/>
    <col collapsed="false" customWidth="true" hidden="false" outlineLevel="0" max="5" min="5" style="0" width="36"/>
    <col collapsed="false" customWidth="true" hidden="false" outlineLevel="0" max="6" min="6" style="0" width="28"/>
    <col collapsed="false" customWidth="true" hidden="false" outlineLevel="0" max="7" min="7" style="0" width="22"/>
    <col collapsed="false" customWidth="true" hidden="false" outlineLevel="0" max="8" min="8" style="0" width="11"/>
  </cols>
  <sheetData>
    <row r="1" customFormat="false" ht="17.35" hidden="false" customHeight="false" outlineLevel="0" collapsed="false">
      <c r="A1" s="1" t="s">
        <v>7</v>
      </c>
    </row>
    <row r="2" customFormat="false" ht="15" hidden="false" customHeight="false" outlineLevel="0" collapsed="false">
      <c r="A2" s="2" t="s">
        <v>392</v>
      </c>
    </row>
    <row r="4" customFormat="false" ht="31.5" hidden="false" customHeight="true" outlineLevel="0" collapsed="false">
      <c r="A4" s="21" t="s">
        <v>107</v>
      </c>
      <c r="B4" s="21" t="s">
        <v>142</v>
      </c>
      <c r="C4" s="21" t="s">
        <v>109</v>
      </c>
      <c r="D4" s="21" t="s">
        <v>145</v>
      </c>
      <c r="E4" s="21" t="s">
        <v>233</v>
      </c>
      <c r="F4" s="21" t="s">
        <v>130</v>
      </c>
      <c r="G4" s="21" t="s">
        <v>171</v>
      </c>
      <c r="H4" s="21" t="s">
        <v>174</v>
      </c>
    </row>
    <row r="5" customFormat="false" ht="23.85" hidden="false" customHeight="false" outlineLevel="0" collapsed="false">
      <c r="A5" s="29" t="s">
        <v>204</v>
      </c>
      <c r="B5" s="29" t="s">
        <v>144</v>
      </c>
      <c r="C5" s="20" t="str">
        <f aca="false">IF(A5="","",IFERROR(INDEX(Metrics!$C:$C,MATCH(A5,Metrics!$A:$A,0)),"ID not found"))</f>
        <v>Cycle time (approved to accepted)</v>
      </c>
      <c r="D5" s="20" t="str">
        <f aca="false">IF(B5="","",IFERROR(INDEX(Products!$B:$B,MATCH(B5,Products!$A:$A,0)),"ID not found"))</f>
        <v>TA scorecard</v>
      </c>
      <c r="E5" s="30" t="s">
        <v>393</v>
      </c>
      <c r="F5" s="30" t="s">
        <v>374</v>
      </c>
      <c r="G5" s="30" t="s">
        <v>173</v>
      </c>
      <c r="H5" s="30" t="s">
        <v>176</v>
      </c>
    </row>
    <row r="6" customFormat="false" ht="15" hidden="false" customHeight="false" outlineLevel="0" collapsed="false">
      <c r="A6" s="29" t="s">
        <v>348</v>
      </c>
      <c r="B6" s="29" t="s">
        <v>230</v>
      </c>
      <c r="C6" s="20" t="str">
        <f aca="false">IF(A6="","",IFERROR(INDEX(Metrics!$C:$C,MATCH(A6,Metrics!$A:$A,0)),"ID not found"))</f>
        <v>Cycle time (posted to start)</v>
      </c>
      <c r="D6" s="20" t="str">
        <f aca="false">IF(B6="","",IFERROR(INDEX(Products!$B:$B,MATCH(B6,Products!$A:$A,0)),"ID not found"))</f>
        <v>Recruiter view</v>
      </c>
      <c r="E6" s="30" t="s">
        <v>235</v>
      </c>
      <c r="F6" s="30" t="s">
        <v>374</v>
      </c>
      <c r="G6" s="30" t="s">
        <v>385</v>
      </c>
      <c r="H6" s="30" t="s">
        <v>176</v>
      </c>
    </row>
    <row r="7" customFormat="false" ht="15" hidden="false" customHeight="false" outlineLevel="0" collapsed="false">
      <c r="A7" s="29" t="s">
        <v>204</v>
      </c>
      <c r="B7" s="29" t="s">
        <v>375</v>
      </c>
      <c r="C7" s="20" t="str">
        <f aca="false">IF(A7="","",IFERROR(INDEX(Metrics!$C:$C,MATCH(A7,Metrics!$A:$A,0)),"ID not found"))</f>
        <v>Cycle time (approved to accepted)</v>
      </c>
      <c r="D7" s="20" t="str">
        <f aca="false">IF(B7="","",IFERROR(INDEX(Products!$B:$B,MATCH(B7,Products!$A:$A,0)),"ID not found"))</f>
        <v>Hiring manager view</v>
      </c>
      <c r="E7" s="30" t="s">
        <v>394</v>
      </c>
      <c r="F7" s="30" t="s">
        <v>374</v>
      </c>
      <c r="G7" s="30" t="s">
        <v>395</v>
      </c>
      <c r="H7" s="30" t="s">
        <v>176</v>
      </c>
    </row>
    <row r="8" customFormat="false" ht="15" hidden="false" customHeight="false" outlineLevel="0" collapsed="false">
      <c r="A8" s="29" t="s">
        <v>386</v>
      </c>
      <c r="B8" s="29" t="s">
        <v>144</v>
      </c>
      <c r="C8" s="20" t="str">
        <f aca="false">IF(A8="","",IFERROR(INDEX(Metrics!$C:$C,MATCH(A8,Metrics!$A:$A,0)),"ID not found"))</f>
        <v>Hires</v>
      </c>
      <c r="D8" s="20" t="str">
        <f aca="false">IF(B8="","",IFERROR(INDEX(Products!$B:$B,MATCH(B8,Products!$A:$A,0)),"ID not found"))</f>
        <v>TA scorecard</v>
      </c>
      <c r="E8" s="30" t="s">
        <v>396</v>
      </c>
      <c r="F8" s="30" t="s">
        <v>374</v>
      </c>
      <c r="G8" s="30" t="s">
        <v>173</v>
      </c>
      <c r="H8" s="30" t="s">
        <v>176</v>
      </c>
    </row>
    <row r="9" customFormat="false" ht="15" hidden="false" customHeight="false" outlineLevel="0" collapsed="false">
      <c r="A9" s="29" t="s">
        <v>386</v>
      </c>
      <c r="B9" s="29" t="s">
        <v>230</v>
      </c>
      <c r="C9" s="20" t="str">
        <f aca="false">IF(A9="","",IFERROR(INDEX(Metrics!$C:$C,MATCH(A9,Metrics!$A:$A,0)),"ID not found"))</f>
        <v>Hires</v>
      </c>
      <c r="D9" s="20" t="str">
        <f aca="false">IF(B9="","",IFERROR(INDEX(Products!$B:$B,MATCH(B9,Products!$A:$A,0)),"ID not found"))</f>
        <v>Recruiter view</v>
      </c>
      <c r="E9" s="30" t="s">
        <v>397</v>
      </c>
      <c r="F9" s="30" t="s">
        <v>374</v>
      </c>
      <c r="G9" s="30" t="s">
        <v>385</v>
      </c>
      <c r="H9" s="30" t="s">
        <v>176</v>
      </c>
    </row>
    <row r="10" customFormat="false" ht="15" hidden="false" customHeight="false" outlineLevel="0" collapsed="false">
      <c r="A10" s="29"/>
      <c r="B10" s="29"/>
      <c r="C10" s="20" t="str">
        <f aca="false">IF(A10="","",IFERROR(INDEX(Metrics!$C:$C,MATCH(A10,Metrics!$A:$A,0)),"ID not found"))</f>
        <v/>
      </c>
      <c r="D10" s="20" t="str">
        <f aca="false">IF(B10="","",IFERROR(INDEX(Products!$B:$B,MATCH(B10,Products!$A:$A,0)),"ID not found"))</f>
        <v/>
      </c>
      <c r="E10" s="30"/>
      <c r="F10" s="30"/>
      <c r="G10" s="30"/>
      <c r="H10" s="30"/>
    </row>
    <row r="11" customFormat="false" ht="15" hidden="false" customHeight="false" outlineLevel="0" collapsed="false">
      <c r="A11" s="29"/>
      <c r="B11" s="29"/>
      <c r="C11" s="20" t="str">
        <f aca="false">IF(A11="","",IFERROR(INDEX(Metrics!$C:$C,MATCH(A11,Metrics!$A:$A,0)),"ID not found"))</f>
        <v/>
      </c>
      <c r="D11" s="20" t="str">
        <f aca="false">IF(B11="","",IFERROR(INDEX(Products!$B:$B,MATCH(B11,Products!$A:$A,0)),"ID not found"))</f>
        <v/>
      </c>
      <c r="E11" s="30"/>
      <c r="F11" s="30"/>
      <c r="G11" s="30"/>
      <c r="H11" s="30"/>
    </row>
    <row r="12" customFormat="false" ht="15" hidden="false" customHeight="false" outlineLevel="0" collapsed="false">
      <c r="A12" s="29"/>
      <c r="B12" s="29"/>
      <c r="C12" s="20" t="str">
        <f aca="false">IF(A12="","",IFERROR(INDEX(Metrics!$C:$C,MATCH(A12,Metrics!$A:$A,0)),"ID not found"))</f>
        <v/>
      </c>
      <c r="D12" s="20" t="str">
        <f aca="false">IF(B12="","",IFERROR(INDEX(Products!$B:$B,MATCH(B12,Products!$A:$A,0)),"ID not found"))</f>
        <v/>
      </c>
      <c r="E12" s="30"/>
      <c r="F12" s="30"/>
      <c r="G12" s="30"/>
      <c r="H12" s="30"/>
    </row>
    <row r="13" customFormat="false" ht="15" hidden="false" customHeight="false" outlineLevel="0" collapsed="false">
      <c r="A13" s="29"/>
      <c r="B13" s="29"/>
      <c r="C13" s="20" t="str">
        <f aca="false">IF(A13="","",IFERROR(INDEX(Metrics!$C:$C,MATCH(A13,Metrics!$A:$A,0)),"ID not found"))</f>
        <v/>
      </c>
      <c r="D13" s="20" t="str">
        <f aca="false">IF(B13="","",IFERROR(INDEX(Products!$B:$B,MATCH(B13,Products!$A:$A,0)),"ID not found"))</f>
        <v/>
      </c>
      <c r="E13" s="30"/>
      <c r="F13" s="30"/>
      <c r="G13" s="30"/>
      <c r="H13" s="30"/>
    </row>
    <row r="14" customFormat="false" ht="15" hidden="false" customHeight="false" outlineLevel="0" collapsed="false">
      <c r="A14" s="29"/>
      <c r="B14" s="29"/>
      <c r="C14" s="20" t="str">
        <f aca="false">IF(A14="","",IFERROR(INDEX(Metrics!$C:$C,MATCH(A14,Metrics!$A:$A,0)),"ID not found"))</f>
        <v/>
      </c>
      <c r="D14" s="20" t="str">
        <f aca="false">IF(B14="","",IFERROR(INDEX(Products!$B:$B,MATCH(B14,Products!$A:$A,0)),"ID not found"))</f>
        <v/>
      </c>
      <c r="E14" s="30"/>
      <c r="F14" s="30"/>
      <c r="G14" s="30"/>
      <c r="H14" s="30"/>
    </row>
    <row r="15" customFormat="false" ht="15" hidden="false" customHeight="false" outlineLevel="0" collapsed="false">
      <c r="A15" s="29"/>
      <c r="B15" s="29"/>
      <c r="C15" s="20" t="str">
        <f aca="false">IF(A15="","",IFERROR(INDEX(Metrics!$C:$C,MATCH(A15,Metrics!$A:$A,0)),"ID not found"))</f>
        <v/>
      </c>
      <c r="D15" s="20" t="str">
        <f aca="false">IF(B15="","",IFERROR(INDEX(Products!$B:$B,MATCH(B15,Products!$A:$A,0)),"ID not found"))</f>
        <v/>
      </c>
      <c r="E15" s="30"/>
      <c r="F15" s="30"/>
      <c r="G15" s="30"/>
      <c r="H15" s="30"/>
    </row>
    <row r="16" customFormat="false" ht="15" hidden="false" customHeight="false" outlineLevel="0" collapsed="false">
      <c r="A16" s="29"/>
      <c r="B16" s="29"/>
      <c r="C16" s="20" t="str">
        <f aca="false">IF(A16="","",IFERROR(INDEX(Metrics!$C:$C,MATCH(A16,Metrics!$A:$A,0)),"ID not found"))</f>
        <v/>
      </c>
      <c r="D16" s="20" t="str">
        <f aca="false">IF(B16="","",IFERROR(INDEX(Products!$B:$B,MATCH(B16,Products!$A:$A,0)),"ID not found"))</f>
        <v/>
      </c>
      <c r="E16" s="30"/>
      <c r="F16" s="30"/>
      <c r="G16" s="30"/>
      <c r="H16" s="30"/>
    </row>
    <row r="17" customFormat="false" ht="15" hidden="false" customHeight="false" outlineLevel="0" collapsed="false">
      <c r="A17" s="29"/>
      <c r="B17" s="29"/>
      <c r="C17" s="20" t="str">
        <f aca="false">IF(A17="","",IFERROR(INDEX(Metrics!$C:$C,MATCH(A17,Metrics!$A:$A,0)),"ID not found"))</f>
        <v/>
      </c>
      <c r="D17" s="20" t="str">
        <f aca="false">IF(B17="","",IFERROR(INDEX(Products!$B:$B,MATCH(B17,Products!$A:$A,0)),"ID not found"))</f>
        <v/>
      </c>
      <c r="E17" s="30"/>
      <c r="F17" s="30"/>
      <c r="G17" s="30"/>
      <c r="H17" s="30"/>
    </row>
    <row r="18" customFormat="false" ht="15" hidden="false" customHeight="false" outlineLevel="0" collapsed="false">
      <c r="A18" s="29"/>
      <c r="B18" s="29"/>
      <c r="C18" s="20" t="str">
        <f aca="false">IF(A18="","",IFERROR(INDEX(Metrics!$C:$C,MATCH(A18,Metrics!$A:$A,0)),"ID not found"))</f>
        <v/>
      </c>
      <c r="D18" s="20" t="str">
        <f aca="false">IF(B18="","",IFERROR(INDEX(Products!$B:$B,MATCH(B18,Products!$A:$A,0)),"ID not found"))</f>
        <v/>
      </c>
      <c r="E18" s="30"/>
      <c r="F18" s="30"/>
      <c r="G18" s="30"/>
      <c r="H18" s="30"/>
    </row>
    <row r="19" customFormat="false" ht="15" hidden="false" customHeight="false" outlineLevel="0" collapsed="false">
      <c r="A19" s="29"/>
      <c r="B19" s="29"/>
      <c r="C19" s="20" t="str">
        <f aca="false">IF(A19="","",IFERROR(INDEX(Metrics!$C:$C,MATCH(A19,Metrics!$A:$A,0)),"ID not found"))</f>
        <v/>
      </c>
      <c r="D19" s="20" t="str">
        <f aca="false">IF(B19="","",IFERROR(INDEX(Products!$B:$B,MATCH(B19,Products!$A:$A,0)),"ID not found"))</f>
        <v/>
      </c>
      <c r="E19" s="30"/>
      <c r="F19" s="30"/>
      <c r="G19" s="30"/>
      <c r="H19" s="30"/>
    </row>
    <row r="20" customFormat="false" ht="15" hidden="false" customHeight="false" outlineLevel="0" collapsed="false">
      <c r="A20" s="29"/>
      <c r="B20" s="29"/>
      <c r="C20" s="20" t="str">
        <f aca="false">IF(A20="","",IFERROR(INDEX(Metrics!$C:$C,MATCH(A20,Metrics!$A:$A,0)),"ID not found"))</f>
        <v/>
      </c>
      <c r="D20" s="20" t="str">
        <f aca="false">IF(B20="","",IFERROR(INDEX(Products!$B:$B,MATCH(B20,Products!$A:$A,0)),"ID not found"))</f>
        <v/>
      </c>
      <c r="E20" s="30"/>
      <c r="F20" s="30"/>
      <c r="G20" s="30"/>
      <c r="H20" s="30"/>
    </row>
    <row r="21" customFormat="false" ht="15" hidden="false" customHeight="false" outlineLevel="0" collapsed="false">
      <c r="A21" s="29"/>
      <c r="B21" s="29"/>
      <c r="C21" s="20" t="str">
        <f aca="false">IF(A21="","",IFERROR(INDEX(Metrics!$C:$C,MATCH(A21,Metrics!$A:$A,0)),"ID not found"))</f>
        <v/>
      </c>
      <c r="D21" s="20" t="str">
        <f aca="false">IF(B21="","",IFERROR(INDEX(Products!$B:$B,MATCH(B21,Products!$A:$A,0)),"ID not found"))</f>
        <v/>
      </c>
      <c r="E21" s="30"/>
      <c r="F21" s="30"/>
      <c r="G21" s="30"/>
      <c r="H21" s="30"/>
    </row>
    <row r="22" customFormat="false" ht="15" hidden="false" customHeight="false" outlineLevel="0" collapsed="false">
      <c r="A22" s="29"/>
      <c r="B22" s="29"/>
      <c r="C22" s="20" t="str">
        <f aca="false">IF(A22="","",IFERROR(INDEX(Metrics!$C:$C,MATCH(A22,Metrics!$A:$A,0)),"ID not found"))</f>
        <v/>
      </c>
      <c r="D22" s="20" t="str">
        <f aca="false">IF(B22="","",IFERROR(INDEX(Products!$B:$B,MATCH(B22,Products!$A:$A,0)),"ID not found"))</f>
        <v/>
      </c>
      <c r="E22" s="30"/>
      <c r="F22" s="30"/>
      <c r="G22" s="30"/>
      <c r="H22" s="30"/>
    </row>
    <row r="23" customFormat="false" ht="15" hidden="false" customHeight="false" outlineLevel="0" collapsed="false">
      <c r="A23" s="29"/>
      <c r="B23" s="29"/>
      <c r="C23" s="20" t="str">
        <f aca="false">IF(A23="","",IFERROR(INDEX(Metrics!$C:$C,MATCH(A23,Metrics!$A:$A,0)),"ID not found"))</f>
        <v/>
      </c>
      <c r="D23" s="20" t="str">
        <f aca="false">IF(B23="","",IFERROR(INDEX(Products!$B:$B,MATCH(B23,Products!$A:$A,0)),"ID not found"))</f>
        <v/>
      </c>
      <c r="E23" s="30"/>
      <c r="F23" s="30"/>
      <c r="G23" s="30"/>
      <c r="H23" s="30"/>
    </row>
    <row r="24" customFormat="false" ht="15" hidden="false" customHeight="false" outlineLevel="0" collapsed="false">
      <c r="A24" s="29"/>
      <c r="B24" s="29"/>
      <c r="C24" s="20" t="str">
        <f aca="false">IF(A24="","",IFERROR(INDEX(Metrics!$C:$C,MATCH(A24,Metrics!$A:$A,0)),"ID not found"))</f>
        <v/>
      </c>
      <c r="D24" s="20" t="str">
        <f aca="false">IF(B24="","",IFERROR(INDEX(Products!$B:$B,MATCH(B24,Products!$A:$A,0)),"ID not found"))</f>
        <v/>
      </c>
      <c r="E24" s="30"/>
      <c r="F24" s="30"/>
      <c r="G24" s="30"/>
      <c r="H24" s="30"/>
    </row>
    <row r="25" customFormat="false" ht="15" hidden="false" customHeight="false" outlineLevel="0" collapsed="false">
      <c r="A25" s="29"/>
      <c r="B25" s="29"/>
      <c r="C25" s="20" t="str">
        <f aca="false">IF(A25="","",IFERROR(INDEX(Metrics!$C:$C,MATCH(A25,Metrics!$A:$A,0)),"ID not found"))</f>
        <v/>
      </c>
      <c r="D25" s="20" t="str">
        <f aca="false">IF(B25="","",IFERROR(INDEX(Products!$B:$B,MATCH(B25,Products!$A:$A,0)),"ID not found"))</f>
        <v/>
      </c>
      <c r="E25" s="30"/>
      <c r="F25" s="30"/>
      <c r="G25" s="30"/>
      <c r="H25" s="30"/>
    </row>
    <row r="26" customFormat="false" ht="15" hidden="false" customHeight="false" outlineLevel="0" collapsed="false">
      <c r="A26" s="29"/>
      <c r="B26" s="29"/>
      <c r="C26" s="20" t="str">
        <f aca="false">IF(A26="","",IFERROR(INDEX(Metrics!$C:$C,MATCH(A26,Metrics!$A:$A,0)),"ID not found"))</f>
        <v/>
      </c>
      <c r="D26" s="20" t="str">
        <f aca="false">IF(B26="","",IFERROR(INDEX(Products!$B:$B,MATCH(B26,Products!$A:$A,0)),"ID not found"))</f>
        <v/>
      </c>
      <c r="E26" s="30"/>
      <c r="F26" s="30"/>
      <c r="G26" s="30"/>
      <c r="H26" s="30"/>
    </row>
    <row r="27" customFormat="false" ht="15" hidden="false" customHeight="false" outlineLevel="0" collapsed="false">
      <c r="A27" s="29"/>
      <c r="B27" s="29"/>
      <c r="C27" s="20" t="str">
        <f aca="false">IF(A27="","",IFERROR(INDEX(Metrics!$C:$C,MATCH(A27,Metrics!$A:$A,0)),"ID not found"))</f>
        <v/>
      </c>
      <c r="D27" s="20" t="str">
        <f aca="false">IF(B27="","",IFERROR(INDEX(Products!$B:$B,MATCH(B27,Products!$A:$A,0)),"ID not found"))</f>
        <v/>
      </c>
      <c r="E27" s="30"/>
      <c r="F27" s="30"/>
      <c r="G27" s="30"/>
      <c r="H27" s="30"/>
    </row>
    <row r="28" customFormat="false" ht="15" hidden="false" customHeight="false" outlineLevel="0" collapsed="false">
      <c r="A28" s="29"/>
      <c r="B28" s="29"/>
      <c r="C28" s="20" t="str">
        <f aca="false">IF(A28="","",IFERROR(INDEX(Metrics!$C:$C,MATCH(A28,Metrics!$A:$A,0)),"ID not found"))</f>
        <v/>
      </c>
      <c r="D28" s="20" t="str">
        <f aca="false">IF(B28="","",IFERROR(INDEX(Products!$B:$B,MATCH(B28,Products!$A:$A,0)),"ID not found"))</f>
        <v/>
      </c>
      <c r="E28" s="30"/>
      <c r="F28" s="30"/>
      <c r="G28" s="30"/>
      <c r="H28" s="30"/>
    </row>
    <row r="29" customFormat="false" ht="15" hidden="false" customHeight="false" outlineLevel="0" collapsed="false">
      <c r="A29" s="29"/>
      <c r="B29" s="29"/>
      <c r="C29" s="20" t="str">
        <f aca="false">IF(A29="","",IFERROR(INDEX(Metrics!$C:$C,MATCH(A29,Metrics!$A:$A,0)),"ID not found"))</f>
        <v/>
      </c>
      <c r="D29" s="20" t="str">
        <f aca="false">IF(B29="","",IFERROR(INDEX(Products!$B:$B,MATCH(B29,Products!$A:$A,0)),"ID not found"))</f>
        <v/>
      </c>
      <c r="E29" s="30"/>
      <c r="F29" s="30"/>
      <c r="G29" s="30"/>
      <c r="H29" s="30"/>
    </row>
    <row r="30" customFormat="false" ht="15" hidden="false" customHeight="false" outlineLevel="0" collapsed="false">
      <c r="A30" s="29"/>
      <c r="B30" s="29"/>
      <c r="C30" s="20" t="str">
        <f aca="false">IF(A30="","",IFERROR(INDEX(Metrics!$C:$C,MATCH(A30,Metrics!$A:$A,0)),"ID not found"))</f>
        <v/>
      </c>
      <c r="D30" s="20" t="str">
        <f aca="false">IF(B30="","",IFERROR(INDEX(Products!$B:$B,MATCH(B30,Products!$A:$A,0)),"ID not found"))</f>
        <v/>
      </c>
      <c r="E30" s="30"/>
      <c r="F30" s="30"/>
      <c r="G30" s="30"/>
      <c r="H30" s="30"/>
    </row>
    <row r="31" customFormat="false" ht="15" hidden="false" customHeight="false" outlineLevel="0" collapsed="false">
      <c r="A31" s="29"/>
      <c r="B31" s="29"/>
      <c r="C31" s="20" t="str">
        <f aca="false">IF(A31="","",IFERROR(INDEX(Metrics!$C:$C,MATCH(A31,Metrics!$A:$A,0)),"ID not found"))</f>
        <v/>
      </c>
      <c r="D31" s="20" t="str">
        <f aca="false">IF(B31="","",IFERROR(INDEX(Products!$B:$B,MATCH(B31,Products!$A:$A,0)),"ID not found"))</f>
        <v/>
      </c>
      <c r="E31" s="30"/>
      <c r="F31" s="30"/>
      <c r="G31" s="30"/>
      <c r="H31" s="30"/>
    </row>
    <row r="32" customFormat="false" ht="15" hidden="false" customHeight="false" outlineLevel="0" collapsed="false">
      <c r="A32" s="29"/>
      <c r="B32" s="29"/>
      <c r="C32" s="20" t="str">
        <f aca="false">IF(A32="","",IFERROR(INDEX(Metrics!$C:$C,MATCH(A32,Metrics!$A:$A,0)),"ID not found"))</f>
        <v/>
      </c>
      <c r="D32" s="20" t="str">
        <f aca="false">IF(B32="","",IFERROR(INDEX(Products!$B:$B,MATCH(B32,Products!$A:$A,0)),"ID not found"))</f>
        <v/>
      </c>
      <c r="E32" s="30"/>
      <c r="F32" s="30"/>
      <c r="G32" s="30"/>
      <c r="H32" s="30"/>
    </row>
    <row r="33" customFormat="false" ht="15" hidden="false" customHeight="false" outlineLevel="0" collapsed="false">
      <c r="A33" s="29"/>
      <c r="B33" s="29"/>
      <c r="C33" s="20" t="str">
        <f aca="false">IF(A33="","",IFERROR(INDEX(Metrics!$C:$C,MATCH(A33,Metrics!$A:$A,0)),"ID not found"))</f>
        <v/>
      </c>
      <c r="D33" s="20" t="str">
        <f aca="false">IF(B33="","",IFERROR(INDEX(Products!$B:$B,MATCH(B33,Products!$A:$A,0)),"ID not found"))</f>
        <v/>
      </c>
      <c r="E33" s="30"/>
      <c r="F33" s="30"/>
      <c r="G33" s="30"/>
      <c r="H33" s="30"/>
    </row>
    <row r="34" customFormat="false" ht="15" hidden="false" customHeight="false" outlineLevel="0" collapsed="false">
      <c r="A34" s="29"/>
      <c r="B34" s="29"/>
      <c r="C34" s="20" t="str">
        <f aca="false">IF(A34="","",IFERROR(INDEX(Metrics!$C:$C,MATCH(A34,Metrics!$A:$A,0)),"ID not found"))</f>
        <v/>
      </c>
      <c r="D34" s="20" t="str">
        <f aca="false">IF(B34="","",IFERROR(INDEX(Products!$B:$B,MATCH(B34,Products!$A:$A,0)),"ID not found"))</f>
        <v/>
      </c>
      <c r="E34" s="30"/>
      <c r="F34" s="30"/>
      <c r="G34" s="30"/>
      <c r="H34" s="30"/>
    </row>
    <row r="35" customFormat="false" ht="15" hidden="false" customHeight="false" outlineLevel="0" collapsed="false">
      <c r="A35" s="29"/>
      <c r="B35" s="29"/>
      <c r="C35" s="20" t="str">
        <f aca="false">IF(A35="","",IFERROR(INDEX(Metrics!$C:$C,MATCH(A35,Metrics!$A:$A,0)),"ID not found"))</f>
        <v/>
      </c>
      <c r="D35" s="20" t="str">
        <f aca="false">IF(B35="","",IFERROR(INDEX(Products!$B:$B,MATCH(B35,Products!$A:$A,0)),"ID not found"))</f>
        <v/>
      </c>
      <c r="E35" s="30"/>
      <c r="F35" s="30"/>
      <c r="G35" s="30"/>
      <c r="H35" s="30"/>
    </row>
    <row r="36" customFormat="false" ht="15" hidden="false" customHeight="false" outlineLevel="0" collapsed="false">
      <c r="A36" s="29"/>
      <c r="B36" s="29"/>
      <c r="C36" s="20" t="str">
        <f aca="false">IF(A36="","",IFERROR(INDEX(Metrics!$C:$C,MATCH(A36,Metrics!$A:$A,0)),"ID not found"))</f>
        <v/>
      </c>
      <c r="D36" s="20" t="str">
        <f aca="false">IF(B36="","",IFERROR(INDEX(Products!$B:$B,MATCH(B36,Products!$A:$A,0)),"ID not found"))</f>
        <v/>
      </c>
      <c r="E36" s="30"/>
      <c r="F36" s="30"/>
      <c r="G36" s="30"/>
      <c r="H36" s="30"/>
    </row>
    <row r="37" customFormat="false" ht="15" hidden="false" customHeight="false" outlineLevel="0" collapsed="false">
      <c r="A37" s="29"/>
      <c r="B37" s="29"/>
      <c r="C37" s="20" t="str">
        <f aca="false">IF(A37="","",IFERROR(INDEX(Metrics!$C:$C,MATCH(A37,Metrics!$A:$A,0)),"ID not found"))</f>
        <v/>
      </c>
      <c r="D37" s="20" t="str">
        <f aca="false">IF(B37="","",IFERROR(INDEX(Products!$B:$B,MATCH(B37,Products!$A:$A,0)),"ID not found"))</f>
        <v/>
      </c>
      <c r="E37" s="30"/>
      <c r="F37" s="30"/>
      <c r="G37" s="30"/>
      <c r="H37" s="30"/>
    </row>
    <row r="38" customFormat="false" ht="15" hidden="false" customHeight="false" outlineLevel="0" collapsed="false">
      <c r="A38" s="29"/>
      <c r="B38" s="29"/>
      <c r="C38" s="20" t="str">
        <f aca="false">IF(A38="","",IFERROR(INDEX(Metrics!$C:$C,MATCH(A38,Metrics!$A:$A,0)),"ID not found"))</f>
        <v/>
      </c>
      <c r="D38" s="20" t="str">
        <f aca="false">IF(B38="","",IFERROR(INDEX(Products!$B:$B,MATCH(B38,Products!$A:$A,0)),"ID not found"))</f>
        <v/>
      </c>
      <c r="E38" s="30"/>
      <c r="F38" s="30"/>
      <c r="G38" s="30"/>
      <c r="H38" s="30"/>
    </row>
    <row r="39" customFormat="false" ht="15" hidden="false" customHeight="false" outlineLevel="0" collapsed="false">
      <c r="A39" s="29"/>
      <c r="B39" s="29"/>
      <c r="C39" s="20" t="str">
        <f aca="false">IF(A39="","",IFERROR(INDEX(Metrics!$C:$C,MATCH(A39,Metrics!$A:$A,0)),"ID not found"))</f>
        <v/>
      </c>
      <c r="D39" s="20" t="str">
        <f aca="false">IF(B39="","",IFERROR(INDEX(Products!$B:$B,MATCH(B39,Products!$A:$A,0)),"ID not found"))</f>
        <v/>
      </c>
      <c r="E39" s="30"/>
      <c r="F39" s="30"/>
      <c r="G39" s="30"/>
      <c r="H39" s="30"/>
    </row>
    <row r="40" customFormat="false" ht="15" hidden="false" customHeight="false" outlineLevel="0" collapsed="false">
      <c r="A40" s="29"/>
      <c r="B40" s="29"/>
      <c r="C40" s="20" t="str">
        <f aca="false">IF(A40="","",IFERROR(INDEX(Metrics!$C:$C,MATCH(A40,Metrics!$A:$A,0)),"ID not found"))</f>
        <v/>
      </c>
      <c r="D40" s="20" t="str">
        <f aca="false">IF(B40="","",IFERROR(INDEX(Products!$B:$B,MATCH(B40,Products!$A:$A,0)),"ID not found"))</f>
        <v/>
      </c>
      <c r="E40" s="30"/>
      <c r="F40" s="30"/>
      <c r="G40" s="30"/>
      <c r="H40" s="30"/>
    </row>
    <row r="41" customFormat="false" ht="15" hidden="false" customHeight="false" outlineLevel="0" collapsed="false">
      <c r="A41" s="29"/>
      <c r="B41" s="29"/>
      <c r="C41" s="20" t="str">
        <f aca="false">IF(A41="","",IFERROR(INDEX(Metrics!$C:$C,MATCH(A41,Metrics!$A:$A,0)),"ID not found"))</f>
        <v/>
      </c>
      <c r="D41" s="20" t="str">
        <f aca="false">IF(B41="","",IFERROR(INDEX(Products!$B:$B,MATCH(B41,Products!$A:$A,0)),"ID not found"))</f>
        <v/>
      </c>
      <c r="E41" s="30"/>
      <c r="F41" s="30"/>
      <c r="G41" s="30"/>
      <c r="H41" s="30"/>
    </row>
    <row r="42" customFormat="false" ht="15" hidden="false" customHeight="false" outlineLevel="0" collapsed="false">
      <c r="A42" s="29"/>
      <c r="B42" s="29"/>
      <c r="C42" s="20" t="str">
        <f aca="false">IF(A42="","",IFERROR(INDEX(Metrics!$C:$C,MATCH(A42,Metrics!$A:$A,0)),"ID not found"))</f>
        <v/>
      </c>
      <c r="D42" s="20" t="str">
        <f aca="false">IF(B42="","",IFERROR(INDEX(Products!$B:$B,MATCH(B42,Products!$A:$A,0)),"ID not found"))</f>
        <v/>
      </c>
      <c r="E42" s="30"/>
      <c r="F42" s="30"/>
      <c r="G42" s="30"/>
      <c r="H42" s="30"/>
    </row>
    <row r="43" customFormat="false" ht="15" hidden="false" customHeight="false" outlineLevel="0" collapsed="false">
      <c r="A43" s="29"/>
      <c r="B43" s="29"/>
      <c r="C43" s="20" t="str">
        <f aca="false">IF(A43="","",IFERROR(INDEX(Metrics!$C:$C,MATCH(A43,Metrics!$A:$A,0)),"ID not found"))</f>
        <v/>
      </c>
      <c r="D43" s="20" t="str">
        <f aca="false">IF(B43="","",IFERROR(INDEX(Products!$B:$B,MATCH(B43,Products!$A:$A,0)),"ID not found"))</f>
        <v/>
      </c>
      <c r="E43" s="30"/>
      <c r="F43" s="30"/>
      <c r="G43" s="30"/>
      <c r="H43" s="30"/>
    </row>
    <row r="44" customFormat="false" ht="15" hidden="false" customHeight="false" outlineLevel="0" collapsed="false">
      <c r="A44" s="29"/>
      <c r="B44" s="29"/>
      <c r="C44" s="20" t="str">
        <f aca="false">IF(A44="","",IFERROR(INDEX(Metrics!$C:$C,MATCH(A44,Metrics!$A:$A,0)),"ID not found"))</f>
        <v/>
      </c>
      <c r="D44" s="20" t="str">
        <f aca="false">IF(B44="","",IFERROR(INDEX(Products!$B:$B,MATCH(B44,Products!$A:$A,0)),"ID not found"))</f>
        <v/>
      </c>
      <c r="E44" s="30"/>
      <c r="F44" s="30"/>
      <c r="G44" s="30"/>
      <c r="H44" s="30"/>
    </row>
    <row r="45" customFormat="false" ht="15" hidden="false" customHeight="false" outlineLevel="0" collapsed="false">
      <c r="A45" s="29"/>
      <c r="B45" s="29"/>
      <c r="C45" s="20" t="str">
        <f aca="false">IF(A45="","",IFERROR(INDEX(Metrics!$C:$C,MATCH(A45,Metrics!$A:$A,0)),"ID not found"))</f>
        <v/>
      </c>
      <c r="D45" s="20" t="str">
        <f aca="false">IF(B45="","",IFERROR(INDEX(Products!$B:$B,MATCH(B45,Products!$A:$A,0)),"ID not found"))</f>
        <v/>
      </c>
      <c r="E45" s="30"/>
      <c r="F45" s="30"/>
      <c r="G45" s="30"/>
      <c r="H45" s="30"/>
    </row>
    <row r="46" customFormat="false" ht="15" hidden="false" customHeight="false" outlineLevel="0" collapsed="false">
      <c r="A46" s="29"/>
      <c r="B46" s="29"/>
      <c r="C46" s="20" t="str">
        <f aca="false">IF(A46="","",IFERROR(INDEX(Metrics!$C:$C,MATCH(A46,Metrics!$A:$A,0)),"ID not found"))</f>
        <v/>
      </c>
      <c r="D46" s="20" t="str">
        <f aca="false">IF(B46="","",IFERROR(INDEX(Products!$B:$B,MATCH(B46,Products!$A:$A,0)),"ID not found"))</f>
        <v/>
      </c>
      <c r="E46" s="30"/>
      <c r="F46" s="30"/>
      <c r="G46" s="30"/>
      <c r="H46" s="30"/>
    </row>
    <row r="47" customFormat="false" ht="15" hidden="false" customHeight="false" outlineLevel="0" collapsed="false">
      <c r="A47" s="29"/>
      <c r="B47" s="29"/>
      <c r="C47" s="20" t="str">
        <f aca="false">IF(A47="","",IFERROR(INDEX(Metrics!$C:$C,MATCH(A47,Metrics!$A:$A,0)),"ID not found"))</f>
        <v/>
      </c>
      <c r="D47" s="20" t="str">
        <f aca="false">IF(B47="","",IFERROR(INDEX(Products!$B:$B,MATCH(B47,Products!$A:$A,0)),"ID not found"))</f>
        <v/>
      </c>
      <c r="E47" s="30"/>
      <c r="F47" s="30"/>
      <c r="G47" s="30"/>
      <c r="H47" s="30"/>
    </row>
    <row r="48" customFormat="false" ht="15" hidden="false" customHeight="false" outlineLevel="0" collapsed="false">
      <c r="A48" s="29"/>
      <c r="B48" s="29"/>
      <c r="C48" s="20" t="str">
        <f aca="false">IF(A48="","",IFERROR(INDEX(Metrics!$C:$C,MATCH(A48,Metrics!$A:$A,0)),"ID not found"))</f>
        <v/>
      </c>
      <c r="D48" s="20" t="str">
        <f aca="false">IF(B48="","",IFERROR(INDEX(Products!$B:$B,MATCH(B48,Products!$A:$A,0)),"ID not found"))</f>
        <v/>
      </c>
      <c r="E48" s="30"/>
      <c r="F48" s="30"/>
      <c r="G48" s="30"/>
      <c r="H48" s="30"/>
    </row>
    <row r="49" customFormat="false" ht="15" hidden="false" customHeight="false" outlineLevel="0" collapsed="false">
      <c r="A49" s="29"/>
      <c r="B49" s="29"/>
      <c r="C49" s="20" t="str">
        <f aca="false">IF(A49="","",IFERROR(INDEX(Metrics!$C:$C,MATCH(A49,Metrics!$A:$A,0)),"ID not found"))</f>
        <v/>
      </c>
      <c r="D49" s="20" t="str">
        <f aca="false">IF(B49="","",IFERROR(INDEX(Products!$B:$B,MATCH(B49,Products!$A:$A,0)),"ID not found"))</f>
        <v/>
      </c>
      <c r="E49" s="30"/>
      <c r="F49" s="30"/>
      <c r="G49" s="30"/>
      <c r="H49" s="30"/>
    </row>
    <row r="50" customFormat="false" ht="15" hidden="false" customHeight="false" outlineLevel="0" collapsed="false">
      <c r="A50" s="29"/>
      <c r="B50" s="29"/>
      <c r="C50" s="20" t="str">
        <f aca="false">IF(A50="","",IFERROR(INDEX(Metrics!$C:$C,MATCH(A50,Metrics!$A:$A,0)),"ID not found"))</f>
        <v/>
      </c>
      <c r="D50" s="20" t="str">
        <f aca="false">IF(B50="","",IFERROR(INDEX(Products!$B:$B,MATCH(B50,Products!$A:$A,0)),"ID not found"))</f>
        <v/>
      </c>
      <c r="E50" s="30"/>
      <c r="F50" s="30"/>
      <c r="G50" s="30"/>
      <c r="H50" s="30"/>
    </row>
    <row r="51" customFormat="false" ht="15" hidden="false" customHeight="false" outlineLevel="0" collapsed="false">
      <c r="A51" s="29"/>
      <c r="B51" s="29"/>
      <c r="C51" s="20" t="str">
        <f aca="false">IF(A51="","",IFERROR(INDEX(Metrics!$C:$C,MATCH(A51,Metrics!$A:$A,0)),"ID not found"))</f>
        <v/>
      </c>
      <c r="D51" s="20" t="str">
        <f aca="false">IF(B51="","",IFERROR(INDEX(Products!$B:$B,MATCH(B51,Products!$A:$A,0)),"ID not found"))</f>
        <v/>
      </c>
      <c r="E51" s="30"/>
      <c r="F51" s="30"/>
      <c r="G51" s="30"/>
      <c r="H51" s="30"/>
    </row>
    <row r="52" customFormat="false" ht="15" hidden="false" customHeight="false" outlineLevel="0" collapsed="false">
      <c r="A52" s="29"/>
      <c r="B52" s="29"/>
      <c r="C52" s="20" t="str">
        <f aca="false">IF(A52="","",IFERROR(INDEX(Metrics!$C:$C,MATCH(A52,Metrics!$A:$A,0)),"ID not found"))</f>
        <v/>
      </c>
      <c r="D52" s="20" t="str">
        <f aca="false">IF(B52="","",IFERROR(INDEX(Products!$B:$B,MATCH(B52,Products!$A:$A,0)),"ID not found"))</f>
        <v/>
      </c>
      <c r="E52" s="30"/>
      <c r="F52" s="30"/>
      <c r="G52" s="30"/>
      <c r="H52" s="30"/>
    </row>
    <row r="53" customFormat="false" ht="15" hidden="false" customHeight="false" outlineLevel="0" collapsed="false">
      <c r="A53" s="29"/>
      <c r="B53" s="29"/>
      <c r="C53" s="20" t="str">
        <f aca="false">IF(A53="","",IFERROR(INDEX(Metrics!$C:$C,MATCH(A53,Metrics!$A:$A,0)),"ID not found"))</f>
        <v/>
      </c>
      <c r="D53" s="20" t="str">
        <f aca="false">IF(B53="","",IFERROR(INDEX(Products!$B:$B,MATCH(B53,Products!$A:$A,0)),"ID not found"))</f>
        <v/>
      </c>
      <c r="E53" s="30"/>
      <c r="F53" s="30"/>
      <c r="G53" s="30"/>
      <c r="H53" s="30"/>
    </row>
    <row r="54" customFormat="false" ht="15" hidden="false" customHeight="false" outlineLevel="0" collapsed="false">
      <c r="A54" s="29"/>
      <c r="B54" s="29"/>
      <c r="C54" s="20" t="str">
        <f aca="false">IF(A54="","",IFERROR(INDEX(Metrics!$C:$C,MATCH(A54,Metrics!$A:$A,0)),"ID not found"))</f>
        <v/>
      </c>
      <c r="D54" s="20" t="str">
        <f aca="false">IF(B54="","",IFERROR(INDEX(Products!$B:$B,MATCH(B54,Products!$A:$A,0)),"ID not found"))</f>
        <v/>
      </c>
      <c r="E54" s="30"/>
      <c r="F54" s="30"/>
      <c r="G54" s="30"/>
      <c r="H54" s="30"/>
    </row>
    <row r="55" customFormat="false" ht="15" hidden="false" customHeight="false" outlineLevel="0" collapsed="false">
      <c r="A55" s="29"/>
      <c r="B55" s="29"/>
      <c r="C55" s="20" t="str">
        <f aca="false">IF(A55="","",IFERROR(INDEX(Metrics!$C:$C,MATCH(A55,Metrics!$A:$A,0)),"ID not found"))</f>
        <v/>
      </c>
      <c r="D55" s="20" t="str">
        <f aca="false">IF(B55="","",IFERROR(INDEX(Products!$B:$B,MATCH(B55,Products!$A:$A,0)),"ID not found"))</f>
        <v/>
      </c>
      <c r="E55" s="30"/>
      <c r="F55" s="30"/>
      <c r="G55" s="30"/>
      <c r="H55" s="30"/>
    </row>
    <row r="56" customFormat="false" ht="15" hidden="false" customHeight="false" outlineLevel="0" collapsed="false">
      <c r="A56" s="29"/>
      <c r="B56" s="29"/>
      <c r="C56" s="20" t="str">
        <f aca="false">IF(A56="","",IFERROR(INDEX(Metrics!$C:$C,MATCH(A56,Metrics!$A:$A,0)),"ID not found"))</f>
        <v/>
      </c>
      <c r="D56" s="20" t="str">
        <f aca="false">IF(B56="","",IFERROR(INDEX(Products!$B:$B,MATCH(B56,Products!$A:$A,0)),"ID not found"))</f>
        <v/>
      </c>
      <c r="E56" s="30"/>
      <c r="F56" s="30"/>
      <c r="G56" s="30"/>
      <c r="H56" s="30"/>
    </row>
    <row r="57" customFormat="false" ht="15" hidden="false" customHeight="false" outlineLevel="0" collapsed="false">
      <c r="A57" s="29"/>
      <c r="B57" s="29"/>
      <c r="C57" s="20" t="str">
        <f aca="false">IF(A57="","",IFERROR(INDEX(Metrics!$C:$C,MATCH(A57,Metrics!$A:$A,0)),"ID not found"))</f>
        <v/>
      </c>
      <c r="D57" s="20" t="str">
        <f aca="false">IF(B57="","",IFERROR(INDEX(Products!$B:$B,MATCH(B57,Products!$A:$A,0)),"ID not found"))</f>
        <v/>
      </c>
      <c r="E57" s="30"/>
      <c r="F57" s="30"/>
      <c r="G57" s="30"/>
      <c r="H57" s="30"/>
    </row>
    <row r="58" customFormat="false" ht="15" hidden="false" customHeight="false" outlineLevel="0" collapsed="false">
      <c r="A58" s="29"/>
      <c r="B58" s="29"/>
      <c r="C58" s="20" t="str">
        <f aca="false">IF(A58="","",IFERROR(INDEX(Metrics!$C:$C,MATCH(A58,Metrics!$A:$A,0)),"ID not found"))</f>
        <v/>
      </c>
      <c r="D58" s="20" t="str">
        <f aca="false">IF(B58="","",IFERROR(INDEX(Products!$B:$B,MATCH(B58,Products!$A:$A,0)),"ID not found"))</f>
        <v/>
      </c>
      <c r="E58" s="30"/>
      <c r="F58" s="30"/>
      <c r="G58" s="30"/>
      <c r="H58" s="30"/>
    </row>
    <row r="59" customFormat="false" ht="15" hidden="false" customHeight="false" outlineLevel="0" collapsed="false">
      <c r="A59" s="29"/>
      <c r="B59" s="29"/>
      <c r="C59" s="20" t="str">
        <f aca="false">IF(A59="","",IFERROR(INDEX(Metrics!$C:$C,MATCH(A59,Metrics!$A:$A,0)),"ID not found"))</f>
        <v/>
      </c>
      <c r="D59" s="20" t="str">
        <f aca="false">IF(B59="","",IFERROR(INDEX(Products!$B:$B,MATCH(B59,Products!$A:$A,0)),"ID not found"))</f>
        <v/>
      </c>
      <c r="E59" s="30"/>
      <c r="F59" s="30"/>
      <c r="G59" s="30"/>
      <c r="H59" s="30"/>
    </row>
    <row r="60" customFormat="false" ht="15" hidden="false" customHeight="false" outlineLevel="0" collapsed="false">
      <c r="A60" s="29"/>
      <c r="B60" s="29"/>
      <c r="C60" s="20" t="str">
        <f aca="false">IF(A60="","",IFERROR(INDEX(Metrics!$C:$C,MATCH(A60,Metrics!$A:$A,0)),"ID not found"))</f>
        <v/>
      </c>
      <c r="D60" s="20" t="str">
        <f aca="false">IF(B60="","",IFERROR(INDEX(Products!$B:$B,MATCH(B60,Products!$A:$A,0)),"ID not found"))</f>
        <v/>
      </c>
      <c r="E60" s="30"/>
      <c r="F60" s="30"/>
      <c r="G60" s="30"/>
      <c r="H60" s="30"/>
    </row>
    <row r="61" customFormat="false" ht="15" hidden="false" customHeight="false" outlineLevel="0" collapsed="false">
      <c r="A61" s="29"/>
      <c r="B61" s="29"/>
      <c r="C61" s="20" t="str">
        <f aca="false">IF(A61="","",IFERROR(INDEX(Metrics!$C:$C,MATCH(A61,Metrics!$A:$A,0)),"ID not found"))</f>
        <v/>
      </c>
      <c r="D61" s="20" t="str">
        <f aca="false">IF(B61="","",IFERROR(INDEX(Products!$B:$B,MATCH(B61,Products!$A:$A,0)),"ID not found"))</f>
        <v/>
      </c>
      <c r="E61" s="30"/>
      <c r="F61" s="30"/>
      <c r="G61" s="30"/>
      <c r="H61" s="30"/>
    </row>
    <row r="62" customFormat="false" ht="15" hidden="false" customHeight="false" outlineLevel="0" collapsed="false">
      <c r="A62" s="29"/>
      <c r="B62" s="29"/>
      <c r="C62" s="20" t="str">
        <f aca="false">IF(A62="","",IFERROR(INDEX(Metrics!$C:$C,MATCH(A62,Metrics!$A:$A,0)),"ID not found"))</f>
        <v/>
      </c>
      <c r="D62" s="20" t="str">
        <f aca="false">IF(B62="","",IFERROR(INDEX(Products!$B:$B,MATCH(B62,Products!$A:$A,0)),"ID not found"))</f>
        <v/>
      </c>
      <c r="E62" s="30"/>
      <c r="F62" s="30"/>
      <c r="G62" s="30"/>
      <c r="H62" s="30"/>
    </row>
    <row r="63" customFormat="false" ht="15" hidden="false" customHeight="false" outlineLevel="0" collapsed="false">
      <c r="A63" s="29"/>
      <c r="B63" s="29"/>
      <c r="C63" s="20" t="str">
        <f aca="false">IF(A63="","",IFERROR(INDEX(Metrics!$C:$C,MATCH(A63,Metrics!$A:$A,0)),"ID not found"))</f>
        <v/>
      </c>
      <c r="D63" s="20" t="str">
        <f aca="false">IF(B63="","",IFERROR(INDEX(Products!$B:$B,MATCH(B63,Products!$A:$A,0)),"ID not found"))</f>
        <v/>
      </c>
      <c r="E63" s="30"/>
      <c r="F63" s="30"/>
      <c r="G63" s="30"/>
      <c r="H63" s="30"/>
    </row>
    <row r="64" customFormat="false" ht="15" hidden="false" customHeight="false" outlineLevel="0" collapsed="false">
      <c r="A64" s="29"/>
      <c r="B64" s="29"/>
      <c r="C64" s="20" t="str">
        <f aca="false">IF(A64="","",IFERROR(INDEX(Metrics!$C:$C,MATCH(A64,Metrics!$A:$A,0)),"ID not found"))</f>
        <v/>
      </c>
      <c r="D64" s="20" t="str">
        <f aca="false">IF(B64="","",IFERROR(INDEX(Products!$B:$B,MATCH(B64,Products!$A:$A,0)),"ID not found"))</f>
        <v/>
      </c>
      <c r="E64" s="30"/>
      <c r="F64" s="30"/>
      <c r="G64" s="30"/>
      <c r="H64" s="30"/>
    </row>
    <row r="65" customFormat="false" ht="15" hidden="false" customHeight="false" outlineLevel="0" collapsed="false">
      <c r="A65" s="29"/>
      <c r="B65" s="29"/>
      <c r="C65" s="20" t="str">
        <f aca="false">IF(A65="","",IFERROR(INDEX(Metrics!$C:$C,MATCH(A65,Metrics!$A:$A,0)),"ID not found"))</f>
        <v/>
      </c>
      <c r="D65" s="20" t="str">
        <f aca="false">IF(B65="","",IFERROR(INDEX(Products!$B:$B,MATCH(B65,Products!$A:$A,0)),"ID not found"))</f>
        <v/>
      </c>
      <c r="E65" s="30"/>
      <c r="F65" s="30"/>
      <c r="G65" s="30"/>
      <c r="H65" s="30"/>
    </row>
    <row r="66" customFormat="false" ht="15" hidden="false" customHeight="false" outlineLevel="0" collapsed="false">
      <c r="A66" s="29"/>
      <c r="B66" s="29"/>
      <c r="C66" s="20" t="str">
        <f aca="false">IF(A66="","",IFERROR(INDEX(Metrics!$C:$C,MATCH(A66,Metrics!$A:$A,0)),"ID not found"))</f>
        <v/>
      </c>
      <c r="D66" s="20" t="str">
        <f aca="false">IF(B66="","",IFERROR(INDEX(Products!$B:$B,MATCH(B66,Products!$A:$A,0)),"ID not found"))</f>
        <v/>
      </c>
      <c r="E66" s="30"/>
      <c r="F66" s="30"/>
      <c r="G66" s="30"/>
      <c r="H66" s="30"/>
    </row>
    <row r="67" customFormat="false" ht="15" hidden="false" customHeight="false" outlineLevel="0" collapsed="false">
      <c r="A67" s="29"/>
      <c r="B67" s="29"/>
      <c r="C67" s="20" t="str">
        <f aca="false">IF(A67="","",IFERROR(INDEX(Metrics!$C:$C,MATCH(A67,Metrics!$A:$A,0)),"ID not found"))</f>
        <v/>
      </c>
      <c r="D67" s="20" t="str">
        <f aca="false">IF(B67="","",IFERROR(INDEX(Products!$B:$B,MATCH(B67,Products!$A:$A,0)),"ID not found"))</f>
        <v/>
      </c>
      <c r="E67" s="30"/>
      <c r="F67" s="30"/>
      <c r="G67" s="30"/>
      <c r="H67" s="30"/>
    </row>
    <row r="68" customFormat="false" ht="15" hidden="false" customHeight="false" outlineLevel="0" collapsed="false">
      <c r="A68" s="29"/>
      <c r="B68" s="29"/>
      <c r="C68" s="20" t="str">
        <f aca="false">IF(A68="","",IFERROR(INDEX(Metrics!$C:$C,MATCH(A68,Metrics!$A:$A,0)),"ID not found"))</f>
        <v/>
      </c>
      <c r="D68" s="20" t="str">
        <f aca="false">IF(B68="","",IFERROR(INDEX(Products!$B:$B,MATCH(B68,Products!$A:$A,0)),"ID not found"))</f>
        <v/>
      </c>
      <c r="E68" s="30"/>
      <c r="F68" s="30"/>
      <c r="G68" s="30"/>
      <c r="H68" s="30"/>
    </row>
    <row r="69" customFormat="false" ht="15" hidden="false" customHeight="false" outlineLevel="0" collapsed="false">
      <c r="A69" s="29"/>
      <c r="B69" s="29"/>
      <c r="C69" s="20" t="str">
        <f aca="false">IF(A69="","",IFERROR(INDEX(Metrics!$C:$C,MATCH(A69,Metrics!$A:$A,0)),"ID not found"))</f>
        <v/>
      </c>
      <c r="D69" s="20" t="str">
        <f aca="false">IF(B69="","",IFERROR(INDEX(Products!$B:$B,MATCH(B69,Products!$A:$A,0)),"ID not found"))</f>
        <v/>
      </c>
      <c r="E69" s="30"/>
      <c r="F69" s="30"/>
      <c r="G69" s="30"/>
      <c r="H69" s="30"/>
    </row>
    <row r="70" customFormat="false" ht="15" hidden="false" customHeight="false" outlineLevel="0" collapsed="false">
      <c r="A70" s="29"/>
      <c r="B70" s="29"/>
      <c r="C70" s="20" t="str">
        <f aca="false">IF(A70="","",IFERROR(INDEX(Metrics!$C:$C,MATCH(A70,Metrics!$A:$A,0)),"ID not found"))</f>
        <v/>
      </c>
      <c r="D70" s="20" t="str">
        <f aca="false">IF(B70="","",IFERROR(INDEX(Products!$B:$B,MATCH(B70,Products!$A:$A,0)),"ID not found"))</f>
        <v/>
      </c>
      <c r="E70" s="30"/>
      <c r="F70" s="30"/>
      <c r="G70" s="30"/>
      <c r="H70" s="30"/>
    </row>
    <row r="71" customFormat="false" ht="15" hidden="false" customHeight="false" outlineLevel="0" collapsed="false">
      <c r="A71" s="29"/>
      <c r="B71" s="29"/>
      <c r="C71" s="20" t="str">
        <f aca="false">IF(A71="","",IFERROR(INDEX(Metrics!$C:$C,MATCH(A71,Metrics!$A:$A,0)),"ID not found"))</f>
        <v/>
      </c>
      <c r="D71" s="20" t="str">
        <f aca="false">IF(B71="","",IFERROR(INDEX(Products!$B:$B,MATCH(B71,Products!$A:$A,0)),"ID not found"))</f>
        <v/>
      </c>
      <c r="E71" s="30"/>
      <c r="F71" s="30"/>
      <c r="G71" s="30"/>
      <c r="H71" s="30"/>
    </row>
    <row r="72" customFormat="false" ht="15" hidden="false" customHeight="false" outlineLevel="0" collapsed="false">
      <c r="A72" s="29"/>
      <c r="B72" s="29"/>
      <c r="C72" s="20" t="str">
        <f aca="false">IF(A72="","",IFERROR(INDEX(Metrics!$C:$C,MATCH(A72,Metrics!$A:$A,0)),"ID not found"))</f>
        <v/>
      </c>
      <c r="D72" s="20" t="str">
        <f aca="false">IF(B72="","",IFERROR(INDEX(Products!$B:$B,MATCH(B72,Products!$A:$A,0)),"ID not found"))</f>
        <v/>
      </c>
      <c r="E72" s="30"/>
      <c r="F72" s="30"/>
      <c r="G72" s="30"/>
      <c r="H72" s="30"/>
    </row>
    <row r="73" customFormat="false" ht="15" hidden="false" customHeight="false" outlineLevel="0" collapsed="false">
      <c r="A73" s="29"/>
      <c r="B73" s="29"/>
      <c r="C73" s="20" t="str">
        <f aca="false">IF(A73="","",IFERROR(INDEX(Metrics!$C:$C,MATCH(A73,Metrics!$A:$A,0)),"ID not found"))</f>
        <v/>
      </c>
      <c r="D73" s="20" t="str">
        <f aca="false">IF(B73="","",IFERROR(INDEX(Products!$B:$B,MATCH(B73,Products!$A:$A,0)),"ID not found"))</f>
        <v/>
      </c>
      <c r="E73" s="30"/>
      <c r="F73" s="30"/>
      <c r="G73" s="30"/>
      <c r="H73" s="30"/>
    </row>
    <row r="74" customFormat="false" ht="15" hidden="false" customHeight="false" outlineLevel="0" collapsed="false">
      <c r="A74" s="29"/>
      <c r="B74" s="29"/>
      <c r="C74" s="20" t="str">
        <f aca="false">IF(A74="","",IFERROR(INDEX(Metrics!$C:$C,MATCH(A74,Metrics!$A:$A,0)),"ID not found"))</f>
        <v/>
      </c>
      <c r="D74" s="20" t="str">
        <f aca="false">IF(B74="","",IFERROR(INDEX(Products!$B:$B,MATCH(B74,Products!$A:$A,0)),"ID not found"))</f>
        <v/>
      </c>
      <c r="E74" s="30"/>
      <c r="F74" s="30"/>
      <c r="G74" s="30"/>
      <c r="H74" s="30"/>
    </row>
    <row r="75" customFormat="false" ht="15" hidden="false" customHeight="false" outlineLevel="0" collapsed="false">
      <c r="A75" s="29"/>
      <c r="B75" s="29"/>
      <c r="C75" s="20" t="str">
        <f aca="false">IF(A75="","",IFERROR(INDEX(Metrics!$C:$C,MATCH(A75,Metrics!$A:$A,0)),"ID not found"))</f>
        <v/>
      </c>
      <c r="D75" s="20" t="str">
        <f aca="false">IF(B75="","",IFERROR(INDEX(Products!$B:$B,MATCH(B75,Products!$A:$A,0)),"ID not found"))</f>
        <v/>
      </c>
      <c r="E75" s="30"/>
      <c r="F75" s="30"/>
      <c r="G75" s="30"/>
      <c r="H75" s="30"/>
    </row>
    <row r="76" customFormat="false" ht="15" hidden="false" customHeight="false" outlineLevel="0" collapsed="false">
      <c r="A76" s="29"/>
      <c r="B76" s="29"/>
      <c r="C76" s="20" t="str">
        <f aca="false">IF(A76="","",IFERROR(INDEX(Metrics!$C:$C,MATCH(A76,Metrics!$A:$A,0)),"ID not found"))</f>
        <v/>
      </c>
      <c r="D76" s="20" t="str">
        <f aca="false">IF(B76="","",IFERROR(INDEX(Products!$B:$B,MATCH(B76,Products!$A:$A,0)),"ID not found"))</f>
        <v/>
      </c>
      <c r="E76" s="30"/>
      <c r="F76" s="30"/>
      <c r="G76" s="30"/>
      <c r="H76" s="30"/>
    </row>
    <row r="77" customFormat="false" ht="15" hidden="false" customHeight="false" outlineLevel="0" collapsed="false">
      <c r="A77" s="29"/>
      <c r="B77" s="29"/>
      <c r="C77" s="20" t="str">
        <f aca="false">IF(A77="","",IFERROR(INDEX(Metrics!$C:$C,MATCH(A77,Metrics!$A:$A,0)),"ID not found"))</f>
        <v/>
      </c>
      <c r="D77" s="20" t="str">
        <f aca="false">IF(B77="","",IFERROR(INDEX(Products!$B:$B,MATCH(B77,Products!$A:$A,0)),"ID not found"))</f>
        <v/>
      </c>
      <c r="E77" s="30"/>
      <c r="F77" s="30"/>
      <c r="G77" s="30"/>
      <c r="H77" s="30"/>
    </row>
    <row r="78" customFormat="false" ht="15" hidden="false" customHeight="false" outlineLevel="0" collapsed="false">
      <c r="A78" s="29"/>
      <c r="B78" s="29"/>
      <c r="C78" s="20" t="str">
        <f aca="false">IF(A78="","",IFERROR(INDEX(Metrics!$C:$C,MATCH(A78,Metrics!$A:$A,0)),"ID not found"))</f>
        <v/>
      </c>
      <c r="D78" s="20" t="str">
        <f aca="false">IF(B78="","",IFERROR(INDEX(Products!$B:$B,MATCH(B78,Products!$A:$A,0)),"ID not found"))</f>
        <v/>
      </c>
      <c r="E78" s="30"/>
      <c r="F78" s="30"/>
      <c r="G78" s="30"/>
      <c r="H78" s="30"/>
    </row>
    <row r="79" customFormat="false" ht="15" hidden="false" customHeight="false" outlineLevel="0" collapsed="false">
      <c r="A79" s="29"/>
      <c r="B79" s="29"/>
      <c r="C79" s="20" t="str">
        <f aca="false">IF(A79="","",IFERROR(INDEX(Metrics!$C:$C,MATCH(A79,Metrics!$A:$A,0)),"ID not found"))</f>
        <v/>
      </c>
      <c r="D79" s="20" t="str">
        <f aca="false">IF(B79="","",IFERROR(INDEX(Products!$B:$B,MATCH(B79,Products!$A:$A,0)),"ID not found"))</f>
        <v/>
      </c>
      <c r="E79" s="30"/>
      <c r="F79" s="30"/>
      <c r="G79" s="30"/>
      <c r="H79" s="30"/>
    </row>
    <row r="80" customFormat="false" ht="15" hidden="false" customHeight="false" outlineLevel="0" collapsed="false">
      <c r="A80" s="29"/>
      <c r="B80" s="29"/>
      <c r="C80" s="20" t="str">
        <f aca="false">IF(A80="","",IFERROR(INDEX(Metrics!$C:$C,MATCH(A80,Metrics!$A:$A,0)),"ID not found"))</f>
        <v/>
      </c>
      <c r="D80" s="20" t="str">
        <f aca="false">IF(B80="","",IFERROR(INDEX(Products!$B:$B,MATCH(B80,Products!$A:$A,0)),"ID not found"))</f>
        <v/>
      </c>
      <c r="E80" s="30"/>
      <c r="F80" s="30"/>
      <c r="G80" s="30"/>
      <c r="H80" s="30"/>
    </row>
    <row r="81" customFormat="false" ht="15" hidden="false" customHeight="false" outlineLevel="0" collapsed="false">
      <c r="A81" s="29"/>
      <c r="B81" s="29"/>
      <c r="C81" s="20" t="str">
        <f aca="false">IF(A81="","",IFERROR(INDEX(Metrics!$C:$C,MATCH(A81,Metrics!$A:$A,0)),"ID not found"))</f>
        <v/>
      </c>
      <c r="D81" s="20" t="str">
        <f aca="false">IF(B81="","",IFERROR(INDEX(Products!$B:$B,MATCH(B81,Products!$A:$A,0)),"ID not found"))</f>
        <v/>
      </c>
      <c r="E81" s="30"/>
      <c r="F81" s="30"/>
      <c r="G81" s="30"/>
      <c r="H81" s="30"/>
    </row>
    <row r="82" customFormat="false" ht="15" hidden="false" customHeight="false" outlineLevel="0" collapsed="false">
      <c r="A82" s="29"/>
      <c r="B82" s="29"/>
      <c r="C82" s="20" t="str">
        <f aca="false">IF(A82="","",IFERROR(INDEX(Metrics!$C:$C,MATCH(A82,Metrics!$A:$A,0)),"ID not found"))</f>
        <v/>
      </c>
      <c r="D82" s="20" t="str">
        <f aca="false">IF(B82="","",IFERROR(INDEX(Products!$B:$B,MATCH(B82,Products!$A:$A,0)),"ID not found"))</f>
        <v/>
      </c>
      <c r="E82" s="30"/>
      <c r="F82" s="30"/>
      <c r="G82" s="30"/>
      <c r="H82" s="30"/>
    </row>
    <row r="83" customFormat="false" ht="15" hidden="false" customHeight="false" outlineLevel="0" collapsed="false">
      <c r="A83" s="29"/>
      <c r="B83" s="29"/>
      <c r="C83" s="20" t="str">
        <f aca="false">IF(A83="","",IFERROR(INDEX(Metrics!$C:$C,MATCH(A83,Metrics!$A:$A,0)),"ID not found"))</f>
        <v/>
      </c>
      <c r="D83" s="20" t="str">
        <f aca="false">IF(B83="","",IFERROR(INDEX(Products!$B:$B,MATCH(B83,Products!$A:$A,0)),"ID not found"))</f>
        <v/>
      </c>
      <c r="E83" s="30"/>
      <c r="F83" s="30"/>
      <c r="G83" s="30"/>
      <c r="H83" s="30"/>
    </row>
    <row r="84" customFormat="false" ht="15" hidden="false" customHeight="false" outlineLevel="0" collapsed="false">
      <c r="A84" s="29"/>
      <c r="B84" s="29"/>
      <c r="C84" s="20" t="str">
        <f aca="false">IF(A84="","",IFERROR(INDEX(Metrics!$C:$C,MATCH(A84,Metrics!$A:$A,0)),"ID not found"))</f>
        <v/>
      </c>
      <c r="D84" s="20" t="str">
        <f aca="false">IF(B84="","",IFERROR(INDEX(Products!$B:$B,MATCH(B84,Products!$A:$A,0)),"ID not found"))</f>
        <v/>
      </c>
      <c r="E84" s="30"/>
      <c r="F84" s="30"/>
      <c r="G84" s="30"/>
      <c r="H84" s="30"/>
    </row>
    <row r="85" customFormat="false" ht="15" hidden="false" customHeight="false" outlineLevel="0" collapsed="false">
      <c r="A85" s="29"/>
      <c r="B85" s="29"/>
      <c r="C85" s="20" t="str">
        <f aca="false">IF(A85="","",IFERROR(INDEX(Metrics!$C:$C,MATCH(A85,Metrics!$A:$A,0)),"ID not found"))</f>
        <v/>
      </c>
      <c r="D85" s="20" t="str">
        <f aca="false">IF(B85="","",IFERROR(INDEX(Products!$B:$B,MATCH(B85,Products!$A:$A,0)),"ID not found"))</f>
        <v/>
      </c>
      <c r="E85" s="30"/>
      <c r="F85" s="30"/>
      <c r="G85" s="30"/>
      <c r="H85" s="30"/>
    </row>
    <row r="86" customFormat="false" ht="15" hidden="false" customHeight="false" outlineLevel="0" collapsed="false">
      <c r="A86" s="29"/>
      <c r="B86" s="29"/>
      <c r="C86" s="20" t="str">
        <f aca="false">IF(A86="","",IFERROR(INDEX(Metrics!$C:$C,MATCH(A86,Metrics!$A:$A,0)),"ID not found"))</f>
        <v/>
      </c>
      <c r="D86" s="20" t="str">
        <f aca="false">IF(B86="","",IFERROR(INDEX(Products!$B:$B,MATCH(B86,Products!$A:$A,0)),"ID not found"))</f>
        <v/>
      </c>
      <c r="E86" s="30"/>
      <c r="F86" s="30"/>
      <c r="G86" s="30"/>
      <c r="H86" s="30"/>
    </row>
    <row r="87" customFormat="false" ht="15" hidden="false" customHeight="false" outlineLevel="0" collapsed="false">
      <c r="A87" s="29"/>
      <c r="B87" s="29"/>
      <c r="C87" s="20" t="str">
        <f aca="false">IF(A87="","",IFERROR(INDEX(Metrics!$C:$C,MATCH(A87,Metrics!$A:$A,0)),"ID not found"))</f>
        <v/>
      </c>
      <c r="D87" s="20" t="str">
        <f aca="false">IF(B87="","",IFERROR(INDEX(Products!$B:$B,MATCH(B87,Products!$A:$A,0)),"ID not found"))</f>
        <v/>
      </c>
      <c r="E87" s="30"/>
      <c r="F87" s="30"/>
      <c r="G87" s="30"/>
      <c r="H87" s="30"/>
    </row>
    <row r="88" customFormat="false" ht="15" hidden="false" customHeight="false" outlineLevel="0" collapsed="false">
      <c r="A88" s="29"/>
      <c r="B88" s="29"/>
      <c r="C88" s="20" t="str">
        <f aca="false">IF(A88="","",IFERROR(INDEX(Metrics!$C:$C,MATCH(A88,Metrics!$A:$A,0)),"ID not found"))</f>
        <v/>
      </c>
      <c r="D88" s="20" t="str">
        <f aca="false">IF(B88="","",IFERROR(INDEX(Products!$B:$B,MATCH(B88,Products!$A:$A,0)),"ID not found"))</f>
        <v/>
      </c>
      <c r="E88" s="30"/>
      <c r="F88" s="30"/>
      <c r="G88" s="30"/>
      <c r="H88" s="30"/>
    </row>
    <row r="89" customFormat="false" ht="15" hidden="false" customHeight="false" outlineLevel="0" collapsed="false">
      <c r="A89" s="29"/>
      <c r="B89" s="29"/>
      <c r="C89" s="20" t="str">
        <f aca="false">IF(A89="","",IFERROR(INDEX(Metrics!$C:$C,MATCH(A89,Metrics!$A:$A,0)),"ID not found"))</f>
        <v/>
      </c>
      <c r="D89" s="20" t="str">
        <f aca="false">IF(B89="","",IFERROR(INDEX(Products!$B:$B,MATCH(B89,Products!$A:$A,0)),"ID not found"))</f>
        <v/>
      </c>
      <c r="E89" s="30"/>
      <c r="F89" s="30"/>
      <c r="G89" s="30"/>
      <c r="H89" s="30"/>
    </row>
    <row r="90" customFormat="false" ht="15" hidden="false" customHeight="false" outlineLevel="0" collapsed="false">
      <c r="A90" s="29"/>
      <c r="B90" s="29"/>
      <c r="C90" s="20" t="str">
        <f aca="false">IF(A90="","",IFERROR(INDEX(Metrics!$C:$C,MATCH(A90,Metrics!$A:$A,0)),"ID not found"))</f>
        <v/>
      </c>
      <c r="D90" s="20" t="str">
        <f aca="false">IF(B90="","",IFERROR(INDEX(Products!$B:$B,MATCH(B90,Products!$A:$A,0)),"ID not found"))</f>
        <v/>
      </c>
      <c r="E90" s="30"/>
      <c r="F90" s="30"/>
      <c r="G90" s="30"/>
      <c r="H90" s="30"/>
    </row>
    <row r="91" customFormat="false" ht="15" hidden="false" customHeight="false" outlineLevel="0" collapsed="false">
      <c r="A91" s="29"/>
      <c r="B91" s="29"/>
      <c r="C91" s="20" t="str">
        <f aca="false">IF(A91="","",IFERROR(INDEX(Metrics!$C:$C,MATCH(A91,Metrics!$A:$A,0)),"ID not found"))</f>
        <v/>
      </c>
      <c r="D91" s="20" t="str">
        <f aca="false">IF(B91="","",IFERROR(INDEX(Products!$B:$B,MATCH(B91,Products!$A:$A,0)),"ID not found"))</f>
        <v/>
      </c>
      <c r="E91" s="30"/>
      <c r="F91" s="30"/>
      <c r="G91" s="30"/>
      <c r="H91" s="30"/>
    </row>
    <row r="92" customFormat="false" ht="15" hidden="false" customHeight="false" outlineLevel="0" collapsed="false">
      <c r="A92" s="29"/>
      <c r="B92" s="29"/>
      <c r="C92" s="20" t="str">
        <f aca="false">IF(A92="","",IFERROR(INDEX(Metrics!$C:$C,MATCH(A92,Metrics!$A:$A,0)),"ID not found"))</f>
        <v/>
      </c>
      <c r="D92" s="20" t="str">
        <f aca="false">IF(B92="","",IFERROR(INDEX(Products!$B:$B,MATCH(B92,Products!$A:$A,0)),"ID not found"))</f>
        <v/>
      </c>
      <c r="E92" s="30"/>
      <c r="F92" s="30"/>
      <c r="G92" s="30"/>
      <c r="H92" s="30"/>
    </row>
    <row r="93" customFormat="false" ht="15" hidden="false" customHeight="false" outlineLevel="0" collapsed="false">
      <c r="A93" s="29"/>
      <c r="B93" s="29"/>
      <c r="C93" s="20" t="str">
        <f aca="false">IF(A93="","",IFERROR(INDEX(Metrics!$C:$C,MATCH(A93,Metrics!$A:$A,0)),"ID not found"))</f>
        <v/>
      </c>
      <c r="D93" s="20" t="str">
        <f aca="false">IF(B93="","",IFERROR(INDEX(Products!$B:$B,MATCH(B93,Products!$A:$A,0)),"ID not found"))</f>
        <v/>
      </c>
      <c r="E93" s="30"/>
      <c r="F93" s="30"/>
      <c r="G93" s="30"/>
      <c r="H93" s="30"/>
    </row>
    <row r="94" customFormat="false" ht="15" hidden="false" customHeight="false" outlineLevel="0" collapsed="false">
      <c r="A94" s="29"/>
      <c r="B94" s="29"/>
      <c r="C94" s="20" t="str">
        <f aca="false">IF(A94="","",IFERROR(INDEX(Metrics!$C:$C,MATCH(A94,Metrics!$A:$A,0)),"ID not found"))</f>
        <v/>
      </c>
      <c r="D94" s="20" t="str">
        <f aca="false">IF(B94="","",IFERROR(INDEX(Products!$B:$B,MATCH(B94,Products!$A:$A,0)),"ID not found"))</f>
        <v/>
      </c>
      <c r="E94" s="30"/>
      <c r="F94" s="30"/>
      <c r="G94" s="30"/>
      <c r="H94" s="30"/>
    </row>
    <row r="95" customFormat="false" ht="15" hidden="false" customHeight="false" outlineLevel="0" collapsed="false">
      <c r="A95" s="29"/>
      <c r="B95" s="29"/>
      <c r="C95" s="20" t="str">
        <f aca="false">IF(A95="","",IFERROR(INDEX(Metrics!$C:$C,MATCH(A95,Metrics!$A:$A,0)),"ID not found"))</f>
        <v/>
      </c>
      <c r="D95" s="20" t="str">
        <f aca="false">IF(B95="","",IFERROR(INDEX(Products!$B:$B,MATCH(B95,Products!$A:$A,0)),"ID not found"))</f>
        <v/>
      </c>
      <c r="E95" s="30"/>
      <c r="F95" s="30"/>
      <c r="G95" s="30"/>
      <c r="H95" s="30"/>
    </row>
    <row r="96" customFormat="false" ht="15" hidden="false" customHeight="false" outlineLevel="0" collapsed="false">
      <c r="A96" s="29"/>
      <c r="B96" s="29"/>
      <c r="C96" s="20" t="str">
        <f aca="false">IF(A96="","",IFERROR(INDEX(Metrics!$C:$C,MATCH(A96,Metrics!$A:$A,0)),"ID not found"))</f>
        <v/>
      </c>
      <c r="D96" s="20" t="str">
        <f aca="false">IF(B96="","",IFERROR(INDEX(Products!$B:$B,MATCH(B96,Products!$A:$A,0)),"ID not found"))</f>
        <v/>
      </c>
      <c r="E96" s="30"/>
      <c r="F96" s="30"/>
      <c r="G96" s="30"/>
      <c r="H96" s="30"/>
    </row>
    <row r="97" customFormat="false" ht="15" hidden="false" customHeight="false" outlineLevel="0" collapsed="false">
      <c r="A97" s="29"/>
      <c r="B97" s="29"/>
      <c r="C97" s="20" t="str">
        <f aca="false">IF(A97="","",IFERROR(INDEX(Metrics!$C:$C,MATCH(A97,Metrics!$A:$A,0)),"ID not found"))</f>
        <v/>
      </c>
      <c r="D97" s="20" t="str">
        <f aca="false">IF(B97="","",IFERROR(INDEX(Products!$B:$B,MATCH(B97,Products!$A:$A,0)),"ID not found"))</f>
        <v/>
      </c>
      <c r="E97" s="30"/>
      <c r="F97" s="30"/>
      <c r="G97" s="30"/>
      <c r="H97" s="30"/>
    </row>
    <row r="98" customFormat="false" ht="15" hidden="false" customHeight="false" outlineLevel="0" collapsed="false">
      <c r="A98" s="29"/>
      <c r="B98" s="29"/>
      <c r="C98" s="20" t="str">
        <f aca="false">IF(A98="","",IFERROR(INDEX(Metrics!$C:$C,MATCH(A98,Metrics!$A:$A,0)),"ID not found"))</f>
        <v/>
      </c>
      <c r="D98" s="20" t="str">
        <f aca="false">IF(B98="","",IFERROR(INDEX(Products!$B:$B,MATCH(B98,Products!$A:$A,0)),"ID not found"))</f>
        <v/>
      </c>
      <c r="E98" s="30"/>
      <c r="F98" s="30"/>
      <c r="G98" s="30"/>
      <c r="H98" s="30"/>
    </row>
    <row r="99" customFormat="false" ht="15" hidden="false" customHeight="false" outlineLevel="0" collapsed="false">
      <c r="A99" s="29"/>
      <c r="B99" s="29"/>
      <c r="C99" s="20" t="str">
        <f aca="false">IF(A99="","",IFERROR(INDEX(Metrics!$C:$C,MATCH(A99,Metrics!$A:$A,0)),"ID not found"))</f>
        <v/>
      </c>
      <c r="D99" s="20" t="str">
        <f aca="false">IF(B99="","",IFERROR(INDEX(Products!$B:$B,MATCH(B99,Products!$A:$A,0)),"ID not found"))</f>
        <v/>
      </c>
      <c r="E99" s="30"/>
      <c r="F99" s="30"/>
      <c r="G99" s="30"/>
      <c r="H99" s="30"/>
    </row>
    <row r="100" customFormat="false" ht="15" hidden="false" customHeight="false" outlineLevel="0" collapsed="false">
      <c r="A100" s="29"/>
      <c r="B100" s="29"/>
      <c r="C100" s="20" t="str">
        <f aca="false">IF(A100="","",IFERROR(INDEX(Metrics!$C:$C,MATCH(A100,Metrics!$A:$A,0)),"ID not found"))</f>
        <v/>
      </c>
      <c r="D100" s="20" t="str">
        <f aca="false">IF(B100="","",IFERROR(INDEX(Products!$B:$B,MATCH(B100,Products!$A:$A,0)),"ID not found"))</f>
        <v/>
      </c>
      <c r="E100" s="30"/>
      <c r="F100" s="30"/>
      <c r="G100" s="30"/>
      <c r="H100" s="30"/>
    </row>
    <row r="101" customFormat="false" ht="15" hidden="false" customHeight="false" outlineLevel="0" collapsed="false">
      <c r="A101" s="29"/>
      <c r="B101" s="29"/>
      <c r="C101" s="20" t="str">
        <f aca="false">IF(A101="","",IFERROR(INDEX(Metrics!$C:$C,MATCH(A101,Metrics!$A:$A,0)),"ID not found"))</f>
        <v/>
      </c>
      <c r="D101" s="20" t="str">
        <f aca="false">IF(B101="","",IFERROR(INDEX(Products!$B:$B,MATCH(B101,Products!$A:$A,0)),"ID not found"))</f>
        <v/>
      </c>
      <c r="E101" s="30"/>
      <c r="F101" s="30"/>
      <c r="G101" s="30"/>
      <c r="H101" s="30"/>
    </row>
    <row r="102" customFormat="false" ht="15" hidden="false" customHeight="false" outlineLevel="0" collapsed="false">
      <c r="A102" s="29"/>
      <c r="B102" s="29"/>
      <c r="C102" s="20" t="str">
        <f aca="false">IF(A102="","",IFERROR(INDEX(Metrics!$C:$C,MATCH(A102,Metrics!$A:$A,0)),"ID not found"))</f>
        <v/>
      </c>
      <c r="D102" s="20" t="str">
        <f aca="false">IF(B102="","",IFERROR(INDEX(Products!$B:$B,MATCH(B102,Products!$A:$A,0)),"ID not found"))</f>
        <v/>
      </c>
      <c r="E102" s="30"/>
      <c r="F102" s="30"/>
      <c r="G102" s="30"/>
      <c r="H102" s="30"/>
    </row>
    <row r="103" customFormat="false" ht="15" hidden="false" customHeight="false" outlineLevel="0" collapsed="false">
      <c r="A103" s="29"/>
      <c r="B103" s="29"/>
      <c r="C103" s="20" t="str">
        <f aca="false">IF(A103="","",IFERROR(INDEX(Metrics!$C:$C,MATCH(A103,Metrics!$A:$A,0)),"ID not found"))</f>
        <v/>
      </c>
      <c r="D103" s="20" t="str">
        <f aca="false">IF(B103="","",IFERROR(INDEX(Products!$B:$B,MATCH(B103,Products!$A:$A,0)),"ID not found"))</f>
        <v/>
      </c>
      <c r="E103" s="30"/>
      <c r="F103" s="30"/>
      <c r="G103" s="30"/>
      <c r="H103" s="30"/>
    </row>
    <row r="104" customFormat="false" ht="15" hidden="false" customHeight="false" outlineLevel="0" collapsed="false">
      <c r="A104" s="29"/>
      <c r="B104" s="29"/>
      <c r="C104" s="20" t="str">
        <f aca="false">IF(A104="","",IFERROR(INDEX(Metrics!$C:$C,MATCH(A104,Metrics!$A:$A,0)),"ID not found"))</f>
        <v/>
      </c>
      <c r="D104" s="20" t="str">
        <f aca="false">IF(B104="","",IFERROR(INDEX(Products!$B:$B,MATCH(B104,Products!$A:$A,0)),"ID not found"))</f>
        <v/>
      </c>
      <c r="E104" s="30"/>
      <c r="F104" s="30"/>
      <c r="G104" s="30"/>
      <c r="H104" s="30"/>
    </row>
    <row r="105" customFormat="false" ht="15" hidden="false" customHeight="false" outlineLevel="0" collapsed="false">
      <c r="A105" s="29"/>
      <c r="B105" s="29"/>
      <c r="C105" s="20" t="str">
        <f aca="false">IF(A105="","",IFERROR(INDEX(Metrics!$C:$C,MATCH(A105,Metrics!$A:$A,0)),"ID not found"))</f>
        <v/>
      </c>
      <c r="D105" s="20" t="str">
        <f aca="false">IF(B105="","",IFERROR(INDEX(Products!$B:$B,MATCH(B105,Products!$A:$A,0)),"ID not found"))</f>
        <v/>
      </c>
      <c r="E105" s="30"/>
      <c r="F105" s="30"/>
      <c r="G105" s="30"/>
      <c r="H105" s="30"/>
    </row>
    <row r="106" customFormat="false" ht="15" hidden="false" customHeight="false" outlineLevel="0" collapsed="false">
      <c r="A106" s="29"/>
      <c r="B106" s="29"/>
      <c r="C106" s="20" t="str">
        <f aca="false">IF(A106="","",IFERROR(INDEX(Metrics!$C:$C,MATCH(A106,Metrics!$A:$A,0)),"ID not found"))</f>
        <v/>
      </c>
      <c r="D106" s="20" t="str">
        <f aca="false">IF(B106="","",IFERROR(INDEX(Products!$B:$B,MATCH(B106,Products!$A:$A,0)),"ID not found"))</f>
        <v/>
      </c>
      <c r="E106" s="30"/>
      <c r="F106" s="30"/>
      <c r="G106" s="30"/>
      <c r="H106" s="30"/>
    </row>
    <row r="107" customFormat="false" ht="15" hidden="false" customHeight="false" outlineLevel="0" collapsed="false">
      <c r="A107" s="29"/>
      <c r="B107" s="29"/>
      <c r="C107" s="20" t="str">
        <f aca="false">IF(A107="","",IFERROR(INDEX(Metrics!$C:$C,MATCH(A107,Metrics!$A:$A,0)),"ID not found"))</f>
        <v/>
      </c>
      <c r="D107" s="20" t="str">
        <f aca="false">IF(B107="","",IFERROR(INDEX(Products!$B:$B,MATCH(B107,Products!$A:$A,0)),"ID not found"))</f>
        <v/>
      </c>
      <c r="E107" s="30"/>
      <c r="F107" s="30"/>
      <c r="G107" s="30"/>
      <c r="H107" s="30"/>
    </row>
    <row r="108" customFormat="false" ht="15" hidden="false" customHeight="false" outlineLevel="0" collapsed="false">
      <c r="A108" s="29"/>
      <c r="B108" s="29"/>
      <c r="C108" s="20" t="str">
        <f aca="false">IF(A108="","",IFERROR(INDEX(Metrics!$C:$C,MATCH(A108,Metrics!$A:$A,0)),"ID not found"))</f>
        <v/>
      </c>
      <c r="D108" s="20" t="str">
        <f aca="false">IF(B108="","",IFERROR(INDEX(Products!$B:$B,MATCH(B108,Products!$A:$A,0)),"ID not found"))</f>
        <v/>
      </c>
      <c r="E108" s="30"/>
      <c r="F108" s="30"/>
      <c r="G108" s="30"/>
      <c r="H108" s="30"/>
    </row>
    <row r="109" customFormat="false" ht="15" hidden="false" customHeight="false" outlineLevel="0" collapsed="false">
      <c r="A109" s="29"/>
      <c r="B109" s="29"/>
      <c r="C109" s="20" t="str">
        <f aca="false">IF(A109="","",IFERROR(INDEX(Metrics!$C:$C,MATCH(A109,Metrics!$A:$A,0)),"ID not found"))</f>
        <v/>
      </c>
      <c r="D109" s="20" t="str">
        <f aca="false">IF(B109="","",IFERROR(INDEX(Products!$B:$B,MATCH(B109,Products!$A:$A,0)),"ID not found"))</f>
        <v/>
      </c>
      <c r="E109" s="30"/>
      <c r="F109" s="30"/>
      <c r="G109" s="30"/>
      <c r="H109" s="30"/>
    </row>
    <row r="110" customFormat="false" ht="15" hidden="false" customHeight="false" outlineLevel="0" collapsed="false">
      <c r="A110" s="29"/>
      <c r="B110" s="29"/>
      <c r="C110" s="20" t="str">
        <f aca="false">IF(A110="","",IFERROR(INDEX(Metrics!$C:$C,MATCH(A110,Metrics!$A:$A,0)),"ID not found"))</f>
        <v/>
      </c>
      <c r="D110" s="20" t="str">
        <f aca="false">IF(B110="","",IFERROR(INDEX(Products!$B:$B,MATCH(B110,Products!$A:$A,0)),"ID not found"))</f>
        <v/>
      </c>
      <c r="E110" s="30"/>
      <c r="F110" s="30"/>
      <c r="G110" s="30"/>
      <c r="H110" s="30"/>
    </row>
    <row r="111" customFormat="false" ht="15" hidden="false" customHeight="false" outlineLevel="0" collapsed="false">
      <c r="A111" s="29"/>
      <c r="B111" s="29"/>
      <c r="C111" s="20" t="str">
        <f aca="false">IF(A111="","",IFERROR(INDEX(Metrics!$C:$C,MATCH(A111,Metrics!$A:$A,0)),"ID not found"))</f>
        <v/>
      </c>
      <c r="D111" s="20" t="str">
        <f aca="false">IF(B111="","",IFERROR(INDEX(Products!$B:$B,MATCH(B111,Products!$A:$A,0)),"ID not found"))</f>
        <v/>
      </c>
      <c r="E111" s="30"/>
      <c r="F111" s="30"/>
      <c r="G111" s="30"/>
      <c r="H111" s="30"/>
    </row>
    <row r="112" customFormat="false" ht="15" hidden="false" customHeight="false" outlineLevel="0" collapsed="false">
      <c r="A112" s="29"/>
      <c r="B112" s="29"/>
      <c r="C112" s="20" t="str">
        <f aca="false">IF(A112="","",IFERROR(INDEX(Metrics!$C:$C,MATCH(A112,Metrics!$A:$A,0)),"ID not found"))</f>
        <v/>
      </c>
      <c r="D112" s="20" t="str">
        <f aca="false">IF(B112="","",IFERROR(INDEX(Products!$B:$B,MATCH(B112,Products!$A:$A,0)),"ID not found"))</f>
        <v/>
      </c>
      <c r="E112" s="30"/>
      <c r="F112" s="30"/>
      <c r="G112" s="30"/>
      <c r="H112" s="30"/>
    </row>
    <row r="113" customFormat="false" ht="15" hidden="false" customHeight="false" outlineLevel="0" collapsed="false">
      <c r="A113" s="29"/>
      <c r="B113" s="29"/>
      <c r="C113" s="20" t="str">
        <f aca="false">IF(A113="","",IFERROR(INDEX(Metrics!$C:$C,MATCH(A113,Metrics!$A:$A,0)),"ID not found"))</f>
        <v/>
      </c>
      <c r="D113" s="20" t="str">
        <f aca="false">IF(B113="","",IFERROR(INDEX(Products!$B:$B,MATCH(B113,Products!$A:$A,0)),"ID not found"))</f>
        <v/>
      </c>
      <c r="E113" s="30"/>
      <c r="F113" s="30"/>
      <c r="G113" s="30"/>
      <c r="H113" s="30"/>
    </row>
    <row r="114" customFormat="false" ht="15" hidden="false" customHeight="false" outlineLevel="0" collapsed="false">
      <c r="A114" s="29"/>
      <c r="B114" s="29"/>
      <c r="C114" s="20" t="str">
        <f aca="false">IF(A114="","",IFERROR(INDEX(Metrics!$C:$C,MATCH(A114,Metrics!$A:$A,0)),"ID not found"))</f>
        <v/>
      </c>
      <c r="D114" s="20" t="str">
        <f aca="false">IF(B114="","",IFERROR(INDEX(Products!$B:$B,MATCH(B114,Products!$A:$A,0)),"ID not found"))</f>
        <v/>
      </c>
      <c r="E114" s="30"/>
      <c r="F114" s="30"/>
      <c r="G114" s="30"/>
      <c r="H114" s="30"/>
    </row>
    <row r="115" customFormat="false" ht="15" hidden="false" customHeight="false" outlineLevel="0" collapsed="false">
      <c r="A115" s="29"/>
      <c r="B115" s="29"/>
      <c r="C115" s="20" t="str">
        <f aca="false">IF(A115="","",IFERROR(INDEX(Metrics!$C:$C,MATCH(A115,Metrics!$A:$A,0)),"ID not found"))</f>
        <v/>
      </c>
      <c r="D115" s="20" t="str">
        <f aca="false">IF(B115="","",IFERROR(INDEX(Products!$B:$B,MATCH(B115,Products!$A:$A,0)),"ID not found"))</f>
        <v/>
      </c>
      <c r="E115" s="30"/>
      <c r="F115" s="30"/>
      <c r="G115" s="30"/>
      <c r="H115" s="30"/>
    </row>
    <row r="116" customFormat="false" ht="15" hidden="false" customHeight="false" outlineLevel="0" collapsed="false">
      <c r="A116" s="29"/>
      <c r="B116" s="29"/>
      <c r="C116" s="20" t="str">
        <f aca="false">IF(A116="","",IFERROR(INDEX(Metrics!$C:$C,MATCH(A116,Metrics!$A:$A,0)),"ID not found"))</f>
        <v/>
      </c>
      <c r="D116" s="20" t="str">
        <f aca="false">IF(B116="","",IFERROR(INDEX(Products!$B:$B,MATCH(B116,Products!$A:$A,0)),"ID not found"))</f>
        <v/>
      </c>
      <c r="E116" s="30"/>
      <c r="F116" s="30"/>
      <c r="G116" s="30"/>
      <c r="H116" s="30"/>
    </row>
    <row r="117" customFormat="false" ht="15" hidden="false" customHeight="false" outlineLevel="0" collapsed="false">
      <c r="A117" s="29"/>
      <c r="B117" s="29"/>
      <c r="C117" s="20" t="str">
        <f aca="false">IF(A117="","",IFERROR(INDEX(Metrics!$C:$C,MATCH(A117,Metrics!$A:$A,0)),"ID not found"))</f>
        <v/>
      </c>
      <c r="D117" s="20" t="str">
        <f aca="false">IF(B117="","",IFERROR(INDEX(Products!$B:$B,MATCH(B117,Products!$A:$A,0)),"ID not found"))</f>
        <v/>
      </c>
      <c r="E117" s="30"/>
      <c r="F117" s="30"/>
      <c r="G117" s="30"/>
      <c r="H117" s="30"/>
    </row>
    <row r="118" customFormat="false" ht="15" hidden="false" customHeight="false" outlineLevel="0" collapsed="false">
      <c r="A118" s="29"/>
      <c r="B118" s="29"/>
      <c r="C118" s="20" t="str">
        <f aca="false">IF(A118="","",IFERROR(INDEX(Metrics!$C:$C,MATCH(A118,Metrics!$A:$A,0)),"ID not found"))</f>
        <v/>
      </c>
      <c r="D118" s="20" t="str">
        <f aca="false">IF(B118="","",IFERROR(INDEX(Products!$B:$B,MATCH(B118,Products!$A:$A,0)),"ID not found"))</f>
        <v/>
      </c>
      <c r="E118" s="30"/>
      <c r="F118" s="30"/>
      <c r="G118" s="30"/>
      <c r="H118" s="30"/>
    </row>
    <row r="119" customFormat="false" ht="15" hidden="false" customHeight="false" outlineLevel="0" collapsed="false">
      <c r="A119" s="29"/>
      <c r="B119" s="29"/>
      <c r="C119" s="20" t="str">
        <f aca="false">IF(A119="","",IFERROR(INDEX(Metrics!$C:$C,MATCH(A119,Metrics!$A:$A,0)),"ID not found"))</f>
        <v/>
      </c>
      <c r="D119" s="20" t="str">
        <f aca="false">IF(B119="","",IFERROR(INDEX(Products!$B:$B,MATCH(B119,Products!$A:$A,0)),"ID not found"))</f>
        <v/>
      </c>
      <c r="E119" s="30"/>
      <c r="F119" s="30"/>
      <c r="G119" s="30"/>
      <c r="H119" s="30"/>
    </row>
    <row r="120" customFormat="false" ht="15" hidden="false" customHeight="false" outlineLevel="0" collapsed="false">
      <c r="A120" s="29"/>
      <c r="B120" s="29"/>
      <c r="C120" s="20" t="str">
        <f aca="false">IF(A120="","",IFERROR(INDEX(Metrics!$C:$C,MATCH(A120,Metrics!$A:$A,0)),"ID not found"))</f>
        <v/>
      </c>
      <c r="D120" s="20" t="str">
        <f aca="false">IF(B120="","",IFERROR(INDEX(Products!$B:$B,MATCH(B120,Products!$A:$A,0)),"ID not found"))</f>
        <v/>
      </c>
      <c r="E120" s="30"/>
      <c r="F120" s="30"/>
      <c r="G120" s="30"/>
      <c r="H120" s="30"/>
    </row>
    <row r="121" customFormat="false" ht="15" hidden="false" customHeight="false" outlineLevel="0" collapsed="false">
      <c r="A121" s="29"/>
      <c r="B121" s="29"/>
      <c r="C121" s="20" t="str">
        <f aca="false">IF(A121="","",IFERROR(INDEX(Metrics!$C:$C,MATCH(A121,Metrics!$A:$A,0)),"ID not found"))</f>
        <v/>
      </c>
      <c r="D121" s="20" t="str">
        <f aca="false">IF(B121="","",IFERROR(INDEX(Products!$B:$B,MATCH(B121,Products!$A:$A,0)),"ID not found"))</f>
        <v/>
      </c>
      <c r="E121" s="30"/>
      <c r="F121" s="30"/>
      <c r="G121" s="30"/>
      <c r="H121" s="30"/>
    </row>
    <row r="122" customFormat="false" ht="15" hidden="false" customHeight="false" outlineLevel="0" collapsed="false">
      <c r="A122" s="29"/>
      <c r="B122" s="29"/>
      <c r="C122" s="20" t="str">
        <f aca="false">IF(A122="","",IFERROR(INDEX(Metrics!$C:$C,MATCH(A122,Metrics!$A:$A,0)),"ID not found"))</f>
        <v/>
      </c>
      <c r="D122" s="20" t="str">
        <f aca="false">IF(B122="","",IFERROR(INDEX(Products!$B:$B,MATCH(B122,Products!$A:$A,0)),"ID not found"))</f>
        <v/>
      </c>
      <c r="E122" s="30"/>
      <c r="F122" s="30"/>
      <c r="G122" s="30"/>
      <c r="H122" s="30"/>
    </row>
    <row r="123" customFormat="false" ht="15" hidden="false" customHeight="false" outlineLevel="0" collapsed="false">
      <c r="A123" s="29"/>
      <c r="B123" s="29"/>
      <c r="C123" s="20" t="str">
        <f aca="false">IF(A123="","",IFERROR(INDEX(Metrics!$C:$C,MATCH(A123,Metrics!$A:$A,0)),"ID not found"))</f>
        <v/>
      </c>
      <c r="D123" s="20" t="str">
        <f aca="false">IF(B123="","",IFERROR(INDEX(Products!$B:$B,MATCH(B123,Products!$A:$A,0)),"ID not found"))</f>
        <v/>
      </c>
      <c r="E123" s="30"/>
      <c r="F123" s="30"/>
      <c r="G123" s="30"/>
      <c r="H123" s="30"/>
    </row>
    <row r="124" customFormat="false" ht="15" hidden="false" customHeight="false" outlineLevel="0" collapsed="false">
      <c r="A124" s="29"/>
      <c r="B124" s="29"/>
      <c r="C124" s="20" t="str">
        <f aca="false">IF(A124="","",IFERROR(INDEX(Metrics!$C:$C,MATCH(A124,Metrics!$A:$A,0)),"ID not found"))</f>
        <v/>
      </c>
      <c r="D124" s="20" t="str">
        <f aca="false">IF(B124="","",IFERROR(INDEX(Products!$B:$B,MATCH(B124,Products!$A:$A,0)),"ID not found"))</f>
        <v/>
      </c>
      <c r="E124" s="30"/>
      <c r="F124" s="30"/>
      <c r="G124" s="30"/>
      <c r="H124" s="30"/>
    </row>
    <row r="125" customFormat="false" ht="15" hidden="false" customHeight="false" outlineLevel="0" collapsed="false">
      <c r="A125" s="29"/>
      <c r="B125" s="29"/>
      <c r="C125" s="20" t="str">
        <f aca="false">IF(A125="","",IFERROR(INDEX(Metrics!$C:$C,MATCH(A125,Metrics!$A:$A,0)),"ID not found"))</f>
        <v/>
      </c>
      <c r="D125" s="20" t="str">
        <f aca="false">IF(B125="","",IFERROR(INDEX(Products!$B:$B,MATCH(B125,Products!$A:$A,0)),"ID not found"))</f>
        <v/>
      </c>
      <c r="E125" s="30"/>
      <c r="F125" s="30"/>
      <c r="G125" s="30"/>
      <c r="H125" s="30"/>
    </row>
    <row r="126" customFormat="false" ht="15" hidden="false" customHeight="false" outlineLevel="0" collapsed="false">
      <c r="A126" s="29"/>
      <c r="B126" s="29"/>
      <c r="C126" s="20" t="str">
        <f aca="false">IF(A126="","",IFERROR(INDEX(Metrics!$C:$C,MATCH(A126,Metrics!$A:$A,0)),"ID not found"))</f>
        <v/>
      </c>
      <c r="D126" s="20" t="str">
        <f aca="false">IF(B126="","",IFERROR(INDEX(Products!$B:$B,MATCH(B126,Products!$A:$A,0)),"ID not found"))</f>
        <v/>
      </c>
      <c r="E126" s="30"/>
      <c r="F126" s="30"/>
      <c r="G126" s="30"/>
      <c r="H126" s="30"/>
    </row>
    <row r="127" customFormat="false" ht="15" hidden="false" customHeight="false" outlineLevel="0" collapsed="false">
      <c r="A127" s="29"/>
      <c r="B127" s="29"/>
      <c r="C127" s="20" t="str">
        <f aca="false">IF(A127="","",IFERROR(INDEX(Metrics!$C:$C,MATCH(A127,Metrics!$A:$A,0)),"ID not found"))</f>
        <v/>
      </c>
      <c r="D127" s="20" t="str">
        <f aca="false">IF(B127="","",IFERROR(INDEX(Products!$B:$B,MATCH(B127,Products!$A:$A,0)),"ID not found"))</f>
        <v/>
      </c>
      <c r="E127" s="30"/>
      <c r="F127" s="30"/>
      <c r="G127" s="30"/>
      <c r="H127" s="30"/>
    </row>
    <row r="128" customFormat="false" ht="15" hidden="false" customHeight="false" outlineLevel="0" collapsed="false">
      <c r="A128" s="29"/>
      <c r="B128" s="29"/>
      <c r="C128" s="20" t="str">
        <f aca="false">IF(A128="","",IFERROR(INDEX(Metrics!$C:$C,MATCH(A128,Metrics!$A:$A,0)),"ID not found"))</f>
        <v/>
      </c>
      <c r="D128" s="20" t="str">
        <f aca="false">IF(B128="","",IFERROR(INDEX(Products!$B:$B,MATCH(B128,Products!$A:$A,0)),"ID not found"))</f>
        <v/>
      </c>
      <c r="E128" s="30"/>
      <c r="F128" s="30"/>
      <c r="G128" s="30"/>
      <c r="H128" s="30"/>
    </row>
    <row r="129" customFormat="false" ht="15" hidden="false" customHeight="false" outlineLevel="0" collapsed="false">
      <c r="A129" s="29"/>
      <c r="B129" s="29"/>
      <c r="C129" s="20" t="str">
        <f aca="false">IF(A129="","",IFERROR(INDEX(Metrics!$C:$C,MATCH(A129,Metrics!$A:$A,0)),"ID not found"))</f>
        <v/>
      </c>
      <c r="D129" s="20" t="str">
        <f aca="false">IF(B129="","",IFERROR(INDEX(Products!$B:$B,MATCH(B129,Products!$A:$A,0)),"ID not found"))</f>
        <v/>
      </c>
      <c r="E129" s="30"/>
      <c r="F129" s="30"/>
      <c r="G129" s="30"/>
      <c r="H129" s="30"/>
    </row>
    <row r="130" customFormat="false" ht="15" hidden="false" customHeight="false" outlineLevel="0" collapsed="false">
      <c r="A130" s="29"/>
      <c r="B130" s="29"/>
      <c r="C130" s="20" t="str">
        <f aca="false">IF(A130="","",IFERROR(INDEX(Metrics!$C:$C,MATCH(A130,Metrics!$A:$A,0)),"ID not found"))</f>
        <v/>
      </c>
      <c r="D130" s="20" t="str">
        <f aca="false">IF(B130="","",IFERROR(INDEX(Products!$B:$B,MATCH(B130,Products!$A:$A,0)),"ID not found"))</f>
        <v/>
      </c>
      <c r="E130" s="30"/>
      <c r="F130" s="30"/>
      <c r="G130" s="30"/>
      <c r="H130" s="30"/>
    </row>
    <row r="131" customFormat="false" ht="15" hidden="false" customHeight="false" outlineLevel="0" collapsed="false">
      <c r="A131" s="29"/>
      <c r="B131" s="29"/>
      <c r="C131" s="20" t="str">
        <f aca="false">IF(A131="","",IFERROR(INDEX(Metrics!$C:$C,MATCH(A131,Metrics!$A:$A,0)),"ID not found"))</f>
        <v/>
      </c>
      <c r="D131" s="20" t="str">
        <f aca="false">IF(B131="","",IFERROR(INDEX(Products!$B:$B,MATCH(B131,Products!$A:$A,0)),"ID not found"))</f>
        <v/>
      </c>
      <c r="E131" s="30"/>
      <c r="F131" s="30"/>
      <c r="G131" s="30"/>
      <c r="H131" s="30"/>
    </row>
    <row r="132" customFormat="false" ht="15" hidden="false" customHeight="false" outlineLevel="0" collapsed="false">
      <c r="A132" s="29"/>
      <c r="B132" s="29"/>
      <c r="C132" s="20" t="str">
        <f aca="false">IF(A132="","",IFERROR(INDEX(Metrics!$C:$C,MATCH(A132,Metrics!$A:$A,0)),"ID not found"))</f>
        <v/>
      </c>
      <c r="D132" s="20" t="str">
        <f aca="false">IF(B132="","",IFERROR(INDEX(Products!$B:$B,MATCH(B132,Products!$A:$A,0)),"ID not found"))</f>
        <v/>
      </c>
      <c r="E132" s="30"/>
      <c r="F132" s="30"/>
      <c r="G132" s="30"/>
      <c r="H132" s="30"/>
    </row>
    <row r="133" customFormat="false" ht="15" hidden="false" customHeight="false" outlineLevel="0" collapsed="false">
      <c r="A133" s="29"/>
      <c r="B133" s="29"/>
      <c r="C133" s="20" t="str">
        <f aca="false">IF(A133="","",IFERROR(INDEX(Metrics!$C:$C,MATCH(A133,Metrics!$A:$A,0)),"ID not found"))</f>
        <v/>
      </c>
      <c r="D133" s="20" t="str">
        <f aca="false">IF(B133="","",IFERROR(INDEX(Products!$B:$B,MATCH(B133,Products!$A:$A,0)),"ID not found"))</f>
        <v/>
      </c>
      <c r="E133" s="30"/>
      <c r="F133" s="30"/>
      <c r="G133" s="30"/>
      <c r="H133" s="30"/>
    </row>
    <row r="134" customFormat="false" ht="15" hidden="false" customHeight="false" outlineLevel="0" collapsed="false">
      <c r="A134" s="29"/>
      <c r="B134" s="29"/>
      <c r="C134" s="20" t="str">
        <f aca="false">IF(A134="","",IFERROR(INDEX(Metrics!$C:$C,MATCH(A134,Metrics!$A:$A,0)),"ID not found"))</f>
        <v/>
      </c>
      <c r="D134" s="20" t="str">
        <f aca="false">IF(B134="","",IFERROR(INDEX(Products!$B:$B,MATCH(B134,Products!$A:$A,0)),"ID not found"))</f>
        <v/>
      </c>
      <c r="E134" s="30"/>
      <c r="F134" s="30"/>
      <c r="G134" s="30"/>
      <c r="H134" s="30"/>
    </row>
    <row r="135" customFormat="false" ht="15" hidden="false" customHeight="false" outlineLevel="0" collapsed="false">
      <c r="A135" s="29"/>
      <c r="B135" s="29"/>
      <c r="C135" s="20" t="str">
        <f aca="false">IF(A135="","",IFERROR(INDEX(Metrics!$C:$C,MATCH(A135,Metrics!$A:$A,0)),"ID not found"))</f>
        <v/>
      </c>
      <c r="D135" s="20" t="str">
        <f aca="false">IF(B135="","",IFERROR(INDEX(Products!$B:$B,MATCH(B135,Products!$A:$A,0)),"ID not found"))</f>
        <v/>
      </c>
      <c r="E135" s="30"/>
      <c r="F135" s="30"/>
      <c r="G135" s="30"/>
      <c r="H135" s="30"/>
    </row>
    <row r="136" customFormat="false" ht="15" hidden="false" customHeight="false" outlineLevel="0" collapsed="false">
      <c r="A136" s="29"/>
      <c r="B136" s="29"/>
      <c r="C136" s="20" t="str">
        <f aca="false">IF(A136="","",IFERROR(INDEX(Metrics!$C:$C,MATCH(A136,Metrics!$A:$A,0)),"ID not found"))</f>
        <v/>
      </c>
      <c r="D136" s="20" t="str">
        <f aca="false">IF(B136="","",IFERROR(INDEX(Products!$B:$B,MATCH(B136,Products!$A:$A,0)),"ID not found"))</f>
        <v/>
      </c>
      <c r="E136" s="30"/>
      <c r="F136" s="30"/>
      <c r="G136" s="30"/>
      <c r="H136" s="30"/>
    </row>
    <row r="137" customFormat="false" ht="15" hidden="false" customHeight="false" outlineLevel="0" collapsed="false">
      <c r="A137" s="29"/>
      <c r="B137" s="29"/>
      <c r="C137" s="20" t="str">
        <f aca="false">IF(A137="","",IFERROR(INDEX(Metrics!$C:$C,MATCH(A137,Metrics!$A:$A,0)),"ID not found"))</f>
        <v/>
      </c>
      <c r="D137" s="20" t="str">
        <f aca="false">IF(B137="","",IFERROR(INDEX(Products!$B:$B,MATCH(B137,Products!$A:$A,0)),"ID not found"))</f>
        <v/>
      </c>
      <c r="E137" s="30"/>
      <c r="F137" s="30"/>
      <c r="G137" s="30"/>
      <c r="H137" s="30"/>
    </row>
    <row r="138" customFormat="false" ht="15" hidden="false" customHeight="false" outlineLevel="0" collapsed="false">
      <c r="A138" s="29"/>
      <c r="B138" s="29"/>
      <c r="C138" s="20" t="str">
        <f aca="false">IF(A138="","",IFERROR(INDEX(Metrics!$C:$C,MATCH(A138,Metrics!$A:$A,0)),"ID not found"))</f>
        <v/>
      </c>
      <c r="D138" s="20" t="str">
        <f aca="false">IF(B138="","",IFERROR(INDEX(Products!$B:$B,MATCH(B138,Products!$A:$A,0)),"ID not found"))</f>
        <v/>
      </c>
      <c r="E138" s="30"/>
      <c r="F138" s="30"/>
      <c r="G138" s="30"/>
      <c r="H138" s="30"/>
    </row>
    <row r="139" customFormat="false" ht="15" hidden="false" customHeight="false" outlineLevel="0" collapsed="false">
      <c r="A139" s="29"/>
      <c r="B139" s="29"/>
      <c r="C139" s="20" t="str">
        <f aca="false">IF(A139="","",IFERROR(INDEX(Metrics!$C:$C,MATCH(A139,Metrics!$A:$A,0)),"ID not found"))</f>
        <v/>
      </c>
      <c r="D139" s="20" t="str">
        <f aca="false">IF(B139="","",IFERROR(INDEX(Products!$B:$B,MATCH(B139,Products!$A:$A,0)),"ID not found"))</f>
        <v/>
      </c>
      <c r="E139" s="30"/>
      <c r="F139" s="30"/>
      <c r="G139" s="30"/>
      <c r="H139" s="30"/>
    </row>
    <row r="140" customFormat="false" ht="15" hidden="false" customHeight="false" outlineLevel="0" collapsed="false">
      <c r="A140" s="29"/>
      <c r="B140" s="29"/>
      <c r="C140" s="20" t="str">
        <f aca="false">IF(A140="","",IFERROR(INDEX(Metrics!$C:$C,MATCH(A140,Metrics!$A:$A,0)),"ID not found"))</f>
        <v/>
      </c>
      <c r="D140" s="20" t="str">
        <f aca="false">IF(B140="","",IFERROR(INDEX(Products!$B:$B,MATCH(B140,Products!$A:$A,0)),"ID not found"))</f>
        <v/>
      </c>
      <c r="E140" s="30"/>
      <c r="F140" s="30"/>
      <c r="G140" s="30"/>
      <c r="H140" s="30"/>
    </row>
    <row r="141" customFormat="false" ht="15" hidden="false" customHeight="false" outlineLevel="0" collapsed="false">
      <c r="A141" s="29"/>
      <c r="B141" s="29"/>
      <c r="C141" s="20" t="str">
        <f aca="false">IF(A141="","",IFERROR(INDEX(Metrics!$C:$C,MATCH(A141,Metrics!$A:$A,0)),"ID not found"))</f>
        <v/>
      </c>
      <c r="D141" s="20" t="str">
        <f aca="false">IF(B141="","",IFERROR(INDEX(Products!$B:$B,MATCH(B141,Products!$A:$A,0)),"ID not found"))</f>
        <v/>
      </c>
      <c r="E141" s="30"/>
      <c r="F141" s="30"/>
      <c r="G141" s="30"/>
      <c r="H141" s="30"/>
    </row>
    <row r="142" customFormat="false" ht="15" hidden="false" customHeight="false" outlineLevel="0" collapsed="false">
      <c r="A142" s="29"/>
      <c r="B142" s="29"/>
      <c r="C142" s="20" t="str">
        <f aca="false">IF(A142="","",IFERROR(INDEX(Metrics!$C:$C,MATCH(A142,Metrics!$A:$A,0)),"ID not found"))</f>
        <v/>
      </c>
      <c r="D142" s="20" t="str">
        <f aca="false">IF(B142="","",IFERROR(INDEX(Products!$B:$B,MATCH(B142,Products!$A:$A,0)),"ID not found"))</f>
        <v/>
      </c>
      <c r="E142" s="30"/>
      <c r="F142" s="30"/>
      <c r="G142" s="30"/>
      <c r="H142" s="30"/>
    </row>
    <row r="143" customFormat="false" ht="15" hidden="false" customHeight="false" outlineLevel="0" collapsed="false">
      <c r="A143" s="29"/>
      <c r="B143" s="29"/>
      <c r="C143" s="20" t="str">
        <f aca="false">IF(A143="","",IFERROR(INDEX(Metrics!$C:$C,MATCH(A143,Metrics!$A:$A,0)),"ID not found"))</f>
        <v/>
      </c>
      <c r="D143" s="20" t="str">
        <f aca="false">IF(B143="","",IFERROR(INDEX(Products!$B:$B,MATCH(B143,Products!$A:$A,0)),"ID not found"))</f>
        <v/>
      </c>
      <c r="E143" s="30"/>
      <c r="F143" s="30"/>
      <c r="G143" s="30"/>
      <c r="H143" s="30"/>
    </row>
    <row r="144" customFormat="false" ht="15" hidden="false" customHeight="false" outlineLevel="0" collapsed="false">
      <c r="A144" s="29"/>
      <c r="B144" s="29"/>
      <c r="C144" s="20" t="str">
        <f aca="false">IF(A144="","",IFERROR(INDEX(Metrics!$C:$C,MATCH(A144,Metrics!$A:$A,0)),"ID not found"))</f>
        <v/>
      </c>
      <c r="D144" s="20" t="str">
        <f aca="false">IF(B144="","",IFERROR(INDEX(Products!$B:$B,MATCH(B144,Products!$A:$A,0)),"ID not found"))</f>
        <v/>
      </c>
      <c r="E144" s="30"/>
      <c r="F144" s="30"/>
      <c r="G144" s="30"/>
      <c r="H144" s="30"/>
    </row>
    <row r="145" customFormat="false" ht="15" hidden="false" customHeight="false" outlineLevel="0" collapsed="false">
      <c r="A145" s="29"/>
      <c r="B145" s="29"/>
      <c r="C145" s="20" t="str">
        <f aca="false">IF(A145="","",IFERROR(INDEX(Metrics!$C:$C,MATCH(A145,Metrics!$A:$A,0)),"ID not found"))</f>
        <v/>
      </c>
      <c r="D145" s="20" t="str">
        <f aca="false">IF(B145="","",IFERROR(INDEX(Products!$B:$B,MATCH(B145,Products!$A:$A,0)),"ID not found"))</f>
        <v/>
      </c>
      <c r="E145" s="30"/>
      <c r="F145" s="30"/>
      <c r="G145" s="30"/>
      <c r="H145" s="30"/>
    </row>
    <row r="146" customFormat="false" ht="15" hidden="false" customHeight="false" outlineLevel="0" collapsed="false">
      <c r="A146" s="29"/>
      <c r="B146" s="29"/>
      <c r="C146" s="20" t="str">
        <f aca="false">IF(A146="","",IFERROR(INDEX(Metrics!$C:$C,MATCH(A146,Metrics!$A:$A,0)),"ID not found"))</f>
        <v/>
      </c>
      <c r="D146" s="20" t="str">
        <f aca="false">IF(B146="","",IFERROR(INDEX(Products!$B:$B,MATCH(B146,Products!$A:$A,0)),"ID not found"))</f>
        <v/>
      </c>
      <c r="E146" s="30"/>
      <c r="F146" s="30"/>
      <c r="G146" s="30"/>
      <c r="H146" s="30"/>
    </row>
    <row r="147" customFormat="false" ht="15" hidden="false" customHeight="false" outlineLevel="0" collapsed="false">
      <c r="A147" s="29"/>
      <c r="B147" s="29"/>
      <c r="C147" s="20" t="str">
        <f aca="false">IF(A147="","",IFERROR(INDEX(Metrics!$C:$C,MATCH(A147,Metrics!$A:$A,0)),"ID not found"))</f>
        <v/>
      </c>
      <c r="D147" s="20" t="str">
        <f aca="false">IF(B147="","",IFERROR(INDEX(Products!$B:$B,MATCH(B147,Products!$A:$A,0)),"ID not found"))</f>
        <v/>
      </c>
      <c r="E147" s="30"/>
      <c r="F147" s="30"/>
      <c r="G147" s="30"/>
      <c r="H147" s="30"/>
    </row>
    <row r="148" customFormat="false" ht="15" hidden="false" customHeight="false" outlineLevel="0" collapsed="false">
      <c r="A148" s="29"/>
      <c r="B148" s="29"/>
      <c r="C148" s="20" t="str">
        <f aca="false">IF(A148="","",IFERROR(INDEX(Metrics!$C:$C,MATCH(A148,Metrics!$A:$A,0)),"ID not found"))</f>
        <v/>
      </c>
      <c r="D148" s="20" t="str">
        <f aca="false">IF(B148="","",IFERROR(INDEX(Products!$B:$B,MATCH(B148,Products!$A:$A,0)),"ID not found"))</f>
        <v/>
      </c>
      <c r="E148" s="30"/>
      <c r="F148" s="30"/>
      <c r="G148" s="30"/>
      <c r="H148" s="30"/>
    </row>
    <row r="149" customFormat="false" ht="15" hidden="false" customHeight="false" outlineLevel="0" collapsed="false">
      <c r="A149" s="29"/>
      <c r="B149" s="29"/>
      <c r="C149" s="20" t="str">
        <f aca="false">IF(A149="","",IFERROR(INDEX(Metrics!$C:$C,MATCH(A149,Metrics!$A:$A,0)),"ID not found"))</f>
        <v/>
      </c>
      <c r="D149" s="20" t="str">
        <f aca="false">IF(B149="","",IFERROR(INDEX(Products!$B:$B,MATCH(B149,Products!$A:$A,0)),"ID not found"))</f>
        <v/>
      </c>
      <c r="E149" s="30"/>
      <c r="F149" s="30"/>
      <c r="G149" s="30"/>
      <c r="H149" s="30"/>
    </row>
    <row r="150" customFormat="false" ht="15" hidden="false" customHeight="false" outlineLevel="0" collapsed="false">
      <c r="A150" s="29"/>
      <c r="B150" s="29"/>
      <c r="C150" s="20" t="str">
        <f aca="false">IF(A150="","",IFERROR(INDEX(Metrics!$C:$C,MATCH(A150,Metrics!$A:$A,0)),"ID not found"))</f>
        <v/>
      </c>
      <c r="D150" s="20" t="str">
        <f aca="false">IF(B150="","",IFERROR(INDEX(Products!$B:$B,MATCH(B150,Products!$A:$A,0)),"ID not found"))</f>
        <v/>
      </c>
      <c r="E150" s="30"/>
      <c r="F150" s="30"/>
      <c r="G150" s="30"/>
      <c r="H150" s="30"/>
    </row>
    <row r="151" customFormat="false" ht="15" hidden="false" customHeight="false" outlineLevel="0" collapsed="false">
      <c r="A151" s="29"/>
      <c r="B151" s="29"/>
      <c r="C151" s="20" t="str">
        <f aca="false">IF(A151="","",IFERROR(INDEX(Metrics!$C:$C,MATCH(A151,Metrics!$A:$A,0)),"ID not found"))</f>
        <v/>
      </c>
      <c r="D151" s="20" t="str">
        <f aca="false">IF(B151="","",IFERROR(INDEX(Products!$B:$B,MATCH(B151,Products!$A:$A,0)),"ID not found"))</f>
        <v/>
      </c>
      <c r="E151" s="30"/>
      <c r="F151" s="30"/>
      <c r="G151" s="30"/>
      <c r="H151" s="30"/>
    </row>
    <row r="152" customFormat="false" ht="15" hidden="false" customHeight="false" outlineLevel="0" collapsed="false">
      <c r="A152" s="29"/>
      <c r="B152" s="29"/>
      <c r="C152" s="20" t="str">
        <f aca="false">IF(A152="","",IFERROR(INDEX(Metrics!$C:$C,MATCH(A152,Metrics!$A:$A,0)),"ID not found"))</f>
        <v/>
      </c>
      <c r="D152" s="20" t="str">
        <f aca="false">IF(B152="","",IFERROR(INDEX(Products!$B:$B,MATCH(B152,Products!$A:$A,0)),"ID not found"))</f>
        <v/>
      </c>
      <c r="E152" s="30"/>
      <c r="F152" s="30"/>
      <c r="G152" s="30"/>
      <c r="H152" s="30"/>
    </row>
    <row r="153" customFormat="false" ht="15" hidden="false" customHeight="false" outlineLevel="0" collapsed="false">
      <c r="A153" s="29"/>
      <c r="B153" s="29"/>
      <c r="C153" s="20" t="str">
        <f aca="false">IF(A153="","",IFERROR(INDEX(Metrics!$C:$C,MATCH(A153,Metrics!$A:$A,0)),"ID not found"))</f>
        <v/>
      </c>
      <c r="D153" s="20" t="str">
        <f aca="false">IF(B153="","",IFERROR(INDEX(Products!$B:$B,MATCH(B153,Products!$A:$A,0)),"ID not found"))</f>
        <v/>
      </c>
      <c r="E153" s="30"/>
      <c r="F153" s="30"/>
      <c r="G153" s="30"/>
      <c r="H153" s="30"/>
    </row>
    <row r="154" customFormat="false" ht="15" hidden="false" customHeight="false" outlineLevel="0" collapsed="false">
      <c r="A154" s="29"/>
      <c r="B154" s="29"/>
      <c r="C154" s="20" t="str">
        <f aca="false">IF(A154="","",IFERROR(INDEX(Metrics!$C:$C,MATCH(A154,Metrics!$A:$A,0)),"ID not found"))</f>
        <v/>
      </c>
      <c r="D154" s="20" t="str">
        <f aca="false">IF(B154="","",IFERROR(INDEX(Products!$B:$B,MATCH(B154,Products!$A:$A,0)),"ID not found"))</f>
        <v/>
      </c>
      <c r="E154" s="30"/>
      <c r="F154" s="30"/>
      <c r="G154" s="30"/>
      <c r="H154" s="30"/>
    </row>
    <row r="155" customFormat="false" ht="15" hidden="false" customHeight="false" outlineLevel="0" collapsed="false">
      <c r="A155" s="29"/>
      <c r="B155" s="29"/>
      <c r="C155" s="20" t="str">
        <f aca="false">IF(A155="","",IFERROR(INDEX(Metrics!$C:$C,MATCH(A155,Metrics!$A:$A,0)),"ID not found"))</f>
        <v/>
      </c>
      <c r="D155" s="20" t="str">
        <f aca="false">IF(B155="","",IFERROR(INDEX(Products!$B:$B,MATCH(B155,Products!$A:$A,0)),"ID not found"))</f>
        <v/>
      </c>
      <c r="E155" s="30"/>
      <c r="F155" s="30"/>
      <c r="G155" s="30"/>
      <c r="H155" s="30"/>
    </row>
    <row r="156" customFormat="false" ht="15" hidden="false" customHeight="false" outlineLevel="0" collapsed="false">
      <c r="A156" s="29"/>
      <c r="B156" s="29"/>
      <c r="C156" s="20" t="str">
        <f aca="false">IF(A156="","",IFERROR(INDEX(Metrics!$C:$C,MATCH(A156,Metrics!$A:$A,0)),"ID not found"))</f>
        <v/>
      </c>
      <c r="D156" s="20" t="str">
        <f aca="false">IF(B156="","",IFERROR(INDEX(Products!$B:$B,MATCH(B156,Products!$A:$A,0)),"ID not found"))</f>
        <v/>
      </c>
      <c r="E156" s="30"/>
      <c r="F156" s="30"/>
      <c r="G156" s="30"/>
      <c r="H156" s="30"/>
    </row>
    <row r="157" customFormat="false" ht="15" hidden="false" customHeight="false" outlineLevel="0" collapsed="false">
      <c r="A157" s="29"/>
      <c r="B157" s="29"/>
      <c r="C157" s="20" t="str">
        <f aca="false">IF(A157="","",IFERROR(INDEX(Metrics!$C:$C,MATCH(A157,Metrics!$A:$A,0)),"ID not found"))</f>
        <v/>
      </c>
      <c r="D157" s="20" t="str">
        <f aca="false">IF(B157="","",IFERROR(INDEX(Products!$B:$B,MATCH(B157,Products!$A:$A,0)),"ID not found"))</f>
        <v/>
      </c>
      <c r="E157" s="30"/>
      <c r="F157" s="30"/>
      <c r="G157" s="30"/>
      <c r="H157" s="30"/>
    </row>
    <row r="158" customFormat="false" ht="15" hidden="false" customHeight="false" outlineLevel="0" collapsed="false">
      <c r="A158" s="29"/>
      <c r="B158" s="29"/>
      <c r="C158" s="20" t="str">
        <f aca="false">IF(A158="","",IFERROR(INDEX(Metrics!$C:$C,MATCH(A158,Metrics!$A:$A,0)),"ID not found"))</f>
        <v/>
      </c>
      <c r="D158" s="20" t="str">
        <f aca="false">IF(B158="","",IFERROR(INDEX(Products!$B:$B,MATCH(B158,Products!$A:$A,0)),"ID not found"))</f>
        <v/>
      </c>
      <c r="E158" s="30"/>
      <c r="F158" s="30"/>
      <c r="G158" s="30"/>
      <c r="H158" s="30"/>
    </row>
    <row r="159" customFormat="false" ht="15" hidden="false" customHeight="false" outlineLevel="0" collapsed="false">
      <c r="A159" s="29"/>
      <c r="B159" s="29"/>
      <c r="C159" s="20" t="str">
        <f aca="false">IF(A159="","",IFERROR(INDEX(Metrics!$C:$C,MATCH(A159,Metrics!$A:$A,0)),"ID not found"))</f>
        <v/>
      </c>
      <c r="D159" s="20" t="str">
        <f aca="false">IF(B159="","",IFERROR(INDEX(Products!$B:$B,MATCH(B159,Products!$A:$A,0)),"ID not found"))</f>
        <v/>
      </c>
      <c r="E159" s="30"/>
      <c r="F159" s="30"/>
      <c r="G159" s="30"/>
      <c r="H159" s="30"/>
    </row>
    <row r="160" customFormat="false" ht="15" hidden="false" customHeight="false" outlineLevel="0" collapsed="false">
      <c r="A160" s="29"/>
      <c r="B160" s="29"/>
      <c r="C160" s="20" t="str">
        <f aca="false">IF(A160="","",IFERROR(INDEX(Metrics!$C:$C,MATCH(A160,Metrics!$A:$A,0)),"ID not found"))</f>
        <v/>
      </c>
      <c r="D160" s="20" t="str">
        <f aca="false">IF(B160="","",IFERROR(INDEX(Products!$B:$B,MATCH(B160,Products!$A:$A,0)),"ID not found"))</f>
        <v/>
      </c>
      <c r="E160" s="30"/>
      <c r="F160" s="30"/>
      <c r="G160" s="30"/>
      <c r="H160" s="30"/>
    </row>
    <row r="161" customFormat="false" ht="15" hidden="false" customHeight="false" outlineLevel="0" collapsed="false">
      <c r="A161" s="29"/>
      <c r="B161" s="29"/>
      <c r="C161" s="20" t="str">
        <f aca="false">IF(A161="","",IFERROR(INDEX(Metrics!$C:$C,MATCH(A161,Metrics!$A:$A,0)),"ID not found"))</f>
        <v/>
      </c>
      <c r="D161" s="20" t="str">
        <f aca="false">IF(B161="","",IFERROR(INDEX(Products!$B:$B,MATCH(B161,Products!$A:$A,0)),"ID not found"))</f>
        <v/>
      </c>
      <c r="E161" s="30"/>
      <c r="F161" s="30"/>
      <c r="G161" s="30"/>
      <c r="H161" s="30"/>
    </row>
    <row r="162" customFormat="false" ht="15" hidden="false" customHeight="false" outlineLevel="0" collapsed="false">
      <c r="A162" s="29"/>
      <c r="B162" s="29"/>
      <c r="C162" s="20" t="str">
        <f aca="false">IF(A162="","",IFERROR(INDEX(Metrics!$C:$C,MATCH(A162,Metrics!$A:$A,0)),"ID not found"))</f>
        <v/>
      </c>
      <c r="D162" s="20" t="str">
        <f aca="false">IF(B162="","",IFERROR(INDEX(Products!$B:$B,MATCH(B162,Products!$A:$A,0)),"ID not found"))</f>
        <v/>
      </c>
      <c r="E162" s="30"/>
      <c r="F162" s="30"/>
      <c r="G162" s="30"/>
      <c r="H162" s="30"/>
    </row>
    <row r="163" customFormat="false" ht="15" hidden="false" customHeight="false" outlineLevel="0" collapsed="false">
      <c r="A163" s="29"/>
      <c r="B163" s="29"/>
      <c r="C163" s="20" t="str">
        <f aca="false">IF(A163="","",IFERROR(INDEX(Metrics!$C:$C,MATCH(A163,Metrics!$A:$A,0)),"ID not found"))</f>
        <v/>
      </c>
      <c r="D163" s="20" t="str">
        <f aca="false">IF(B163="","",IFERROR(INDEX(Products!$B:$B,MATCH(B163,Products!$A:$A,0)),"ID not found"))</f>
        <v/>
      </c>
      <c r="E163" s="30"/>
      <c r="F163" s="30"/>
      <c r="G163" s="30"/>
      <c r="H163" s="30"/>
    </row>
    <row r="164" customFormat="false" ht="15" hidden="false" customHeight="false" outlineLevel="0" collapsed="false">
      <c r="A164" s="29"/>
      <c r="B164" s="29"/>
      <c r="C164" s="20" t="str">
        <f aca="false">IF(A164="","",IFERROR(INDEX(Metrics!$C:$C,MATCH(A164,Metrics!$A:$A,0)),"ID not found"))</f>
        <v/>
      </c>
      <c r="D164" s="20" t="str">
        <f aca="false">IF(B164="","",IFERROR(INDEX(Products!$B:$B,MATCH(B164,Products!$A:$A,0)),"ID not found"))</f>
        <v/>
      </c>
      <c r="E164" s="30"/>
      <c r="F164" s="30"/>
      <c r="G164" s="30"/>
      <c r="H164" s="30"/>
    </row>
    <row r="165" customFormat="false" ht="15" hidden="false" customHeight="false" outlineLevel="0" collapsed="false">
      <c r="A165" s="29"/>
      <c r="B165" s="29"/>
      <c r="C165" s="20" t="str">
        <f aca="false">IF(A165="","",IFERROR(INDEX(Metrics!$C:$C,MATCH(A165,Metrics!$A:$A,0)),"ID not found"))</f>
        <v/>
      </c>
      <c r="D165" s="20" t="str">
        <f aca="false">IF(B165="","",IFERROR(INDEX(Products!$B:$B,MATCH(B165,Products!$A:$A,0)),"ID not found"))</f>
        <v/>
      </c>
      <c r="E165" s="30"/>
      <c r="F165" s="30"/>
      <c r="G165" s="30"/>
      <c r="H165" s="30"/>
    </row>
    <row r="166" customFormat="false" ht="15" hidden="false" customHeight="false" outlineLevel="0" collapsed="false">
      <c r="A166" s="29"/>
      <c r="B166" s="29"/>
      <c r="C166" s="20" t="str">
        <f aca="false">IF(A166="","",IFERROR(INDEX(Metrics!$C:$C,MATCH(A166,Metrics!$A:$A,0)),"ID not found"))</f>
        <v/>
      </c>
      <c r="D166" s="20" t="str">
        <f aca="false">IF(B166="","",IFERROR(INDEX(Products!$B:$B,MATCH(B166,Products!$A:$A,0)),"ID not found"))</f>
        <v/>
      </c>
      <c r="E166" s="30"/>
      <c r="F166" s="30"/>
      <c r="G166" s="30"/>
      <c r="H166" s="30"/>
    </row>
    <row r="167" customFormat="false" ht="15" hidden="false" customHeight="false" outlineLevel="0" collapsed="false">
      <c r="A167" s="29"/>
      <c r="B167" s="29"/>
      <c r="C167" s="20" t="str">
        <f aca="false">IF(A167="","",IFERROR(INDEX(Metrics!$C:$C,MATCH(A167,Metrics!$A:$A,0)),"ID not found"))</f>
        <v/>
      </c>
      <c r="D167" s="20" t="str">
        <f aca="false">IF(B167="","",IFERROR(INDEX(Products!$B:$B,MATCH(B167,Products!$A:$A,0)),"ID not found"))</f>
        <v/>
      </c>
      <c r="E167" s="30"/>
      <c r="F167" s="30"/>
      <c r="G167" s="30"/>
      <c r="H167" s="30"/>
    </row>
    <row r="168" customFormat="false" ht="15" hidden="false" customHeight="false" outlineLevel="0" collapsed="false">
      <c r="A168" s="29"/>
      <c r="B168" s="29"/>
      <c r="C168" s="20" t="str">
        <f aca="false">IF(A168="","",IFERROR(INDEX(Metrics!$C:$C,MATCH(A168,Metrics!$A:$A,0)),"ID not found"))</f>
        <v/>
      </c>
      <c r="D168" s="20" t="str">
        <f aca="false">IF(B168="","",IFERROR(INDEX(Products!$B:$B,MATCH(B168,Products!$A:$A,0)),"ID not found"))</f>
        <v/>
      </c>
      <c r="E168" s="30"/>
      <c r="F168" s="30"/>
      <c r="G168" s="30"/>
      <c r="H168" s="30"/>
    </row>
    <row r="169" customFormat="false" ht="15" hidden="false" customHeight="false" outlineLevel="0" collapsed="false">
      <c r="A169" s="29"/>
      <c r="B169" s="29"/>
      <c r="C169" s="20" t="str">
        <f aca="false">IF(A169="","",IFERROR(INDEX(Metrics!$C:$C,MATCH(A169,Metrics!$A:$A,0)),"ID not found"))</f>
        <v/>
      </c>
      <c r="D169" s="20" t="str">
        <f aca="false">IF(B169="","",IFERROR(INDEX(Products!$B:$B,MATCH(B169,Products!$A:$A,0)),"ID not found"))</f>
        <v/>
      </c>
      <c r="E169" s="30"/>
      <c r="F169" s="30"/>
      <c r="G169" s="30"/>
      <c r="H169" s="30"/>
    </row>
    <row r="170" customFormat="false" ht="15" hidden="false" customHeight="false" outlineLevel="0" collapsed="false">
      <c r="A170" s="29"/>
      <c r="B170" s="29"/>
      <c r="C170" s="20" t="str">
        <f aca="false">IF(A170="","",IFERROR(INDEX(Metrics!$C:$C,MATCH(A170,Metrics!$A:$A,0)),"ID not found"))</f>
        <v/>
      </c>
      <c r="D170" s="20" t="str">
        <f aca="false">IF(B170="","",IFERROR(INDEX(Products!$B:$B,MATCH(B170,Products!$A:$A,0)),"ID not found"))</f>
        <v/>
      </c>
      <c r="E170" s="30"/>
      <c r="F170" s="30"/>
      <c r="G170" s="30"/>
      <c r="H170" s="30"/>
    </row>
    <row r="171" customFormat="false" ht="15" hidden="false" customHeight="false" outlineLevel="0" collapsed="false">
      <c r="A171" s="29"/>
      <c r="B171" s="29"/>
      <c r="C171" s="20" t="str">
        <f aca="false">IF(A171="","",IFERROR(INDEX(Metrics!$C:$C,MATCH(A171,Metrics!$A:$A,0)),"ID not found"))</f>
        <v/>
      </c>
      <c r="D171" s="20" t="str">
        <f aca="false">IF(B171="","",IFERROR(INDEX(Products!$B:$B,MATCH(B171,Products!$A:$A,0)),"ID not found"))</f>
        <v/>
      </c>
      <c r="E171" s="30"/>
      <c r="F171" s="30"/>
      <c r="G171" s="30"/>
      <c r="H171" s="30"/>
    </row>
    <row r="172" customFormat="false" ht="15" hidden="false" customHeight="false" outlineLevel="0" collapsed="false">
      <c r="A172" s="29"/>
      <c r="B172" s="29"/>
      <c r="C172" s="20" t="str">
        <f aca="false">IF(A172="","",IFERROR(INDEX(Metrics!$C:$C,MATCH(A172,Metrics!$A:$A,0)),"ID not found"))</f>
        <v/>
      </c>
      <c r="D172" s="20" t="str">
        <f aca="false">IF(B172="","",IFERROR(INDEX(Products!$B:$B,MATCH(B172,Products!$A:$A,0)),"ID not found"))</f>
        <v/>
      </c>
      <c r="E172" s="30"/>
      <c r="F172" s="30"/>
      <c r="G172" s="30"/>
      <c r="H172" s="30"/>
    </row>
    <row r="173" customFormat="false" ht="15" hidden="false" customHeight="false" outlineLevel="0" collapsed="false">
      <c r="A173" s="29"/>
      <c r="B173" s="29"/>
      <c r="C173" s="20" t="str">
        <f aca="false">IF(A173="","",IFERROR(INDEX(Metrics!$C:$C,MATCH(A173,Metrics!$A:$A,0)),"ID not found"))</f>
        <v/>
      </c>
      <c r="D173" s="20" t="str">
        <f aca="false">IF(B173="","",IFERROR(INDEX(Products!$B:$B,MATCH(B173,Products!$A:$A,0)),"ID not found"))</f>
        <v/>
      </c>
      <c r="E173" s="30"/>
      <c r="F173" s="30"/>
      <c r="G173" s="30"/>
      <c r="H173" s="30"/>
    </row>
    <row r="174" customFormat="false" ht="15" hidden="false" customHeight="false" outlineLevel="0" collapsed="false">
      <c r="A174" s="29"/>
      <c r="B174" s="29"/>
      <c r="C174" s="20" t="str">
        <f aca="false">IF(A174="","",IFERROR(INDEX(Metrics!$C:$C,MATCH(A174,Metrics!$A:$A,0)),"ID not found"))</f>
        <v/>
      </c>
      <c r="D174" s="20" t="str">
        <f aca="false">IF(B174="","",IFERROR(INDEX(Products!$B:$B,MATCH(B174,Products!$A:$A,0)),"ID not found"))</f>
        <v/>
      </c>
      <c r="E174" s="30"/>
      <c r="F174" s="30"/>
      <c r="G174" s="30"/>
      <c r="H174" s="30"/>
    </row>
    <row r="175" customFormat="false" ht="15" hidden="false" customHeight="false" outlineLevel="0" collapsed="false">
      <c r="A175" s="29"/>
      <c r="B175" s="29"/>
      <c r="C175" s="20" t="str">
        <f aca="false">IF(A175="","",IFERROR(INDEX(Metrics!$C:$C,MATCH(A175,Metrics!$A:$A,0)),"ID not found"))</f>
        <v/>
      </c>
      <c r="D175" s="20" t="str">
        <f aca="false">IF(B175="","",IFERROR(INDEX(Products!$B:$B,MATCH(B175,Products!$A:$A,0)),"ID not found"))</f>
        <v/>
      </c>
      <c r="E175" s="30"/>
      <c r="F175" s="30"/>
      <c r="G175" s="30"/>
      <c r="H175" s="30"/>
    </row>
    <row r="176" customFormat="false" ht="15" hidden="false" customHeight="false" outlineLevel="0" collapsed="false">
      <c r="A176" s="29"/>
      <c r="B176" s="29"/>
      <c r="C176" s="20" t="str">
        <f aca="false">IF(A176="","",IFERROR(INDEX(Metrics!$C:$C,MATCH(A176,Metrics!$A:$A,0)),"ID not found"))</f>
        <v/>
      </c>
      <c r="D176" s="20" t="str">
        <f aca="false">IF(B176="","",IFERROR(INDEX(Products!$B:$B,MATCH(B176,Products!$A:$A,0)),"ID not found"))</f>
        <v/>
      </c>
      <c r="E176" s="30"/>
      <c r="F176" s="30"/>
      <c r="G176" s="30"/>
      <c r="H176" s="30"/>
    </row>
    <row r="177" customFormat="false" ht="15" hidden="false" customHeight="false" outlineLevel="0" collapsed="false">
      <c r="A177" s="29"/>
      <c r="B177" s="29"/>
      <c r="C177" s="20" t="str">
        <f aca="false">IF(A177="","",IFERROR(INDEX(Metrics!$C:$C,MATCH(A177,Metrics!$A:$A,0)),"ID not found"))</f>
        <v/>
      </c>
      <c r="D177" s="20" t="str">
        <f aca="false">IF(B177="","",IFERROR(INDEX(Products!$B:$B,MATCH(B177,Products!$A:$A,0)),"ID not found"))</f>
        <v/>
      </c>
      <c r="E177" s="30"/>
      <c r="F177" s="30"/>
      <c r="G177" s="30"/>
      <c r="H177" s="30"/>
    </row>
    <row r="178" customFormat="false" ht="15" hidden="false" customHeight="false" outlineLevel="0" collapsed="false">
      <c r="A178" s="29"/>
      <c r="B178" s="29"/>
      <c r="C178" s="20" t="str">
        <f aca="false">IF(A178="","",IFERROR(INDEX(Metrics!$C:$C,MATCH(A178,Metrics!$A:$A,0)),"ID not found"))</f>
        <v/>
      </c>
      <c r="D178" s="20" t="str">
        <f aca="false">IF(B178="","",IFERROR(INDEX(Products!$B:$B,MATCH(B178,Products!$A:$A,0)),"ID not found"))</f>
        <v/>
      </c>
      <c r="E178" s="30"/>
      <c r="F178" s="30"/>
      <c r="G178" s="30"/>
      <c r="H178" s="30"/>
    </row>
    <row r="179" customFormat="false" ht="15" hidden="false" customHeight="false" outlineLevel="0" collapsed="false">
      <c r="A179" s="29"/>
      <c r="B179" s="29"/>
      <c r="C179" s="20" t="str">
        <f aca="false">IF(A179="","",IFERROR(INDEX(Metrics!$C:$C,MATCH(A179,Metrics!$A:$A,0)),"ID not found"))</f>
        <v/>
      </c>
      <c r="D179" s="20" t="str">
        <f aca="false">IF(B179="","",IFERROR(INDEX(Products!$B:$B,MATCH(B179,Products!$A:$A,0)),"ID not found"))</f>
        <v/>
      </c>
      <c r="E179" s="30"/>
      <c r="F179" s="30"/>
      <c r="G179" s="30"/>
      <c r="H179" s="30"/>
    </row>
    <row r="180" customFormat="false" ht="15" hidden="false" customHeight="false" outlineLevel="0" collapsed="false">
      <c r="A180" s="29"/>
      <c r="B180" s="29"/>
      <c r="C180" s="20" t="str">
        <f aca="false">IF(A180="","",IFERROR(INDEX(Metrics!$C:$C,MATCH(A180,Metrics!$A:$A,0)),"ID not found"))</f>
        <v/>
      </c>
      <c r="D180" s="20" t="str">
        <f aca="false">IF(B180="","",IFERROR(INDEX(Products!$B:$B,MATCH(B180,Products!$A:$A,0)),"ID not found"))</f>
        <v/>
      </c>
      <c r="E180" s="30"/>
      <c r="F180" s="30"/>
      <c r="G180" s="30"/>
      <c r="H180" s="30"/>
    </row>
    <row r="181" customFormat="false" ht="15" hidden="false" customHeight="false" outlineLevel="0" collapsed="false">
      <c r="A181" s="29"/>
      <c r="B181" s="29"/>
      <c r="C181" s="20" t="str">
        <f aca="false">IF(A181="","",IFERROR(INDEX(Metrics!$C:$C,MATCH(A181,Metrics!$A:$A,0)),"ID not found"))</f>
        <v/>
      </c>
      <c r="D181" s="20" t="str">
        <f aca="false">IF(B181="","",IFERROR(INDEX(Products!$B:$B,MATCH(B181,Products!$A:$A,0)),"ID not found"))</f>
        <v/>
      </c>
      <c r="E181" s="30"/>
      <c r="F181" s="30"/>
      <c r="G181" s="30"/>
      <c r="H181" s="30"/>
    </row>
    <row r="182" customFormat="false" ht="15" hidden="false" customHeight="false" outlineLevel="0" collapsed="false">
      <c r="A182" s="29"/>
      <c r="B182" s="29"/>
      <c r="C182" s="20" t="str">
        <f aca="false">IF(A182="","",IFERROR(INDEX(Metrics!$C:$C,MATCH(A182,Metrics!$A:$A,0)),"ID not found"))</f>
        <v/>
      </c>
      <c r="D182" s="20" t="str">
        <f aca="false">IF(B182="","",IFERROR(INDEX(Products!$B:$B,MATCH(B182,Products!$A:$A,0)),"ID not found"))</f>
        <v/>
      </c>
      <c r="E182" s="30"/>
      <c r="F182" s="30"/>
      <c r="G182" s="30"/>
      <c r="H182" s="30"/>
    </row>
    <row r="183" customFormat="false" ht="15" hidden="false" customHeight="false" outlineLevel="0" collapsed="false">
      <c r="A183" s="29"/>
      <c r="B183" s="29"/>
      <c r="C183" s="20" t="str">
        <f aca="false">IF(A183="","",IFERROR(INDEX(Metrics!$C:$C,MATCH(A183,Metrics!$A:$A,0)),"ID not found"))</f>
        <v/>
      </c>
      <c r="D183" s="20" t="str">
        <f aca="false">IF(B183="","",IFERROR(INDEX(Products!$B:$B,MATCH(B183,Products!$A:$A,0)),"ID not found"))</f>
        <v/>
      </c>
      <c r="E183" s="30"/>
      <c r="F183" s="30"/>
      <c r="G183" s="30"/>
      <c r="H183" s="30"/>
    </row>
    <row r="184" customFormat="false" ht="15" hidden="false" customHeight="false" outlineLevel="0" collapsed="false">
      <c r="A184" s="29"/>
      <c r="B184" s="29"/>
      <c r="C184" s="20" t="str">
        <f aca="false">IF(A184="","",IFERROR(INDEX(Metrics!$C:$C,MATCH(A184,Metrics!$A:$A,0)),"ID not found"))</f>
        <v/>
      </c>
      <c r="D184" s="20" t="str">
        <f aca="false">IF(B184="","",IFERROR(INDEX(Products!$B:$B,MATCH(B184,Products!$A:$A,0)),"ID not found"))</f>
        <v/>
      </c>
      <c r="E184" s="30"/>
      <c r="F184" s="30"/>
      <c r="G184" s="30"/>
      <c r="H184" s="30"/>
    </row>
    <row r="185" customFormat="false" ht="15" hidden="false" customHeight="false" outlineLevel="0" collapsed="false">
      <c r="A185" s="29"/>
      <c r="B185" s="29"/>
      <c r="C185" s="20" t="str">
        <f aca="false">IF(A185="","",IFERROR(INDEX(Metrics!$C:$C,MATCH(A185,Metrics!$A:$A,0)),"ID not found"))</f>
        <v/>
      </c>
      <c r="D185" s="20" t="str">
        <f aca="false">IF(B185="","",IFERROR(INDEX(Products!$B:$B,MATCH(B185,Products!$A:$A,0)),"ID not found"))</f>
        <v/>
      </c>
      <c r="E185" s="30"/>
      <c r="F185" s="30"/>
      <c r="G185" s="30"/>
      <c r="H185" s="30"/>
    </row>
    <row r="186" customFormat="false" ht="15" hidden="false" customHeight="false" outlineLevel="0" collapsed="false">
      <c r="A186" s="29"/>
      <c r="B186" s="29"/>
      <c r="C186" s="20" t="str">
        <f aca="false">IF(A186="","",IFERROR(INDEX(Metrics!$C:$C,MATCH(A186,Metrics!$A:$A,0)),"ID not found"))</f>
        <v/>
      </c>
      <c r="D186" s="20" t="str">
        <f aca="false">IF(B186="","",IFERROR(INDEX(Products!$B:$B,MATCH(B186,Products!$A:$A,0)),"ID not found"))</f>
        <v/>
      </c>
      <c r="E186" s="30"/>
      <c r="F186" s="30"/>
      <c r="G186" s="30"/>
      <c r="H186" s="30"/>
    </row>
    <row r="187" customFormat="false" ht="15" hidden="false" customHeight="false" outlineLevel="0" collapsed="false">
      <c r="A187" s="29"/>
      <c r="B187" s="29"/>
      <c r="C187" s="20" t="str">
        <f aca="false">IF(A187="","",IFERROR(INDEX(Metrics!$C:$C,MATCH(A187,Metrics!$A:$A,0)),"ID not found"))</f>
        <v/>
      </c>
      <c r="D187" s="20" t="str">
        <f aca="false">IF(B187="","",IFERROR(INDEX(Products!$B:$B,MATCH(B187,Products!$A:$A,0)),"ID not found"))</f>
        <v/>
      </c>
      <c r="E187" s="30"/>
      <c r="F187" s="30"/>
      <c r="G187" s="30"/>
      <c r="H187" s="30"/>
    </row>
    <row r="188" customFormat="false" ht="15" hidden="false" customHeight="false" outlineLevel="0" collapsed="false">
      <c r="A188" s="29"/>
      <c r="B188" s="29"/>
      <c r="C188" s="20" t="str">
        <f aca="false">IF(A188="","",IFERROR(INDEX(Metrics!$C:$C,MATCH(A188,Metrics!$A:$A,0)),"ID not found"))</f>
        <v/>
      </c>
      <c r="D188" s="20" t="str">
        <f aca="false">IF(B188="","",IFERROR(INDEX(Products!$B:$B,MATCH(B188,Products!$A:$A,0)),"ID not found"))</f>
        <v/>
      </c>
      <c r="E188" s="30"/>
      <c r="F188" s="30"/>
      <c r="G188" s="30"/>
      <c r="H188" s="30"/>
    </row>
    <row r="189" customFormat="false" ht="15" hidden="false" customHeight="false" outlineLevel="0" collapsed="false">
      <c r="A189" s="29"/>
      <c r="B189" s="29"/>
      <c r="C189" s="20" t="str">
        <f aca="false">IF(A189="","",IFERROR(INDEX(Metrics!$C:$C,MATCH(A189,Metrics!$A:$A,0)),"ID not found"))</f>
        <v/>
      </c>
      <c r="D189" s="20" t="str">
        <f aca="false">IF(B189="","",IFERROR(INDEX(Products!$B:$B,MATCH(B189,Products!$A:$A,0)),"ID not found"))</f>
        <v/>
      </c>
      <c r="E189" s="30"/>
      <c r="F189" s="30"/>
      <c r="G189" s="30"/>
      <c r="H189" s="30"/>
    </row>
    <row r="190" customFormat="false" ht="15" hidden="false" customHeight="false" outlineLevel="0" collapsed="false">
      <c r="A190" s="29"/>
      <c r="B190" s="29"/>
      <c r="C190" s="20" t="str">
        <f aca="false">IF(A190="","",IFERROR(INDEX(Metrics!$C:$C,MATCH(A190,Metrics!$A:$A,0)),"ID not found"))</f>
        <v/>
      </c>
      <c r="D190" s="20" t="str">
        <f aca="false">IF(B190="","",IFERROR(INDEX(Products!$B:$B,MATCH(B190,Products!$A:$A,0)),"ID not found"))</f>
        <v/>
      </c>
      <c r="E190" s="30"/>
      <c r="F190" s="30"/>
      <c r="G190" s="30"/>
      <c r="H190" s="30"/>
    </row>
    <row r="191" customFormat="false" ht="15" hidden="false" customHeight="false" outlineLevel="0" collapsed="false">
      <c r="A191" s="29"/>
      <c r="B191" s="29"/>
      <c r="C191" s="20" t="str">
        <f aca="false">IF(A191="","",IFERROR(INDEX(Metrics!$C:$C,MATCH(A191,Metrics!$A:$A,0)),"ID not found"))</f>
        <v/>
      </c>
      <c r="D191" s="20" t="str">
        <f aca="false">IF(B191="","",IFERROR(INDEX(Products!$B:$B,MATCH(B191,Products!$A:$A,0)),"ID not found"))</f>
        <v/>
      </c>
      <c r="E191" s="30"/>
      <c r="F191" s="30"/>
      <c r="G191" s="30"/>
      <c r="H191" s="30"/>
    </row>
    <row r="192" customFormat="false" ht="15" hidden="false" customHeight="false" outlineLevel="0" collapsed="false">
      <c r="A192" s="29"/>
      <c r="B192" s="29"/>
      <c r="C192" s="20" t="str">
        <f aca="false">IF(A192="","",IFERROR(INDEX(Metrics!$C:$C,MATCH(A192,Metrics!$A:$A,0)),"ID not found"))</f>
        <v/>
      </c>
      <c r="D192" s="20" t="str">
        <f aca="false">IF(B192="","",IFERROR(INDEX(Products!$B:$B,MATCH(B192,Products!$A:$A,0)),"ID not found"))</f>
        <v/>
      </c>
      <c r="E192" s="30"/>
      <c r="F192" s="30"/>
      <c r="G192" s="30"/>
      <c r="H192" s="30"/>
    </row>
    <row r="193" customFormat="false" ht="15" hidden="false" customHeight="false" outlineLevel="0" collapsed="false">
      <c r="A193" s="29"/>
      <c r="B193" s="29"/>
      <c r="C193" s="20" t="str">
        <f aca="false">IF(A193="","",IFERROR(INDEX(Metrics!$C:$C,MATCH(A193,Metrics!$A:$A,0)),"ID not found"))</f>
        <v/>
      </c>
      <c r="D193" s="20" t="str">
        <f aca="false">IF(B193="","",IFERROR(INDEX(Products!$B:$B,MATCH(B193,Products!$A:$A,0)),"ID not found"))</f>
        <v/>
      </c>
      <c r="E193" s="30"/>
      <c r="F193" s="30"/>
      <c r="G193" s="30"/>
      <c r="H193" s="30"/>
    </row>
    <row r="194" customFormat="false" ht="15" hidden="false" customHeight="false" outlineLevel="0" collapsed="false">
      <c r="A194" s="29"/>
      <c r="B194" s="29"/>
      <c r="C194" s="20" t="str">
        <f aca="false">IF(A194="","",IFERROR(INDEX(Metrics!$C:$C,MATCH(A194,Metrics!$A:$A,0)),"ID not found"))</f>
        <v/>
      </c>
      <c r="D194" s="20" t="str">
        <f aca="false">IF(B194="","",IFERROR(INDEX(Products!$B:$B,MATCH(B194,Products!$A:$A,0)),"ID not found"))</f>
        <v/>
      </c>
      <c r="E194" s="30"/>
      <c r="F194" s="30"/>
      <c r="G194" s="30"/>
      <c r="H194" s="30"/>
    </row>
    <row r="195" customFormat="false" ht="15" hidden="false" customHeight="false" outlineLevel="0" collapsed="false">
      <c r="A195" s="29"/>
      <c r="B195" s="29"/>
      <c r="C195" s="20" t="str">
        <f aca="false">IF(A195="","",IFERROR(INDEX(Metrics!$C:$C,MATCH(A195,Metrics!$A:$A,0)),"ID not found"))</f>
        <v/>
      </c>
      <c r="D195" s="20" t="str">
        <f aca="false">IF(B195="","",IFERROR(INDEX(Products!$B:$B,MATCH(B195,Products!$A:$A,0)),"ID not found"))</f>
        <v/>
      </c>
      <c r="E195" s="30"/>
      <c r="F195" s="30"/>
      <c r="G195" s="30"/>
      <c r="H195" s="30"/>
    </row>
    <row r="196" customFormat="false" ht="15" hidden="false" customHeight="false" outlineLevel="0" collapsed="false">
      <c r="A196" s="29"/>
      <c r="B196" s="29"/>
      <c r="C196" s="20" t="str">
        <f aca="false">IF(A196="","",IFERROR(INDEX(Metrics!$C:$C,MATCH(A196,Metrics!$A:$A,0)),"ID not found"))</f>
        <v/>
      </c>
      <c r="D196" s="20" t="str">
        <f aca="false">IF(B196="","",IFERROR(INDEX(Products!$B:$B,MATCH(B196,Products!$A:$A,0)),"ID not found"))</f>
        <v/>
      </c>
      <c r="E196" s="30"/>
      <c r="F196" s="30"/>
      <c r="G196" s="30"/>
      <c r="H196" s="30"/>
    </row>
    <row r="197" customFormat="false" ht="15" hidden="false" customHeight="false" outlineLevel="0" collapsed="false">
      <c r="A197" s="29"/>
      <c r="B197" s="29"/>
      <c r="C197" s="20" t="str">
        <f aca="false">IF(A197="","",IFERROR(INDEX(Metrics!$C:$C,MATCH(A197,Metrics!$A:$A,0)),"ID not found"))</f>
        <v/>
      </c>
      <c r="D197" s="20" t="str">
        <f aca="false">IF(B197="","",IFERROR(INDEX(Products!$B:$B,MATCH(B197,Products!$A:$A,0)),"ID not found"))</f>
        <v/>
      </c>
      <c r="E197" s="30"/>
      <c r="F197" s="30"/>
      <c r="G197" s="30"/>
      <c r="H197" s="30"/>
    </row>
    <row r="198" customFormat="false" ht="15" hidden="false" customHeight="false" outlineLevel="0" collapsed="false">
      <c r="A198" s="29"/>
      <c r="B198" s="29"/>
      <c r="C198" s="20" t="str">
        <f aca="false">IF(A198="","",IFERROR(INDEX(Metrics!$C:$C,MATCH(A198,Metrics!$A:$A,0)),"ID not found"))</f>
        <v/>
      </c>
      <c r="D198" s="20" t="str">
        <f aca="false">IF(B198="","",IFERROR(INDEX(Products!$B:$B,MATCH(B198,Products!$A:$A,0)),"ID not found"))</f>
        <v/>
      </c>
      <c r="E198" s="30"/>
      <c r="F198" s="30"/>
      <c r="G198" s="30"/>
      <c r="H198" s="30"/>
    </row>
    <row r="199" customFormat="false" ht="15" hidden="false" customHeight="false" outlineLevel="0" collapsed="false">
      <c r="A199" s="29"/>
      <c r="B199" s="29"/>
      <c r="C199" s="20" t="str">
        <f aca="false">IF(A199="","",IFERROR(INDEX(Metrics!$C:$C,MATCH(A199,Metrics!$A:$A,0)),"ID not found"))</f>
        <v/>
      </c>
      <c r="D199" s="20" t="str">
        <f aca="false">IF(B199="","",IFERROR(INDEX(Products!$B:$B,MATCH(B199,Products!$A:$A,0)),"ID not found"))</f>
        <v/>
      </c>
      <c r="E199" s="30"/>
      <c r="F199" s="30"/>
      <c r="G199" s="30"/>
      <c r="H199" s="30"/>
    </row>
    <row r="200" customFormat="false" ht="15" hidden="false" customHeight="false" outlineLevel="0" collapsed="false">
      <c r="A200" s="29"/>
      <c r="B200" s="29"/>
      <c r="C200" s="20" t="str">
        <f aca="false">IF(A200="","",IFERROR(INDEX(Metrics!$C:$C,MATCH(A200,Metrics!$A:$A,0)),"ID not found"))</f>
        <v/>
      </c>
      <c r="D200" s="20" t="str">
        <f aca="false">IF(B200="","",IFERROR(INDEX(Products!$B:$B,MATCH(B200,Products!$A:$A,0)),"ID not found"))</f>
        <v/>
      </c>
      <c r="E200" s="30"/>
      <c r="F200" s="30"/>
      <c r="G200" s="30"/>
      <c r="H200" s="30"/>
    </row>
    <row r="201" customFormat="false" ht="15" hidden="false" customHeight="false" outlineLevel="0" collapsed="false">
      <c r="A201" s="29"/>
      <c r="B201" s="29"/>
      <c r="C201" s="20" t="str">
        <f aca="false">IF(A201="","",IFERROR(INDEX(Metrics!$C:$C,MATCH(A201,Metrics!$A:$A,0)),"ID not found"))</f>
        <v/>
      </c>
      <c r="D201" s="20" t="str">
        <f aca="false">IF(B201="","",IFERROR(INDEX(Products!$B:$B,MATCH(B201,Products!$A:$A,0)),"ID not found"))</f>
        <v/>
      </c>
      <c r="E201" s="30"/>
      <c r="F201" s="30"/>
      <c r="G201" s="30"/>
      <c r="H201" s="30"/>
    </row>
    <row r="202" customFormat="false" ht="15" hidden="false" customHeight="false" outlineLevel="0" collapsed="false">
      <c r="A202" s="29"/>
      <c r="B202" s="29"/>
      <c r="C202" s="20" t="str">
        <f aca="false">IF(A202="","",IFERROR(INDEX(Metrics!$C:$C,MATCH(A202,Metrics!$A:$A,0)),"ID not found"))</f>
        <v/>
      </c>
      <c r="D202" s="20" t="str">
        <f aca="false">IF(B202="","",IFERROR(INDEX(Products!$B:$B,MATCH(B202,Products!$A:$A,0)),"ID not found"))</f>
        <v/>
      </c>
      <c r="E202" s="30"/>
      <c r="F202" s="30"/>
      <c r="G202" s="30"/>
      <c r="H202" s="30"/>
    </row>
    <row r="203" customFormat="false" ht="15" hidden="false" customHeight="false" outlineLevel="0" collapsed="false">
      <c r="A203" s="29"/>
      <c r="B203" s="29"/>
      <c r="C203" s="20" t="str">
        <f aca="false">IF(A203="","",IFERROR(INDEX(Metrics!$C:$C,MATCH(A203,Metrics!$A:$A,0)),"ID not found"))</f>
        <v/>
      </c>
      <c r="D203" s="20" t="str">
        <f aca="false">IF(B203="","",IFERROR(INDEX(Products!$B:$B,MATCH(B203,Products!$A:$A,0)),"ID not found"))</f>
        <v/>
      </c>
      <c r="E203" s="30"/>
      <c r="F203" s="30"/>
      <c r="G203" s="30"/>
      <c r="H203" s="30"/>
    </row>
    <row r="204" customFormat="false" ht="15" hidden="false" customHeight="false" outlineLevel="0" collapsed="false">
      <c r="A204" s="29"/>
      <c r="B204" s="29"/>
      <c r="C204" s="20" t="str">
        <f aca="false">IF(A204="","",IFERROR(INDEX(Metrics!$C:$C,MATCH(A204,Metrics!$A:$A,0)),"ID not found"))</f>
        <v/>
      </c>
      <c r="D204" s="20" t="str">
        <f aca="false">IF(B204="","",IFERROR(INDEX(Products!$B:$B,MATCH(B204,Products!$A:$A,0)),"ID not found"))</f>
        <v/>
      </c>
      <c r="E204" s="30"/>
      <c r="F204" s="30"/>
      <c r="G204" s="30"/>
      <c r="H204" s="30"/>
    </row>
    <row r="205" customFormat="false" ht="15" hidden="false" customHeight="false" outlineLevel="0" collapsed="false">
      <c r="A205" s="29"/>
      <c r="B205" s="29"/>
      <c r="C205" s="20" t="str">
        <f aca="false">IF(A205="","",IFERROR(INDEX(Metrics!$C:$C,MATCH(A205,Metrics!$A:$A,0)),"ID not found"))</f>
        <v/>
      </c>
      <c r="D205" s="20" t="str">
        <f aca="false">IF(B205="","",IFERROR(INDEX(Products!$B:$B,MATCH(B205,Products!$A:$A,0)),"ID not found"))</f>
        <v/>
      </c>
      <c r="E205" s="30"/>
      <c r="F205" s="30"/>
      <c r="G205" s="30"/>
      <c r="H205" s="30"/>
    </row>
    <row r="206" customFormat="false" ht="15" hidden="false" customHeight="false" outlineLevel="0" collapsed="false">
      <c r="A206" s="29"/>
      <c r="B206" s="29"/>
      <c r="C206" s="20" t="str">
        <f aca="false">IF(A206="","",IFERROR(INDEX(Metrics!$C:$C,MATCH(A206,Metrics!$A:$A,0)),"ID not found"))</f>
        <v/>
      </c>
      <c r="D206" s="20" t="str">
        <f aca="false">IF(B206="","",IFERROR(INDEX(Products!$B:$B,MATCH(B206,Products!$A:$A,0)),"ID not found"))</f>
        <v/>
      </c>
      <c r="E206" s="30"/>
      <c r="F206" s="30"/>
      <c r="G206" s="30"/>
      <c r="H206" s="30"/>
    </row>
    <row r="207" customFormat="false" ht="15" hidden="false" customHeight="false" outlineLevel="0" collapsed="false">
      <c r="A207" s="29"/>
      <c r="B207" s="29"/>
      <c r="C207" s="20" t="str">
        <f aca="false">IF(A207="","",IFERROR(INDEX(Metrics!$C:$C,MATCH(A207,Metrics!$A:$A,0)),"ID not found"))</f>
        <v/>
      </c>
      <c r="D207" s="20" t="str">
        <f aca="false">IF(B207="","",IFERROR(INDEX(Products!$B:$B,MATCH(B207,Products!$A:$A,0)),"ID not found"))</f>
        <v/>
      </c>
      <c r="E207" s="30"/>
      <c r="F207" s="30"/>
      <c r="G207" s="30"/>
      <c r="H207" s="30"/>
    </row>
    <row r="208" customFormat="false" ht="15" hidden="false" customHeight="false" outlineLevel="0" collapsed="false">
      <c r="A208" s="29"/>
      <c r="B208" s="29"/>
      <c r="C208" s="20" t="str">
        <f aca="false">IF(A208="","",IFERROR(INDEX(Metrics!$C:$C,MATCH(A208,Metrics!$A:$A,0)),"ID not found"))</f>
        <v/>
      </c>
      <c r="D208" s="20" t="str">
        <f aca="false">IF(B208="","",IFERROR(INDEX(Products!$B:$B,MATCH(B208,Products!$A:$A,0)),"ID not found"))</f>
        <v/>
      </c>
      <c r="E208" s="30"/>
      <c r="F208" s="30"/>
      <c r="G208" s="30"/>
      <c r="H208" s="30"/>
    </row>
    <row r="209" customFormat="false" ht="15" hidden="false" customHeight="false" outlineLevel="0" collapsed="false">
      <c r="A209" s="29"/>
      <c r="B209" s="29"/>
      <c r="C209" s="20" t="str">
        <f aca="false">IF(A209="","",IFERROR(INDEX(Metrics!$C:$C,MATCH(A209,Metrics!$A:$A,0)),"ID not found"))</f>
        <v/>
      </c>
      <c r="D209" s="20" t="str">
        <f aca="false">IF(B209="","",IFERROR(INDEX(Products!$B:$B,MATCH(B209,Products!$A:$A,0)),"ID not found"))</f>
        <v/>
      </c>
      <c r="E209" s="30"/>
      <c r="F209" s="30"/>
      <c r="G209" s="30"/>
      <c r="H209" s="30"/>
    </row>
    <row r="210" customFormat="false" ht="15" hidden="false" customHeight="false" outlineLevel="0" collapsed="false">
      <c r="A210" s="29"/>
      <c r="B210" s="29"/>
      <c r="C210" s="20" t="str">
        <f aca="false">IF(A210="","",IFERROR(INDEX(Metrics!$C:$C,MATCH(A210,Metrics!$A:$A,0)),"ID not found"))</f>
        <v/>
      </c>
      <c r="D210" s="20" t="str">
        <f aca="false">IF(B210="","",IFERROR(INDEX(Products!$B:$B,MATCH(B210,Products!$A:$A,0)),"ID not found"))</f>
        <v/>
      </c>
      <c r="E210" s="30"/>
      <c r="F210" s="30"/>
      <c r="G210" s="30"/>
      <c r="H210" s="30"/>
    </row>
    <row r="211" customFormat="false" ht="15" hidden="false" customHeight="false" outlineLevel="0" collapsed="false">
      <c r="A211" s="29"/>
      <c r="B211" s="29"/>
      <c r="C211" s="20" t="str">
        <f aca="false">IF(A211="","",IFERROR(INDEX(Metrics!$C:$C,MATCH(A211,Metrics!$A:$A,0)),"ID not found"))</f>
        <v/>
      </c>
      <c r="D211" s="20" t="str">
        <f aca="false">IF(B211="","",IFERROR(INDEX(Products!$B:$B,MATCH(B211,Products!$A:$A,0)),"ID not found"))</f>
        <v/>
      </c>
      <c r="E211" s="30"/>
      <c r="F211" s="30"/>
      <c r="G211" s="30"/>
      <c r="H211" s="30"/>
    </row>
    <row r="212" customFormat="false" ht="15" hidden="false" customHeight="false" outlineLevel="0" collapsed="false">
      <c r="A212" s="29"/>
      <c r="B212" s="29"/>
      <c r="C212" s="20" t="str">
        <f aca="false">IF(A212="","",IFERROR(INDEX(Metrics!$C:$C,MATCH(A212,Metrics!$A:$A,0)),"ID not found"))</f>
        <v/>
      </c>
      <c r="D212" s="20" t="str">
        <f aca="false">IF(B212="","",IFERROR(INDEX(Products!$B:$B,MATCH(B212,Products!$A:$A,0)),"ID not found"))</f>
        <v/>
      </c>
      <c r="E212" s="30"/>
      <c r="F212" s="30"/>
      <c r="G212" s="30"/>
      <c r="H212" s="30"/>
    </row>
    <row r="213" customFormat="false" ht="15" hidden="false" customHeight="false" outlineLevel="0" collapsed="false">
      <c r="A213" s="29"/>
      <c r="B213" s="29"/>
      <c r="C213" s="20" t="str">
        <f aca="false">IF(A213="","",IFERROR(INDEX(Metrics!$C:$C,MATCH(A213,Metrics!$A:$A,0)),"ID not found"))</f>
        <v/>
      </c>
      <c r="D213" s="20" t="str">
        <f aca="false">IF(B213="","",IFERROR(INDEX(Products!$B:$B,MATCH(B213,Products!$A:$A,0)),"ID not found"))</f>
        <v/>
      </c>
      <c r="E213" s="30"/>
      <c r="F213" s="30"/>
      <c r="G213" s="30"/>
      <c r="H213" s="30"/>
    </row>
    <row r="214" customFormat="false" ht="15" hidden="false" customHeight="false" outlineLevel="0" collapsed="false">
      <c r="A214" s="29"/>
      <c r="B214" s="29"/>
      <c r="C214" s="20" t="str">
        <f aca="false">IF(A214="","",IFERROR(INDEX(Metrics!$C:$C,MATCH(A214,Metrics!$A:$A,0)),"ID not found"))</f>
        <v/>
      </c>
      <c r="D214" s="20" t="str">
        <f aca="false">IF(B214="","",IFERROR(INDEX(Products!$B:$B,MATCH(B214,Products!$A:$A,0)),"ID not found"))</f>
        <v/>
      </c>
      <c r="E214" s="30"/>
      <c r="F214" s="30"/>
      <c r="G214" s="30"/>
      <c r="H214" s="30"/>
    </row>
    <row r="215" customFormat="false" ht="15" hidden="false" customHeight="false" outlineLevel="0" collapsed="false">
      <c r="A215" s="29"/>
      <c r="B215" s="29"/>
      <c r="C215" s="20" t="str">
        <f aca="false">IF(A215="","",IFERROR(INDEX(Metrics!$C:$C,MATCH(A215,Metrics!$A:$A,0)),"ID not found"))</f>
        <v/>
      </c>
      <c r="D215" s="20" t="str">
        <f aca="false">IF(B215="","",IFERROR(INDEX(Products!$B:$B,MATCH(B215,Products!$A:$A,0)),"ID not found"))</f>
        <v/>
      </c>
      <c r="E215" s="30"/>
      <c r="F215" s="30"/>
      <c r="G215" s="30"/>
      <c r="H215" s="30"/>
    </row>
    <row r="216" customFormat="false" ht="15" hidden="false" customHeight="false" outlineLevel="0" collapsed="false">
      <c r="A216" s="29"/>
      <c r="B216" s="29"/>
      <c r="C216" s="20" t="str">
        <f aca="false">IF(A216="","",IFERROR(INDEX(Metrics!$C:$C,MATCH(A216,Metrics!$A:$A,0)),"ID not found"))</f>
        <v/>
      </c>
      <c r="D216" s="20" t="str">
        <f aca="false">IF(B216="","",IFERROR(INDEX(Products!$B:$B,MATCH(B216,Products!$A:$A,0)),"ID not found"))</f>
        <v/>
      </c>
      <c r="E216" s="30"/>
      <c r="F216" s="30"/>
      <c r="G216" s="30"/>
      <c r="H216" s="30"/>
    </row>
    <row r="217" customFormat="false" ht="15" hidden="false" customHeight="false" outlineLevel="0" collapsed="false">
      <c r="A217" s="29"/>
      <c r="B217" s="29"/>
      <c r="C217" s="20" t="str">
        <f aca="false">IF(A217="","",IFERROR(INDEX(Metrics!$C:$C,MATCH(A217,Metrics!$A:$A,0)),"ID not found"))</f>
        <v/>
      </c>
      <c r="D217" s="20" t="str">
        <f aca="false">IF(B217="","",IFERROR(INDEX(Products!$B:$B,MATCH(B217,Products!$A:$A,0)),"ID not found"))</f>
        <v/>
      </c>
      <c r="E217" s="30"/>
      <c r="F217" s="30"/>
      <c r="G217" s="30"/>
      <c r="H217" s="30"/>
    </row>
    <row r="218" customFormat="false" ht="15" hidden="false" customHeight="false" outlineLevel="0" collapsed="false">
      <c r="A218" s="29"/>
      <c r="B218" s="29"/>
      <c r="C218" s="20" t="str">
        <f aca="false">IF(A218="","",IFERROR(INDEX(Metrics!$C:$C,MATCH(A218,Metrics!$A:$A,0)),"ID not found"))</f>
        <v/>
      </c>
      <c r="D218" s="20" t="str">
        <f aca="false">IF(B218="","",IFERROR(INDEX(Products!$B:$B,MATCH(B218,Products!$A:$A,0)),"ID not found"))</f>
        <v/>
      </c>
      <c r="E218" s="30"/>
      <c r="F218" s="30"/>
      <c r="G218" s="30"/>
      <c r="H218" s="30"/>
    </row>
    <row r="219" customFormat="false" ht="15" hidden="false" customHeight="false" outlineLevel="0" collapsed="false">
      <c r="A219" s="29"/>
      <c r="B219" s="29"/>
      <c r="C219" s="20" t="str">
        <f aca="false">IF(A219="","",IFERROR(INDEX(Metrics!$C:$C,MATCH(A219,Metrics!$A:$A,0)),"ID not found"))</f>
        <v/>
      </c>
      <c r="D219" s="20" t="str">
        <f aca="false">IF(B219="","",IFERROR(INDEX(Products!$B:$B,MATCH(B219,Products!$A:$A,0)),"ID not found"))</f>
        <v/>
      </c>
      <c r="E219" s="30"/>
      <c r="F219" s="30"/>
      <c r="G219" s="30"/>
      <c r="H219" s="30"/>
    </row>
    <row r="220" customFormat="false" ht="15" hidden="false" customHeight="false" outlineLevel="0" collapsed="false">
      <c r="A220" s="29"/>
      <c r="B220" s="29"/>
      <c r="C220" s="20" t="str">
        <f aca="false">IF(A220="","",IFERROR(INDEX(Metrics!$C:$C,MATCH(A220,Metrics!$A:$A,0)),"ID not found"))</f>
        <v/>
      </c>
      <c r="D220" s="20" t="str">
        <f aca="false">IF(B220="","",IFERROR(INDEX(Products!$B:$B,MATCH(B220,Products!$A:$A,0)),"ID not found"))</f>
        <v/>
      </c>
      <c r="E220" s="30"/>
      <c r="F220" s="30"/>
      <c r="G220" s="30"/>
      <c r="H220" s="30"/>
    </row>
    <row r="221" customFormat="false" ht="15" hidden="false" customHeight="false" outlineLevel="0" collapsed="false">
      <c r="A221" s="29"/>
      <c r="B221" s="29"/>
      <c r="C221" s="20" t="str">
        <f aca="false">IF(A221="","",IFERROR(INDEX(Metrics!$C:$C,MATCH(A221,Metrics!$A:$A,0)),"ID not found"))</f>
        <v/>
      </c>
      <c r="D221" s="20" t="str">
        <f aca="false">IF(B221="","",IFERROR(INDEX(Products!$B:$B,MATCH(B221,Products!$A:$A,0)),"ID not found"))</f>
        <v/>
      </c>
      <c r="E221" s="30"/>
      <c r="F221" s="30"/>
      <c r="G221" s="30"/>
      <c r="H221" s="30"/>
    </row>
    <row r="222" customFormat="false" ht="15" hidden="false" customHeight="false" outlineLevel="0" collapsed="false">
      <c r="A222" s="29"/>
      <c r="B222" s="29"/>
      <c r="C222" s="20" t="str">
        <f aca="false">IF(A222="","",IFERROR(INDEX(Metrics!$C:$C,MATCH(A222,Metrics!$A:$A,0)),"ID not found"))</f>
        <v/>
      </c>
      <c r="D222" s="20" t="str">
        <f aca="false">IF(B222="","",IFERROR(INDEX(Products!$B:$B,MATCH(B222,Products!$A:$A,0)),"ID not found"))</f>
        <v/>
      </c>
      <c r="E222" s="30"/>
      <c r="F222" s="30"/>
      <c r="G222" s="30"/>
      <c r="H222" s="30"/>
    </row>
    <row r="223" customFormat="false" ht="15" hidden="false" customHeight="false" outlineLevel="0" collapsed="false">
      <c r="A223" s="29"/>
      <c r="B223" s="29"/>
      <c r="C223" s="20" t="str">
        <f aca="false">IF(A223="","",IFERROR(INDEX(Metrics!$C:$C,MATCH(A223,Metrics!$A:$A,0)),"ID not found"))</f>
        <v/>
      </c>
      <c r="D223" s="20" t="str">
        <f aca="false">IF(B223="","",IFERROR(INDEX(Products!$B:$B,MATCH(B223,Products!$A:$A,0)),"ID not found"))</f>
        <v/>
      </c>
      <c r="E223" s="30"/>
      <c r="F223" s="30"/>
      <c r="G223" s="30"/>
      <c r="H223" s="30"/>
    </row>
    <row r="224" customFormat="false" ht="15" hidden="false" customHeight="false" outlineLevel="0" collapsed="false">
      <c r="A224" s="29"/>
      <c r="B224" s="29"/>
      <c r="C224" s="20" t="str">
        <f aca="false">IF(A224="","",IFERROR(INDEX(Metrics!$C:$C,MATCH(A224,Metrics!$A:$A,0)),"ID not found"))</f>
        <v/>
      </c>
      <c r="D224" s="20" t="str">
        <f aca="false">IF(B224="","",IFERROR(INDEX(Products!$B:$B,MATCH(B224,Products!$A:$A,0)),"ID not found"))</f>
        <v/>
      </c>
      <c r="E224" s="30"/>
      <c r="F224" s="30"/>
      <c r="G224" s="30"/>
      <c r="H224" s="30"/>
    </row>
    <row r="225" customFormat="false" ht="15" hidden="false" customHeight="false" outlineLevel="0" collapsed="false">
      <c r="A225" s="29"/>
      <c r="B225" s="29"/>
      <c r="C225" s="20" t="str">
        <f aca="false">IF(A225="","",IFERROR(INDEX(Metrics!$C:$C,MATCH(A225,Metrics!$A:$A,0)),"ID not found"))</f>
        <v/>
      </c>
      <c r="D225" s="20" t="str">
        <f aca="false">IF(B225="","",IFERROR(INDEX(Products!$B:$B,MATCH(B225,Products!$A:$A,0)),"ID not found"))</f>
        <v/>
      </c>
      <c r="E225" s="30"/>
      <c r="F225" s="30"/>
      <c r="G225" s="30"/>
      <c r="H225" s="30"/>
    </row>
    <row r="226" customFormat="false" ht="15" hidden="false" customHeight="false" outlineLevel="0" collapsed="false">
      <c r="A226" s="29"/>
      <c r="B226" s="29"/>
      <c r="C226" s="20" t="str">
        <f aca="false">IF(A226="","",IFERROR(INDEX(Metrics!$C:$C,MATCH(A226,Metrics!$A:$A,0)),"ID not found"))</f>
        <v/>
      </c>
      <c r="D226" s="20" t="str">
        <f aca="false">IF(B226="","",IFERROR(INDEX(Products!$B:$B,MATCH(B226,Products!$A:$A,0)),"ID not found"))</f>
        <v/>
      </c>
      <c r="E226" s="30"/>
      <c r="F226" s="30"/>
      <c r="G226" s="30"/>
      <c r="H226" s="30"/>
    </row>
    <row r="227" customFormat="false" ht="15" hidden="false" customHeight="false" outlineLevel="0" collapsed="false">
      <c r="A227" s="29"/>
      <c r="B227" s="29"/>
      <c r="C227" s="20" t="str">
        <f aca="false">IF(A227="","",IFERROR(INDEX(Metrics!$C:$C,MATCH(A227,Metrics!$A:$A,0)),"ID not found"))</f>
        <v/>
      </c>
      <c r="D227" s="20" t="str">
        <f aca="false">IF(B227="","",IFERROR(INDEX(Products!$B:$B,MATCH(B227,Products!$A:$A,0)),"ID not found"))</f>
        <v/>
      </c>
      <c r="E227" s="30"/>
      <c r="F227" s="30"/>
      <c r="G227" s="30"/>
      <c r="H227" s="30"/>
    </row>
    <row r="228" customFormat="false" ht="15" hidden="false" customHeight="false" outlineLevel="0" collapsed="false">
      <c r="A228" s="29"/>
      <c r="B228" s="29"/>
      <c r="C228" s="20" t="str">
        <f aca="false">IF(A228="","",IFERROR(INDEX(Metrics!$C:$C,MATCH(A228,Metrics!$A:$A,0)),"ID not found"))</f>
        <v/>
      </c>
      <c r="D228" s="20" t="str">
        <f aca="false">IF(B228="","",IFERROR(INDEX(Products!$B:$B,MATCH(B228,Products!$A:$A,0)),"ID not found"))</f>
        <v/>
      </c>
      <c r="E228" s="30"/>
      <c r="F228" s="30"/>
      <c r="G228" s="30"/>
      <c r="H228" s="30"/>
    </row>
    <row r="229" customFormat="false" ht="15" hidden="false" customHeight="false" outlineLevel="0" collapsed="false">
      <c r="A229" s="29"/>
      <c r="B229" s="29"/>
      <c r="C229" s="20" t="str">
        <f aca="false">IF(A229="","",IFERROR(INDEX(Metrics!$C:$C,MATCH(A229,Metrics!$A:$A,0)),"ID not found"))</f>
        <v/>
      </c>
      <c r="D229" s="20" t="str">
        <f aca="false">IF(B229="","",IFERROR(INDEX(Products!$B:$B,MATCH(B229,Products!$A:$A,0)),"ID not found"))</f>
        <v/>
      </c>
      <c r="E229" s="30"/>
      <c r="F229" s="30"/>
      <c r="G229" s="30"/>
      <c r="H229" s="30"/>
    </row>
    <row r="230" customFormat="false" ht="15" hidden="false" customHeight="false" outlineLevel="0" collapsed="false">
      <c r="A230" s="29"/>
      <c r="B230" s="29"/>
      <c r="C230" s="20" t="str">
        <f aca="false">IF(A230="","",IFERROR(INDEX(Metrics!$C:$C,MATCH(A230,Metrics!$A:$A,0)),"ID not found"))</f>
        <v/>
      </c>
      <c r="D230" s="20" t="str">
        <f aca="false">IF(B230="","",IFERROR(INDEX(Products!$B:$B,MATCH(B230,Products!$A:$A,0)),"ID not found"))</f>
        <v/>
      </c>
      <c r="E230" s="30"/>
      <c r="F230" s="30"/>
      <c r="G230" s="30"/>
      <c r="H230" s="30"/>
    </row>
    <row r="231" customFormat="false" ht="15" hidden="false" customHeight="false" outlineLevel="0" collapsed="false">
      <c r="A231" s="29"/>
      <c r="B231" s="29"/>
      <c r="C231" s="20" t="str">
        <f aca="false">IF(A231="","",IFERROR(INDEX(Metrics!$C:$C,MATCH(A231,Metrics!$A:$A,0)),"ID not found"))</f>
        <v/>
      </c>
      <c r="D231" s="20" t="str">
        <f aca="false">IF(B231="","",IFERROR(INDEX(Products!$B:$B,MATCH(B231,Products!$A:$A,0)),"ID not found"))</f>
        <v/>
      </c>
      <c r="E231" s="30"/>
      <c r="F231" s="30"/>
      <c r="G231" s="30"/>
      <c r="H231" s="30"/>
    </row>
    <row r="232" customFormat="false" ht="15" hidden="false" customHeight="false" outlineLevel="0" collapsed="false">
      <c r="A232" s="29"/>
      <c r="B232" s="29"/>
      <c r="C232" s="20" t="str">
        <f aca="false">IF(A232="","",IFERROR(INDEX(Metrics!$C:$C,MATCH(A232,Metrics!$A:$A,0)),"ID not found"))</f>
        <v/>
      </c>
      <c r="D232" s="20" t="str">
        <f aca="false">IF(B232="","",IFERROR(INDEX(Products!$B:$B,MATCH(B232,Products!$A:$A,0)),"ID not found"))</f>
        <v/>
      </c>
      <c r="E232" s="30"/>
      <c r="F232" s="30"/>
      <c r="G232" s="30"/>
      <c r="H232" s="30"/>
    </row>
    <row r="233" customFormat="false" ht="15" hidden="false" customHeight="false" outlineLevel="0" collapsed="false">
      <c r="A233" s="29"/>
      <c r="B233" s="29"/>
      <c r="C233" s="20" t="str">
        <f aca="false">IF(A233="","",IFERROR(INDEX(Metrics!$C:$C,MATCH(A233,Metrics!$A:$A,0)),"ID not found"))</f>
        <v/>
      </c>
      <c r="D233" s="20" t="str">
        <f aca="false">IF(B233="","",IFERROR(INDEX(Products!$B:$B,MATCH(B233,Products!$A:$A,0)),"ID not found"))</f>
        <v/>
      </c>
      <c r="E233" s="30"/>
      <c r="F233" s="30"/>
      <c r="G233" s="30"/>
      <c r="H233" s="30"/>
    </row>
    <row r="234" customFormat="false" ht="15" hidden="false" customHeight="false" outlineLevel="0" collapsed="false">
      <c r="A234" s="29"/>
      <c r="B234" s="29"/>
      <c r="C234" s="20" t="str">
        <f aca="false">IF(A234="","",IFERROR(INDEX(Metrics!$C:$C,MATCH(A234,Metrics!$A:$A,0)),"ID not found"))</f>
        <v/>
      </c>
      <c r="D234" s="20" t="str">
        <f aca="false">IF(B234="","",IFERROR(INDEX(Products!$B:$B,MATCH(B234,Products!$A:$A,0)),"ID not found"))</f>
        <v/>
      </c>
      <c r="E234" s="30"/>
      <c r="F234" s="30"/>
      <c r="G234" s="30"/>
      <c r="H234" s="30"/>
    </row>
    <row r="235" customFormat="false" ht="15" hidden="false" customHeight="false" outlineLevel="0" collapsed="false">
      <c r="A235" s="29"/>
      <c r="B235" s="29"/>
      <c r="C235" s="20" t="str">
        <f aca="false">IF(A235="","",IFERROR(INDEX(Metrics!$C:$C,MATCH(A235,Metrics!$A:$A,0)),"ID not found"))</f>
        <v/>
      </c>
      <c r="D235" s="20" t="str">
        <f aca="false">IF(B235="","",IFERROR(INDEX(Products!$B:$B,MATCH(B235,Products!$A:$A,0)),"ID not found"))</f>
        <v/>
      </c>
      <c r="E235" s="30"/>
      <c r="F235" s="30"/>
      <c r="G235" s="30"/>
      <c r="H235" s="30"/>
    </row>
    <row r="236" customFormat="false" ht="15" hidden="false" customHeight="false" outlineLevel="0" collapsed="false">
      <c r="A236" s="29"/>
      <c r="B236" s="29"/>
      <c r="C236" s="20" t="str">
        <f aca="false">IF(A236="","",IFERROR(INDEX(Metrics!$C:$C,MATCH(A236,Metrics!$A:$A,0)),"ID not found"))</f>
        <v/>
      </c>
      <c r="D236" s="20" t="str">
        <f aca="false">IF(B236="","",IFERROR(INDEX(Products!$B:$B,MATCH(B236,Products!$A:$A,0)),"ID not found"))</f>
        <v/>
      </c>
      <c r="E236" s="30"/>
      <c r="F236" s="30"/>
      <c r="G236" s="30"/>
      <c r="H236" s="30"/>
    </row>
    <row r="237" customFormat="false" ht="15" hidden="false" customHeight="false" outlineLevel="0" collapsed="false">
      <c r="A237" s="29"/>
      <c r="B237" s="29"/>
      <c r="C237" s="20" t="str">
        <f aca="false">IF(A237="","",IFERROR(INDEX(Metrics!$C:$C,MATCH(A237,Metrics!$A:$A,0)),"ID not found"))</f>
        <v/>
      </c>
      <c r="D237" s="20" t="str">
        <f aca="false">IF(B237="","",IFERROR(INDEX(Products!$B:$B,MATCH(B237,Products!$A:$A,0)),"ID not found"))</f>
        <v/>
      </c>
      <c r="E237" s="30"/>
      <c r="F237" s="30"/>
      <c r="G237" s="30"/>
      <c r="H237" s="30"/>
    </row>
    <row r="238" customFormat="false" ht="15" hidden="false" customHeight="false" outlineLevel="0" collapsed="false">
      <c r="A238" s="29"/>
      <c r="B238" s="29"/>
      <c r="C238" s="20" t="str">
        <f aca="false">IF(A238="","",IFERROR(INDEX(Metrics!$C:$C,MATCH(A238,Metrics!$A:$A,0)),"ID not found"))</f>
        <v/>
      </c>
      <c r="D238" s="20" t="str">
        <f aca="false">IF(B238="","",IFERROR(INDEX(Products!$B:$B,MATCH(B238,Products!$A:$A,0)),"ID not found"))</f>
        <v/>
      </c>
      <c r="E238" s="30"/>
      <c r="F238" s="30"/>
      <c r="G238" s="30"/>
      <c r="H238" s="30"/>
    </row>
    <row r="239" customFormat="false" ht="15" hidden="false" customHeight="false" outlineLevel="0" collapsed="false">
      <c r="A239" s="29"/>
      <c r="B239" s="29"/>
      <c r="C239" s="20" t="str">
        <f aca="false">IF(A239="","",IFERROR(INDEX(Metrics!$C:$C,MATCH(A239,Metrics!$A:$A,0)),"ID not found"))</f>
        <v/>
      </c>
      <c r="D239" s="20" t="str">
        <f aca="false">IF(B239="","",IFERROR(INDEX(Products!$B:$B,MATCH(B239,Products!$A:$A,0)),"ID not found"))</f>
        <v/>
      </c>
      <c r="E239" s="30"/>
      <c r="F239" s="30"/>
      <c r="G239" s="30"/>
      <c r="H239" s="30"/>
    </row>
    <row r="240" customFormat="false" ht="15" hidden="false" customHeight="false" outlineLevel="0" collapsed="false">
      <c r="A240" s="29"/>
      <c r="B240" s="29"/>
      <c r="C240" s="20" t="str">
        <f aca="false">IF(A240="","",IFERROR(INDEX(Metrics!$C:$C,MATCH(A240,Metrics!$A:$A,0)),"ID not found"))</f>
        <v/>
      </c>
      <c r="D240" s="20" t="str">
        <f aca="false">IF(B240="","",IFERROR(INDEX(Products!$B:$B,MATCH(B240,Products!$A:$A,0)),"ID not found"))</f>
        <v/>
      </c>
      <c r="E240" s="30"/>
      <c r="F240" s="30"/>
      <c r="G240" s="30"/>
      <c r="H240" s="30"/>
    </row>
    <row r="241" customFormat="false" ht="15" hidden="false" customHeight="false" outlineLevel="0" collapsed="false">
      <c r="A241" s="29"/>
      <c r="B241" s="29"/>
      <c r="C241" s="20" t="str">
        <f aca="false">IF(A241="","",IFERROR(INDEX(Metrics!$C:$C,MATCH(A241,Metrics!$A:$A,0)),"ID not found"))</f>
        <v/>
      </c>
      <c r="D241" s="20" t="str">
        <f aca="false">IF(B241="","",IFERROR(INDEX(Products!$B:$B,MATCH(B241,Products!$A:$A,0)),"ID not found"))</f>
        <v/>
      </c>
      <c r="E241" s="30"/>
      <c r="F241" s="30"/>
      <c r="G241" s="30"/>
      <c r="H241" s="30"/>
    </row>
    <row r="242" customFormat="false" ht="15" hidden="false" customHeight="false" outlineLevel="0" collapsed="false">
      <c r="A242" s="29"/>
      <c r="B242" s="29"/>
      <c r="C242" s="20" t="str">
        <f aca="false">IF(A242="","",IFERROR(INDEX(Metrics!$C:$C,MATCH(A242,Metrics!$A:$A,0)),"ID not found"))</f>
        <v/>
      </c>
      <c r="D242" s="20" t="str">
        <f aca="false">IF(B242="","",IFERROR(INDEX(Products!$B:$B,MATCH(B242,Products!$A:$A,0)),"ID not found"))</f>
        <v/>
      </c>
      <c r="E242" s="30"/>
      <c r="F242" s="30"/>
      <c r="G242" s="30"/>
      <c r="H242" s="30"/>
    </row>
    <row r="243" customFormat="false" ht="15" hidden="false" customHeight="false" outlineLevel="0" collapsed="false">
      <c r="A243" s="29"/>
      <c r="B243" s="29"/>
      <c r="C243" s="20" t="str">
        <f aca="false">IF(A243="","",IFERROR(INDEX(Metrics!$C:$C,MATCH(A243,Metrics!$A:$A,0)),"ID not found"))</f>
        <v/>
      </c>
      <c r="D243" s="20" t="str">
        <f aca="false">IF(B243="","",IFERROR(INDEX(Products!$B:$B,MATCH(B243,Products!$A:$A,0)),"ID not found"))</f>
        <v/>
      </c>
      <c r="E243" s="30"/>
      <c r="F243" s="30"/>
      <c r="G243" s="30"/>
      <c r="H243" s="30"/>
    </row>
    <row r="244" customFormat="false" ht="15" hidden="false" customHeight="false" outlineLevel="0" collapsed="false">
      <c r="A244" s="29"/>
      <c r="B244" s="29"/>
      <c r="C244" s="20" t="str">
        <f aca="false">IF(A244="","",IFERROR(INDEX(Metrics!$C:$C,MATCH(A244,Metrics!$A:$A,0)),"ID not found"))</f>
        <v/>
      </c>
      <c r="D244" s="20" t="str">
        <f aca="false">IF(B244="","",IFERROR(INDEX(Products!$B:$B,MATCH(B244,Products!$A:$A,0)),"ID not found"))</f>
        <v/>
      </c>
      <c r="E244" s="30"/>
      <c r="F244" s="30"/>
      <c r="G244" s="30"/>
      <c r="H244" s="30"/>
    </row>
    <row r="245" customFormat="false" ht="15" hidden="false" customHeight="false" outlineLevel="0" collapsed="false">
      <c r="A245" s="29"/>
      <c r="B245" s="29"/>
      <c r="C245" s="20" t="str">
        <f aca="false">IF(A245="","",IFERROR(INDEX(Metrics!$C:$C,MATCH(A245,Metrics!$A:$A,0)),"ID not found"))</f>
        <v/>
      </c>
      <c r="D245" s="20" t="str">
        <f aca="false">IF(B245="","",IFERROR(INDEX(Products!$B:$B,MATCH(B245,Products!$A:$A,0)),"ID not found"))</f>
        <v/>
      </c>
      <c r="E245" s="30"/>
      <c r="F245" s="30"/>
      <c r="G245" s="30"/>
      <c r="H245" s="30"/>
    </row>
    <row r="246" customFormat="false" ht="15" hidden="false" customHeight="false" outlineLevel="0" collapsed="false">
      <c r="A246" s="29"/>
      <c r="B246" s="29"/>
      <c r="C246" s="20" t="str">
        <f aca="false">IF(A246="","",IFERROR(INDEX(Metrics!$C:$C,MATCH(A246,Metrics!$A:$A,0)),"ID not found"))</f>
        <v/>
      </c>
      <c r="D246" s="20" t="str">
        <f aca="false">IF(B246="","",IFERROR(INDEX(Products!$B:$B,MATCH(B246,Products!$A:$A,0)),"ID not found"))</f>
        <v/>
      </c>
      <c r="E246" s="30"/>
      <c r="F246" s="30"/>
      <c r="G246" s="30"/>
      <c r="H246" s="30"/>
    </row>
    <row r="247" customFormat="false" ht="15" hidden="false" customHeight="false" outlineLevel="0" collapsed="false">
      <c r="A247" s="29"/>
      <c r="B247" s="29"/>
      <c r="C247" s="20" t="str">
        <f aca="false">IF(A247="","",IFERROR(INDEX(Metrics!$C:$C,MATCH(A247,Metrics!$A:$A,0)),"ID not found"))</f>
        <v/>
      </c>
      <c r="D247" s="20" t="str">
        <f aca="false">IF(B247="","",IFERROR(INDEX(Products!$B:$B,MATCH(B247,Products!$A:$A,0)),"ID not found"))</f>
        <v/>
      </c>
      <c r="E247" s="30"/>
      <c r="F247" s="30"/>
      <c r="G247" s="30"/>
      <c r="H247" s="30"/>
    </row>
    <row r="248" customFormat="false" ht="15" hidden="false" customHeight="false" outlineLevel="0" collapsed="false">
      <c r="A248" s="29"/>
      <c r="B248" s="29"/>
      <c r="C248" s="20" t="str">
        <f aca="false">IF(A248="","",IFERROR(INDEX(Metrics!$C:$C,MATCH(A248,Metrics!$A:$A,0)),"ID not found"))</f>
        <v/>
      </c>
      <c r="D248" s="20" t="str">
        <f aca="false">IF(B248="","",IFERROR(INDEX(Products!$B:$B,MATCH(B248,Products!$A:$A,0)),"ID not found"))</f>
        <v/>
      </c>
      <c r="E248" s="30"/>
      <c r="F248" s="30"/>
      <c r="G248" s="30"/>
      <c r="H248" s="30"/>
    </row>
    <row r="249" customFormat="false" ht="15" hidden="false" customHeight="false" outlineLevel="0" collapsed="false">
      <c r="A249" s="29"/>
      <c r="B249" s="29"/>
      <c r="C249" s="20" t="str">
        <f aca="false">IF(A249="","",IFERROR(INDEX(Metrics!$C:$C,MATCH(A249,Metrics!$A:$A,0)),"ID not found"))</f>
        <v/>
      </c>
      <c r="D249" s="20" t="str">
        <f aca="false">IF(B249="","",IFERROR(INDEX(Products!$B:$B,MATCH(B249,Products!$A:$A,0)),"ID not found"))</f>
        <v/>
      </c>
      <c r="E249" s="30"/>
      <c r="F249" s="30"/>
      <c r="G249" s="30"/>
      <c r="H249" s="30"/>
    </row>
    <row r="250" customFormat="false" ht="15" hidden="false" customHeight="false" outlineLevel="0" collapsed="false">
      <c r="A250" s="29"/>
      <c r="B250" s="29"/>
      <c r="C250" s="20" t="str">
        <f aca="false">IF(A250="","",IFERROR(INDEX(Metrics!$C:$C,MATCH(A250,Metrics!$A:$A,0)),"ID not found"))</f>
        <v/>
      </c>
      <c r="D250" s="20" t="str">
        <f aca="false">IF(B250="","",IFERROR(INDEX(Products!$B:$B,MATCH(B250,Products!$A:$A,0)),"ID not found"))</f>
        <v/>
      </c>
      <c r="E250" s="30"/>
      <c r="F250" s="30"/>
      <c r="G250" s="30"/>
      <c r="H250" s="30"/>
    </row>
    <row r="251" customFormat="false" ht="15" hidden="false" customHeight="false" outlineLevel="0" collapsed="false">
      <c r="A251" s="29"/>
      <c r="B251" s="29"/>
      <c r="C251" s="20" t="str">
        <f aca="false">IF(A251="","",IFERROR(INDEX(Metrics!$C:$C,MATCH(A251,Metrics!$A:$A,0)),"ID not found"))</f>
        <v/>
      </c>
      <c r="D251" s="20" t="str">
        <f aca="false">IF(B251="","",IFERROR(INDEX(Products!$B:$B,MATCH(B251,Products!$A:$A,0)),"ID not found"))</f>
        <v/>
      </c>
      <c r="E251" s="30"/>
      <c r="F251" s="30"/>
      <c r="G251" s="30"/>
      <c r="H251" s="30"/>
    </row>
    <row r="252" customFormat="false" ht="15" hidden="false" customHeight="false" outlineLevel="0" collapsed="false">
      <c r="A252" s="29"/>
      <c r="B252" s="29"/>
      <c r="C252" s="20" t="str">
        <f aca="false">IF(A252="","",IFERROR(INDEX(Metrics!$C:$C,MATCH(A252,Metrics!$A:$A,0)),"ID not found"))</f>
        <v/>
      </c>
      <c r="D252" s="20" t="str">
        <f aca="false">IF(B252="","",IFERROR(INDEX(Products!$B:$B,MATCH(B252,Products!$A:$A,0)),"ID not found"))</f>
        <v/>
      </c>
      <c r="E252" s="30"/>
      <c r="F252" s="30"/>
      <c r="G252" s="30"/>
      <c r="H252" s="30"/>
    </row>
    <row r="253" customFormat="false" ht="15" hidden="false" customHeight="false" outlineLevel="0" collapsed="false">
      <c r="A253" s="29"/>
      <c r="B253" s="29"/>
      <c r="C253" s="20" t="str">
        <f aca="false">IF(A253="","",IFERROR(INDEX(Metrics!$C:$C,MATCH(A253,Metrics!$A:$A,0)),"ID not found"))</f>
        <v/>
      </c>
      <c r="D253" s="20" t="str">
        <f aca="false">IF(B253="","",IFERROR(INDEX(Products!$B:$B,MATCH(B253,Products!$A:$A,0)),"ID not found"))</f>
        <v/>
      </c>
      <c r="E253" s="30"/>
      <c r="F253" s="30"/>
      <c r="G253" s="30"/>
      <c r="H253" s="30"/>
    </row>
    <row r="254" customFormat="false" ht="15" hidden="false" customHeight="false" outlineLevel="0" collapsed="false">
      <c r="A254" s="29"/>
      <c r="B254" s="29"/>
      <c r="C254" s="20" t="str">
        <f aca="false">IF(A254="","",IFERROR(INDEX(Metrics!$C:$C,MATCH(A254,Metrics!$A:$A,0)),"ID not found"))</f>
        <v/>
      </c>
      <c r="D254" s="20" t="str">
        <f aca="false">IF(B254="","",IFERROR(INDEX(Products!$B:$B,MATCH(B254,Products!$A:$A,0)),"ID not found"))</f>
        <v/>
      </c>
      <c r="E254" s="30"/>
      <c r="F254" s="30"/>
      <c r="G254" s="30"/>
      <c r="H254" s="30"/>
    </row>
    <row r="255" customFormat="false" ht="15" hidden="false" customHeight="false" outlineLevel="0" collapsed="false">
      <c r="A255" s="29"/>
      <c r="B255" s="29"/>
      <c r="C255" s="20" t="str">
        <f aca="false">IF(A255="","",IFERROR(INDEX(Metrics!$C:$C,MATCH(A255,Metrics!$A:$A,0)),"ID not found"))</f>
        <v/>
      </c>
      <c r="D255" s="20" t="str">
        <f aca="false">IF(B255="","",IFERROR(INDEX(Products!$B:$B,MATCH(B255,Products!$A:$A,0)),"ID not found"))</f>
        <v/>
      </c>
      <c r="E255" s="30"/>
      <c r="F255" s="30"/>
      <c r="G255" s="30"/>
      <c r="H255" s="30"/>
    </row>
    <row r="256" customFormat="false" ht="15" hidden="false" customHeight="false" outlineLevel="0" collapsed="false">
      <c r="A256" s="29"/>
      <c r="B256" s="29"/>
      <c r="C256" s="20" t="str">
        <f aca="false">IF(A256="","",IFERROR(INDEX(Metrics!$C:$C,MATCH(A256,Metrics!$A:$A,0)),"ID not found"))</f>
        <v/>
      </c>
      <c r="D256" s="20" t="str">
        <f aca="false">IF(B256="","",IFERROR(INDEX(Products!$B:$B,MATCH(B256,Products!$A:$A,0)),"ID not found"))</f>
        <v/>
      </c>
      <c r="E256" s="30"/>
      <c r="F256" s="30"/>
      <c r="G256" s="30"/>
      <c r="H256" s="30"/>
    </row>
    <row r="257" customFormat="false" ht="15" hidden="false" customHeight="false" outlineLevel="0" collapsed="false">
      <c r="A257" s="29"/>
      <c r="B257" s="29"/>
      <c r="C257" s="20" t="str">
        <f aca="false">IF(A257="","",IFERROR(INDEX(Metrics!$C:$C,MATCH(A257,Metrics!$A:$A,0)),"ID not found"))</f>
        <v/>
      </c>
      <c r="D257" s="20" t="str">
        <f aca="false">IF(B257="","",IFERROR(INDEX(Products!$B:$B,MATCH(B257,Products!$A:$A,0)),"ID not found"))</f>
        <v/>
      </c>
      <c r="E257" s="30"/>
      <c r="F257" s="30"/>
      <c r="G257" s="30"/>
      <c r="H257" s="30"/>
    </row>
    <row r="258" customFormat="false" ht="15" hidden="false" customHeight="false" outlineLevel="0" collapsed="false">
      <c r="A258" s="29"/>
      <c r="B258" s="29"/>
      <c r="C258" s="20" t="str">
        <f aca="false">IF(A258="","",IFERROR(INDEX(Metrics!$C:$C,MATCH(A258,Metrics!$A:$A,0)),"ID not found"))</f>
        <v/>
      </c>
      <c r="D258" s="20" t="str">
        <f aca="false">IF(B258="","",IFERROR(INDEX(Products!$B:$B,MATCH(B258,Products!$A:$A,0)),"ID not found"))</f>
        <v/>
      </c>
      <c r="E258" s="30"/>
      <c r="F258" s="30"/>
      <c r="G258" s="30"/>
      <c r="H258" s="30"/>
    </row>
    <row r="259" customFormat="false" ht="15" hidden="false" customHeight="false" outlineLevel="0" collapsed="false">
      <c r="A259" s="29"/>
      <c r="B259" s="29"/>
      <c r="C259" s="20" t="str">
        <f aca="false">IF(A259="","",IFERROR(INDEX(Metrics!$C:$C,MATCH(A259,Metrics!$A:$A,0)),"ID not found"))</f>
        <v/>
      </c>
      <c r="D259" s="20" t="str">
        <f aca="false">IF(B259="","",IFERROR(INDEX(Products!$B:$B,MATCH(B259,Products!$A:$A,0)),"ID not found"))</f>
        <v/>
      </c>
      <c r="E259" s="30"/>
      <c r="F259" s="30"/>
      <c r="G259" s="30"/>
      <c r="H259" s="30"/>
    </row>
    <row r="260" customFormat="false" ht="15" hidden="false" customHeight="false" outlineLevel="0" collapsed="false">
      <c r="A260" s="29"/>
      <c r="B260" s="29"/>
      <c r="C260" s="20" t="str">
        <f aca="false">IF(A260="","",IFERROR(INDEX(Metrics!$C:$C,MATCH(A260,Metrics!$A:$A,0)),"ID not found"))</f>
        <v/>
      </c>
      <c r="D260" s="20" t="str">
        <f aca="false">IF(B260="","",IFERROR(INDEX(Products!$B:$B,MATCH(B260,Products!$A:$A,0)),"ID not found"))</f>
        <v/>
      </c>
      <c r="E260" s="30"/>
      <c r="F260" s="30"/>
      <c r="G260" s="30"/>
      <c r="H260" s="30"/>
    </row>
    <row r="261" customFormat="false" ht="15" hidden="false" customHeight="false" outlineLevel="0" collapsed="false">
      <c r="A261" s="29"/>
      <c r="B261" s="29"/>
      <c r="C261" s="20" t="str">
        <f aca="false">IF(A261="","",IFERROR(INDEX(Metrics!$C:$C,MATCH(A261,Metrics!$A:$A,0)),"ID not found"))</f>
        <v/>
      </c>
      <c r="D261" s="20" t="str">
        <f aca="false">IF(B261="","",IFERROR(INDEX(Products!$B:$B,MATCH(B261,Products!$A:$A,0)),"ID not found"))</f>
        <v/>
      </c>
      <c r="E261" s="30"/>
      <c r="F261" s="30"/>
      <c r="G261" s="30"/>
      <c r="H261" s="30"/>
    </row>
    <row r="262" customFormat="false" ht="15" hidden="false" customHeight="false" outlineLevel="0" collapsed="false">
      <c r="A262" s="29"/>
      <c r="B262" s="29"/>
      <c r="C262" s="20" t="str">
        <f aca="false">IF(A262="","",IFERROR(INDEX(Metrics!$C:$C,MATCH(A262,Metrics!$A:$A,0)),"ID not found"))</f>
        <v/>
      </c>
      <c r="D262" s="20" t="str">
        <f aca="false">IF(B262="","",IFERROR(INDEX(Products!$B:$B,MATCH(B262,Products!$A:$A,0)),"ID not found"))</f>
        <v/>
      </c>
      <c r="E262" s="30"/>
      <c r="F262" s="30"/>
      <c r="G262" s="30"/>
      <c r="H262" s="30"/>
    </row>
    <row r="263" customFormat="false" ht="15" hidden="false" customHeight="false" outlineLevel="0" collapsed="false">
      <c r="A263" s="29"/>
      <c r="B263" s="29"/>
      <c r="C263" s="20" t="str">
        <f aca="false">IF(A263="","",IFERROR(INDEX(Metrics!$C:$C,MATCH(A263,Metrics!$A:$A,0)),"ID not found"))</f>
        <v/>
      </c>
      <c r="D263" s="20" t="str">
        <f aca="false">IF(B263="","",IFERROR(INDEX(Products!$B:$B,MATCH(B263,Products!$A:$A,0)),"ID not found"))</f>
        <v/>
      </c>
      <c r="E263" s="30"/>
      <c r="F263" s="30"/>
      <c r="G263" s="30"/>
      <c r="H263" s="30"/>
    </row>
    <row r="264" customFormat="false" ht="15" hidden="false" customHeight="false" outlineLevel="0" collapsed="false">
      <c r="A264" s="29"/>
      <c r="B264" s="29"/>
      <c r="C264" s="20" t="str">
        <f aca="false">IF(A264="","",IFERROR(INDEX(Metrics!$C:$C,MATCH(A264,Metrics!$A:$A,0)),"ID not found"))</f>
        <v/>
      </c>
      <c r="D264" s="20" t="str">
        <f aca="false">IF(B264="","",IFERROR(INDEX(Products!$B:$B,MATCH(B264,Products!$A:$A,0)),"ID not found"))</f>
        <v/>
      </c>
      <c r="E264" s="30"/>
      <c r="F264" s="30"/>
      <c r="G264" s="30"/>
      <c r="H264" s="30"/>
    </row>
    <row r="265" customFormat="false" ht="15" hidden="false" customHeight="false" outlineLevel="0" collapsed="false">
      <c r="A265" s="29"/>
      <c r="B265" s="29"/>
      <c r="C265" s="20" t="str">
        <f aca="false">IF(A265="","",IFERROR(INDEX(Metrics!$C:$C,MATCH(A265,Metrics!$A:$A,0)),"ID not found"))</f>
        <v/>
      </c>
      <c r="D265" s="20" t="str">
        <f aca="false">IF(B265="","",IFERROR(INDEX(Products!$B:$B,MATCH(B265,Products!$A:$A,0)),"ID not found"))</f>
        <v/>
      </c>
      <c r="E265" s="30"/>
      <c r="F265" s="30"/>
      <c r="G265" s="30"/>
      <c r="H265" s="30"/>
    </row>
    <row r="266" customFormat="false" ht="15" hidden="false" customHeight="false" outlineLevel="0" collapsed="false">
      <c r="A266" s="29"/>
      <c r="B266" s="29"/>
      <c r="C266" s="20" t="str">
        <f aca="false">IF(A266="","",IFERROR(INDEX(Metrics!$C:$C,MATCH(A266,Metrics!$A:$A,0)),"ID not found"))</f>
        <v/>
      </c>
      <c r="D266" s="20" t="str">
        <f aca="false">IF(B266="","",IFERROR(INDEX(Products!$B:$B,MATCH(B266,Products!$A:$A,0)),"ID not found"))</f>
        <v/>
      </c>
      <c r="E266" s="30"/>
      <c r="F266" s="30"/>
      <c r="G266" s="30"/>
      <c r="H266" s="30"/>
    </row>
    <row r="267" customFormat="false" ht="15" hidden="false" customHeight="false" outlineLevel="0" collapsed="false">
      <c r="A267" s="29"/>
      <c r="B267" s="29"/>
      <c r="C267" s="20" t="str">
        <f aca="false">IF(A267="","",IFERROR(INDEX(Metrics!$C:$C,MATCH(A267,Metrics!$A:$A,0)),"ID not found"))</f>
        <v/>
      </c>
      <c r="D267" s="20" t="str">
        <f aca="false">IF(B267="","",IFERROR(INDEX(Products!$B:$B,MATCH(B267,Products!$A:$A,0)),"ID not found"))</f>
        <v/>
      </c>
      <c r="E267" s="30"/>
      <c r="F267" s="30"/>
      <c r="G267" s="30"/>
      <c r="H267" s="30"/>
    </row>
    <row r="268" customFormat="false" ht="15" hidden="false" customHeight="false" outlineLevel="0" collapsed="false">
      <c r="A268" s="29"/>
      <c r="B268" s="29"/>
      <c r="C268" s="20" t="str">
        <f aca="false">IF(A268="","",IFERROR(INDEX(Metrics!$C:$C,MATCH(A268,Metrics!$A:$A,0)),"ID not found"))</f>
        <v/>
      </c>
      <c r="D268" s="20" t="str">
        <f aca="false">IF(B268="","",IFERROR(INDEX(Products!$B:$B,MATCH(B268,Products!$A:$A,0)),"ID not found"))</f>
        <v/>
      </c>
      <c r="E268" s="30"/>
      <c r="F268" s="30"/>
      <c r="G268" s="30"/>
      <c r="H268" s="30"/>
    </row>
    <row r="269" customFormat="false" ht="15" hidden="false" customHeight="false" outlineLevel="0" collapsed="false">
      <c r="A269" s="29"/>
      <c r="B269" s="29"/>
      <c r="C269" s="20" t="str">
        <f aca="false">IF(A269="","",IFERROR(INDEX(Metrics!$C:$C,MATCH(A269,Metrics!$A:$A,0)),"ID not found"))</f>
        <v/>
      </c>
      <c r="D269" s="20" t="str">
        <f aca="false">IF(B269="","",IFERROR(INDEX(Products!$B:$B,MATCH(B269,Products!$A:$A,0)),"ID not found"))</f>
        <v/>
      </c>
      <c r="E269" s="30"/>
      <c r="F269" s="30"/>
      <c r="G269" s="30"/>
      <c r="H269" s="30"/>
    </row>
    <row r="270" customFormat="false" ht="15" hidden="false" customHeight="false" outlineLevel="0" collapsed="false">
      <c r="A270" s="29"/>
      <c r="B270" s="29"/>
      <c r="C270" s="20" t="str">
        <f aca="false">IF(A270="","",IFERROR(INDEX(Metrics!$C:$C,MATCH(A270,Metrics!$A:$A,0)),"ID not found"))</f>
        <v/>
      </c>
      <c r="D270" s="20" t="str">
        <f aca="false">IF(B270="","",IFERROR(INDEX(Products!$B:$B,MATCH(B270,Products!$A:$A,0)),"ID not found"))</f>
        <v/>
      </c>
      <c r="E270" s="30"/>
      <c r="F270" s="30"/>
      <c r="G270" s="30"/>
      <c r="H270" s="30"/>
    </row>
    <row r="271" customFormat="false" ht="15" hidden="false" customHeight="false" outlineLevel="0" collapsed="false">
      <c r="A271" s="29"/>
      <c r="B271" s="29"/>
      <c r="C271" s="20" t="str">
        <f aca="false">IF(A271="","",IFERROR(INDEX(Metrics!$C:$C,MATCH(A271,Metrics!$A:$A,0)),"ID not found"))</f>
        <v/>
      </c>
      <c r="D271" s="20" t="str">
        <f aca="false">IF(B271="","",IFERROR(INDEX(Products!$B:$B,MATCH(B271,Products!$A:$A,0)),"ID not found"))</f>
        <v/>
      </c>
      <c r="E271" s="30"/>
      <c r="F271" s="30"/>
      <c r="G271" s="30"/>
      <c r="H271" s="30"/>
    </row>
    <row r="272" customFormat="false" ht="15" hidden="false" customHeight="false" outlineLevel="0" collapsed="false">
      <c r="A272" s="29"/>
      <c r="B272" s="29"/>
      <c r="C272" s="20" t="str">
        <f aca="false">IF(A272="","",IFERROR(INDEX(Metrics!$C:$C,MATCH(A272,Metrics!$A:$A,0)),"ID not found"))</f>
        <v/>
      </c>
      <c r="D272" s="20" t="str">
        <f aca="false">IF(B272="","",IFERROR(INDEX(Products!$B:$B,MATCH(B272,Products!$A:$A,0)),"ID not found"))</f>
        <v/>
      </c>
      <c r="E272" s="30"/>
      <c r="F272" s="30"/>
      <c r="G272" s="30"/>
      <c r="H272" s="30"/>
    </row>
    <row r="273" customFormat="false" ht="15" hidden="false" customHeight="false" outlineLevel="0" collapsed="false">
      <c r="A273" s="29"/>
      <c r="B273" s="29"/>
      <c r="C273" s="20" t="str">
        <f aca="false">IF(A273="","",IFERROR(INDEX(Metrics!$C:$C,MATCH(A273,Metrics!$A:$A,0)),"ID not found"))</f>
        <v/>
      </c>
      <c r="D273" s="20" t="str">
        <f aca="false">IF(B273="","",IFERROR(INDEX(Products!$B:$B,MATCH(B273,Products!$A:$A,0)),"ID not found"))</f>
        <v/>
      </c>
      <c r="E273" s="30"/>
      <c r="F273" s="30"/>
      <c r="G273" s="30"/>
      <c r="H273" s="30"/>
    </row>
    <row r="274" customFormat="false" ht="15" hidden="false" customHeight="false" outlineLevel="0" collapsed="false">
      <c r="A274" s="29"/>
      <c r="B274" s="29"/>
      <c r="C274" s="20" t="str">
        <f aca="false">IF(A274="","",IFERROR(INDEX(Metrics!$C:$C,MATCH(A274,Metrics!$A:$A,0)),"ID not found"))</f>
        <v/>
      </c>
      <c r="D274" s="20" t="str">
        <f aca="false">IF(B274="","",IFERROR(INDEX(Products!$B:$B,MATCH(B274,Products!$A:$A,0)),"ID not found"))</f>
        <v/>
      </c>
      <c r="E274" s="30"/>
      <c r="F274" s="30"/>
      <c r="G274" s="30"/>
      <c r="H274" s="30"/>
    </row>
    <row r="275" customFormat="false" ht="15" hidden="false" customHeight="false" outlineLevel="0" collapsed="false">
      <c r="A275" s="29"/>
      <c r="B275" s="29"/>
      <c r="C275" s="20" t="str">
        <f aca="false">IF(A275="","",IFERROR(INDEX(Metrics!$C:$C,MATCH(A275,Metrics!$A:$A,0)),"ID not found"))</f>
        <v/>
      </c>
      <c r="D275" s="20" t="str">
        <f aca="false">IF(B275="","",IFERROR(INDEX(Products!$B:$B,MATCH(B275,Products!$A:$A,0)),"ID not found"))</f>
        <v/>
      </c>
      <c r="E275" s="30"/>
      <c r="F275" s="30"/>
      <c r="G275" s="30"/>
      <c r="H275" s="30"/>
    </row>
    <row r="276" customFormat="false" ht="15" hidden="false" customHeight="false" outlineLevel="0" collapsed="false">
      <c r="A276" s="29"/>
      <c r="B276" s="29"/>
      <c r="C276" s="20" t="str">
        <f aca="false">IF(A276="","",IFERROR(INDEX(Metrics!$C:$C,MATCH(A276,Metrics!$A:$A,0)),"ID not found"))</f>
        <v/>
      </c>
      <c r="D276" s="20" t="str">
        <f aca="false">IF(B276="","",IFERROR(INDEX(Products!$B:$B,MATCH(B276,Products!$A:$A,0)),"ID not found"))</f>
        <v/>
      </c>
      <c r="E276" s="30"/>
      <c r="F276" s="30"/>
      <c r="G276" s="30"/>
      <c r="H276" s="30"/>
    </row>
    <row r="277" customFormat="false" ht="15" hidden="false" customHeight="false" outlineLevel="0" collapsed="false">
      <c r="A277" s="29"/>
      <c r="B277" s="29"/>
      <c r="C277" s="20" t="str">
        <f aca="false">IF(A277="","",IFERROR(INDEX(Metrics!$C:$C,MATCH(A277,Metrics!$A:$A,0)),"ID not found"))</f>
        <v/>
      </c>
      <c r="D277" s="20" t="str">
        <f aca="false">IF(B277="","",IFERROR(INDEX(Products!$B:$B,MATCH(B277,Products!$A:$A,0)),"ID not found"))</f>
        <v/>
      </c>
      <c r="E277" s="30"/>
      <c r="F277" s="30"/>
      <c r="G277" s="30"/>
      <c r="H277" s="30"/>
    </row>
    <row r="278" customFormat="false" ht="15" hidden="false" customHeight="false" outlineLevel="0" collapsed="false">
      <c r="A278" s="29"/>
      <c r="B278" s="29"/>
      <c r="C278" s="20" t="str">
        <f aca="false">IF(A278="","",IFERROR(INDEX(Metrics!$C:$C,MATCH(A278,Metrics!$A:$A,0)),"ID not found"))</f>
        <v/>
      </c>
      <c r="D278" s="20" t="str">
        <f aca="false">IF(B278="","",IFERROR(INDEX(Products!$B:$B,MATCH(B278,Products!$A:$A,0)),"ID not found"))</f>
        <v/>
      </c>
      <c r="E278" s="30"/>
      <c r="F278" s="30"/>
      <c r="G278" s="30"/>
      <c r="H278" s="30"/>
    </row>
    <row r="279" customFormat="false" ht="15" hidden="false" customHeight="false" outlineLevel="0" collapsed="false">
      <c r="A279" s="29"/>
      <c r="B279" s="29"/>
      <c r="C279" s="20" t="str">
        <f aca="false">IF(A279="","",IFERROR(INDEX(Metrics!$C:$C,MATCH(A279,Metrics!$A:$A,0)),"ID not found"))</f>
        <v/>
      </c>
      <c r="D279" s="20" t="str">
        <f aca="false">IF(B279="","",IFERROR(INDEX(Products!$B:$B,MATCH(B279,Products!$A:$A,0)),"ID not found"))</f>
        <v/>
      </c>
      <c r="E279" s="30"/>
      <c r="F279" s="30"/>
      <c r="G279" s="30"/>
      <c r="H279" s="30"/>
    </row>
    <row r="280" customFormat="false" ht="15" hidden="false" customHeight="false" outlineLevel="0" collapsed="false">
      <c r="A280" s="29"/>
      <c r="B280" s="29"/>
      <c r="C280" s="20" t="str">
        <f aca="false">IF(A280="","",IFERROR(INDEX(Metrics!$C:$C,MATCH(A280,Metrics!$A:$A,0)),"ID not found"))</f>
        <v/>
      </c>
      <c r="D280" s="20" t="str">
        <f aca="false">IF(B280="","",IFERROR(INDEX(Products!$B:$B,MATCH(B280,Products!$A:$A,0)),"ID not found"))</f>
        <v/>
      </c>
      <c r="E280" s="30"/>
      <c r="F280" s="30"/>
      <c r="G280" s="30"/>
      <c r="H280" s="30"/>
    </row>
    <row r="281" customFormat="false" ht="15" hidden="false" customHeight="false" outlineLevel="0" collapsed="false">
      <c r="A281" s="29"/>
      <c r="B281" s="29"/>
      <c r="C281" s="20" t="str">
        <f aca="false">IF(A281="","",IFERROR(INDEX(Metrics!$C:$C,MATCH(A281,Metrics!$A:$A,0)),"ID not found"))</f>
        <v/>
      </c>
      <c r="D281" s="20" t="str">
        <f aca="false">IF(B281="","",IFERROR(INDEX(Products!$B:$B,MATCH(B281,Products!$A:$A,0)),"ID not found"))</f>
        <v/>
      </c>
      <c r="E281" s="30"/>
      <c r="F281" s="30"/>
      <c r="G281" s="30"/>
      <c r="H281" s="30"/>
    </row>
    <row r="282" customFormat="false" ht="15" hidden="false" customHeight="false" outlineLevel="0" collapsed="false">
      <c r="A282" s="29"/>
      <c r="B282" s="29"/>
      <c r="C282" s="20" t="str">
        <f aca="false">IF(A282="","",IFERROR(INDEX(Metrics!$C:$C,MATCH(A282,Metrics!$A:$A,0)),"ID not found"))</f>
        <v/>
      </c>
      <c r="D282" s="20" t="str">
        <f aca="false">IF(B282="","",IFERROR(INDEX(Products!$B:$B,MATCH(B282,Products!$A:$A,0)),"ID not found"))</f>
        <v/>
      </c>
      <c r="E282" s="30"/>
      <c r="F282" s="30"/>
      <c r="G282" s="30"/>
      <c r="H282" s="30"/>
    </row>
    <row r="283" customFormat="false" ht="15" hidden="false" customHeight="false" outlineLevel="0" collapsed="false">
      <c r="A283" s="29"/>
      <c r="B283" s="29"/>
      <c r="C283" s="20" t="str">
        <f aca="false">IF(A283="","",IFERROR(INDEX(Metrics!$C:$C,MATCH(A283,Metrics!$A:$A,0)),"ID not found"))</f>
        <v/>
      </c>
      <c r="D283" s="20" t="str">
        <f aca="false">IF(B283="","",IFERROR(INDEX(Products!$B:$B,MATCH(B283,Products!$A:$A,0)),"ID not found"))</f>
        <v/>
      </c>
      <c r="E283" s="30"/>
      <c r="F283" s="30"/>
      <c r="G283" s="30"/>
      <c r="H283" s="30"/>
    </row>
    <row r="284" customFormat="false" ht="15" hidden="false" customHeight="false" outlineLevel="0" collapsed="false">
      <c r="A284" s="29"/>
      <c r="B284" s="29"/>
      <c r="C284" s="20" t="str">
        <f aca="false">IF(A284="","",IFERROR(INDEX(Metrics!$C:$C,MATCH(A284,Metrics!$A:$A,0)),"ID not found"))</f>
        <v/>
      </c>
      <c r="D284" s="20" t="str">
        <f aca="false">IF(B284="","",IFERROR(INDEX(Products!$B:$B,MATCH(B284,Products!$A:$A,0)),"ID not found"))</f>
        <v/>
      </c>
      <c r="E284" s="30"/>
      <c r="F284" s="30"/>
      <c r="G284" s="30"/>
      <c r="H284" s="30"/>
    </row>
    <row r="285" customFormat="false" ht="15" hidden="false" customHeight="false" outlineLevel="0" collapsed="false">
      <c r="A285" s="29"/>
      <c r="B285" s="29"/>
      <c r="C285" s="20" t="str">
        <f aca="false">IF(A285="","",IFERROR(INDEX(Metrics!$C:$C,MATCH(A285,Metrics!$A:$A,0)),"ID not found"))</f>
        <v/>
      </c>
      <c r="D285" s="20" t="str">
        <f aca="false">IF(B285="","",IFERROR(INDEX(Products!$B:$B,MATCH(B285,Products!$A:$A,0)),"ID not found"))</f>
        <v/>
      </c>
      <c r="E285" s="30"/>
      <c r="F285" s="30"/>
      <c r="G285" s="30"/>
      <c r="H285" s="30"/>
    </row>
    <row r="286" customFormat="false" ht="15" hidden="false" customHeight="false" outlineLevel="0" collapsed="false">
      <c r="A286" s="29"/>
      <c r="B286" s="29"/>
      <c r="C286" s="20" t="str">
        <f aca="false">IF(A286="","",IFERROR(INDEX(Metrics!$C:$C,MATCH(A286,Metrics!$A:$A,0)),"ID not found"))</f>
        <v/>
      </c>
      <c r="D286" s="20" t="str">
        <f aca="false">IF(B286="","",IFERROR(INDEX(Products!$B:$B,MATCH(B286,Products!$A:$A,0)),"ID not found"))</f>
        <v/>
      </c>
      <c r="E286" s="30"/>
      <c r="F286" s="30"/>
      <c r="G286" s="30"/>
      <c r="H286" s="30"/>
    </row>
    <row r="287" customFormat="false" ht="15" hidden="false" customHeight="false" outlineLevel="0" collapsed="false">
      <c r="A287" s="29"/>
      <c r="B287" s="29"/>
      <c r="C287" s="20" t="str">
        <f aca="false">IF(A287="","",IFERROR(INDEX(Metrics!$C:$C,MATCH(A287,Metrics!$A:$A,0)),"ID not found"))</f>
        <v/>
      </c>
      <c r="D287" s="20" t="str">
        <f aca="false">IF(B287="","",IFERROR(INDEX(Products!$B:$B,MATCH(B287,Products!$A:$A,0)),"ID not found"))</f>
        <v/>
      </c>
      <c r="E287" s="30"/>
      <c r="F287" s="30"/>
      <c r="G287" s="30"/>
      <c r="H287" s="30"/>
    </row>
    <row r="288" customFormat="false" ht="15" hidden="false" customHeight="false" outlineLevel="0" collapsed="false">
      <c r="A288" s="29"/>
      <c r="B288" s="29"/>
      <c r="C288" s="20" t="str">
        <f aca="false">IF(A288="","",IFERROR(INDEX(Metrics!$C:$C,MATCH(A288,Metrics!$A:$A,0)),"ID not found"))</f>
        <v/>
      </c>
      <c r="D288" s="20" t="str">
        <f aca="false">IF(B288="","",IFERROR(INDEX(Products!$B:$B,MATCH(B288,Products!$A:$A,0)),"ID not found"))</f>
        <v/>
      </c>
      <c r="E288" s="30"/>
      <c r="F288" s="30"/>
      <c r="G288" s="30"/>
      <c r="H288" s="30"/>
    </row>
    <row r="289" customFormat="false" ht="15" hidden="false" customHeight="false" outlineLevel="0" collapsed="false">
      <c r="A289" s="29"/>
      <c r="B289" s="29"/>
      <c r="C289" s="20" t="str">
        <f aca="false">IF(A289="","",IFERROR(INDEX(Metrics!$C:$C,MATCH(A289,Metrics!$A:$A,0)),"ID not found"))</f>
        <v/>
      </c>
      <c r="D289" s="20" t="str">
        <f aca="false">IF(B289="","",IFERROR(INDEX(Products!$B:$B,MATCH(B289,Products!$A:$A,0)),"ID not found"))</f>
        <v/>
      </c>
      <c r="E289" s="30"/>
      <c r="F289" s="30"/>
      <c r="G289" s="30"/>
      <c r="H289" s="30"/>
    </row>
    <row r="290" customFormat="false" ht="15" hidden="false" customHeight="false" outlineLevel="0" collapsed="false">
      <c r="A290" s="29"/>
      <c r="B290" s="29"/>
      <c r="C290" s="20" t="str">
        <f aca="false">IF(A290="","",IFERROR(INDEX(Metrics!$C:$C,MATCH(A290,Metrics!$A:$A,0)),"ID not found"))</f>
        <v/>
      </c>
      <c r="D290" s="20" t="str">
        <f aca="false">IF(B290="","",IFERROR(INDEX(Products!$B:$B,MATCH(B290,Products!$A:$A,0)),"ID not found"))</f>
        <v/>
      </c>
      <c r="E290" s="30"/>
      <c r="F290" s="30"/>
      <c r="G290" s="30"/>
      <c r="H290" s="30"/>
    </row>
    <row r="291" customFormat="false" ht="15" hidden="false" customHeight="false" outlineLevel="0" collapsed="false">
      <c r="A291" s="29"/>
      <c r="B291" s="29"/>
      <c r="C291" s="20" t="str">
        <f aca="false">IF(A291="","",IFERROR(INDEX(Metrics!$C:$C,MATCH(A291,Metrics!$A:$A,0)),"ID not found"))</f>
        <v/>
      </c>
      <c r="D291" s="20" t="str">
        <f aca="false">IF(B291="","",IFERROR(INDEX(Products!$B:$B,MATCH(B291,Products!$A:$A,0)),"ID not found"))</f>
        <v/>
      </c>
      <c r="E291" s="30"/>
      <c r="F291" s="30"/>
      <c r="G291" s="30"/>
      <c r="H291" s="30"/>
    </row>
    <row r="292" customFormat="false" ht="15" hidden="false" customHeight="false" outlineLevel="0" collapsed="false">
      <c r="A292" s="29"/>
      <c r="B292" s="29"/>
      <c r="C292" s="20" t="str">
        <f aca="false">IF(A292="","",IFERROR(INDEX(Metrics!$C:$C,MATCH(A292,Metrics!$A:$A,0)),"ID not found"))</f>
        <v/>
      </c>
      <c r="D292" s="20" t="str">
        <f aca="false">IF(B292="","",IFERROR(INDEX(Products!$B:$B,MATCH(B292,Products!$A:$A,0)),"ID not found"))</f>
        <v/>
      </c>
      <c r="E292" s="30"/>
      <c r="F292" s="30"/>
      <c r="G292" s="30"/>
      <c r="H292" s="30"/>
    </row>
    <row r="293" customFormat="false" ht="15" hidden="false" customHeight="false" outlineLevel="0" collapsed="false">
      <c r="A293" s="29"/>
      <c r="B293" s="29"/>
      <c r="C293" s="20" t="str">
        <f aca="false">IF(A293="","",IFERROR(INDEX(Metrics!$C:$C,MATCH(A293,Metrics!$A:$A,0)),"ID not found"))</f>
        <v/>
      </c>
      <c r="D293" s="20" t="str">
        <f aca="false">IF(B293="","",IFERROR(INDEX(Products!$B:$B,MATCH(B293,Products!$A:$A,0)),"ID not found"))</f>
        <v/>
      </c>
      <c r="E293" s="30"/>
      <c r="F293" s="30"/>
      <c r="G293" s="30"/>
      <c r="H293" s="30"/>
    </row>
    <row r="294" customFormat="false" ht="15" hidden="false" customHeight="false" outlineLevel="0" collapsed="false">
      <c r="A294" s="29"/>
      <c r="B294" s="29"/>
      <c r="C294" s="20" t="str">
        <f aca="false">IF(A294="","",IFERROR(INDEX(Metrics!$C:$C,MATCH(A294,Metrics!$A:$A,0)),"ID not found"))</f>
        <v/>
      </c>
      <c r="D294" s="20" t="str">
        <f aca="false">IF(B294="","",IFERROR(INDEX(Products!$B:$B,MATCH(B294,Products!$A:$A,0)),"ID not found"))</f>
        <v/>
      </c>
      <c r="E294" s="30"/>
      <c r="F294" s="30"/>
      <c r="G294" s="30"/>
      <c r="H294" s="30"/>
    </row>
    <row r="295" customFormat="false" ht="15" hidden="false" customHeight="false" outlineLevel="0" collapsed="false">
      <c r="A295" s="29"/>
      <c r="B295" s="29"/>
      <c r="C295" s="20" t="str">
        <f aca="false">IF(A295="","",IFERROR(INDEX(Metrics!$C:$C,MATCH(A295,Metrics!$A:$A,0)),"ID not found"))</f>
        <v/>
      </c>
      <c r="D295" s="20" t="str">
        <f aca="false">IF(B295="","",IFERROR(INDEX(Products!$B:$B,MATCH(B295,Products!$A:$A,0)),"ID not found"))</f>
        <v/>
      </c>
      <c r="E295" s="30"/>
      <c r="F295" s="30"/>
      <c r="G295" s="30"/>
      <c r="H295" s="30"/>
    </row>
    <row r="296" customFormat="false" ht="15" hidden="false" customHeight="false" outlineLevel="0" collapsed="false">
      <c r="A296" s="29"/>
      <c r="B296" s="29"/>
      <c r="C296" s="20" t="str">
        <f aca="false">IF(A296="","",IFERROR(INDEX(Metrics!$C:$C,MATCH(A296,Metrics!$A:$A,0)),"ID not found"))</f>
        <v/>
      </c>
      <c r="D296" s="20" t="str">
        <f aca="false">IF(B296="","",IFERROR(INDEX(Products!$B:$B,MATCH(B296,Products!$A:$A,0)),"ID not found"))</f>
        <v/>
      </c>
      <c r="E296" s="30"/>
      <c r="F296" s="30"/>
      <c r="G296" s="30"/>
      <c r="H296" s="30"/>
    </row>
    <row r="297" customFormat="false" ht="15" hidden="false" customHeight="false" outlineLevel="0" collapsed="false">
      <c r="A297" s="29"/>
      <c r="B297" s="29"/>
      <c r="C297" s="20" t="str">
        <f aca="false">IF(A297="","",IFERROR(INDEX(Metrics!$C:$C,MATCH(A297,Metrics!$A:$A,0)),"ID not found"))</f>
        <v/>
      </c>
      <c r="D297" s="20" t="str">
        <f aca="false">IF(B297="","",IFERROR(INDEX(Products!$B:$B,MATCH(B297,Products!$A:$A,0)),"ID not found"))</f>
        <v/>
      </c>
      <c r="E297" s="30"/>
      <c r="F297" s="30"/>
      <c r="G297" s="30"/>
      <c r="H297" s="30"/>
    </row>
    <row r="298" customFormat="false" ht="15" hidden="false" customHeight="false" outlineLevel="0" collapsed="false">
      <c r="A298" s="29"/>
      <c r="B298" s="29"/>
      <c r="C298" s="20" t="str">
        <f aca="false">IF(A298="","",IFERROR(INDEX(Metrics!$C:$C,MATCH(A298,Metrics!$A:$A,0)),"ID not found"))</f>
        <v/>
      </c>
      <c r="D298" s="20" t="str">
        <f aca="false">IF(B298="","",IFERROR(INDEX(Products!$B:$B,MATCH(B298,Products!$A:$A,0)),"ID not found"))</f>
        <v/>
      </c>
      <c r="E298" s="30"/>
      <c r="F298" s="30"/>
      <c r="G298" s="30"/>
      <c r="H298" s="30"/>
    </row>
    <row r="299" customFormat="false" ht="15" hidden="false" customHeight="false" outlineLevel="0" collapsed="false">
      <c r="A299" s="29"/>
      <c r="B299" s="29"/>
      <c r="C299" s="20" t="str">
        <f aca="false">IF(A299="","",IFERROR(INDEX(Metrics!$C:$C,MATCH(A299,Metrics!$A:$A,0)),"ID not found"))</f>
        <v/>
      </c>
      <c r="D299" s="20" t="str">
        <f aca="false">IF(B299="","",IFERROR(INDEX(Products!$B:$B,MATCH(B299,Products!$A:$A,0)),"ID not found"))</f>
        <v/>
      </c>
      <c r="E299" s="30"/>
      <c r="F299" s="30"/>
      <c r="G299" s="30"/>
      <c r="H299" s="30"/>
    </row>
    <row r="300" customFormat="false" ht="15" hidden="false" customHeight="false" outlineLevel="0" collapsed="false">
      <c r="A300" s="29"/>
      <c r="B300" s="29"/>
      <c r="C300" s="20" t="str">
        <f aca="false">IF(A300="","",IFERROR(INDEX(Metrics!$C:$C,MATCH(A300,Metrics!$A:$A,0)),"ID not found"))</f>
        <v/>
      </c>
      <c r="D300" s="20" t="str">
        <f aca="false">IF(B300="","",IFERROR(INDEX(Products!$B:$B,MATCH(B300,Products!$A:$A,0)),"ID not found"))</f>
        <v/>
      </c>
      <c r="E300" s="30"/>
      <c r="F300" s="30"/>
      <c r="G300" s="30"/>
      <c r="H300" s="30"/>
    </row>
    <row r="301" customFormat="false" ht="15" hidden="false" customHeight="false" outlineLevel="0" collapsed="false">
      <c r="A301" s="29"/>
      <c r="B301" s="29"/>
      <c r="C301" s="20" t="str">
        <f aca="false">IF(A301="","",IFERROR(INDEX(Metrics!$C:$C,MATCH(A301,Metrics!$A:$A,0)),"ID not found"))</f>
        <v/>
      </c>
      <c r="D301" s="20" t="str">
        <f aca="false">IF(B301="","",IFERROR(INDEX(Products!$B:$B,MATCH(B301,Products!$A:$A,0)),"ID not found"))</f>
        <v/>
      </c>
      <c r="E301" s="30"/>
      <c r="F301" s="30"/>
      <c r="G301" s="30"/>
      <c r="H301" s="30"/>
    </row>
    <row r="302" customFormat="false" ht="15" hidden="false" customHeight="false" outlineLevel="0" collapsed="false">
      <c r="A302" s="29"/>
      <c r="B302" s="29"/>
      <c r="C302" s="20" t="str">
        <f aca="false">IF(A302="","",IFERROR(INDEX(Metrics!$C:$C,MATCH(A302,Metrics!$A:$A,0)),"ID not found"))</f>
        <v/>
      </c>
      <c r="D302" s="20" t="str">
        <f aca="false">IF(B302="","",IFERROR(INDEX(Products!$B:$B,MATCH(B302,Products!$A:$A,0)),"ID not found"))</f>
        <v/>
      </c>
      <c r="E302" s="30"/>
      <c r="F302" s="30"/>
      <c r="G302" s="30"/>
      <c r="H302" s="30"/>
    </row>
    <row r="303" customFormat="false" ht="15" hidden="false" customHeight="false" outlineLevel="0" collapsed="false">
      <c r="A303" s="29"/>
      <c r="B303" s="29"/>
      <c r="C303" s="20" t="str">
        <f aca="false">IF(A303="","",IFERROR(INDEX(Metrics!$C:$C,MATCH(A303,Metrics!$A:$A,0)),"ID not found"))</f>
        <v/>
      </c>
      <c r="D303" s="20" t="str">
        <f aca="false">IF(B303="","",IFERROR(INDEX(Products!$B:$B,MATCH(B303,Products!$A:$A,0)),"ID not found"))</f>
        <v/>
      </c>
      <c r="E303" s="30"/>
      <c r="F303" s="30"/>
      <c r="G303" s="30"/>
      <c r="H303" s="30"/>
    </row>
    <row r="304" customFormat="false" ht="15" hidden="false" customHeight="false" outlineLevel="0" collapsed="false">
      <c r="A304" s="29"/>
      <c r="B304" s="29"/>
      <c r="C304" s="20" t="str">
        <f aca="false">IF(A304="","",IFERROR(INDEX(Metrics!$C:$C,MATCH(A304,Metrics!$A:$A,0)),"ID not found"))</f>
        <v/>
      </c>
      <c r="D304" s="20" t="str">
        <f aca="false">IF(B304="","",IFERROR(INDEX(Products!$B:$B,MATCH(B304,Products!$A:$A,0)),"ID not found"))</f>
        <v/>
      </c>
      <c r="E304" s="30"/>
      <c r="F304" s="30"/>
      <c r="G304" s="30"/>
      <c r="H304" s="30"/>
    </row>
    <row r="305" customFormat="false" ht="15" hidden="false" customHeight="false" outlineLevel="0" collapsed="false">
      <c r="A305" s="29"/>
      <c r="B305" s="29"/>
      <c r="C305" s="20" t="str">
        <f aca="false">IF(A305="","",IFERROR(INDEX(Metrics!$C:$C,MATCH(A305,Metrics!$A:$A,0)),"ID not found"))</f>
        <v/>
      </c>
      <c r="D305" s="20" t="str">
        <f aca="false">IF(B305="","",IFERROR(INDEX(Products!$B:$B,MATCH(B305,Products!$A:$A,0)),"ID not found"))</f>
        <v/>
      </c>
      <c r="E305" s="30"/>
      <c r="F305" s="30"/>
      <c r="G305" s="30"/>
      <c r="H305" s="30"/>
    </row>
    <row r="306" customFormat="false" ht="15" hidden="false" customHeight="false" outlineLevel="0" collapsed="false">
      <c r="A306" s="29"/>
      <c r="B306" s="29"/>
      <c r="C306" s="20" t="str">
        <f aca="false">IF(A306="","",IFERROR(INDEX(Metrics!$C:$C,MATCH(A306,Metrics!$A:$A,0)),"ID not found"))</f>
        <v/>
      </c>
      <c r="D306" s="20" t="str">
        <f aca="false">IF(B306="","",IFERROR(INDEX(Products!$B:$B,MATCH(B306,Products!$A:$A,0)),"ID not found"))</f>
        <v/>
      </c>
      <c r="E306" s="30"/>
      <c r="F306" s="30"/>
      <c r="G306" s="30"/>
      <c r="H306" s="30"/>
    </row>
    <row r="307" customFormat="false" ht="15" hidden="false" customHeight="false" outlineLevel="0" collapsed="false">
      <c r="A307" s="29"/>
      <c r="B307" s="29"/>
      <c r="C307" s="20" t="str">
        <f aca="false">IF(A307="","",IFERROR(INDEX(Metrics!$C:$C,MATCH(A307,Metrics!$A:$A,0)),"ID not found"))</f>
        <v/>
      </c>
      <c r="D307" s="20" t="str">
        <f aca="false">IF(B307="","",IFERROR(INDEX(Products!$B:$B,MATCH(B307,Products!$A:$A,0)),"ID not found"))</f>
        <v/>
      </c>
      <c r="E307" s="30"/>
      <c r="F307" s="30"/>
      <c r="G307" s="30"/>
      <c r="H307" s="30"/>
    </row>
    <row r="308" customFormat="false" ht="15" hidden="false" customHeight="false" outlineLevel="0" collapsed="false">
      <c r="A308" s="29"/>
      <c r="B308" s="29"/>
      <c r="C308" s="20" t="str">
        <f aca="false">IF(A308="","",IFERROR(INDEX(Metrics!$C:$C,MATCH(A308,Metrics!$A:$A,0)),"ID not found"))</f>
        <v/>
      </c>
      <c r="D308" s="20" t="str">
        <f aca="false">IF(B308="","",IFERROR(INDEX(Products!$B:$B,MATCH(B308,Products!$A:$A,0)),"ID not found"))</f>
        <v/>
      </c>
      <c r="E308" s="30"/>
      <c r="F308" s="30"/>
      <c r="G308" s="30"/>
      <c r="H308" s="30"/>
    </row>
    <row r="309" customFormat="false" ht="15" hidden="false" customHeight="false" outlineLevel="0" collapsed="false">
      <c r="A309" s="29"/>
      <c r="B309" s="29"/>
      <c r="C309" s="20" t="str">
        <f aca="false">IF(A309="","",IFERROR(INDEX(Metrics!$C:$C,MATCH(A309,Metrics!$A:$A,0)),"ID not found"))</f>
        <v/>
      </c>
      <c r="D309" s="20" t="str">
        <f aca="false">IF(B309="","",IFERROR(INDEX(Products!$B:$B,MATCH(B309,Products!$A:$A,0)),"ID not found"))</f>
        <v/>
      </c>
      <c r="E309" s="30"/>
      <c r="F309" s="30"/>
      <c r="G309" s="30"/>
      <c r="H309" s="30"/>
    </row>
    <row r="310" customFormat="false" ht="15" hidden="false" customHeight="false" outlineLevel="0" collapsed="false">
      <c r="A310" s="29"/>
      <c r="B310" s="29"/>
      <c r="C310" s="20" t="str">
        <f aca="false">IF(A310="","",IFERROR(INDEX(Metrics!$C:$C,MATCH(A310,Metrics!$A:$A,0)),"ID not found"))</f>
        <v/>
      </c>
      <c r="D310" s="20" t="str">
        <f aca="false">IF(B310="","",IFERROR(INDEX(Products!$B:$B,MATCH(B310,Products!$A:$A,0)),"ID not found"))</f>
        <v/>
      </c>
      <c r="E310" s="30"/>
      <c r="F310" s="30"/>
      <c r="G310" s="30"/>
      <c r="H310" s="30"/>
    </row>
    <row r="311" customFormat="false" ht="15" hidden="false" customHeight="false" outlineLevel="0" collapsed="false">
      <c r="A311" s="29"/>
      <c r="B311" s="29"/>
      <c r="C311" s="20" t="str">
        <f aca="false">IF(A311="","",IFERROR(INDEX(Metrics!$C:$C,MATCH(A311,Metrics!$A:$A,0)),"ID not found"))</f>
        <v/>
      </c>
      <c r="D311" s="20" t="str">
        <f aca="false">IF(B311="","",IFERROR(INDEX(Products!$B:$B,MATCH(B311,Products!$A:$A,0)),"ID not found"))</f>
        <v/>
      </c>
      <c r="E311" s="30"/>
      <c r="F311" s="30"/>
      <c r="G311" s="30"/>
      <c r="H311" s="30"/>
    </row>
    <row r="312" customFormat="false" ht="15" hidden="false" customHeight="false" outlineLevel="0" collapsed="false">
      <c r="A312" s="29"/>
      <c r="B312" s="29"/>
      <c r="C312" s="20" t="str">
        <f aca="false">IF(A312="","",IFERROR(INDEX(Metrics!$C:$C,MATCH(A312,Metrics!$A:$A,0)),"ID not found"))</f>
        <v/>
      </c>
      <c r="D312" s="20" t="str">
        <f aca="false">IF(B312="","",IFERROR(INDEX(Products!$B:$B,MATCH(B312,Products!$A:$A,0)),"ID not found"))</f>
        <v/>
      </c>
      <c r="E312" s="30"/>
      <c r="F312" s="30"/>
      <c r="G312" s="30"/>
      <c r="H312" s="30"/>
    </row>
    <row r="313" customFormat="false" ht="15" hidden="false" customHeight="false" outlineLevel="0" collapsed="false">
      <c r="A313" s="29"/>
      <c r="B313" s="29"/>
      <c r="C313" s="20" t="str">
        <f aca="false">IF(A313="","",IFERROR(INDEX(Metrics!$C:$C,MATCH(A313,Metrics!$A:$A,0)),"ID not found"))</f>
        <v/>
      </c>
      <c r="D313" s="20" t="str">
        <f aca="false">IF(B313="","",IFERROR(INDEX(Products!$B:$B,MATCH(B313,Products!$A:$A,0)),"ID not found"))</f>
        <v/>
      </c>
      <c r="E313" s="30"/>
      <c r="F313" s="30"/>
      <c r="G313" s="30"/>
      <c r="H313" s="30"/>
    </row>
    <row r="314" customFormat="false" ht="15" hidden="false" customHeight="false" outlineLevel="0" collapsed="false">
      <c r="A314" s="29"/>
      <c r="B314" s="29"/>
      <c r="C314" s="20" t="str">
        <f aca="false">IF(A314="","",IFERROR(INDEX(Metrics!$C:$C,MATCH(A314,Metrics!$A:$A,0)),"ID not found"))</f>
        <v/>
      </c>
      <c r="D314" s="20" t="str">
        <f aca="false">IF(B314="","",IFERROR(INDEX(Products!$B:$B,MATCH(B314,Products!$A:$A,0)),"ID not found"))</f>
        <v/>
      </c>
      <c r="E314" s="30"/>
      <c r="F314" s="30"/>
      <c r="G314" s="30"/>
      <c r="H314" s="30"/>
    </row>
    <row r="315" customFormat="false" ht="15" hidden="false" customHeight="false" outlineLevel="0" collapsed="false">
      <c r="A315" s="29"/>
      <c r="B315" s="29"/>
      <c r="C315" s="20" t="str">
        <f aca="false">IF(A315="","",IFERROR(INDEX(Metrics!$C:$C,MATCH(A315,Metrics!$A:$A,0)),"ID not found"))</f>
        <v/>
      </c>
      <c r="D315" s="20" t="str">
        <f aca="false">IF(B315="","",IFERROR(INDEX(Products!$B:$B,MATCH(B315,Products!$A:$A,0)),"ID not found"))</f>
        <v/>
      </c>
      <c r="E315" s="30"/>
      <c r="F315" s="30"/>
      <c r="G315" s="30"/>
      <c r="H315" s="30"/>
    </row>
    <row r="316" customFormat="false" ht="15" hidden="false" customHeight="false" outlineLevel="0" collapsed="false">
      <c r="A316" s="29"/>
      <c r="B316" s="29"/>
      <c r="C316" s="20" t="str">
        <f aca="false">IF(A316="","",IFERROR(INDEX(Metrics!$C:$C,MATCH(A316,Metrics!$A:$A,0)),"ID not found"))</f>
        <v/>
      </c>
      <c r="D316" s="20" t="str">
        <f aca="false">IF(B316="","",IFERROR(INDEX(Products!$B:$B,MATCH(B316,Products!$A:$A,0)),"ID not found"))</f>
        <v/>
      </c>
      <c r="E316" s="30"/>
      <c r="F316" s="30"/>
      <c r="G316" s="30"/>
      <c r="H316" s="30"/>
    </row>
    <row r="317" customFormat="false" ht="15" hidden="false" customHeight="false" outlineLevel="0" collapsed="false">
      <c r="A317" s="29"/>
      <c r="B317" s="29"/>
      <c r="C317" s="20" t="str">
        <f aca="false">IF(A317="","",IFERROR(INDEX(Metrics!$C:$C,MATCH(A317,Metrics!$A:$A,0)),"ID not found"))</f>
        <v/>
      </c>
      <c r="D317" s="20" t="str">
        <f aca="false">IF(B317="","",IFERROR(INDEX(Products!$B:$B,MATCH(B317,Products!$A:$A,0)),"ID not found"))</f>
        <v/>
      </c>
      <c r="E317" s="30"/>
      <c r="F317" s="30"/>
      <c r="G317" s="30"/>
      <c r="H317" s="30"/>
    </row>
    <row r="318" customFormat="false" ht="15" hidden="false" customHeight="false" outlineLevel="0" collapsed="false">
      <c r="A318" s="29"/>
      <c r="B318" s="29"/>
      <c r="C318" s="20" t="str">
        <f aca="false">IF(A318="","",IFERROR(INDEX(Metrics!$C:$C,MATCH(A318,Metrics!$A:$A,0)),"ID not found"))</f>
        <v/>
      </c>
      <c r="D318" s="20" t="str">
        <f aca="false">IF(B318="","",IFERROR(INDEX(Products!$B:$B,MATCH(B318,Products!$A:$A,0)),"ID not found"))</f>
        <v/>
      </c>
      <c r="E318" s="30"/>
      <c r="F318" s="30"/>
      <c r="G318" s="30"/>
      <c r="H318" s="30"/>
    </row>
    <row r="319" customFormat="false" ht="15" hidden="false" customHeight="false" outlineLevel="0" collapsed="false">
      <c r="A319" s="29"/>
      <c r="B319" s="29"/>
      <c r="C319" s="20" t="str">
        <f aca="false">IF(A319="","",IFERROR(INDEX(Metrics!$C:$C,MATCH(A319,Metrics!$A:$A,0)),"ID not found"))</f>
        <v/>
      </c>
      <c r="D319" s="20" t="str">
        <f aca="false">IF(B319="","",IFERROR(INDEX(Products!$B:$B,MATCH(B319,Products!$A:$A,0)),"ID not found"))</f>
        <v/>
      </c>
      <c r="E319" s="30"/>
      <c r="F319" s="30"/>
      <c r="G319" s="30"/>
      <c r="H319" s="30"/>
    </row>
    <row r="320" customFormat="false" ht="15" hidden="false" customHeight="false" outlineLevel="0" collapsed="false">
      <c r="A320" s="29"/>
      <c r="B320" s="29"/>
      <c r="C320" s="20" t="str">
        <f aca="false">IF(A320="","",IFERROR(INDEX(Metrics!$C:$C,MATCH(A320,Metrics!$A:$A,0)),"ID not found"))</f>
        <v/>
      </c>
      <c r="D320" s="20" t="str">
        <f aca="false">IF(B320="","",IFERROR(INDEX(Products!$B:$B,MATCH(B320,Products!$A:$A,0)),"ID not found"))</f>
        <v/>
      </c>
      <c r="E320" s="30"/>
      <c r="F320" s="30"/>
      <c r="G320" s="30"/>
      <c r="H320" s="30"/>
    </row>
    <row r="321" customFormat="false" ht="15" hidden="false" customHeight="false" outlineLevel="0" collapsed="false">
      <c r="A321" s="29"/>
      <c r="B321" s="29"/>
      <c r="C321" s="20" t="str">
        <f aca="false">IF(A321="","",IFERROR(INDEX(Metrics!$C:$C,MATCH(A321,Metrics!$A:$A,0)),"ID not found"))</f>
        <v/>
      </c>
      <c r="D321" s="20" t="str">
        <f aca="false">IF(B321="","",IFERROR(INDEX(Products!$B:$B,MATCH(B321,Products!$A:$A,0)),"ID not found"))</f>
        <v/>
      </c>
      <c r="E321" s="30"/>
      <c r="F321" s="30"/>
      <c r="G321" s="30"/>
      <c r="H321" s="30"/>
    </row>
    <row r="322" customFormat="false" ht="15" hidden="false" customHeight="false" outlineLevel="0" collapsed="false">
      <c r="A322" s="29"/>
      <c r="B322" s="29"/>
      <c r="C322" s="20" t="str">
        <f aca="false">IF(A322="","",IFERROR(INDEX(Metrics!$C:$C,MATCH(A322,Metrics!$A:$A,0)),"ID not found"))</f>
        <v/>
      </c>
      <c r="D322" s="20" t="str">
        <f aca="false">IF(B322="","",IFERROR(INDEX(Products!$B:$B,MATCH(B322,Products!$A:$A,0)),"ID not found"))</f>
        <v/>
      </c>
      <c r="E322" s="30"/>
      <c r="F322" s="30"/>
      <c r="G322" s="30"/>
      <c r="H322" s="30"/>
    </row>
    <row r="323" customFormat="false" ht="15" hidden="false" customHeight="false" outlineLevel="0" collapsed="false">
      <c r="A323" s="29"/>
      <c r="B323" s="29"/>
      <c r="C323" s="20" t="str">
        <f aca="false">IF(A323="","",IFERROR(INDEX(Metrics!$C:$C,MATCH(A323,Metrics!$A:$A,0)),"ID not found"))</f>
        <v/>
      </c>
      <c r="D323" s="20" t="str">
        <f aca="false">IF(B323="","",IFERROR(INDEX(Products!$B:$B,MATCH(B323,Products!$A:$A,0)),"ID not found"))</f>
        <v/>
      </c>
      <c r="E323" s="30"/>
      <c r="F323" s="30"/>
      <c r="G323" s="30"/>
      <c r="H323" s="30"/>
    </row>
    <row r="324" customFormat="false" ht="15" hidden="false" customHeight="false" outlineLevel="0" collapsed="false">
      <c r="A324" s="29"/>
      <c r="B324" s="29"/>
      <c r="C324" s="20" t="str">
        <f aca="false">IF(A324="","",IFERROR(INDEX(Metrics!$C:$C,MATCH(A324,Metrics!$A:$A,0)),"ID not found"))</f>
        <v/>
      </c>
      <c r="D324" s="20" t="str">
        <f aca="false">IF(B324="","",IFERROR(INDEX(Products!$B:$B,MATCH(B324,Products!$A:$A,0)),"ID not found"))</f>
        <v/>
      </c>
      <c r="E324" s="30"/>
      <c r="F324" s="30"/>
      <c r="G324" s="30"/>
      <c r="H324" s="30"/>
    </row>
    <row r="325" customFormat="false" ht="15" hidden="false" customHeight="false" outlineLevel="0" collapsed="false">
      <c r="A325" s="29"/>
      <c r="B325" s="29"/>
      <c r="C325" s="20" t="str">
        <f aca="false">IF(A325="","",IFERROR(INDEX(Metrics!$C:$C,MATCH(A325,Metrics!$A:$A,0)),"ID not found"))</f>
        <v/>
      </c>
      <c r="D325" s="20" t="str">
        <f aca="false">IF(B325="","",IFERROR(INDEX(Products!$B:$B,MATCH(B325,Products!$A:$A,0)),"ID not found"))</f>
        <v/>
      </c>
      <c r="E325" s="30"/>
      <c r="F325" s="30"/>
      <c r="G325" s="30"/>
      <c r="H325" s="30"/>
    </row>
    <row r="326" customFormat="false" ht="15" hidden="false" customHeight="false" outlineLevel="0" collapsed="false">
      <c r="A326" s="29"/>
      <c r="B326" s="29"/>
      <c r="C326" s="20" t="str">
        <f aca="false">IF(A326="","",IFERROR(INDEX(Metrics!$C:$C,MATCH(A326,Metrics!$A:$A,0)),"ID not found"))</f>
        <v/>
      </c>
      <c r="D326" s="20" t="str">
        <f aca="false">IF(B326="","",IFERROR(INDEX(Products!$B:$B,MATCH(B326,Products!$A:$A,0)),"ID not found"))</f>
        <v/>
      </c>
      <c r="E326" s="30"/>
      <c r="F326" s="30"/>
      <c r="G326" s="30"/>
      <c r="H326" s="30"/>
    </row>
    <row r="327" customFormat="false" ht="15" hidden="false" customHeight="false" outlineLevel="0" collapsed="false">
      <c r="A327" s="29"/>
      <c r="B327" s="29"/>
      <c r="C327" s="20" t="str">
        <f aca="false">IF(A327="","",IFERROR(INDEX(Metrics!$C:$C,MATCH(A327,Metrics!$A:$A,0)),"ID not found"))</f>
        <v/>
      </c>
      <c r="D327" s="20" t="str">
        <f aca="false">IF(B327="","",IFERROR(INDEX(Products!$B:$B,MATCH(B327,Products!$A:$A,0)),"ID not found"))</f>
        <v/>
      </c>
      <c r="E327" s="30"/>
      <c r="F327" s="30"/>
      <c r="G327" s="30"/>
      <c r="H327" s="30"/>
    </row>
    <row r="328" customFormat="false" ht="15" hidden="false" customHeight="false" outlineLevel="0" collapsed="false">
      <c r="A328" s="29"/>
      <c r="B328" s="29"/>
      <c r="C328" s="20" t="str">
        <f aca="false">IF(A328="","",IFERROR(INDEX(Metrics!$C:$C,MATCH(A328,Metrics!$A:$A,0)),"ID not found"))</f>
        <v/>
      </c>
      <c r="D328" s="20" t="str">
        <f aca="false">IF(B328="","",IFERROR(INDEX(Products!$B:$B,MATCH(B328,Products!$A:$A,0)),"ID not found"))</f>
        <v/>
      </c>
      <c r="E328" s="30"/>
      <c r="F328" s="30"/>
      <c r="G328" s="30"/>
      <c r="H328" s="30"/>
    </row>
    <row r="329" customFormat="false" ht="15" hidden="false" customHeight="false" outlineLevel="0" collapsed="false">
      <c r="A329" s="29"/>
      <c r="B329" s="29"/>
      <c r="C329" s="20" t="str">
        <f aca="false">IF(A329="","",IFERROR(INDEX(Metrics!$C:$C,MATCH(A329,Metrics!$A:$A,0)),"ID not found"))</f>
        <v/>
      </c>
      <c r="D329" s="20" t="str">
        <f aca="false">IF(B329="","",IFERROR(INDEX(Products!$B:$B,MATCH(B329,Products!$A:$A,0)),"ID not found"))</f>
        <v/>
      </c>
      <c r="E329" s="30"/>
      <c r="F329" s="30"/>
      <c r="G329" s="30"/>
      <c r="H329" s="30"/>
    </row>
    <row r="330" customFormat="false" ht="15" hidden="false" customHeight="false" outlineLevel="0" collapsed="false">
      <c r="A330" s="29"/>
      <c r="B330" s="29"/>
      <c r="C330" s="20" t="str">
        <f aca="false">IF(A330="","",IFERROR(INDEX(Metrics!$C:$C,MATCH(A330,Metrics!$A:$A,0)),"ID not found"))</f>
        <v/>
      </c>
      <c r="D330" s="20" t="str">
        <f aca="false">IF(B330="","",IFERROR(INDEX(Products!$B:$B,MATCH(B330,Products!$A:$A,0)),"ID not found"))</f>
        <v/>
      </c>
      <c r="E330" s="30"/>
      <c r="F330" s="30"/>
      <c r="G330" s="30"/>
      <c r="H330" s="30"/>
    </row>
    <row r="331" customFormat="false" ht="15" hidden="false" customHeight="false" outlineLevel="0" collapsed="false">
      <c r="A331" s="29"/>
      <c r="B331" s="29"/>
      <c r="C331" s="20" t="str">
        <f aca="false">IF(A331="","",IFERROR(INDEX(Metrics!$C:$C,MATCH(A331,Metrics!$A:$A,0)),"ID not found"))</f>
        <v/>
      </c>
      <c r="D331" s="20" t="str">
        <f aca="false">IF(B331="","",IFERROR(INDEX(Products!$B:$B,MATCH(B331,Products!$A:$A,0)),"ID not found"))</f>
        <v/>
      </c>
      <c r="E331" s="30"/>
      <c r="F331" s="30"/>
      <c r="G331" s="30"/>
      <c r="H331" s="30"/>
    </row>
    <row r="332" customFormat="false" ht="15" hidden="false" customHeight="false" outlineLevel="0" collapsed="false">
      <c r="A332" s="29"/>
      <c r="B332" s="29"/>
      <c r="C332" s="20" t="str">
        <f aca="false">IF(A332="","",IFERROR(INDEX(Metrics!$C:$C,MATCH(A332,Metrics!$A:$A,0)),"ID not found"))</f>
        <v/>
      </c>
      <c r="D332" s="20" t="str">
        <f aca="false">IF(B332="","",IFERROR(INDEX(Products!$B:$B,MATCH(B332,Products!$A:$A,0)),"ID not found"))</f>
        <v/>
      </c>
      <c r="E332" s="30"/>
      <c r="F332" s="30"/>
      <c r="G332" s="30"/>
      <c r="H332" s="30"/>
    </row>
    <row r="333" customFormat="false" ht="15" hidden="false" customHeight="false" outlineLevel="0" collapsed="false">
      <c r="A333" s="29"/>
      <c r="B333" s="29"/>
      <c r="C333" s="20" t="str">
        <f aca="false">IF(A333="","",IFERROR(INDEX(Metrics!$C:$C,MATCH(A333,Metrics!$A:$A,0)),"ID not found"))</f>
        <v/>
      </c>
      <c r="D333" s="20" t="str">
        <f aca="false">IF(B333="","",IFERROR(INDEX(Products!$B:$B,MATCH(B333,Products!$A:$A,0)),"ID not found"))</f>
        <v/>
      </c>
      <c r="E333" s="30"/>
      <c r="F333" s="30"/>
      <c r="G333" s="30"/>
      <c r="H333" s="30"/>
    </row>
    <row r="334" customFormat="false" ht="15" hidden="false" customHeight="false" outlineLevel="0" collapsed="false">
      <c r="A334" s="29"/>
      <c r="B334" s="29"/>
      <c r="C334" s="20" t="str">
        <f aca="false">IF(A334="","",IFERROR(INDEX(Metrics!$C:$C,MATCH(A334,Metrics!$A:$A,0)),"ID not found"))</f>
        <v/>
      </c>
      <c r="D334" s="20" t="str">
        <f aca="false">IF(B334="","",IFERROR(INDEX(Products!$B:$B,MATCH(B334,Products!$A:$A,0)),"ID not found"))</f>
        <v/>
      </c>
      <c r="E334" s="30"/>
      <c r="F334" s="30"/>
      <c r="G334" s="30"/>
      <c r="H334" s="30"/>
    </row>
    <row r="335" customFormat="false" ht="15" hidden="false" customHeight="false" outlineLevel="0" collapsed="false">
      <c r="A335" s="29"/>
      <c r="B335" s="29"/>
      <c r="C335" s="20" t="str">
        <f aca="false">IF(A335="","",IFERROR(INDEX(Metrics!$C:$C,MATCH(A335,Metrics!$A:$A,0)),"ID not found"))</f>
        <v/>
      </c>
      <c r="D335" s="20" t="str">
        <f aca="false">IF(B335="","",IFERROR(INDEX(Products!$B:$B,MATCH(B335,Products!$A:$A,0)),"ID not found"))</f>
        <v/>
      </c>
      <c r="E335" s="30"/>
      <c r="F335" s="30"/>
      <c r="G335" s="30"/>
      <c r="H335" s="30"/>
    </row>
    <row r="336" customFormat="false" ht="15" hidden="false" customHeight="false" outlineLevel="0" collapsed="false">
      <c r="A336" s="29"/>
      <c r="B336" s="29"/>
      <c r="C336" s="20" t="str">
        <f aca="false">IF(A336="","",IFERROR(INDEX(Metrics!$C:$C,MATCH(A336,Metrics!$A:$A,0)),"ID not found"))</f>
        <v/>
      </c>
      <c r="D336" s="20" t="str">
        <f aca="false">IF(B336="","",IFERROR(INDEX(Products!$B:$B,MATCH(B336,Products!$A:$A,0)),"ID not found"))</f>
        <v/>
      </c>
      <c r="E336" s="30"/>
      <c r="F336" s="30"/>
      <c r="G336" s="30"/>
      <c r="H336" s="30"/>
    </row>
    <row r="337" customFormat="false" ht="15" hidden="false" customHeight="false" outlineLevel="0" collapsed="false">
      <c r="A337" s="29"/>
      <c r="B337" s="29"/>
      <c r="C337" s="20" t="str">
        <f aca="false">IF(A337="","",IFERROR(INDEX(Metrics!$C:$C,MATCH(A337,Metrics!$A:$A,0)),"ID not found"))</f>
        <v/>
      </c>
      <c r="D337" s="20" t="str">
        <f aca="false">IF(B337="","",IFERROR(INDEX(Products!$B:$B,MATCH(B337,Products!$A:$A,0)),"ID not found"))</f>
        <v/>
      </c>
      <c r="E337" s="30"/>
      <c r="F337" s="30"/>
      <c r="G337" s="30"/>
      <c r="H337" s="30"/>
    </row>
    <row r="338" customFormat="false" ht="15" hidden="false" customHeight="false" outlineLevel="0" collapsed="false">
      <c r="A338" s="29"/>
      <c r="B338" s="29"/>
      <c r="C338" s="20" t="str">
        <f aca="false">IF(A338="","",IFERROR(INDEX(Metrics!$C:$C,MATCH(A338,Metrics!$A:$A,0)),"ID not found"))</f>
        <v/>
      </c>
      <c r="D338" s="20" t="str">
        <f aca="false">IF(B338="","",IFERROR(INDEX(Products!$B:$B,MATCH(B338,Products!$A:$A,0)),"ID not found"))</f>
        <v/>
      </c>
      <c r="E338" s="30"/>
      <c r="F338" s="30"/>
      <c r="G338" s="30"/>
      <c r="H338" s="30"/>
    </row>
    <row r="339" customFormat="false" ht="15" hidden="false" customHeight="false" outlineLevel="0" collapsed="false">
      <c r="A339" s="29"/>
      <c r="B339" s="29"/>
      <c r="C339" s="20" t="str">
        <f aca="false">IF(A339="","",IFERROR(INDEX(Metrics!$C:$C,MATCH(A339,Metrics!$A:$A,0)),"ID not found"))</f>
        <v/>
      </c>
      <c r="D339" s="20" t="str">
        <f aca="false">IF(B339="","",IFERROR(INDEX(Products!$B:$B,MATCH(B339,Products!$A:$A,0)),"ID not found"))</f>
        <v/>
      </c>
      <c r="E339" s="30"/>
      <c r="F339" s="30"/>
      <c r="G339" s="30"/>
      <c r="H339" s="30"/>
    </row>
    <row r="340" customFormat="false" ht="15" hidden="false" customHeight="false" outlineLevel="0" collapsed="false">
      <c r="A340" s="29"/>
      <c r="B340" s="29"/>
      <c r="C340" s="20" t="str">
        <f aca="false">IF(A340="","",IFERROR(INDEX(Metrics!$C:$C,MATCH(A340,Metrics!$A:$A,0)),"ID not found"))</f>
        <v/>
      </c>
      <c r="D340" s="20" t="str">
        <f aca="false">IF(B340="","",IFERROR(INDEX(Products!$B:$B,MATCH(B340,Products!$A:$A,0)),"ID not found"))</f>
        <v/>
      </c>
      <c r="E340" s="30"/>
      <c r="F340" s="30"/>
      <c r="G340" s="30"/>
      <c r="H340" s="30"/>
    </row>
    <row r="341" customFormat="false" ht="15" hidden="false" customHeight="false" outlineLevel="0" collapsed="false">
      <c r="A341" s="29"/>
      <c r="B341" s="29"/>
      <c r="C341" s="20" t="str">
        <f aca="false">IF(A341="","",IFERROR(INDEX(Metrics!$C:$C,MATCH(A341,Metrics!$A:$A,0)),"ID not found"))</f>
        <v/>
      </c>
      <c r="D341" s="20" t="str">
        <f aca="false">IF(B341="","",IFERROR(INDEX(Products!$B:$B,MATCH(B341,Products!$A:$A,0)),"ID not found"))</f>
        <v/>
      </c>
      <c r="E341" s="30"/>
      <c r="F341" s="30"/>
      <c r="G341" s="30"/>
      <c r="H341" s="30"/>
    </row>
    <row r="342" customFormat="false" ht="15" hidden="false" customHeight="false" outlineLevel="0" collapsed="false">
      <c r="A342" s="29"/>
      <c r="B342" s="29"/>
      <c r="C342" s="20" t="str">
        <f aca="false">IF(A342="","",IFERROR(INDEX(Metrics!$C:$C,MATCH(A342,Metrics!$A:$A,0)),"ID not found"))</f>
        <v/>
      </c>
      <c r="D342" s="20" t="str">
        <f aca="false">IF(B342="","",IFERROR(INDEX(Products!$B:$B,MATCH(B342,Products!$A:$A,0)),"ID not found"))</f>
        <v/>
      </c>
      <c r="E342" s="30"/>
      <c r="F342" s="30"/>
      <c r="G342" s="30"/>
      <c r="H342" s="30"/>
    </row>
    <row r="343" customFormat="false" ht="15" hidden="false" customHeight="false" outlineLevel="0" collapsed="false">
      <c r="A343" s="29"/>
      <c r="B343" s="29"/>
      <c r="C343" s="20" t="str">
        <f aca="false">IF(A343="","",IFERROR(INDEX(Metrics!$C:$C,MATCH(A343,Metrics!$A:$A,0)),"ID not found"))</f>
        <v/>
      </c>
      <c r="D343" s="20" t="str">
        <f aca="false">IF(B343="","",IFERROR(INDEX(Products!$B:$B,MATCH(B343,Products!$A:$A,0)),"ID not found"))</f>
        <v/>
      </c>
      <c r="E343" s="30"/>
      <c r="F343" s="30"/>
      <c r="G343" s="30"/>
      <c r="H343" s="30"/>
    </row>
    <row r="344" customFormat="false" ht="15" hidden="false" customHeight="false" outlineLevel="0" collapsed="false">
      <c r="A344" s="29"/>
      <c r="B344" s="29"/>
      <c r="C344" s="20" t="str">
        <f aca="false">IF(A344="","",IFERROR(INDEX(Metrics!$C:$C,MATCH(A344,Metrics!$A:$A,0)),"ID not found"))</f>
        <v/>
      </c>
      <c r="D344" s="20" t="str">
        <f aca="false">IF(B344="","",IFERROR(INDEX(Products!$B:$B,MATCH(B344,Products!$A:$A,0)),"ID not found"))</f>
        <v/>
      </c>
      <c r="E344" s="30"/>
      <c r="F344" s="30"/>
      <c r="G344" s="30"/>
      <c r="H344" s="30"/>
    </row>
    <row r="345" customFormat="false" ht="15" hidden="false" customHeight="false" outlineLevel="0" collapsed="false">
      <c r="A345" s="29"/>
      <c r="B345" s="29"/>
      <c r="C345" s="20" t="str">
        <f aca="false">IF(A345="","",IFERROR(INDEX(Metrics!$C:$C,MATCH(A345,Metrics!$A:$A,0)),"ID not found"))</f>
        <v/>
      </c>
      <c r="D345" s="20" t="str">
        <f aca="false">IF(B345="","",IFERROR(INDEX(Products!$B:$B,MATCH(B345,Products!$A:$A,0)),"ID not found"))</f>
        <v/>
      </c>
      <c r="E345" s="30"/>
      <c r="F345" s="30"/>
      <c r="G345" s="30"/>
      <c r="H345" s="30"/>
    </row>
    <row r="346" customFormat="false" ht="15" hidden="false" customHeight="false" outlineLevel="0" collapsed="false">
      <c r="A346" s="29"/>
      <c r="B346" s="29"/>
      <c r="C346" s="20" t="str">
        <f aca="false">IF(A346="","",IFERROR(INDEX(Metrics!$C:$C,MATCH(A346,Metrics!$A:$A,0)),"ID not found"))</f>
        <v/>
      </c>
      <c r="D346" s="20" t="str">
        <f aca="false">IF(B346="","",IFERROR(INDEX(Products!$B:$B,MATCH(B346,Products!$A:$A,0)),"ID not found"))</f>
        <v/>
      </c>
      <c r="E346" s="30"/>
      <c r="F346" s="30"/>
      <c r="G346" s="30"/>
      <c r="H346" s="30"/>
    </row>
    <row r="347" customFormat="false" ht="15" hidden="false" customHeight="false" outlineLevel="0" collapsed="false">
      <c r="A347" s="29"/>
      <c r="B347" s="29"/>
      <c r="C347" s="20" t="str">
        <f aca="false">IF(A347="","",IFERROR(INDEX(Metrics!$C:$C,MATCH(A347,Metrics!$A:$A,0)),"ID not found"))</f>
        <v/>
      </c>
      <c r="D347" s="20" t="str">
        <f aca="false">IF(B347="","",IFERROR(INDEX(Products!$B:$B,MATCH(B347,Products!$A:$A,0)),"ID not found"))</f>
        <v/>
      </c>
      <c r="E347" s="30"/>
      <c r="F347" s="30"/>
      <c r="G347" s="30"/>
      <c r="H347" s="30"/>
    </row>
    <row r="348" customFormat="false" ht="15" hidden="false" customHeight="false" outlineLevel="0" collapsed="false">
      <c r="A348" s="29"/>
      <c r="B348" s="29"/>
      <c r="C348" s="20" t="str">
        <f aca="false">IF(A348="","",IFERROR(INDEX(Metrics!$C:$C,MATCH(A348,Metrics!$A:$A,0)),"ID not found"))</f>
        <v/>
      </c>
      <c r="D348" s="20" t="str">
        <f aca="false">IF(B348="","",IFERROR(INDEX(Products!$B:$B,MATCH(B348,Products!$A:$A,0)),"ID not found"))</f>
        <v/>
      </c>
      <c r="E348" s="30"/>
      <c r="F348" s="30"/>
      <c r="G348" s="30"/>
      <c r="H348" s="30"/>
    </row>
    <row r="349" customFormat="false" ht="15" hidden="false" customHeight="false" outlineLevel="0" collapsed="false">
      <c r="A349" s="29"/>
      <c r="B349" s="29"/>
      <c r="C349" s="20" t="str">
        <f aca="false">IF(A349="","",IFERROR(INDEX(Metrics!$C:$C,MATCH(A349,Metrics!$A:$A,0)),"ID not found"))</f>
        <v/>
      </c>
      <c r="D349" s="20" t="str">
        <f aca="false">IF(B349="","",IFERROR(INDEX(Products!$B:$B,MATCH(B349,Products!$A:$A,0)),"ID not found"))</f>
        <v/>
      </c>
      <c r="E349" s="30"/>
      <c r="F349" s="30"/>
      <c r="G349" s="30"/>
      <c r="H349" s="30"/>
    </row>
    <row r="350" customFormat="false" ht="15" hidden="false" customHeight="false" outlineLevel="0" collapsed="false">
      <c r="A350" s="29"/>
      <c r="B350" s="29"/>
      <c r="C350" s="20" t="str">
        <f aca="false">IF(A350="","",IFERROR(INDEX(Metrics!$C:$C,MATCH(A350,Metrics!$A:$A,0)),"ID not found"))</f>
        <v/>
      </c>
      <c r="D350" s="20" t="str">
        <f aca="false">IF(B350="","",IFERROR(INDEX(Products!$B:$B,MATCH(B350,Products!$A:$A,0)),"ID not found"))</f>
        <v/>
      </c>
      <c r="E350" s="30"/>
      <c r="F350" s="30"/>
      <c r="G350" s="30"/>
      <c r="H350" s="30"/>
    </row>
    <row r="351" customFormat="false" ht="15" hidden="false" customHeight="false" outlineLevel="0" collapsed="false">
      <c r="A351" s="29"/>
      <c r="B351" s="29"/>
      <c r="C351" s="20" t="str">
        <f aca="false">IF(A351="","",IFERROR(INDEX(Metrics!$C:$C,MATCH(A351,Metrics!$A:$A,0)),"ID not found"))</f>
        <v/>
      </c>
      <c r="D351" s="20" t="str">
        <f aca="false">IF(B351="","",IFERROR(INDEX(Products!$B:$B,MATCH(B351,Products!$A:$A,0)),"ID not found"))</f>
        <v/>
      </c>
      <c r="E351" s="30"/>
      <c r="F351" s="30"/>
      <c r="G351" s="30"/>
      <c r="H351" s="30"/>
    </row>
    <row r="352" customFormat="false" ht="15" hidden="false" customHeight="false" outlineLevel="0" collapsed="false">
      <c r="A352" s="29"/>
      <c r="B352" s="29"/>
      <c r="C352" s="20" t="str">
        <f aca="false">IF(A352="","",IFERROR(INDEX(Metrics!$C:$C,MATCH(A352,Metrics!$A:$A,0)),"ID not found"))</f>
        <v/>
      </c>
      <c r="D352" s="20" t="str">
        <f aca="false">IF(B352="","",IFERROR(INDEX(Products!$B:$B,MATCH(B352,Products!$A:$A,0)),"ID not found"))</f>
        <v/>
      </c>
      <c r="E352" s="30"/>
      <c r="F352" s="30"/>
      <c r="G352" s="30"/>
      <c r="H352" s="30"/>
    </row>
    <row r="353" customFormat="false" ht="15" hidden="false" customHeight="false" outlineLevel="0" collapsed="false">
      <c r="A353" s="29"/>
      <c r="B353" s="29"/>
      <c r="C353" s="20" t="str">
        <f aca="false">IF(A353="","",IFERROR(INDEX(Metrics!$C:$C,MATCH(A353,Metrics!$A:$A,0)),"ID not found"))</f>
        <v/>
      </c>
      <c r="D353" s="20" t="str">
        <f aca="false">IF(B353="","",IFERROR(INDEX(Products!$B:$B,MATCH(B353,Products!$A:$A,0)),"ID not found"))</f>
        <v/>
      </c>
      <c r="E353" s="30"/>
      <c r="F353" s="30"/>
      <c r="G353" s="30"/>
      <c r="H353" s="30"/>
    </row>
    <row r="354" customFormat="false" ht="15" hidden="false" customHeight="false" outlineLevel="0" collapsed="false">
      <c r="A354" s="29"/>
      <c r="B354" s="29"/>
      <c r="C354" s="20" t="str">
        <f aca="false">IF(A354="","",IFERROR(INDEX(Metrics!$C:$C,MATCH(A354,Metrics!$A:$A,0)),"ID not found"))</f>
        <v/>
      </c>
      <c r="D354" s="20" t="str">
        <f aca="false">IF(B354="","",IFERROR(INDEX(Products!$B:$B,MATCH(B354,Products!$A:$A,0)),"ID not found"))</f>
        <v/>
      </c>
      <c r="E354" s="30"/>
      <c r="F354" s="30"/>
      <c r="G354" s="30"/>
      <c r="H354" s="30"/>
    </row>
    <row r="355" customFormat="false" ht="15" hidden="false" customHeight="false" outlineLevel="0" collapsed="false">
      <c r="A355" s="29"/>
      <c r="B355" s="29"/>
      <c r="C355" s="20" t="str">
        <f aca="false">IF(A355="","",IFERROR(INDEX(Metrics!$C:$C,MATCH(A355,Metrics!$A:$A,0)),"ID not found"))</f>
        <v/>
      </c>
      <c r="D355" s="20" t="str">
        <f aca="false">IF(B355="","",IFERROR(INDEX(Products!$B:$B,MATCH(B355,Products!$A:$A,0)),"ID not found"))</f>
        <v/>
      </c>
      <c r="E355" s="30"/>
      <c r="F355" s="30"/>
      <c r="G355" s="30"/>
      <c r="H355" s="30"/>
    </row>
    <row r="356" customFormat="false" ht="15" hidden="false" customHeight="false" outlineLevel="0" collapsed="false">
      <c r="A356" s="29"/>
      <c r="B356" s="29"/>
      <c r="C356" s="20" t="str">
        <f aca="false">IF(A356="","",IFERROR(INDEX(Metrics!$C:$C,MATCH(A356,Metrics!$A:$A,0)),"ID not found"))</f>
        <v/>
      </c>
      <c r="D356" s="20" t="str">
        <f aca="false">IF(B356="","",IFERROR(INDEX(Products!$B:$B,MATCH(B356,Products!$A:$A,0)),"ID not found"))</f>
        <v/>
      </c>
      <c r="E356" s="30"/>
      <c r="F356" s="30"/>
      <c r="G356" s="30"/>
      <c r="H356" s="30"/>
    </row>
    <row r="357" customFormat="false" ht="15" hidden="false" customHeight="false" outlineLevel="0" collapsed="false">
      <c r="A357" s="29"/>
      <c r="B357" s="29"/>
      <c r="C357" s="20" t="str">
        <f aca="false">IF(A357="","",IFERROR(INDEX(Metrics!$C:$C,MATCH(A357,Metrics!$A:$A,0)),"ID not found"))</f>
        <v/>
      </c>
      <c r="D357" s="20" t="str">
        <f aca="false">IF(B357="","",IFERROR(INDEX(Products!$B:$B,MATCH(B357,Products!$A:$A,0)),"ID not found"))</f>
        <v/>
      </c>
      <c r="E357" s="30"/>
      <c r="F357" s="30"/>
      <c r="G357" s="30"/>
      <c r="H357" s="30"/>
    </row>
    <row r="358" customFormat="false" ht="15" hidden="false" customHeight="false" outlineLevel="0" collapsed="false">
      <c r="A358" s="29"/>
      <c r="B358" s="29"/>
      <c r="C358" s="20" t="str">
        <f aca="false">IF(A358="","",IFERROR(INDEX(Metrics!$C:$C,MATCH(A358,Metrics!$A:$A,0)),"ID not found"))</f>
        <v/>
      </c>
      <c r="D358" s="20" t="str">
        <f aca="false">IF(B358="","",IFERROR(INDEX(Products!$B:$B,MATCH(B358,Products!$A:$A,0)),"ID not found"))</f>
        <v/>
      </c>
      <c r="E358" s="30"/>
      <c r="F358" s="30"/>
      <c r="G358" s="30"/>
      <c r="H358" s="30"/>
    </row>
    <row r="359" customFormat="false" ht="15" hidden="false" customHeight="false" outlineLevel="0" collapsed="false">
      <c r="A359" s="29"/>
      <c r="B359" s="29"/>
      <c r="C359" s="20" t="str">
        <f aca="false">IF(A359="","",IFERROR(INDEX(Metrics!$C:$C,MATCH(A359,Metrics!$A:$A,0)),"ID not found"))</f>
        <v/>
      </c>
      <c r="D359" s="20" t="str">
        <f aca="false">IF(B359="","",IFERROR(INDEX(Products!$B:$B,MATCH(B359,Products!$A:$A,0)),"ID not found"))</f>
        <v/>
      </c>
      <c r="E359" s="30"/>
      <c r="F359" s="30"/>
      <c r="G359" s="30"/>
      <c r="H359" s="30"/>
    </row>
    <row r="360" customFormat="false" ht="15" hidden="false" customHeight="false" outlineLevel="0" collapsed="false">
      <c r="A360" s="29"/>
      <c r="B360" s="29"/>
      <c r="C360" s="20" t="str">
        <f aca="false">IF(A360="","",IFERROR(INDEX(Metrics!$C:$C,MATCH(A360,Metrics!$A:$A,0)),"ID not found"))</f>
        <v/>
      </c>
      <c r="D360" s="20" t="str">
        <f aca="false">IF(B360="","",IFERROR(INDEX(Products!$B:$B,MATCH(B360,Products!$A:$A,0)),"ID not found"))</f>
        <v/>
      </c>
      <c r="E360" s="30"/>
      <c r="F360" s="30"/>
      <c r="G360" s="30"/>
      <c r="H360" s="30"/>
    </row>
    <row r="361" customFormat="false" ht="15" hidden="false" customHeight="false" outlineLevel="0" collapsed="false">
      <c r="A361" s="29"/>
      <c r="B361" s="29"/>
      <c r="C361" s="20" t="str">
        <f aca="false">IF(A361="","",IFERROR(INDEX(Metrics!$C:$C,MATCH(A361,Metrics!$A:$A,0)),"ID not found"))</f>
        <v/>
      </c>
      <c r="D361" s="20" t="str">
        <f aca="false">IF(B361="","",IFERROR(INDEX(Products!$B:$B,MATCH(B361,Products!$A:$A,0)),"ID not found"))</f>
        <v/>
      </c>
      <c r="E361" s="30"/>
      <c r="F361" s="30"/>
      <c r="G361" s="30"/>
      <c r="H361" s="30"/>
    </row>
    <row r="362" customFormat="false" ht="15" hidden="false" customHeight="false" outlineLevel="0" collapsed="false">
      <c r="A362" s="29"/>
      <c r="B362" s="29"/>
      <c r="C362" s="20" t="str">
        <f aca="false">IF(A362="","",IFERROR(INDEX(Metrics!$C:$C,MATCH(A362,Metrics!$A:$A,0)),"ID not found"))</f>
        <v/>
      </c>
      <c r="D362" s="20" t="str">
        <f aca="false">IF(B362="","",IFERROR(INDEX(Products!$B:$B,MATCH(B362,Products!$A:$A,0)),"ID not found"))</f>
        <v/>
      </c>
      <c r="E362" s="30"/>
      <c r="F362" s="30"/>
      <c r="G362" s="30"/>
      <c r="H362" s="30"/>
    </row>
    <row r="363" customFormat="false" ht="15" hidden="false" customHeight="false" outlineLevel="0" collapsed="false">
      <c r="A363" s="29"/>
      <c r="B363" s="29"/>
      <c r="C363" s="20" t="str">
        <f aca="false">IF(A363="","",IFERROR(INDEX(Metrics!$C:$C,MATCH(A363,Metrics!$A:$A,0)),"ID not found"))</f>
        <v/>
      </c>
      <c r="D363" s="20" t="str">
        <f aca="false">IF(B363="","",IFERROR(INDEX(Products!$B:$B,MATCH(B363,Products!$A:$A,0)),"ID not found"))</f>
        <v/>
      </c>
      <c r="E363" s="30"/>
      <c r="F363" s="30"/>
      <c r="G363" s="30"/>
      <c r="H363" s="30"/>
    </row>
    <row r="364" customFormat="false" ht="15" hidden="false" customHeight="false" outlineLevel="0" collapsed="false">
      <c r="A364" s="29"/>
      <c r="B364" s="29"/>
      <c r="C364" s="20" t="str">
        <f aca="false">IF(A364="","",IFERROR(INDEX(Metrics!$C:$C,MATCH(A364,Metrics!$A:$A,0)),"ID not found"))</f>
        <v/>
      </c>
      <c r="D364" s="20" t="str">
        <f aca="false">IF(B364="","",IFERROR(INDEX(Products!$B:$B,MATCH(B364,Products!$A:$A,0)),"ID not found"))</f>
        <v/>
      </c>
      <c r="E364" s="30"/>
      <c r="F364" s="30"/>
      <c r="G364" s="30"/>
      <c r="H364" s="30"/>
    </row>
    <row r="365" customFormat="false" ht="15" hidden="false" customHeight="false" outlineLevel="0" collapsed="false">
      <c r="A365" s="29"/>
      <c r="B365" s="29"/>
      <c r="C365" s="20" t="str">
        <f aca="false">IF(A365="","",IFERROR(INDEX(Metrics!$C:$C,MATCH(A365,Metrics!$A:$A,0)),"ID not found"))</f>
        <v/>
      </c>
      <c r="D365" s="20" t="str">
        <f aca="false">IF(B365="","",IFERROR(INDEX(Products!$B:$B,MATCH(B365,Products!$A:$A,0)),"ID not found"))</f>
        <v/>
      </c>
      <c r="E365" s="30"/>
      <c r="F365" s="30"/>
      <c r="G365" s="30"/>
      <c r="H365" s="30"/>
    </row>
    <row r="366" customFormat="false" ht="15" hidden="false" customHeight="false" outlineLevel="0" collapsed="false">
      <c r="A366" s="29"/>
      <c r="B366" s="29"/>
      <c r="C366" s="20" t="str">
        <f aca="false">IF(A366="","",IFERROR(INDEX(Metrics!$C:$C,MATCH(A366,Metrics!$A:$A,0)),"ID not found"))</f>
        <v/>
      </c>
      <c r="D366" s="20" t="str">
        <f aca="false">IF(B366="","",IFERROR(INDEX(Products!$B:$B,MATCH(B366,Products!$A:$A,0)),"ID not found"))</f>
        <v/>
      </c>
      <c r="E366" s="30"/>
      <c r="F366" s="30"/>
      <c r="G366" s="30"/>
      <c r="H366" s="30"/>
    </row>
    <row r="367" customFormat="false" ht="15" hidden="false" customHeight="false" outlineLevel="0" collapsed="false">
      <c r="A367" s="29"/>
      <c r="B367" s="29"/>
      <c r="C367" s="20" t="str">
        <f aca="false">IF(A367="","",IFERROR(INDEX(Metrics!$C:$C,MATCH(A367,Metrics!$A:$A,0)),"ID not found"))</f>
        <v/>
      </c>
      <c r="D367" s="20" t="str">
        <f aca="false">IF(B367="","",IFERROR(INDEX(Products!$B:$B,MATCH(B367,Products!$A:$A,0)),"ID not found"))</f>
        <v/>
      </c>
      <c r="E367" s="30"/>
      <c r="F367" s="30"/>
      <c r="G367" s="30"/>
      <c r="H367" s="30"/>
    </row>
    <row r="368" customFormat="false" ht="15" hidden="false" customHeight="false" outlineLevel="0" collapsed="false">
      <c r="A368" s="29"/>
      <c r="B368" s="29"/>
      <c r="C368" s="20" t="str">
        <f aca="false">IF(A368="","",IFERROR(INDEX(Metrics!$C:$C,MATCH(A368,Metrics!$A:$A,0)),"ID not found"))</f>
        <v/>
      </c>
      <c r="D368" s="20" t="str">
        <f aca="false">IF(B368="","",IFERROR(INDEX(Products!$B:$B,MATCH(B368,Products!$A:$A,0)),"ID not found"))</f>
        <v/>
      </c>
      <c r="E368" s="30"/>
      <c r="F368" s="30"/>
      <c r="G368" s="30"/>
      <c r="H368" s="30"/>
    </row>
    <row r="369" customFormat="false" ht="15" hidden="false" customHeight="false" outlineLevel="0" collapsed="false">
      <c r="A369" s="29"/>
      <c r="B369" s="29"/>
      <c r="C369" s="20" t="str">
        <f aca="false">IF(A369="","",IFERROR(INDEX(Metrics!$C:$C,MATCH(A369,Metrics!$A:$A,0)),"ID not found"))</f>
        <v/>
      </c>
      <c r="D369" s="20" t="str">
        <f aca="false">IF(B369="","",IFERROR(INDEX(Products!$B:$B,MATCH(B369,Products!$A:$A,0)),"ID not found"))</f>
        <v/>
      </c>
      <c r="E369" s="30"/>
      <c r="F369" s="30"/>
      <c r="G369" s="30"/>
      <c r="H369" s="30"/>
    </row>
    <row r="370" customFormat="false" ht="15" hidden="false" customHeight="false" outlineLevel="0" collapsed="false">
      <c r="A370" s="29"/>
      <c r="B370" s="29"/>
      <c r="C370" s="20" t="str">
        <f aca="false">IF(A370="","",IFERROR(INDEX(Metrics!$C:$C,MATCH(A370,Metrics!$A:$A,0)),"ID not found"))</f>
        <v/>
      </c>
      <c r="D370" s="20" t="str">
        <f aca="false">IF(B370="","",IFERROR(INDEX(Products!$B:$B,MATCH(B370,Products!$A:$A,0)),"ID not found"))</f>
        <v/>
      </c>
      <c r="E370" s="30"/>
      <c r="F370" s="30"/>
      <c r="G370" s="30"/>
      <c r="H370" s="30"/>
    </row>
    <row r="371" customFormat="false" ht="15" hidden="false" customHeight="false" outlineLevel="0" collapsed="false">
      <c r="A371" s="29"/>
      <c r="B371" s="29"/>
      <c r="C371" s="20" t="str">
        <f aca="false">IF(A371="","",IFERROR(INDEX(Metrics!$C:$C,MATCH(A371,Metrics!$A:$A,0)),"ID not found"))</f>
        <v/>
      </c>
      <c r="D371" s="20" t="str">
        <f aca="false">IF(B371="","",IFERROR(INDEX(Products!$B:$B,MATCH(B371,Products!$A:$A,0)),"ID not found"))</f>
        <v/>
      </c>
      <c r="E371" s="30"/>
      <c r="F371" s="30"/>
      <c r="G371" s="30"/>
      <c r="H371" s="30"/>
    </row>
    <row r="372" customFormat="false" ht="15" hidden="false" customHeight="false" outlineLevel="0" collapsed="false">
      <c r="A372" s="29"/>
      <c r="B372" s="29"/>
      <c r="C372" s="20" t="str">
        <f aca="false">IF(A372="","",IFERROR(INDEX(Metrics!$C:$C,MATCH(A372,Metrics!$A:$A,0)),"ID not found"))</f>
        <v/>
      </c>
      <c r="D372" s="20" t="str">
        <f aca="false">IF(B372="","",IFERROR(INDEX(Products!$B:$B,MATCH(B372,Products!$A:$A,0)),"ID not found"))</f>
        <v/>
      </c>
      <c r="E372" s="30"/>
      <c r="F372" s="30"/>
      <c r="G372" s="30"/>
      <c r="H372" s="30"/>
    </row>
    <row r="373" customFormat="false" ht="15" hidden="false" customHeight="false" outlineLevel="0" collapsed="false">
      <c r="A373" s="29"/>
      <c r="B373" s="29"/>
      <c r="C373" s="20" t="str">
        <f aca="false">IF(A373="","",IFERROR(INDEX(Metrics!$C:$C,MATCH(A373,Metrics!$A:$A,0)),"ID not found"))</f>
        <v/>
      </c>
      <c r="D373" s="20" t="str">
        <f aca="false">IF(B373="","",IFERROR(INDEX(Products!$B:$B,MATCH(B373,Products!$A:$A,0)),"ID not found"))</f>
        <v/>
      </c>
      <c r="E373" s="30"/>
      <c r="F373" s="30"/>
      <c r="G373" s="30"/>
      <c r="H373" s="30"/>
    </row>
    <row r="374" customFormat="false" ht="15" hidden="false" customHeight="false" outlineLevel="0" collapsed="false">
      <c r="A374" s="29"/>
      <c r="B374" s="29"/>
      <c r="C374" s="20" t="str">
        <f aca="false">IF(A374="","",IFERROR(INDEX(Metrics!$C:$C,MATCH(A374,Metrics!$A:$A,0)),"ID not found"))</f>
        <v/>
      </c>
      <c r="D374" s="20" t="str">
        <f aca="false">IF(B374="","",IFERROR(INDEX(Products!$B:$B,MATCH(B374,Products!$A:$A,0)),"ID not found"))</f>
        <v/>
      </c>
      <c r="E374" s="30"/>
      <c r="F374" s="30"/>
      <c r="G374" s="30"/>
      <c r="H374" s="30"/>
    </row>
    <row r="375" customFormat="false" ht="15" hidden="false" customHeight="false" outlineLevel="0" collapsed="false">
      <c r="A375" s="29"/>
      <c r="B375" s="29"/>
      <c r="C375" s="20" t="str">
        <f aca="false">IF(A375="","",IFERROR(INDEX(Metrics!$C:$C,MATCH(A375,Metrics!$A:$A,0)),"ID not found"))</f>
        <v/>
      </c>
      <c r="D375" s="20" t="str">
        <f aca="false">IF(B375="","",IFERROR(INDEX(Products!$B:$B,MATCH(B375,Products!$A:$A,0)),"ID not found"))</f>
        <v/>
      </c>
      <c r="E375" s="30"/>
      <c r="F375" s="30"/>
      <c r="G375" s="30"/>
      <c r="H375" s="30"/>
    </row>
    <row r="376" customFormat="false" ht="15" hidden="false" customHeight="false" outlineLevel="0" collapsed="false">
      <c r="A376" s="29"/>
      <c r="B376" s="29"/>
      <c r="C376" s="20" t="str">
        <f aca="false">IF(A376="","",IFERROR(INDEX(Metrics!$C:$C,MATCH(A376,Metrics!$A:$A,0)),"ID not found"))</f>
        <v/>
      </c>
      <c r="D376" s="20" t="str">
        <f aca="false">IF(B376="","",IFERROR(INDEX(Products!$B:$B,MATCH(B376,Products!$A:$A,0)),"ID not found"))</f>
        <v/>
      </c>
      <c r="E376" s="30"/>
      <c r="F376" s="30"/>
      <c r="G376" s="30"/>
      <c r="H376" s="30"/>
    </row>
    <row r="377" customFormat="false" ht="15" hidden="false" customHeight="false" outlineLevel="0" collapsed="false">
      <c r="A377" s="29"/>
      <c r="B377" s="29"/>
      <c r="C377" s="20" t="str">
        <f aca="false">IF(A377="","",IFERROR(INDEX(Metrics!$C:$C,MATCH(A377,Metrics!$A:$A,0)),"ID not found"))</f>
        <v/>
      </c>
      <c r="D377" s="20" t="str">
        <f aca="false">IF(B377="","",IFERROR(INDEX(Products!$B:$B,MATCH(B377,Products!$A:$A,0)),"ID not found"))</f>
        <v/>
      </c>
      <c r="E377" s="30"/>
      <c r="F377" s="30"/>
      <c r="G377" s="30"/>
      <c r="H377" s="30"/>
    </row>
    <row r="378" customFormat="false" ht="15" hidden="false" customHeight="false" outlineLevel="0" collapsed="false">
      <c r="A378" s="29"/>
      <c r="B378" s="29"/>
      <c r="C378" s="20" t="str">
        <f aca="false">IF(A378="","",IFERROR(INDEX(Metrics!$C:$C,MATCH(A378,Metrics!$A:$A,0)),"ID not found"))</f>
        <v/>
      </c>
      <c r="D378" s="20" t="str">
        <f aca="false">IF(B378="","",IFERROR(INDEX(Products!$B:$B,MATCH(B378,Products!$A:$A,0)),"ID not found"))</f>
        <v/>
      </c>
      <c r="E378" s="30"/>
      <c r="F378" s="30"/>
      <c r="G378" s="30"/>
      <c r="H378" s="30"/>
    </row>
    <row r="379" customFormat="false" ht="15" hidden="false" customHeight="false" outlineLevel="0" collapsed="false">
      <c r="A379" s="29"/>
      <c r="B379" s="29"/>
      <c r="C379" s="20" t="str">
        <f aca="false">IF(A379="","",IFERROR(INDEX(Metrics!$C:$C,MATCH(A379,Metrics!$A:$A,0)),"ID not found"))</f>
        <v/>
      </c>
      <c r="D379" s="20" t="str">
        <f aca="false">IF(B379="","",IFERROR(INDEX(Products!$B:$B,MATCH(B379,Products!$A:$A,0)),"ID not found"))</f>
        <v/>
      </c>
      <c r="E379" s="30"/>
      <c r="F379" s="30"/>
      <c r="G379" s="30"/>
      <c r="H379" s="30"/>
    </row>
    <row r="380" customFormat="false" ht="15" hidden="false" customHeight="false" outlineLevel="0" collapsed="false">
      <c r="A380" s="29"/>
      <c r="B380" s="29"/>
      <c r="C380" s="20" t="str">
        <f aca="false">IF(A380="","",IFERROR(INDEX(Metrics!$C:$C,MATCH(A380,Metrics!$A:$A,0)),"ID not found"))</f>
        <v/>
      </c>
      <c r="D380" s="20" t="str">
        <f aca="false">IF(B380="","",IFERROR(INDEX(Products!$B:$B,MATCH(B380,Products!$A:$A,0)),"ID not found"))</f>
        <v/>
      </c>
      <c r="E380" s="30"/>
      <c r="F380" s="30"/>
      <c r="G380" s="30"/>
      <c r="H380" s="30"/>
    </row>
    <row r="381" customFormat="false" ht="15" hidden="false" customHeight="false" outlineLevel="0" collapsed="false">
      <c r="A381" s="29"/>
      <c r="B381" s="29"/>
      <c r="C381" s="20" t="str">
        <f aca="false">IF(A381="","",IFERROR(INDEX(Metrics!$C:$C,MATCH(A381,Metrics!$A:$A,0)),"ID not found"))</f>
        <v/>
      </c>
      <c r="D381" s="20" t="str">
        <f aca="false">IF(B381="","",IFERROR(INDEX(Products!$B:$B,MATCH(B381,Products!$A:$A,0)),"ID not found"))</f>
        <v/>
      </c>
      <c r="E381" s="30"/>
      <c r="F381" s="30"/>
      <c r="G381" s="30"/>
      <c r="H381" s="30"/>
    </row>
    <row r="382" customFormat="false" ht="15" hidden="false" customHeight="false" outlineLevel="0" collapsed="false">
      <c r="A382" s="29"/>
      <c r="B382" s="29"/>
      <c r="C382" s="20" t="str">
        <f aca="false">IF(A382="","",IFERROR(INDEX(Metrics!$C:$C,MATCH(A382,Metrics!$A:$A,0)),"ID not found"))</f>
        <v/>
      </c>
      <c r="D382" s="20" t="str">
        <f aca="false">IF(B382="","",IFERROR(INDEX(Products!$B:$B,MATCH(B382,Products!$A:$A,0)),"ID not found"))</f>
        <v/>
      </c>
      <c r="E382" s="30"/>
      <c r="F382" s="30"/>
      <c r="G382" s="30"/>
      <c r="H382" s="30"/>
    </row>
    <row r="383" customFormat="false" ht="15" hidden="false" customHeight="false" outlineLevel="0" collapsed="false">
      <c r="A383" s="29"/>
      <c r="B383" s="29"/>
      <c r="C383" s="20" t="str">
        <f aca="false">IF(A383="","",IFERROR(INDEX(Metrics!$C:$C,MATCH(A383,Metrics!$A:$A,0)),"ID not found"))</f>
        <v/>
      </c>
      <c r="D383" s="20" t="str">
        <f aca="false">IF(B383="","",IFERROR(INDEX(Products!$B:$B,MATCH(B383,Products!$A:$A,0)),"ID not found"))</f>
        <v/>
      </c>
      <c r="E383" s="30"/>
      <c r="F383" s="30"/>
      <c r="G383" s="30"/>
      <c r="H383" s="30"/>
    </row>
    <row r="384" customFormat="false" ht="15" hidden="false" customHeight="false" outlineLevel="0" collapsed="false">
      <c r="A384" s="29"/>
      <c r="B384" s="29"/>
      <c r="C384" s="20" t="str">
        <f aca="false">IF(A384="","",IFERROR(INDEX(Metrics!$C:$C,MATCH(A384,Metrics!$A:$A,0)),"ID not found"))</f>
        <v/>
      </c>
      <c r="D384" s="20" t="str">
        <f aca="false">IF(B384="","",IFERROR(INDEX(Products!$B:$B,MATCH(B384,Products!$A:$A,0)),"ID not found"))</f>
        <v/>
      </c>
      <c r="E384" s="30"/>
      <c r="F384" s="30"/>
      <c r="G384" s="30"/>
      <c r="H384" s="30"/>
    </row>
    <row r="385" customFormat="false" ht="15" hidden="false" customHeight="false" outlineLevel="0" collapsed="false">
      <c r="A385" s="29"/>
      <c r="B385" s="29"/>
      <c r="C385" s="20" t="str">
        <f aca="false">IF(A385="","",IFERROR(INDEX(Metrics!$C:$C,MATCH(A385,Metrics!$A:$A,0)),"ID not found"))</f>
        <v/>
      </c>
      <c r="D385" s="20" t="str">
        <f aca="false">IF(B385="","",IFERROR(INDEX(Products!$B:$B,MATCH(B385,Products!$A:$A,0)),"ID not found"))</f>
        <v/>
      </c>
      <c r="E385" s="30"/>
      <c r="F385" s="30"/>
      <c r="G385" s="30"/>
      <c r="H385" s="30"/>
    </row>
    <row r="386" customFormat="false" ht="15" hidden="false" customHeight="false" outlineLevel="0" collapsed="false">
      <c r="A386" s="29"/>
      <c r="B386" s="29"/>
      <c r="C386" s="20" t="str">
        <f aca="false">IF(A386="","",IFERROR(INDEX(Metrics!$C:$C,MATCH(A386,Metrics!$A:$A,0)),"ID not found"))</f>
        <v/>
      </c>
      <c r="D386" s="20" t="str">
        <f aca="false">IF(B386="","",IFERROR(INDEX(Products!$B:$B,MATCH(B386,Products!$A:$A,0)),"ID not found"))</f>
        <v/>
      </c>
      <c r="E386" s="30"/>
      <c r="F386" s="30"/>
      <c r="G386" s="30"/>
      <c r="H386" s="30"/>
    </row>
    <row r="387" customFormat="false" ht="15" hidden="false" customHeight="false" outlineLevel="0" collapsed="false">
      <c r="A387" s="29"/>
      <c r="B387" s="29"/>
      <c r="C387" s="20" t="str">
        <f aca="false">IF(A387="","",IFERROR(INDEX(Metrics!$C:$C,MATCH(A387,Metrics!$A:$A,0)),"ID not found"))</f>
        <v/>
      </c>
      <c r="D387" s="20" t="str">
        <f aca="false">IF(B387="","",IFERROR(INDEX(Products!$B:$B,MATCH(B387,Products!$A:$A,0)),"ID not found"))</f>
        <v/>
      </c>
      <c r="E387" s="30"/>
      <c r="F387" s="30"/>
      <c r="G387" s="30"/>
      <c r="H387" s="30"/>
    </row>
    <row r="388" customFormat="false" ht="15" hidden="false" customHeight="false" outlineLevel="0" collapsed="false">
      <c r="A388" s="29"/>
      <c r="B388" s="29"/>
      <c r="C388" s="20" t="str">
        <f aca="false">IF(A388="","",IFERROR(INDEX(Metrics!$C:$C,MATCH(A388,Metrics!$A:$A,0)),"ID not found"))</f>
        <v/>
      </c>
      <c r="D388" s="20" t="str">
        <f aca="false">IF(B388="","",IFERROR(INDEX(Products!$B:$B,MATCH(B388,Products!$A:$A,0)),"ID not found"))</f>
        <v/>
      </c>
      <c r="E388" s="30"/>
      <c r="F388" s="30"/>
      <c r="G388" s="30"/>
      <c r="H388" s="30"/>
    </row>
    <row r="389" customFormat="false" ht="15" hidden="false" customHeight="false" outlineLevel="0" collapsed="false">
      <c r="A389" s="29"/>
      <c r="B389" s="29"/>
      <c r="C389" s="20" t="str">
        <f aca="false">IF(A389="","",IFERROR(INDEX(Metrics!$C:$C,MATCH(A389,Metrics!$A:$A,0)),"ID not found"))</f>
        <v/>
      </c>
      <c r="D389" s="20" t="str">
        <f aca="false">IF(B389="","",IFERROR(INDEX(Products!$B:$B,MATCH(B389,Products!$A:$A,0)),"ID not found"))</f>
        <v/>
      </c>
      <c r="E389" s="30"/>
      <c r="F389" s="30"/>
      <c r="G389" s="30"/>
      <c r="H389" s="30"/>
    </row>
    <row r="390" customFormat="false" ht="15" hidden="false" customHeight="false" outlineLevel="0" collapsed="false">
      <c r="A390" s="29"/>
      <c r="B390" s="29"/>
      <c r="C390" s="20" t="str">
        <f aca="false">IF(A390="","",IFERROR(INDEX(Metrics!$C:$C,MATCH(A390,Metrics!$A:$A,0)),"ID not found"))</f>
        <v/>
      </c>
      <c r="D390" s="20" t="str">
        <f aca="false">IF(B390="","",IFERROR(INDEX(Products!$B:$B,MATCH(B390,Products!$A:$A,0)),"ID not found"))</f>
        <v/>
      </c>
      <c r="E390" s="30"/>
      <c r="F390" s="30"/>
      <c r="G390" s="30"/>
      <c r="H390" s="30"/>
    </row>
    <row r="391" customFormat="false" ht="15" hidden="false" customHeight="false" outlineLevel="0" collapsed="false">
      <c r="A391" s="29"/>
      <c r="B391" s="29"/>
      <c r="C391" s="20" t="str">
        <f aca="false">IF(A391="","",IFERROR(INDEX(Metrics!$C:$C,MATCH(A391,Metrics!$A:$A,0)),"ID not found"))</f>
        <v/>
      </c>
      <c r="D391" s="20" t="str">
        <f aca="false">IF(B391="","",IFERROR(INDEX(Products!$B:$B,MATCH(B391,Products!$A:$A,0)),"ID not found"))</f>
        <v/>
      </c>
      <c r="E391" s="30"/>
      <c r="F391" s="30"/>
      <c r="G391" s="30"/>
      <c r="H391" s="30"/>
    </row>
    <row r="392" customFormat="false" ht="15" hidden="false" customHeight="false" outlineLevel="0" collapsed="false">
      <c r="A392" s="29"/>
      <c r="B392" s="29"/>
      <c r="C392" s="20" t="str">
        <f aca="false">IF(A392="","",IFERROR(INDEX(Metrics!$C:$C,MATCH(A392,Metrics!$A:$A,0)),"ID not found"))</f>
        <v/>
      </c>
      <c r="D392" s="20" t="str">
        <f aca="false">IF(B392="","",IFERROR(INDEX(Products!$B:$B,MATCH(B392,Products!$A:$A,0)),"ID not found"))</f>
        <v/>
      </c>
      <c r="E392" s="30"/>
      <c r="F392" s="30"/>
      <c r="G392" s="30"/>
      <c r="H392" s="30"/>
    </row>
    <row r="393" customFormat="false" ht="15" hidden="false" customHeight="false" outlineLevel="0" collapsed="false">
      <c r="A393" s="29"/>
      <c r="B393" s="29"/>
      <c r="C393" s="20" t="str">
        <f aca="false">IF(A393="","",IFERROR(INDEX(Metrics!$C:$C,MATCH(A393,Metrics!$A:$A,0)),"ID not found"))</f>
        <v/>
      </c>
      <c r="D393" s="20" t="str">
        <f aca="false">IF(B393="","",IFERROR(INDEX(Products!$B:$B,MATCH(B393,Products!$A:$A,0)),"ID not found"))</f>
        <v/>
      </c>
      <c r="E393" s="30"/>
      <c r="F393" s="30"/>
      <c r="G393" s="30"/>
      <c r="H393" s="30"/>
    </row>
    <row r="394" customFormat="false" ht="15" hidden="false" customHeight="false" outlineLevel="0" collapsed="false">
      <c r="A394" s="29"/>
      <c r="B394" s="29"/>
      <c r="C394" s="20" t="str">
        <f aca="false">IF(A394="","",IFERROR(INDEX(Metrics!$C:$C,MATCH(A394,Metrics!$A:$A,0)),"ID not found"))</f>
        <v/>
      </c>
      <c r="D394" s="20" t="str">
        <f aca="false">IF(B394="","",IFERROR(INDEX(Products!$B:$B,MATCH(B394,Products!$A:$A,0)),"ID not found"))</f>
        <v/>
      </c>
      <c r="E394" s="30"/>
      <c r="F394" s="30"/>
      <c r="G394" s="30"/>
      <c r="H394" s="30"/>
    </row>
    <row r="395" customFormat="false" ht="15" hidden="false" customHeight="false" outlineLevel="0" collapsed="false">
      <c r="A395" s="29"/>
      <c r="B395" s="29"/>
      <c r="C395" s="20" t="str">
        <f aca="false">IF(A395="","",IFERROR(INDEX(Metrics!$C:$C,MATCH(A395,Metrics!$A:$A,0)),"ID not found"))</f>
        <v/>
      </c>
      <c r="D395" s="20" t="str">
        <f aca="false">IF(B395="","",IFERROR(INDEX(Products!$B:$B,MATCH(B395,Products!$A:$A,0)),"ID not found"))</f>
        <v/>
      </c>
      <c r="E395" s="30"/>
      <c r="F395" s="30"/>
      <c r="G395" s="30"/>
      <c r="H395" s="30"/>
    </row>
    <row r="396" customFormat="false" ht="15" hidden="false" customHeight="false" outlineLevel="0" collapsed="false">
      <c r="A396" s="29"/>
      <c r="B396" s="29"/>
      <c r="C396" s="20" t="str">
        <f aca="false">IF(A396="","",IFERROR(INDEX(Metrics!$C:$C,MATCH(A396,Metrics!$A:$A,0)),"ID not found"))</f>
        <v/>
      </c>
      <c r="D396" s="20" t="str">
        <f aca="false">IF(B396="","",IFERROR(INDEX(Products!$B:$B,MATCH(B396,Products!$A:$A,0)),"ID not found"))</f>
        <v/>
      </c>
      <c r="E396" s="30"/>
      <c r="F396" s="30"/>
      <c r="G396" s="30"/>
      <c r="H396" s="30"/>
    </row>
    <row r="397" customFormat="false" ht="15" hidden="false" customHeight="false" outlineLevel="0" collapsed="false">
      <c r="A397" s="29"/>
      <c r="B397" s="29"/>
      <c r="C397" s="20" t="str">
        <f aca="false">IF(A397="","",IFERROR(INDEX(Metrics!$C:$C,MATCH(A397,Metrics!$A:$A,0)),"ID not found"))</f>
        <v/>
      </c>
      <c r="D397" s="20" t="str">
        <f aca="false">IF(B397="","",IFERROR(INDEX(Products!$B:$B,MATCH(B397,Products!$A:$A,0)),"ID not found"))</f>
        <v/>
      </c>
      <c r="E397" s="30"/>
      <c r="F397" s="30"/>
      <c r="G397" s="30"/>
      <c r="H397" s="30"/>
    </row>
    <row r="398" customFormat="false" ht="15" hidden="false" customHeight="false" outlineLevel="0" collapsed="false">
      <c r="A398" s="29"/>
      <c r="B398" s="29"/>
      <c r="C398" s="20" t="str">
        <f aca="false">IF(A398="","",IFERROR(INDEX(Metrics!$C:$C,MATCH(A398,Metrics!$A:$A,0)),"ID not found"))</f>
        <v/>
      </c>
      <c r="D398" s="20" t="str">
        <f aca="false">IF(B398="","",IFERROR(INDEX(Products!$B:$B,MATCH(B398,Products!$A:$A,0)),"ID not found"))</f>
        <v/>
      </c>
      <c r="E398" s="30"/>
      <c r="F398" s="30"/>
      <c r="G398" s="30"/>
      <c r="H398" s="30"/>
    </row>
    <row r="399" customFormat="false" ht="15" hidden="false" customHeight="false" outlineLevel="0" collapsed="false">
      <c r="A399" s="29"/>
      <c r="B399" s="29"/>
      <c r="C399" s="20" t="str">
        <f aca="false">IF(A399="","",IFERROR(INDEX(Metrics!$C:$C,MATCH(A399,Metrics!$A:$A,0)),"ID not found"))</f>
        <v/>
      </c>
      <c r="D399" s="20" t="str">
        <f aca="false">IF(B399="","",IFERROR(INDEX(Products!$B:$B,MATCH(B399,Products!$A:$A,0)),"ID not found"))</f>
        <v/>
      </c>
      <c r="E399" s="30"/>
      <c r="F399" s="30"/>
      <c r="G399" s="30"/>
      <c r="H399" s="30"/>
    </row>
    <row r="400" customFormat="false" ht="15" hidden="false" customHeight="false" outlineLevel="0" collapsed="false">
      <c r="A400" s="29"/>
      <c r="B400" s="29"/>
      <c r="C400" s="20" t="str">
        <f aca="false">IF(A400="","",IFERROR(INDEX(Metrics!$C:$C,MATCH(A400,Metrics!$A:$A,0)),"ID not found"))</f>
        <v/>
      </c>
      <c r="D400" s="20" t="str">
        <f aca="false">IF(B400="","",IFERROR(INDEX(Products!$B:$B,MATCH(B400,Products!$A:$A,0)),"ID not found"))</f>
        <v/>
      </c>
      <c r="E400" s="30"/>
      <c r="F400" s="30"/>
      <c r="G400" s="30"/>
      <c r="H400" s="30"/>
    </row>
    <row r="401" customFormat="false" ht="15" hidden="false" customHeight="false" outlineLevel="0" collapsed="false">
      <c r="A401" s="29"/>
      <c r="B401" s="29"/>
      <c r="C401" s="20" t="str">
        <f aca="false">IF(A401="","",IFERROR(INDEX(Metrics!$C:$C,MATCH(A401,Metrics!$A:$A,0)),"ID not found"))</f>
        <v/>
      </c>
      <c r="D401" s="20" t="str">
        <f aca="false">IF(B401="","",IFERROR(INDEX(Products!$B:$B,MATCH(B401,Products!$A:$A,0)),"ID not found"))</f>
        <v/>
      </c>
      <c r="E401" s="30"/>
      <c r="F401" s="30"/>
      <c r="G401" s="30"/>
      <c r="H401" s="30"/>
    </row>
    <row r="402" customFormat="false" ht="15" hidden="false" customHeight="false" outlineLevel="0" collapsed="false">
      <c r="A402" s="29"/>
      <c r="B402" s="29"/>
      <c r="C402" s="20" t="str">
        <f aca="false">IF(A402="","",IFERROR(INDEX(Metrics!$C:$C,MATCH(A402,Metrics!$A:$A,0)),"ID not found"))</f>
        <v/>
      </c>
      <c r="D402" s="20" t="str">
        <f aca="false">IF(B402="","",IFERROR(INDEX(Products!$B:$B,MATCH(B402,Products!$A:$A,0)),"ID not found"))</f>
        <v/>
      </c>
      <c r="E402" s="30"/>
      <c r="F402" s="30"/>
      <c r="G402" s="30"/>
      <c r="H402" s="30"/>
    </row>
    <row r="403" customFormat="false" ht="15" hidden="false" customHeight="false" outlineLevel="0" collapsed="false">
      <c r="A403" s="29"/>
      <c r="B403" s="29"/>
      <c r="C403" s="20" t="str">
        <f aca="false">IF(A403="","",IFERROR(INDEX(Metrics!$C:$C,MATCH(A403,Metrics!$A:$A,0)),"ID not found"))</f>
        <v/>
      </c>
      <c r="D403" s="20" t="str">
        <f aca="false">IF(B403="","",IFERROR(INDEX(Products!$B:$B,MATCH(B403,Products!$A:$A,0)),"ID not found"))</f>
        <v/>
      </c>
      <c r="E403" s="30"/>
      <c r="F403" s="30"/>
      <c r="G403" s="30"/>
      <c r="H403" s="30"/>
    </row>
    <row r="404" customFormat="false" ht="15" hidden="false" customHeight="false" outlineLevel="0" collapsed="false">
      <c r="A404" s="29"/>
      <c r="B404" s="29"/>
      <c r="C404" s="20" t="str">
        <f aca="false">IF(A404="","",IFERROR(INDEX(Metrics!$C:$C,MATCH(A404,Metrics!$A:$A,0)),"ID not found"))</f>
        <v/>
      </c>
      <c r="D404" s="20" t="str">
        <f aca="false">IF(B404="","",IFERROR(INDEX(Products!$B:$B,MATCH(B404,Products!$A:$A,0)),"ID not found"))</f>
        <v/>
      </c>
      <c r="E404" s="30"/>
      <c r="F404" s="30"/>
      <c r="G404" s="30"/>
      <c r="H404" s="30"/>
    </row>
    <row r="405" customFormat="false" ht="15" hidden="false" customHeight="false" outlineLevel="0" collapsed="false">
      <c r="A405" s="29"/>
      <c r="B405" s="29"/>
      <c r="C405" s="20" t="str">
        <f aca="false">IF(A405="","",IFERROR(INDEX(Metrics!$C:$C,MATCH(A405,Metrics!$A:$A,0)),"ID not found"))</f>
        <v/>
      </c>
      <c r="D405" s="20" t="str">
        <f aca="false">IF(B405="","",IFERROR(INDEX(Products!$B:$B,MATCH(B405,Products!$A:$A,0)),"ID not found"))</f>
        <v/>
      </c>
      <c r="E405" s="30"/>
      <c r="F405" s="30"/>
      <c r="G405" s="30"/>
      <c r="H405" s="30"/>
    </row>
    <row r="406" customFormat="false" ht="15" hidden="false" customHeight="false" outlineLevel="0" collapsed="false">
      <c r="A406" s="29"/>
      <c r="B406" s="29"/>
      <c r="C406" s="20" t="str">
        <f aca="false">IF(A406="","",IFERROR(INDEX(Metrics!$C:$C,MATCH(A406,Metrics!$A:$A,0)),"ID not found"))</f>
        <v/>
      </c>
      <c r="D406" s="20" t="str">
        <f aca="false">IF(B406="","",IFERROR(INDEX(Products!$B:$B,MATCH(B406,Products!$A:$A,0)),"ID not found"))</f>
        <v/>
      </c>
      <c r="E406" s="30"/>
      <c r="F406" s="30"/>
      <c r="G406" s="30"/>
      <c r="H406" s="30"/>
    </row>
    <row r="407" customFormat="false" ht="15" hidden="false" customHeight="false" outlineLevel="0" collapsed="false">
      <c r="A407" s="29"/>
      <c r="B407" s="29"/>
      <c r="C407" s="20" t="str">
        <f aca="false">IF(A407="","",IFERROR(INDEX(Metrics!$C:$C,MATCH(A407,Metrics!$A:$A,0)),"ID not found"))</f>
        <v/>
      </c>
      <c r="D407" s="20" t="str">
        <f aca="false">IF(B407="","",IFERROR(INDEX(Products!$B:$B,MATCH(B407,Products!$A:$A,0)),"ID not found"))</f>
        <v/>
      </c>
      <c r="E407" s="30"/>
      <c r="F407" s="30"/>
      <c r="G407" s="30"/>
      <c r="H407" s="30"/>
    </row>
    <row r="408" customFormat="false" ht="15" hidden="false" customHeight="false" outlineLevel="0" collapsed="false">
      <c r="A408" s="29"/>
      <c r="B408" s="29"/>
      <c r="C408" s="20" t="str">
        <f aca="false">IF(A408="","",IFERROR(INDEX(Metrics!$C:$C,MATCH(A408,Metrics!$A:$A,0)),"ID not found"))</f>
        <v/>
      </c>
      <c r="D408" s="20" t="str">
        <f aca="false">IF(B408="","",IFERROR(INDEX(Products!$B:$B,MATCH(B408,Products!$A:$A,0)),"ID not found"))</f>
        <v/>
      </c>
      <c r="E408" s="30"/>
      <c r="F408" s="30"/>
      <c r="G408" s="30"/>
      <c r="H408" s="30"/>
    </row>
    <row r="409" customFormat="false" ht="15" hidden="false" customHeight="false" outlineLevel="0" collapsed="false">
      <c r="A409" s="29"/>
      <c r="B409" s="29"/>
      <c r="C409" s="20" t="str">
        <f aca="false">IF(A409="","",IFERROR(INDEX(Metrics!$C:$C,MATCH(A409,Metrics!$A:$A,0)),"ID not found"))</f>
        <v/>
      </c>
      <c r="D409" s="20" t="str">
        <f aca="false">IF(B409="","",IFERROR(INDEX(Products!$B:$B,MATCH(B409,Products!$A:$A,0)),"ID not found"))</f>
        <v/>
      </c>
      <c r="E409" s="30"/>
      <c r="F409" s="30"/>
      <c r="G409" s="30"/>
      <c r="H409" s="30"/>
    </row>
    <row r="410" customFormat="false" ht="15" hidden="false" customHeight="false" outlineLevel="0" collapsed="false">
      <c r="A410" s="29"/>
      <c r="B410" s="29"/>
      <c r="C410" s="20" t="str">
        <f aca="false">IF(A410="","",IFERROR(INDEX(Metrics!$C:$C,MATCH(A410,Metrics!$A:$A,0)),"ID not found"))</f>
        <v/>
      </c>
      <c r="D410" s="20" t="str">
        <f aca="false">IF(B410="","",IFERROR(INDEX(Products!$B:$B,MATCH(B410,Products!$A:$A,0)),"ID not found"))</f>
        <v/>
      </c>
      <c r="E410" s="30"/>
      <c r="F410" s="30"/>
      <c r="G410" s="30"/>
      <c r="H410" s="30"/>
    </row>
    <row r="411" customFormat="false" ht="15" hidden="false" customHeight="false" outlineLevel="0" collapsed="false">
      <c r="A411" s="29"/>
      <c r="B411" s="29"/>
      <c r="C411" s="20" t="str">
        <f aca="false">IF(A411="","",IFERROR(INDEX(Metrics!$C:$C,MATCH(A411,Metrics!$A:$A,0)),"ID not found"))</f>
        <v/>
      </c>
      <c r="D411" s="20" t="str">
        <f aca="false">IF(B411="","",IFERROR(INDEX(Products!$B:$B,MATCH(B411,Products!$A:$A,0)),"ID not found"))</f>
        <v/>
      </c>
      <c r="E411" s="30"/>
      <c r="F411" s="30"/>
      <c r="G411" s="30"/>
      <c r="H411" s="30"/>
    </row>
    <row r="412" customFormat="false" ht="15" hidden="false" customHeight="false" outlineLevel="0" collapsed="false">
      <c r="A412" s="29"/>
      <c r="B412" s="29"/>
      <c r="C412" s="20" t="str">
        <f aca="false">IF(A412="","",IFERROR(INDEX(Metrics!$C:$C,MATCH(A412,Metrics!$A:$A,0)),"ID not found"))</f>
        <v/>
      </c>
      <c r="D412" s="20" t="str">
        <f aca="false">IF(B412="","",IFERROR(INDEX(Products!$B:$B,MATCH(B412,Products!$A:$A,0)),"ID not found"))</f>
        <v/>
      </c>
      <c r="E412" s="30"/>
      <c r="F412" s="30"/>
      <c r="G412" s="30"/>
      <c r="H412" s="30"/>
    </row>
    <row r="413" customFormat="false" ht="15" hidden="false" customHeight="false" outlineLevel="0" collapsed="false">
      <c r="A413" s="29"/>
      <c r="B413" s="29"/>
      <c r="C413" s="20" t="str">
        <f aca="false">IF(A413="","",IFERROR(INDEX(Metrics!$C:$C,MATCH(A413,Metrics!$A:$A,0)),"ID not found"))</f>
        <v/>
      </c>
      <c r="D413" s="20" t="str">
        <f aca="false">IF(B413="","",IFERROR(INDEX(Products!$B:$B,MATCH(B413,Products!$A:$A,0)),"ID not found"))</f>
        <v/>
      </c>
      <c r="E413" s="30"/>
      <c r="F413" s="30"/>
      <c r="G413" s="30"/>
      <c r="H413" s="30"/>
    </row>
    <row r="414" customFormat="false" ht="15" hidden="false" customHeight="false" outlineLevel="0" collapsed="false">
      <c r="A414" s="29"/>
      <c r="B414" s="29"/>
      <c r="C414" s="20" t="str">
        <f aca="false">IF(A414="","",IFERROR(INDEX(Metrics!$C:$C,MATCH(A414,Metrics!$A:$A,0)),"ID not found"))</f>
        <v/>
      </c>
      <c r="D414" s="20" t="str">
        <f aca="false">IF(B414="","",IFERROR(INDEX(Products!$B:$B,MATCH(B414,Products!$A:$A,0)),"ID not found"))</f>
        <v/>
      </c>
      <c r="E414" s="30"/>
      <c r="F414" s="30"/>
      <c r="G414" s="30"/>
      <c r="H414" s="30"/>
    </row>
    <row r="415" customFormat="false" ht="15" hidden="false" customHeight="false" outlineLevel="0" collapsed="false">
      <c r="A415" s="29"/>
      <c r="B415" s="29"/>
      <c r="C415" s="20" t="str">
        <f aca="false">IF(A415="","",IFERROR(INDEX(Metrics!$C:$C,MATCH(A415,Metrics!$A:$A,0)),"ID not found"))</f>
        <v/>
      </c>
      <c r="D415" s="20" t="str">
        <f aca="false">IF(B415="","",IFERROR(INDEX(Products!$B:$B,MATCH(B415,Products!$A:$A,0)),"ID not found"))</f>
        <v/>
      </c>
      <c r="E415" s="30"/>
      <c r="F415" s="30"/>
      <c r="G415" s="30"/>
      <c r="H415" s="30"/>
    </row>
    <row r="416" customFormat="false" ht="15" hidden="false" customHeight="false" outlineLevel="0" collapsed="false">
      <c r="A416" s="29"/>
      <c r="B416" s="29"/>
      <c r="C416" s="20" t="str">
        <f aca="false">IF(A416="","",IFERROR(INDEX(Metrics!$C:$C,MATCH(A416,Metrics!$A:$A,0)),"ID not found"))</f>
        <v/>
      </c>
      <c r="D416" s="20" t="str">
        <f aca="false">IF(B416="","",IFERROR(INDEX(Products!$B:$B,MATCH(B416,Products!$A:$A,0)),"ID not found"))</f>
        <v/>
      </c>
      <c r="E416" s="30"/>
      <c r="F416" s="30"/>
      <c r="G416" s="30"/>
      <c r="H416" s="30"/>
    </row>
    <row r="417" customFormat="false" ht="15" hidden="false" customHeight="false" outlineLevel="0" collapsed="false">
      <c r="A417" s="29"/>
      <c r="B417" s="29"/>
      <c r="C417" s="20" t="str">
        <f aca="false">IF(A417="","",IFERROR(INDEX(Metrics!$C:$C,MATCH(A417,Metrics!$A:$A,0)),"ID not found"))</f>
        <v/>
      </c>
      <c r="D417" s="20" t="str">
        <f aca="false">IF(B417="","",IFERROR(INDEX(Products!$B:$B,MATCH(B417,Products!$A:$A,0)),"ID not found"))</f>
        <v/>
      </c>
      <c r="E417" s="30"/>
      <c r="F417" s="30"/>
      <c r="G417" s="30"/>
      <c r="H417" s="30"/>
    </row>
    <row r="418" customFormat="false" ht="15" hidden="false" customHeight="false" outlineLevel="0" collapsed="false">
      <c r="A418" s="29"/>
      <c r="B418" s="29"/>
      <c r="C418" s="20" t="str">
        <f aca="false">IF(A418="","",IFERROR(INDEX(Metrics!$C:$C,MATCH(A418,Metrics!$A:$A,0)),"ID not found"))</f>
        <v/>
      </c>
      <c r="D418" s="20" t="str">
        <f aca="false">IF(B418="","",IFERROR(INDEX(Products!$B:$B,MATCH(B418,Products!$A:$A,0)),"ID not found"))</f>
        <v/>
      </c>
      <c r="E418" s="30"/>
      <c r="F418" s="30"/>
      <c r="G418" s="30"/>
      <c r="H418" s="30"/>
    </row>
    <row r="419" customFormat="false" ht="15" hidden="false" customHeight="false" outlineLevel="0" collapsed="false">
      <c r="A419" s="29"/>
      <c r="B419" s="29"/>
      <c r="C419" s="20" t="str">
        <f aca="false">IF(A419="","",IFERROR(INDEX(Metrics!$C:$C,MATCH(A419,Metrics!$A:$A,0)),"ID not found"))</f>
        <v/>
      </c>
      <c r="D419" s="20" t="str">
        <f aca="false">IF(B419="","",IFERROR(INDEX(Products!$B:$B,MATCH(B419,Products!$A:$A,0)),"ID not found"))</f>
        <v/>
      </c>
      <c r="E419" s="30"/>
      <c r="F419" s="30"/>
      <c r="G419" s="30"/>
      <c r="H419" s="30"/>
    </row>
    <row r="420" customFormat="false" ht="15" hidden="false" customHeight="false" outlineLevel="0" collapsed="false">
      <c r="A420" s="29"/>
      <c r="B420" s="29"/>
      <c r="C420" s="20" t="str">
        <f aca="false">IF(A420="","",IFERROR(INDEX(Metrics!$C:$C,MATCH(A420,Metrics!$A:$A,0)),"ID not found"))</f>
        <v/>
      </c>
      <c r="D420" s="20" t="str">
        <f aca="false">IF(B420="","",IFERROR(INDEX(Products!$B:$B,MATCH(B420,Products!$A:$A,0)),"ID not found"))</f>
        <v/>
      </c>
      <c r="E420" s="30"/>
      <c r="F420" s="30"/>
      <c r="G420" s="30"/>
      <c r="H420" s="30"/>
    </row>
    <row r="421" customFormat="false" ht="15" hidden="false" customHeight="false" outlineLevel="0" collapsed="false">
      <c r="A421" s="29"/>
      <c r="B421" s="29"/>
      <c r="C421" s="20" t="str">
        <f aca="false">IF(A421="","",IFERROR(INDEX(Metrics!$C:$C,MATCH(A421,Metrics!$A:$A,0)),"ID not found"))</f>
        <v/>
      </c>
      <c r="D421" s="20" t="str">
        <f aca="false">IF(B421="","",IFERROR(INDEX(Products!$B:$B,MATCH(B421,Products!$A:$A,0)),"ID not found"))</f>
        <v/>
      </c>
      <c r="E421" s="30"/>
      <c r="F421" s="30"/>
      <c r="G421" s="30"/>
      <c r="H421" s="30"/>
    </row>
    <row r="422" customFormat="false" ht="15" hidden="false" customHeight="false" outlineLevel="0" collapsed="false">
      <c r="A422" s="29"/>
      <c r="B422" s="29"/>
      <c r="C422" s="20" t="str">
        <f aca="false">IF(A422="","",IFERROR(INDEX(Metrics!$C:$C,MATCH(A422,Metrics!$A:$A,0)),"ID not found"))</f>
        <v/>
      </c>
      <c r="D422" s="20" t="str">
        <f aca="false">IF(B422="","",IFERROR(INDEX(Products!$B:$B,MATCH(B422,Products!$A:$A,0)),"ID not found"))</f>
        <v/>
      </c>
      <c r="E422" s="30"/>
      <c r="F422" s="30"/>
      <c r="G422" s="30"/>
      <c r="H422" s="30"/>
    </row>
    <row r="423" customFormat="false" ht="15" hidden="false" customHeight="false" outlineLevel="0" collapsed="false">
      <c r="A423" s="29"/>
      <c r="B423" s="29"/>
      <c r="C423" s="20" t="str">
        <f aca="false">IF(A423="","",IFERROR(INDEX(Metrics!$C:$C,MATCH(A423,Metrics!$A:$A,0)),"ID not found"))</f>
        <v/>
      </c>
      <c r="D423" s="20" t="str">
        <f aca="false">IF(B423="","",IFERROR(INDEX(Products!$B:$B,MATCH(B423,Products!$A:$A,0)),"ID not found"))</f>
        <v/>
      </c>
      <c r="E423" s="30"/>
      <c r="F423" s="30"/>
      <c r="G423" s="30"/>
      <c r="H423" s="30"/>
    </row>
    <row r="424" customFormat="false" ht="15" hidden="false" customHeight="false" outlineLevel="0" collapsed="false">
      <c r="A424" s="29"/>
      <c r="B424" s="29"/>
      <c r="C424" s="20" t="str">
        <f aca="false">IF(A424="","",IFERROR(INDEX(Metrics!$C:$C,MATCH(A424,Metrics!$A:$A,0)),"ID not found"))</f>
        <v/>
      </c>
      <c r="D424" s="20" t="str">
        <f aca="false">IF(B424="","",IFERROR(INDEX(Products!$B:$B,MATCH(B424,Products!$A:$A,0)),"ID not found"))</f>
        <v/>
      </c>
      <c r="E424" s="30"/>
      <c r="F424" s="30"/>
      <c r="G424" s="30"/>
      <c r="H424" s="30"/>
    </row>
    <row r="425" customFormat="false" ht="15" hidden="false" customHeight="false" outlineLevel="0" collapsed="false">
      <c r="A425" s="29"/>
      <c r="B425" s="29"/>
      <c r="C425" s="20" t="str">
        <f aca="false">IF(A425="","",IFERROR(INDEX(Metrics!$C:$C,MATCH(A425,Metrics!$A:$A,0)),"ID not found"))</f>
        <v/>
      </c>
      <c r="D425" s="20" t="str">
        <f aca="false">IF(B425="","",IFERROR(INDEX(Products!$B:$B,MATCH(B425,Products!$A:$A,0)),"ID not found"))</f>
        <v/>
      </c>
      <c r="E425" s="30"/>
      <c r="F425" s="30"/>
      <c r="G425" s="30"/>
      <c r="H425" s="30"/>
    </row>
    <row r="426" customFormat="false" ht="15" hidden="false" customHeight="false" outlineLevel="0" collapsed="false">
      <c r="A426" s="29"/>
      <c r="B426" s="29"/>
      <c r="C426" s="20" t="str">
        <f aca="false">IF(A426="","",IFERROR(INDEX(Metrics!$C:$C,MATCH(A426,Metrics!$A:$A,0)),"ID not found"))</f>
        <v/>
      </c>
      <c r="D426" s="20" t="str">
        <f aca="false">IF(B426="","",IFERROR(INDEX(Products!$B:$B,MATCH(B426,Products!$A:$A,0)),"ID not found"))</f>
        <v/>
      </c>
      <c r="E426" s="30"/>
      <c r="F426" s="30"/>
      <c r="G426" s="30"/>
      <c r="H426" s="30"/>
    </row>
    <row r="427" customFormat="false" ht="15" hidden="false" customHeight="false" outlineLevel="0" collapsed="false">
      <c r="A427" s="29"/>
      <c r="B427" s="29"/>
      <c r="C427" s="20" t="str">
        <f aca="false">IF(A427="","",IFERROR(INDEX(Metrics!$C:$C,MATCH(A427,Metrics!$A:$A,0)),"ID not found"))</f>
        <v/>
      </c>
      <c r="D427" s="20" t="str">
        <f aca="false">IF(B427="","",IFERROR(INDEX(Products!$B:$B,MATCH(B427,Products!$A:$A,0)),"ID not found"))</f>
        <v/>
      </c>
      <c r="E427" s="30"/>
      <c r="F427" s="30"/>
      <c r="G427" s="30"/>
      <c r="H427" s="30"/>
    </row>
    <row r="428" customFormat="false" ht="15" hidden="false" customHeight="false" outlineLevel="0" collapsed="false">
      <c r="A428" s="29"/>
      <c r="B428" s="29"/>
      <c r="C428" s="20" t="str">
        <f aca="false">IF(A428="","",IFERROR(INDEX(Metrics!$C:$C,MATCH(A428,Metrics!$A:$A,0)),"ID not found"))</f>
        <v/>
      </c>
      <c r="D428" s="20" t="str">
        <f aca="false">IF(B428="","",IFERROR(INDEX(Products!$B:$B,MATCH(B428,Products!$A:$A,0)),"ID not found"))</f>
        <v/>
      </c>
      <c r="E428" s="30"/>
      <c r="F428" s="30"/>
      <c r="G428" s="30"/>
      <c r="H428" s="30"/>
    </row>
    <row r="429" customFormat="false" ht="15" hidden="false" customHeight="false" outlineLevel="0" collapsed="false">
      <c r="A429" s="29"/>
      <c r="B429" s="29"/>
      <c r="C429" s="20" t="str">
        <f aca="false">IF(A429="","",IFERROR(INDEX(Metrics!$C:$C,MATCH(A429,Metrics!$A:$A,0)),"ID not found"))</f>
        <v/>
      </c>
      <c r="D429" s="20" t="str">
        <f aca="false">IF(B429="","",IFERROR(INDEX(Products!$B:$B,MATCH(B429,Products!$A:$A,0)),"ID not found"))</f>
        <v/>
      </c>
      <c r="E429" s="30"/>
      <c r="F429" s="30"/>
      <c r="G429" s="30"/>
      <c r="H429" s="30"/>
    </row>
    <row r="430" customFormat="false" ht="15" hidden="false" customHeight="false" outlineLevel="0" collapsed="false">
      <c r="A430" s="29"/>
      <c r="B430" s="29"/>
      <c r="C430" s="20" t="str">
        <f aca="false">IF(A430="","",IFERROR(INDEX(Metrics!$C:$C,MATCH(A430,Metrics!$A:$A,0)),"ID not found"))</f>
        <v/>
      </c>
      <c r="D430" s="20" t="str">
        <f aca="false">IF(B430="","",IFERROR(INDEX(Products!$B:$B,MATCH(B430,Products!$A:$A,0)),"ID not found"))</f>
        <v/>
      </c>
      <c r="E430" s="30"/>
      <c r="F430" s="30"/>
      <c r="G430" s="30"/>
      <c r="H430" s="30"/>
    </row>
    <row r="431" customFormat="false" ht="15" hidden="false" customHeight="false" outlineLevel="0" collapsed="false">
      <c r="A431" s="29"/>
      <c r="B431" s="29"/>
      <c r="C431" s="20" t="str">
        <f aca="false">IF(A431="","",IFERROR(INDEX(Metrics!$C:$C,MATCH(A431,Metrics!$A:$A,0)),"ID not found"))</f>
        <v/>
      </c>
      <c r="D431" s="20" t="str">
        <f aca="false">IF(B431="","",IFERROR(INDEX(Products!$B:$B,MATCH(B431,Products!$A:$A,0)),"ID not found"))</f>
        <v/>
      </c>
      <c r="E431" s="30"/>
      <c r="F431" s="30"/>
      <c r="G431" s="30"/>
      <c r="H431" s="30"/>
    </row>
    <row r="432" customFormat="false" ht="15" hidden="false" customHeight="false" outlineLevel="0" collapsed="false">
      <c r="A432" s="29"/>
      <c r="B432" s="29"/>
      <c r="C432" s="20" t="str">
        <f aca="false">IF(A432="","",IFERROR(INDEX(Metrics!$C:$C,MATCH(A432,Metrics!$A:$A,0)),"ID not found"))</f>
        <v/>
      </c>
      <c r="D432" s="20" t="str">
        <f aca="false">IF(B432="","",IFERROR(INDEX(Products!$B:$B,MATCH(B432,Products!$A:$A,0)),"ID not found"))</f>
        <v/>
      </c>
      <c r="E432" s="30"/>
      <c r="F432" s="30"/>
      <c r="G432" s="30"/>
      <c r="H432" s="30"/>
    </row>
    <row r="433" customFormat="false" ht="15" hidden="false" customHeight="false" outlineLevel="0" collapsed="false">
      <c r="A433" s="29"/>
      <c r="B433" s="29"/>
      <c r="C433" s="20" t="str">
        <f aca="false">IF(A433="","",IFERROR(INDEX(Metrics!$C:$C,MATCH(A433,Metrics!$A:$A,0)),"ID not found"))</f>
        <v/>
      </c>
      <c r="D433" s="20" t="str">
        <f aca="false">IF(B433="","",IFERROR(INDEX(Products!$B:$B,MATCH(B433,Products!$A:$A,0)),"ID not found"))</f>
        <v/>
      </c>
      <c r="E433" s="30"/>
      <c r="F433" s="30"/>
      <c r="G433" s="30"/>
      <c r="H433" s="30"/>
    </row>
    <row r="434" customFormat="false" ht="15" hidden="false" customHeight="false" outlineLevel="0" collapsed="false">
      <c r="A434" s="29"/>
      <c r="B434" s="29"/>
      <c r="C434" s="20" t="str">
        <f aca="false">IF(A434="","",IFERROR(INDEX(Metrics!$C:$C,MATCH(A434,Metrics!$A:$A,0)),"ID not found"))</f>
        <v/>
      </c>
      <c r="D434" s="20" t="str">
        <f aca="false">IF(B434="","",IFERROR(INDEX(Products!$B:$B,MATCH(B434,Products!$A:$A,0)),"ID not found"))</f>
        <v/>
      </c>
      <c r="E434" s="30"/>
      <c r="F434" s="30"/>
      <c r="G434" s="30"/>
      <c r="H434" s="30"/>
    </row>
    <row r="435" customFormat="false" ht="15" hidden="false" customHeight="false" outlineLevel="0" collapsed="false">
      <c r="A435" s="29"/>
      <c r="B435" s="29"/>
      <c r="C435" s="20" t="str">
        <f aca="false">IF(A435="","",IFERROR(INDEX(Metrics!$C:$C,MATCH(A435,Metrics!$A:$A,0)),"ID not found"))</f>
        <v/>
      </c>
      <c r="D435" s="20" t="str">
        <f aca="false">IF(B435="","",IFERROR(INDEX(Products!$B:$B,MATCH(B435,Products!$A:$A,0)),"ID not found"))</f>
        <v/>
      </c>
      <c r="E435" s="30"/>
      <c r="F435" s="30"/>
      <c r="G435" s="30"/>
      <c r="H435" s="30"/>
    </row>
    <row r="436" customFormat="false" ht="15" hidden="false" customHeight="false" outlineLevel="0" collapsed="false">
      <c r="A436" s="29"/>
      <c r="B436" s="29"/>
      <c r="C436" s="20" t="str">
        <f aca="false">IF(A436="","",IFERROR(INDEX(Metrics!$C:$C,MATCH(A436,Metrics!$A:$A,0)),"ID not found"))</f>
        <v/>
      </c>
      <c r="D436" s="20" t="str">
        <f aca="false">IF(B436="","",IFERROR(INDEX(Products!$B:$B,MATCH(B436,Products!$A:$A,0)),"ID not found"))</f>
        <v/>
      </c>
      <c r="E436" s="30"/>
      <c r="F436" s="30"/>
      <c r="G436" s="30"/>
      <c r="H436" s="30"/>
    </row>
    <row r="437" customFormat="false" ht="15" hidden="false" customHeight="false" outlineLevel="0" collapsed="false">
      <c r="A437" s="29"/>
      <c r="B437" s="29"/>
      <c r="C437" s="20" t="str">
        <f aca="false">IF(A437="","",IFERROR(INDEX(Metrics!$C:$C,MATCH(A437,Metrics!$A:$A,0)),"ID not found"))</f>
        <v/>
      </c>
      <c r="D437" s="20" t="str">
        <f aca="false">IF(B437="","",IFERROR(INDEX(Products!$B:$B,MATCH(B437,Products!$A:$A,0)),"ID not found"))</f>
        <v/>
      </c>
      <c r="E437" s="30"/>
      <c r="F437" s="30"/>
      <c r="G437" s="30"/>
      <c r="H437" s="30"/>
    </row>
    <row r="438" customFormat="false" ht="15" hidden="false" customHeight="false" outlineLevel="0" collapsed="false">
      <c r="A438" s="29"/>
      <c r="B438" s="29"/>
      <c r="C438" s="20" t="str">
        <f aca="false">IF(A438="","",IFERROR(INDEX(Metrics!$C:$C,MATCH(A438,Metrics!$A:$A,0)),"ID not found"))</f>
        <v/>
      </c>
      <c r="D438" s="20" t="str">
        <f aca="false">IF(B438="","",IFERROR(INDEX(Products!$B:$B,MATCH(B438,Products!$A:$A,0)),"ID not found"))</f>
        <v/>
      </c>
      <c r="E438" s="30"/>
      <c r="F438" s="30"/>
      <c r="G438" s="30"/>
      <c r="H438" s="30"/>
    </row>
    <row r="439" customFormat="false" ht="15" hidden="false" customHeight="false" outlineLevel="0" collapsed="false">
      <c r="A439" s="29"/>
      <c r="B439" s="29"/>
      <c r="C439" s="20" t="str">
        <f aca="false">IF(A439="","",IFERROR(INDEX(Metrics!$C:$C,MATCH(A439,Metrics!$A:$A,0)),"ID not found"))</f>
        <v/>
      </c>
      <c r="D439" s="20" t="str">
        <f aca="false">IF(B439="","",IFERROR(INDEX(Products!$B:$B,MATCH(B439,Products!$A:$A,0)),"ID not found"))</f>
        <v/>
      </c>
      <c r="E439" s="30"/>
      <c r="F439" s="30"/>
      <c r="G439" s="30"/>
      <c r="H439" s="30"/>
    </row>
    <row r="440" customFormat="false" ht="15" hidden="false" customHeight="false" outlineLevel="0" collapsed="false">
      <c r="A440" s="29"/>
      <c r="B440" s="29"/>
      <c r="C440" s="20" t="str">
        <f aca="false">IF(A440="","",IFERROR(INDEX(Metrics!$C:$C,MATCH(A440,Metrics!$A:$A,0)),"ID not found"))</f>
        <v/>
      </c>
      <c r="D440" s="20" t="str">
        <f aca="false">IF(B440="","",IFERROR(INDEX(Products!$B:$B,MATCH(B440,Products!$A:$A,0)),"ID not found"))</f>
        <v/>
      </c>
      <c r="E440" s="30"/>
      <c r="F440" s="30"/>
      <c r="G440" s="30"/>
      <c r="H440" s="30"/>
    </row>
    <row r="441" customFormat="false" ht="15" hidden="false" customHeight="false" outlineLevel="0" collapsed="false">
      <c r="A441" s="29"/>
      <c r="B441" s="29"/>
      <c r="C441" s="20" t="str">
        <f aca="false">IF(A441="","",IFERROR(INDEX(Metrics!$C:$C,MATCH(A441,Metrics!$A:$A,0)),"ID not found"))</f>
        <v/>
      </c>
      <c r="D441" s="20" t="str">
        <f aca="false">IF(B441="","",IFERROR(INDEX(Products!$B:$B,MATCH(B441,Products!$A:$A,0)),"ID not found"))</f>
        <v/>
      </c>
      <c r="E441" s="30"/>
      <c r="F441" s="30"/>
      <c r="G441" s="30"/>
      <c r="H441" s="30"/>
    </row>
    <row r="442" customFormat="false" ht="15" hidden="false" customHeight="false" outlineLevel="0" collapsed="false">
      <c r="A442" s="29"/>
      <c r="B442" s="29"/>
      <c r="C442" s="20" t="str">
        <f aca="false">IF(A442="","",IFERROR(INDEX(Metrics!$C:$C,MATCH(A442,Metrics!$A:$A,0)),"ID not found"))</f>
        <v/>
      </c>
      <c r="D442" s="20" t="str">
        <f aca="false">IF(B442="","",IFERROR(INDEX(Products!$B:$B,MATCH(B442,Products!$A:$A,0)),"ID not found"))</f>
        <v/>
      </c>
      <c r="E442" s="30"/>
      <c r="F442" s="30"/>
      <c r="G442" s="30"/>
      <c r="H442" s="30"/>
    </row>
    <row r="443" customFormat="false" ht="15" hidden="false" customHeight="false" outlineLevel="0" collapsed="false">
      <c r="A443" s="29"/>
      <c r="B443" s="29"/>
      <c r="C443" s="20" t="str">
        <f aca="false">IF(A443="","",IFERROR(INDEX(Metrics!$C:$C,MATCH(A443,Metrics!$A:$A,0)),"ID not found"))</f>
        <v/>
      </c>
      <c r="D443" s="20" t="str">
        <f aca="false">IF(B443="","",IFERROR(INDEX(Products!$B:$B,MATCH(B443,Products!$A:$A,0)),"ID not found"))</f>
        <v/>
      </c>
      <c r="E443" s="30"/>
      <c r="F443" s="30"/>
      <c r="G443" s="30"/>
      <c r="H443" s="30"/>
    </row>
    <row r="444" customFormat="false" ht="15" hidden="false" customHeight="false" outlineLevel="0" collapsed="false">
      <c r="A444" s="29"/>
      <c r="B444" s="29"/>
      <c r="C444" s="20" t="str">
        <f aca="false">IF(A444="","",IFERROR(INDEX(Metrics!$C:$C,MATCH(A444,Metrics!$A:$A,0)),"ID not found"))</f>
        <v/>
      </c>
      <c r="D444" s="20" t="str">
        <f aca="false">IF(B444="","",IFERROR(INDEX(Products!$B:$B,MATCH(B444,Products!$A:$A,0)),"ID not found"))</f>
        <v/>
      </c>
      <c r="E444" s="30"/>
      <c r="F444" s="30"/>
      <c r="G444" s="30"/>
      <c r="H444" s="30"/>
    </row>
    <row r="445" customFormat="false" ht="15" hidden="false" customHeight="false" outlineLevel="0" collapsed="false">
      <c r="A445" s="29"/>
      <c r="B445" s="29"/>
      <c r="C445" s="20" t="str">
        <f aca="false">IF(A445="","",IFERROR(INDEX(Metrics!$C:$C,MATCH(A445,Metrics!$A:$A,0)),"ID not found"))</f>
        <v/>
      </c>
      <c r="D445" s="20" t="str">
        <f aca="false">IF(B445="","",IFERROR(INDEX(Products!$B:$B,MATCH(B445,Products!$A:$A,0)),"ID not found"))</f>
        <v/>
      </c>
      <c r="E445" s="30"/>
      <c r="F445" s="30"/>
      <c r="G445" s="30"/>
      <c r="H445" s="30"/>
    </row>
    <row r="446" customFormat="false" ht="15" hidden="false" customHeight="false" outlineLevel="0" collapsed="false">
      <c r="A446" s="29"/>
      <c r="B446" s="29"/>
      <c r="C446" s="20" t="str">
        <f aca="false">IF(A446="","",IFERROR(INDEX(Metrics!$C:$C,MATCH(A446,Metrics!$A:$A,0)),"ID not found"))</f>
        <v/>
      </c>
      <c r="D446" s="20" t="str">
        <f aca="false">IF(B446="","",IFERROR(INDEX(Products!$B:$B,MATCH(B446,Products!$A:$A,0)),"ID not found"))</f>
        <v/>
      </c>
      <c r="E446" s="30"/>
      <c r="F446" s="30"/>
      <c r="G446" s="30"/>
      <c r="H446" s="30"/>
    </row>
    <row r="447" customFormat="false" ht="15" hidden="false" customHeight="false" outlineLevel="0" collapsed="false">
      <c r="A447" s="29"/>
      <c r="B447" s="29"/>
      <c r="C447" s="20" t="str">
        <f aca="false">IF(A447="","",IFERROR(INDEX(Metrics!$C:$C,MATCH(A447,Metrics!$A:$A,0)),"ID not found"))</f>
        <v/>
      </c>
      <c r="D447" s="20" t="str">
        <f aca="false">IF(B447="","",IFERROR(INDEX(Products!$B:$B,MATCH(B447,Products!$A:$A,0)),"ID not found"))</f>
        <v/>
      </c>
      <c r="E447" s="30"/>
      <c r="F447" s="30"/>
      <c r="G447" s="30"/>
      <c r="H447" s="30"/>
    </row>
    <row r="448" customFormat="false" ht="15" hidden="false" customHeight="false" outlineLevel="0" collapsed="false">
      <c r="A448" s="29"/>
      <c r="B448" s="29"/>
      <c r="C448" s="20" t="str">
        <f aca="false">IF(A448="","",IFERROR(INDEX(Metrics!$C:$C,MATCH(A448,Metrics!$A:$A,0)),"ID not found"))</f>
        <v/>
      </c>
      <c r="D448" s="20" t="str">
        <f aca="false">IF(B448="","",IFERROR(INDEX(Products!$B:$B,MATCH(B448,Products!$A:$A,0)),"ID not found"))</f>
        <v/>
      </c>
      <c r="E448" s="30"/>
      <c r="F448" s="30"/>
      <c r="G448" s="30"/>
      <c r="H448" s="30"/>
    </row>
    <row r="449" customFormat="false" ht="15" hidden="false" customHeight="false" outlineLevel="0" collapsed="false">
      <c r="A449" s="29"/>
      <c r="B449" s="29"/>
      <c r="C449" s="20" t="str">
        <f aca="false">IF(A449="","",IFERROR(INDEX(Metrics!$C:$C,MATCH(A449,Metrics!$A:$A,0)),"ID not found"))</f>
        <v/>
      </c>
      <c r="D449" s="20" t="str">
        <f aca="false">IF(B449="","",IFERROR(INDEX(Products!$B:$B,MATCH(B449,Products!$A:$A,0)),"ID not found"))</f>
        <v/>
      </c>
      <c r="E449" s="30"/>
      <c r="F449" s="30"/>
      <c r="G449" s="30"/>
      <c r="H449" s="30"/>
    </row>
    <row r="450" customFormat="false" ht="15" hidden="false" customHeight="false" outlineLevel="0" collapsed="false">
      <c r="A450" s="29"/>
      <c r="B450" s="29"/>
      <c r="C450" s="20" t="str">
        <f aca="false">IF(A450="","",IFERROR(INDEX(Metrics!$C:$C,MATCH(A450,Metrics!$A:$A,0)),"ID not found"))</f>
        <v/>
      </c>
      <c r="D450" s="20" t="str">
        <f aca="false">IF(B450="","",IFERROR(INDEX(Products!$B:$B,MATCH(B450,Products!$A:$A,0)),"ID not found"))</f>
        <v/>
      </c>
      <c r="E450" s="30"/>
      <c r="F450" s="30"/>
      <c r="G450" s="30"/>
      <c r="H450" s="30"/>
    </row>
    <row r="451" customFormat="false" ht="15" hidden="false" customHeight="false" outlineLevel="0" collapsed="false">
      <c r="A451" s="29"/>
      <c r="B451" s="29"/>
      <c r="C451" s="20" t="str">
        <f aca="false">IF(A451="","",IFERROR(INDEX(Metrics!$C:$C,MATCH(A451,Metrics!$A:$A,0)),"ID not found"))</f>
        <v/>
      </c>
      <c r="D451" s="20" t="str">
        <f aca="false">IF(B451="","",IFERROR(INDEX(Products!$B:$B,MATCH(B451,Products!$A:$A,0)),"ID not found"))</f>
        <v/>
      </c>
      <c r="E451" s="30"/>
      <c r="F451" s="30"/>
      <c r="G451" s="30"/>
      <c r="H451" s="30"/>
    </row>
    <row r="452" customFormat="false" ht="15" hidden="false" customHeight="false" outlineLevel="0" collapsed="false">
      <c r="A452" s="29"/>
      <c r="B452" s="29"/>
      <c r="C452" s="20" t="str">
        <f aca="false">IF(A452="","",IFERROR(INDEX(Metrics!$C:$C,MATCH(A452,Metrics!$A:$A,0)),"ID not found"))</f>
        <v/>
      </c>
      <c r="D452" s="20" t="str">
        <f aca="false">IF(B452="","",IFERROR(INDEX(Products!$B:$B,MATCH(B452,Products!$A:$A,0)),"ID not found"))</f>
        <v/>
      </c>
      <c r="E452" s="30"/>
      <c r="F452" s="30"/>
      <c r="G452" s="30"/>
      <c r="H452" s="30"/>
    </row>
    <row r="453" customFormat="false" ht="15" hidden="false" customHeight="false" outlineLevel="0" collapsed="false">
      <c r="A453" s="29"/>
      <c r="B453" s="29"/>
      <c r="C453" s="20" t="str">
        <f aca="false">IF(A453="","",IFERROR(INDEX(Metrics!$C:$C,MATCH(A453,Metrics!$A:$A,0)),"ID not found"))</f>
        <v/>
      </c>
      <c r="D453" s="20" t="str">
        <f aca="false">IF(B453="","",IFERROR(INDEX(Products!$B:$B,MATCH(B453,Products!$A:$A,0)),"ID not found"))</f>
        <v/>
      </c>
      <c r="E453" s="30"/>
      <c r="F453" s="30"/>
      <c r="G453" s="30"/>
      <c r="H453" s="30"/>
    </row>
    <row r="454" customFormat="false" ht="15" hidden="false" customHeight="false" outlineLevel="0" collapsed="false">
      <c r="A454" s="29"/>
      <c r="B454" s="29"/>
      <c r="C454" s="20" t="str">
        <f aca="false">IF(A454="","",IFERROR(INDEX(Metrics!$C:$C,MATCH(A454,Metrics!$A:$A,0)),"ID not found"))</f>
        <v/>
      </c>
      <c r="D454" s="20" t="str">
        <f aca="false">IF(B454="","",IFERROR(INDEX(Products!$B:$B,MATCH(B454,Products!$A:$A,0)),"ID not found"))</f>
        <v/>
      </c>
      <c r="E454" s="30"/>
      <c r="F454" s="30"/>
      <c r="G454" s="30"/>
      <c r="H454" s="30"/>
    </row>
    <row r="455" customFormat="false" ht="15" hidden="false" customHeight="false" outlineLevel="0" collapsed="false">
      <c r="A455" s="29"/>
      <c r="B455" s="29"/>
      <c r="C455" s="20" t="str">
        <f aca="false">IF(A455="","",IFERROR(INDEX(Metrics!$C:$C,MATCH(A455,Metrics!$A:$A,0)),"ID not found"))</f>
        <v/>
      </c>
      <c r="D455" s="20" t="str">
        <f aca="false">IF(B455="","",IFERROR(INDEX(Products!$B:$B,MATCH(B455,Products!$A:$A,0)),"ID not found"))</f>
        <v/>
      </c>
      <c r="E455" s="30"/>
      <c r="F455" s="30"/>
      <c r="G455" s="30"/>
      <c r="H455" s="30"/>
    </row>
    <row r="456" customFormat="false" ht="15" hidden="false" customHeight="false" outlineLevel="0" collapsed="false">
      <c r="A456" s="29"/>
      <c r="B456" s="29"/>
      <c r="C456" s="20" t="str">
        <f aca="false">IF(A456="","",IFERROR(INDEX(Metrics!$C:$C,MATCH(A456,Metrics!$A:$A,0)),"ID not found"))</f>
        <v/>
      </c>
      <c r="D456" s="20" t="str">
        <f aca="false">IF(B456="","",IFERROR(INDEX(Products!$B:$B,MATCH(B456,Products!$A:$A,0)),"ID not found"))</f>
        <v/>
      </c>
      <c r="E456" s="30"/>
      <c r="F456" s="30"/>
      <c r="G456" s="30"/>
      <c r="H456" s="30"/>
    </row>
    <row r="457" customFormat="false" ht="15" hidden="false" customHeight="false" outlineLevel="0" collapsed="false">
      <c r="A457" s="29"/>
      <c r="B457" s="29"/>
      <c r="C457" s="20" t="str">
        <f aca="false">IF(A457="","",IFERROR(INDEX(Metrics!$C:$C,MATCH(A457,Metrics!$A:$A,0)),"ID not found"))</f>
        <v/>
      </c>
      <c r="D457" s="20" t="str">
        <f aca="false">IF(B457="","",IFERROR(INDEX(Products!$B:$B,MATCH(B457,Products!$A:$A,0)),"ID not found"))</f>
        <v/>
      </c>
      <c r="E457" s="30"/>
      <c r="F457" s="30"/>
      <c r="G457" s="30"/>
      <c r="H457" s="30"/>
    </row>
    <row r="458" customFormat="false" ht="15" hidden="false" customHeight="false" outlineLevel="0" collapsed="false">
      <c r="A458" s="29"/>
      <c r="B458" s="29"/>
      <c r="C458" s="20" t="str">
        <f aca="false">IF(A458="","",IFERROR(INDEX(Metrics!$C:$C,MATCH(A458,Metrics!$A:$A,0)),"ID not found"))</f>
        <v/>
      </c>
      <c r="D458" s="20" t="str">
        <f aca="false">IF(B458="","",IFERROR(INDEX(Products!$B:$B,MATCH(B458,Products!$A:$A,0)),"ID not found"))</f>
        <v/>
      </c>
      <c r="E458" s="30"/>
      <c r="F458" s="30"/>
      <c r="G458" s="30"/>
      <c r="H458" s="30"/>
    </row>
    <row r="459" customFormat="false" ht="15" hidden="false" customHeight="false" outlineLevel="0" collapsed="false">
      <c r="A459" s="29"/>
      <c r="B459" s="29"/>
      <c r="C459" s="20" t="str">
        <f aca="false">IF(A459="","",IFERROR(INDEX(Metrics!$C:$C,MATCH(A459,Metrics!$A:$A,0)),"ID not found"))</f>
        <v/>
      </c>
      <c r="D459" s="20" t="str">
        <f aca="false">IF(B459="","",IFERROR(INDEX(Products!$B:$B,MATCH(B459,Products!$A:$A,0)),"ID not found"))</f>
        <v/>
      </c>
      <c r="E459" s="30"/>
      <c r="F459" s="30"/>
      <c r="G459" s="30"/>
      <c r="H459" s="30"/>
    </row>
    <row r="460" customFormat="false" ht="15" hidden="false" customHeight="false" outlineLevel="0" collapsed="false">
      <c r="A460" s="29"/>
      <c r="B460" s="29"/>
      <c r="C460" s="20" t="str">
        <f aca="false">IF(A460="","",IFERROR(INDEX(Metrics!$C:$C,MATCH(A460,Metrics!$A:$A,0)),"ID not found"))</f>
        <v/>
      </c>
      <c r="D460" s="20" t="str">
        <f aca="false">IF(B460="","",IFERROR(INDEX(Products!$B:$B,MATCH(B460,Products!$A:$A,0)),"ID not found"))</f>
        <v/>
      </c>
      <c r="E460" s="30"/>
      <c r="F460" s="30"/>
      <c r="G460" s="30"/>
      <c r="H460" s="30"/>
    </row>
    <row r="461" customFormat="false" ht="15" hidden="false" customHeight="false" outlineLevel="0" collapsed="false">
      <c r="A461" s="29"/>
      <c r="B461" s="29"/>
      <c r="C461" s="20" t="str">
        <f aca="false">IF(A461="","",IFERROR(INDEX(Metrics!$C:$C,MATCH(A461,Metrics!$A:$A,0)),"ID not found"))</f>
        <v/>
      </c>
      <c r="D461" s="20" t="str">
        <f aca="false">IF(B461="","",IFERROR(INDEX(Products!$B:$B,MATCH(B461,Products!$A:$A,0)),"ID not found"))</f>
        <v/>
      </c>
      <c r="E461" s="30"/>
      <c r="F461" s="30"/>
      <c r="G461" s="30"/>
      <c r="H461" s="30"/>
    </row>
    <row r="462" customFormat="false" ht="15" hidden="false" customHeight="false" outlineLevel="0" collapsed="false">
      <c r="A462" s="29"/>
      <c r="B462" s="29"/>
      <c r="C462" s="20" t="str">
        <f aca="false">IF(A462="","",IFERROR(INDEX(Metrics!$C:$C,MATCH(A462,Metrics!$A:$A,0)),"ID not found"))</f>
        <v/>
      </c>
      <c r="D462" s="20" t="str">
        <f aca="false">IF(B462="","",IFERROR(INDEX(Products!$B:$B,MATCH(B462,Products!$A:$A,0)),"ID not found"))</f>
        <v/>
      </c>
      <c r="E462" s="30"/>
      <c r="F462" s="30"/>
      <c r="G462" s="30"/>
      <c r="H462" s="30"/>
    </row>
    <row r="463" customFormat="false" ht="15" hidden="false" customHeight="false" outlineLevel="0" collapsed="false">
      <c r="A463" s="29"/>
      <c r="B463" s="29"/>
      <c r="C463" s="20" t="str">
        <f aca="false">IF(A463="","",IFERROR(INDEX(Metrics!$C:$C,MATCH(A463,Metrics!$A:$A,0)),"ID not found"))</f>
        <v/>
      </c>
      <c r="D463" s="20" t="str">
        <f aca="false">IF(B463="","",IFERROR(INDEX(Products!$B:$B,MATCH(B463,Products!$A:$A,0)),"ID not found"))</f>
        <v/>
      </c>
      <c r="E463" s="30"/>
      <c r="F463" s="30"/>
      <c r="G463" s="30"/>
      <c r="H463" s="30"/>
    </row>
    <row r="464" customFormat="false" ht="15" hidden="false" customHeight="false" outlineLevel="0" collapsed="false">
      <c r="A464" s="29"/>
      <c r="B464" s="29"/>
      <c r="C464" s="20" t="str">
        <f aca="false">IF(A464="","",IFERROR(INDEX(Metrics!$C:$C,MATCH(A464,Metrics!$A:$A,0)),"ID not found"))</f>
        <v/>
      </c>
      <c r="D464" s="20" t="str">
        <f aca="false">IF(B464="","",IFERROR(INDEX(Products!$B:$B,MATCH(B464,Products!$A:$A,0)),"ID not found"))</f>
        <v/>
      </c>
      <c r="E464" s="30"/>
      <c r="F464" s="30"/>
      <c r="G464" s="30"/>
      <c r="H464" s="30"/>
    </row>
    <row r="465" customFormat="false" ht="15" hidden="false" customHeight="false" outlineLevel="0" collapsed="false">
      <c r="A465" s="29"/>
      <c r="B465" s="29"/>
      <c r="C465" s="20" t="str">
        <f aca="false">IF(A465="","",IFERROR(INDEX(Metrics!$C:$C,MATCH(A465,Metrics!$A:$A,0)),"ID not found"))</f>
        <v/>
      </c>
      <c r="D465" s="20" t="str">
        <f aca="false">IF(B465="","",IFERROR(INDEX(Products!$B:$B,MATCH(B465,Products!$A:$A,0)),"ID not found"))</f>
        <v/>
      </c>
      <c r="E465" s="30"/>
      <c r="F465" s="30"/>
      <c r="G465" s="30"/>
      <c r="H465" s="30"/>
    </row>
    <row r="466" customFormat="false" ht="15" hidden="false" customHeight="false" outlineLevel="0" collapsed="false">
      <c r="A466" s="29"/>
      <c r="B466" s="29"/>
      <c r="C466" s="20" t="str">
        <f aca="false">IF(A466="","",IFERROR(INDEX(Metrics!$C:$C,MATCH(A466,Metrics!$A:$A,0)),"ID not found"))</f>
        <v/>
      </c>
      <c r="D466" s="20" t="str">
        <f aca="false">IF(B466="","",IFERROR(INDEX(Products!$B:$B,MATCH(B466,Products!$A:$A,0)),"ID not found"))</f>
        <v/>
      </c>
      <c r="E466" s="30"/>
      <c r="F466" s="30"/>
      <c r="G466" s="30"/>
      <c r="H466" s="30"/>
    </row>
    <row r="467" customFormat="false" ht="15" hidden="false" customHeight="false" outlineLevel="0" collapsed="false">
      <c r="A467" s="29"/>
      <c r="B467" s="29"/>
      <c r="C467" s="20" t="str">
        <f aca="false">IF(A467="","",IFERROR(INDEX(Metrics!$C:$C,MATCH(A467,Metrics!$A:$A,0)),"ID not found"))</f>
        <v/>
      </c>
      <c r="D467" s="20" t="str">
        <f aca="false">IF(B467="","",IFERROR(INDEX(Products!$B:$B,MATCH(B467,Products!$A:$A,0)),"ID not found"))</f>
        <v/>
      </c>
      <c r="E467" s="30"/>
      <c r="F467" s="30"/>
      <c r="G467" s="30"/>
      <c r="H467" s="30"/>
    </row>
    <row r="468" customFormat="false" ht="15" hidden="false" customHeight="false" outlineLevel="0" collapsed="false">
      <c r="A468" s="29"/>
      <c r="B468" s="29"/>
      <c r="C468" s="20" t="str">
        <f aca="false">IF(A468="","",IFERROR(INDEX(Metrics!$C:$C,MATCH(A468,Metrics!$A:$A,0)),"ID not found"))</f>
        <v/>
      </c>
      <c r="D468" s="20" t="str">
        <f aca="false">IF(B468="","",IFERROR(INDEX(Products!$B:$B,MATCH(B468,Products!$A:$A,0)),"ID not found"))</f>
        <v/>
      </c>
      <c r="E468" s="30"/>
      <c r="F468" s="30"/>
      <c r="G468" s="30"/>
      <c r="H468" s="30"/>
    </row>
    <row r="469" customFormat="false" ht="15" hidden="false" customHeight="false" outlineLevel="0" collapsed="false">
      <c r="A469" s="29"/>
      <c r="B469" s="29"/>
      <c r="C469" s="20" t="str">
        <f aca="false">IF(A469="","",IFERROR(INDEX(Metrics!$C:$C,MATCH(A469,Metrics!$A:$A,0)),"ID not found"))</f>
        <v/>
      </c>
      <c r="D469" s="20" t="str">
        <f aca="false">IF(B469="","",IFERROR(INDEX(Products!$B:$B,MATCH(B469,Products!$A:$A,0)),"ID not found"))</f>
        <v/>
      </c>
      <c r="E469" s="30"/>
      <c r="F469" s="30"/>
      <c r="G469" s="30"/>
      <c r="H469" s="30"/>
    </row>
    <row r="470" customFormat="false" ht="15" hidden="false" customHeight="false" outlineLevel="0" collapsed="false">
      <c r="A470" s="29"/>
      <c r="B470" s="29"/>
      <c r="C470" s="20" t="str">
        <f aca="false">IF(A470="","",IFERROR(INDEX(Metrics!$C:$C,MATCH(A470,Metrics!$A:$A,0)),"ID not found"))</f>
        <v/>
      </c>
      <c r="D470" s="20" t="str">
        <f aca="false">IF(B470="","",IFERROR(INDEX(Products!$B:$B,MATCH(B470,Products!$A:$A,0)),"ID not found"))</f>
        <v/>
      </c>
      <c r="E470" s="30"/>
      <c r="F470" s="30"/>
      <c r="G470" s="30"/>
      <c r="H470" s="30"/>
    </row>
    <row r="471" customFormat="false" ht="15" hidden="false" customHeight="false" outlineLevel="0" collapsed="false">
      <c r="A471" s="29"/>
      <c r="B471" s="29"/>
      <c r="C471" s="20" t="str">
        <f aca="false">IF(A471="","",IFERROR(INDEX(Metrics!$C:$C,MATCH(A471,Metrics!$A:$A,0)),"ID not found"))</f>
        <v/>
      </c>
      <c r="D471" s="20" t="str">
        <f aca="false">IF(B471="","",IFERROR(INDEX(Products!$B:$B,MATCH(B471,Products!$A:$A,0)),"ID not found"))</f>
        <v/>
      </c>
      <c r="E471" s="30"/>
      <c r="F471" s="30"/>
      <c r="G471" s="30"/>
      <c r="H471" s="30"/>
    </row>
    <row r="472" customFormat="false" ht="15" hidden="false" customHeight="false" outlineLevel="0" collapsed="false">
      <c r="A472" s="29"/>
      <c r="B472" s="29"/>
      <c r="C472" s="20" t="str">
        <f aca="false">IF(A472="","",IFERROR(INDEX(Metrics!$C:$C,MATCH(A472,Metrics!$A:$A,0)),"ID not found"))</f>
        <v/>
      </c>
      <c r="D472" s="20" t="str">
        <f aca="false">IF(B472="","",IFERROR(INDEX(Products!$B:$B,MATCH(B472,Products!$A:$A,0)),"ID not found"))</f>
        <v/>
      </c>
      <c r="E472" s="30"/>
      <c r="F472" s="30"/>
      <c r="G472" s="30"/>
      <c r="H472" s="30"/>
    </row>
    <row r="473" customFormat="false" ht="15" hidden="false" customHeight="false" outlineLevel="0" collapsed="false">
      <c r="A473" s="29"/>
      <c r="B473" s="29"/>
      <c r="C473" s="20" t="str">
        <f aca="false">IF(A473="","",IFERROR(INDEX(Metrics!$C:$C,MATCH(A473,Metrics!$A:$A,0)),"ID not found"))</f>
        <v/>
      </c>
      <c r="D473" s="20" t="str">
        <f aca="false">IF(B473="","",IFERROR(INDEX(Products!$B:$B,MATCH(B473,Products!$A:$A,0)),"ID not found"))</f>
        <v/>
      </c>
      <c r="E473" s="30"/>
      <c r="F473" s="30"/>
      <c r="G473" s="30"/>
      <c r="H473" s="30"/>
    </row>
    <row r="474" customFormat="false" ht="15" hidden="false" customHeight="false" outlineLevel="0" collapsed="false">
      <c r="A474" s="29"/>
      <c r="B474" s="29"/>
      <c r="C474" s="20" t="str">
        <f aca="false">IF(A474="","",IFERROR(INDEX(Metrics!$C:$C,MATCH(A474,Metrics!$A:$A,0)),"ID not found"))</f>
        <v/>
      </c>
      <c r="D474" s="20" t="str">
        <f aca="false">IF(B474="","",IFERROR(INDEX(Products!$B:$B,MATCH(B474,Products!$A:$A,0)),"ID not found"))</f>
        <v/>
      </c>
      <c r="E474" s="30"/>
      <c r="F474" s="30"/>
      <c r="G474" s="30"/>
      <c r="H474" s="30"/>
    </row>
    <row r="475" customFormat="false" ht="15" hidden="false" customHeight="false" outlineLevel="0" collapsed="false">
      <c r="A475" s="29"/>
      <c r="B475" s="29"/>
      <c r="C475" s="20" t="str">
        <f aca="false">IF(A475="","",IFERROR(INDEX(Metrics!$C:$C,MATCH(A475,Metrics!$A:$A,0)),"ID not found"))</f>
        <v/>
      </c>
      <c r="D475" s="20" t="str">
        <f aca="false">IF(B475="","",IFERROR(INDEX(Products!$B:$B,MATCH(B475,Products!$A:$A,0)),"ID not found"))</f>
        <v/>
      </c>
      <c r="E475" s="30"/>
      <c r="F475" s="30"/>
      <c r="G475" s="30"/>
      <c r="H475" s="30"/>
    </row>
    <row r="476" customFormat="false" ht="15" hidden="false" customHeight="false" outlineLevel="0" collapsed="false">
      <c r="A476" s="29"/>
      <c r="B476" s="29"/>
      <c r="C476" s="20" t="str">
        <f aca="false">IF(A476="","",IFERROR(INDEX(Metrics!$C:$C,MATCH(A476,Metrics!$A:$A,0)),"ID not found"))</f>
        <v/>
      </c>
      <c r="D476" s="20" t="str">
        <f aca="false">IF(B476="","",IFERROR(INDEX(Products!$B:$B,MATCH(B476,Products!$A:$A,0)),"ID not found"))</f>
        <v/>
      </c>
      <c r="E476" s="30"/>
      <c r="F476" s="30"/>
      <c r="G476" s="30"/>
      <c r="H476" s="30"/>
    </row>
    <row r="477" customFormat="false" ht="15" hidden="false" customHeight="false" outlineLevel="0" collapsed="false">
      <c r="A477" s="29"/>
      <c r="B477" s="29"/>
      <c r="C477" s="20" t="str">
        <f aca="false">IF(A477="","",IFERROR(INDEX(Metrics!$C:$C,MATCH(A477,Metrics!$A:$A,0)),"ID not found"))</f>
        <v/>
      </c>
      <c r="D477" s="20" t="str">
        <f aca="false">IF(B477="","",IFERROR(INDEX(Products!$B:$B,MATCH(B477,Products!$A:$A,0)),"ID not found"))</f>
        <v/>
      </c>
      <c r="E477" s="30"/>
      <c r="F477" s="30"/>
      <c r="G477" s="30"/>
      <c r="H477" s="30"/>
    </row>
    <row r="478" customFormat="false" ht="15" hidden="false" customHeight="false" outlineLevel="0" collapsed="false">
      <c r="A478" s="29"/>
      <c r="B478" s="29"/>
      <c r="C478" s="20" t="str">
        <f aca="false">IF(A478="","",IFERROR(INDEX(Metrics!$C:$C,MATCH(A478,Metrics!$A:$A,0)),"ID not found"))</f>
        <v/>
      </c>
      <c r="D478" s="20" t="str">
        <f aca="false">IF(B478="","",IFERROR(INDEX(Products!$B:$B,MATCH(B478,Products!$A:$A,0)),"ID not found"))</f>
        <v/>
      </c>
      <c r="E478" s="30"/>
      <c r="F478" s="30"/>
      <c r="G478" s="30"/>
      <c r="H478" s="30"/>
    </row>
    <row r="479" customFormat="false" ht="15" hidden="false" customHeight="false" outlineLevel="0" collapsed="false">
      <c r="A479" s="29"/>
      <c r="B479" s="29"/>
      <c r="C479" s="20" t="str">
        <f aca="false">IF(A479="","",IFERROR(INDEX(Metrics!$C:$C,MATCH(A479,Metrics!$A:$A,0)),"ID not found"))</f>
        <v/>
      </c>
      <c r="D479" s="20" t="str">
        <f aca="false">IF(B479="","",IFERROR(INDEX(Products!$B:$B,MATCH(B479,Products!$A:$A,0)),"ID not found"))</f>
        <v/>
      </c>
      <c r="E479" s="30"/>
      <c r="F479" s="30"/>
      <c r="G479" s="30"/>
      <c r="H479" s="30"/>
    </row>
    <row r="480" customFormat="false" ht="15" hidden="false" customHeight="false" outlineLevel="0" collapsed="false">
      <c r="A480" s="29"/>
      <c r="B480" s="29"/>
      <c r="C480" s="20" t="str">
        <f aca="false">IF(A480="","",IFERROR(INDEX(Metrics!$C:$C,MATCH(A480,Metrics!$A:$A,0)),"ID not found"))</f>
        <v/>
      </c>
      <c r="D480" s="20" t="str">
        <f aca="false">IF(B480="","",IFERROR(INDEX(Products!$B:$B,MATCH(B480,Products!$A:$A,0)),"ID not found"))</f>
        <v/>
      </c>
      <c r="E480" s="30"/>
      <c r="F480" s="30"/>
      <c r="G480" s="30"/>
      <c r="H480" s="30"/>
    </row>
    <row r="481" customFormat="false" ht="15" hidden="false" customHeight="false" outlineLevel="0" collapsed="false">
      <c r="A481" s="29"/>
      <c r="B481" s="29"/>
      <c r="C481" s="20" t="str">
        <f aca="false">IF(A481="","",IFERROR(INDEX(Metrics!$C:$C,MATCH(A481,Metrics!$A:$A,0)),"ID not found"))</f>
        <v/>
      </c>
      <c r="D481" s="20" t="str">
        <f aca="false">IF(B481="","",IFERROR(INDEX(Products!$B:$B,MATCH(B481,Products!$A:$A,0)),"ID not found"))</f>
        <v/>
      </c>
      <c r="E481" s="30"/>
      <c r="F481" s="30"/>
      <c r="G481" s="30"/>
      <c r="H481" s="30"/>
    </row>
    <row r="482" customFormat="false" ht="15" hidden="false" customHeight="false" outlineLevel="0" collapsed="false">
      <c r="A482" s="29"/>
      <c r="B482" s="29"/>
      <c r="C482" s="20" t="str">
        <f aca="false">IF(A482="","",IFERROR(INDEX(Metrics!$C:$C,MATCH(A482,Metrics!$A:$A,0)),"ID not found"))</f>
        <v/>
      </c>
      <c r="D482" s="20" t="str">
        <f aca="false">IF(B482="","",IFERROR(INDEX(Products!$B:$B,MATCH(B482,Products!$A:$A,0)),"ID not found"))</f>
        <v/>
      </c>
      <c r="E482" s="30"/>
      <c r="F482" s="30"/>
      <c r="G482" s="30"/>
      <c r="H482" s="30"/>
    </row>
    <row r="483" customFormat="false" ht="15" hidden="false" customHeight="false" outlineLevel="0" collapsed="false">
      <c r="A483" s="29"/>
      <c r="B483" s="29"/>
      <c r="C483" s="20" t="str">
        <f aca="false">IF(A483="","",IFERROR(INDEX(Metrics!$C:$C,MATCH(A483,Metrics!$A:$A,0)),"ID not found"))</f>
        <v/>
      </c>
      <c r="D483" s="20" t="str">
        <f aca="false">IF(B483="","",IFERROR(INDEX(Products!$B:$B,MATCH(B483,Products!$A:$A,0)),"ID not found"))</f>
        <v/>
      </c>
      <c r="E483" s="30"/>
      <c r="F483" s="30"/>
      <c r="G483" s="30"/>
      <c r="H483" s="30"/>
    </row>
    <row r="484" customFormat="false" ht="15" hidden="false" customHeight="false" outlineLevel="0" collapsed="false">
      <c r="A484" s="29"/>
      <c r="B484" s="29"/>
      <c r="C484" s="20" t="str">
        <f aca="false">IF(A484="","",IFERROR(INDEX(Metrics!$C:$C,MATCH(A484,Metrics!$A:$A,0)),"ID not found"))</f>
        <v/>
      </c>
      <c r="D484" s="20" t="str">
        <f aca="false">IF(B484="","",IFERROR(INDEX(Products!$B:$B,MATCH(B484,Products!$A:$A,0)),"ID not found"))</f>
        <v/>
      </c>
      <c r="E484" s="30"/>
      <c r="F484" s="30"/>
      <c r="G484" s="30"/>
      <c r="H484" s="30"/>
    </row>
    <row r="485" customFormat="false" ht="15" hidden="false" customHeight="false" outlineLevel="0" collapsed="false">
      <c r="A485" s="29"/>
      <c r="B485" s="29"/>
      <c r="C485" s="20" t="str">
        <f aca="false">IF(A485="","",IFERROR(INDEX(Metrics!$C:$C,MATCH(A485,Metrics!$A:$A,0)),"ID not found"))</f>
        <v/>
      </c>
      <c r="D485" s="20" t="str">
        <f aca="false">IF(B485="","",IFERROR(INDEX(Products!$B:$B,MATCH(B485,Products!$A:$A,0)),"ID not found"))</f>
        <v/>
      </c>
      <c r="E485" s="30"/>
      <c r="F485" s="30"/>
      <c r="G485" s="30"/>
      <c r="H485" s="30"/>
    </row>
    <row r="486" customFormat="false" ht="15" hidden="false" customHeight="false" outlineLevel="0" collapsed="false">
      <c r="A486" s="29"/>
      <c r="B486" s="29"/>
      <c r="C486" s="20" t="str">
        <f aca="false">IF(A486="","",IFERROR(INDEX(Metrics!$C:$C,MATCH(A486,Metrics!$A:$A,0)),"ID not found"))</f>
        <v/>
      </c>
      <c r="D486" s="20" t="str">
        <f aca="false">IF(B486="","",IFERROR(INDEX(Products!$B:$B,MATCH(B486,Products!$A:$A,0)),"ID not found"))</f>
        <v/>
      </c>
      <c r="E486" s="30"/>
      <c r="F486" s="30"/>
      <c r="G486" s="30"/>
      <c r="H486" s="30"/>
    </row>
    <row r="487" customFormat="false" ht="15" hidden="false" customHeight="false" outlineLevel="0" collapsed="false">
      <c r="A487" s="29"/>
      <c r="B487" s="29"/>
      <c r="C487" s="20" t="str">
        <f aca="false">IF(A487="","",IFERROR(INDEX(Metrics!$C:$C,MATCH(A487,Metrics!$A:$A,0)),"ID not found"))</f>
        <v/>
      </c>
      <c r="D487" s="20" t="str">
        <f aca="false">IF(B487="","",IFERROR(INDEX(Products!$B:$B,MATCH(B487,Products!$A:$A,0)),"ID not found"))</f>
        <v/>
      </c>
      <c r="E487" s="30"/>
      <c r="F487" s="30"/>
      <c r="G487" s="30"/>
      <c r="H487" s="30"/>
    </row>
    <row r="488" customFormat="false" ht="15" hidden="false" customHeight="false" outlineLevel="0" collapsed="false">
      <c r="A488" s="29"/>
      <c r="B488" s="29"/>
      <c r="C488" s="20" t="str">
        <f aca="false">IF(A488="","",IFERROR(INDEX(Metrics!$C:$C,MATCH(A488,Metrics!$A:$A,0)),"ID not found"))</f>
        <v/>
      </c>
      <c r="D488" s="20" t="str">
        <f aca="false">IF(B488="","",IFERROR(INDEX(Products!$B:$B,MATCH(B488,Products!$A:$A,0)),"ID not found"))</f>
        <v/>
      </c>
      <c r="E488" s="30"/>
      <c r="F488" s="30"/>
      <c r="G488" s="30"/>
      <c r="H488" s="30"/>
    </row>
    <row r="489" customFormat="false" ht="15" hidden="false" customHeight="false" outlineLevel="0" collapsed="false">
      <c r="A489" s="29"/>
      <c r="B489" s="29"/>
      <c r="C489" s="20" t="str">
        <f aca="false">IF(A489="","",IFERROR(INDEX(Metrics!$C:$C,MATCH(A489,Metrics!$A:$A,0)),"ID not found"))</f>
        <v/>
      </c>
      <c r="D489" s="20" t="str">
        <f aca="false">IF(B489="","",IFERROR(INDEX(Products!$B:$B,MATCH(B489,Products!$A:$A,0)),"ID not found"))</f>
        <v/>
      </c>
      <c r="E489" s="30"/>
      <c r="F489" s="30"/>
      <c r="G489" s="30"/>
      <c r="H489" s="30"/>
    </row>
    <row r="490" customFormat="false" ht="15" hidden="false" customHeight="false" outlineLevel="0" collapsed="false">
      <c r="A490" s="29"/>
      <c r="B490" s="29"/>
      <c r="C490" s="20" t="str">
        <f aca="false">IF(A490="","",IFERROR(INDEX(Metrics!$C:$C,MATCH(A490,Metrics!$A:$A,0)),"ID not found"))</f>
        <v/>
      </c>
      <c r="D490" s="20" t="str">
        <f aca="false">IF(B490="","",IFERROR(INDEX(Products!$B:$B,MATCH(B490,Products!$A:$A,0)),"ID not found"))</f>
        <v/>
      </c>
      <c r="E490" s="30"/>
      <c r="F490" s="30"/>
      <c r="G490" s="30"/>
      <c r="H490" s="30"/>
    </row>
    <row r="491" customFormat="false" ht="15" hidden="false" customHeight="false" outlineLevel="0" collapsed="false">
      <c r="A491" s="29"/>
      <c r="B491" s="29"/>
      <c r="C491" s="20" t="str">
        <f aca="false">IF(A491="","",IFERROR(INDEX(Metrics!$C:$C,MATCH(A491,Metrics!$A:$A,0)),"ID not found"))</f>
        <v/>
      </c>
      <c r="D491" s="20" t="str">
        <f aca="false">IF(B491="","",IFERROR(INDEX(Products!$B:$B,MATCH(B491,Products!$A:$A,0)),"ID not found"))</f>
        <v/>
      </c>
      <c r="E491" s="30"/>
      <c r="F491" s="30"/>
      <c r="G491" s="30"/>
      <c r="H491" s="30"/>
    </row>
    <row r="492" customFormat="false" ht="15" hidden="false" customHeight="false" outlineLevel="0" collapsed="false">
      <c r="A492" s="29"/>
      <c r="B492" s="29"/>
      <c r="C492" s="20" t="str">
        <f aca="false">IF(A492="","",IFERROR(INDEX(Metrics!$C:$C,MATCH(A492,Metrics!$A:$A,0)),"ID not found"))</f>
        <v/>
      </c>
      <c r="D492" s="20" t="str">
        <f aca="false">IF(B492="","",IFERROR(INDEX(Products!$B:$B,MATCH(B492,Products!$A:$A,0)),"ID not found"))</f>
        <v/>
      </c>
      <c r="E492" s="30"/>
      <c r="F492" s="30"/>
      <c r="G492" s="30"/>
      <c r="H492" s="30"/>
    </row>
    <row r="493" customFormat="false" ht="15" hidden="false" customHeight="false" outlineLevel="0" collapsed="false">
      <c r="A493" s="29"/>
      <c r="B493" s="29"/>
      <c r="C493" s="20" t="str">
        <f aca="false">IF(A493="","",IFERROR(INDEX(Metrics!$C:$C,MATCH(A493,Metrics!$A:$A,0)),"ID not found"))</f>
        <v/>
      </c>
      <c r="D493" s="20" t="str">
        <f aca="false">IF(B493="","",IFERROR(INDEX(Products!$B:$B,MATCH(B493,Products!$A:$A,0)),"ID not found"))</f>
        <v/>
      </c>
      <c r="E493" s="30"/>
      <c r="F493" s="30"/>
      <c r="G493" s="30"/>
      <c r="H493" s="30"/>
    </row>
    <row r="494" customFormat="false" ht="15" hidden="false" customHeight="false" outlineLevel="0" collapsed="false">
      <c r="A494" s="29"/>
      <c r="B494" s="29"/>
      <c r="C494" s="20" t="str">
        <f aca="false">IF(A494="","",IFERROR(INDEX(Metrics!$C:$C,MATCH(A494,Metrics!$A:$A,0)),"ID not found"))</f>
        <v/>
      </c>
      <c r="D494" s="20" t="str">
        <f aca="false">IF(B494="","",IFERROR(INDEX(Products!$B:$B,MATCH(B494,Products!$A:$A,0)),"ID not found"))</f>
        <v/>
      </c>
      <c r="E494" s="30"/>
      <c r="F494" s="30"/>
      <c r="G494" s="30"/>
      <c r="H494" s="30"/>
    </row>
    <row r="495" customFormat="false" ht="15" hidden="false" customHeight="false" outlineLevel="0" collapsed="false">
      <c r="A495" s="29"/>
      <c r="B495" s="29"/>
      <c r="C495" s="20" t="str">
        <f aca="false">IF(A495="","",IFERROR(INDEX(Metrics!$C:$C,MATCH(A495,Metrics!$A:$A,0)),"ID not found"))</f>
        <v/>
      </c>
      <c r="D495" s="20" t="str">
        <f aca="false">IF(B495="","",IFERROR(INDEX(Products!$B:$B,MATCH(B495,Products!$A:$A,0)),"ID not found"))</f>
        <v/>
      </c>
      <c r="E495" s="30"/>
      <c r="F495" s="30"/>
      <c r="G495" s="30"/>
      <c r="H495" s="30"/>
    </row>
    <row r="496" customFormat="false" ht="15" hidden="false" customHeight="false" outlineLevel="0" collapsed="false">
      <c r="A496" s="29"/>
      <c r="B496" s="29"/>
      <c r="C496" s="20" t="str">
        <f aca="false">IF(A496="","",IFERROR(INDEX(Metrics!$C:$C,MATCH(A496,Metrics!$A:$A,0)),"ID not found"))</f>
        <v/>
      </c>
      <c r="D496" s="20" t="str">
        <f aca="false">IF(B496="","",IFERROR(INDEX(Products!$B:$B,MATCH(B496,Products!$A:$A,0)),"ID not found"))</f>
        <v/>
      </c>
      <c r="E496" s="30"/>
      <c r="F496" s="30"/>
      <c r="G496" s="30"/>
      <c r="H496" s="30"/>
    </row>
    <row r="497" customFormat="false" ht="15" hidden="false" customHeight="false" outlineLevel="0" collapsed="false">
      <c r="A497" s="29"/>
      <c r="B497" s="29"/>
      <c r="C497" s="20" t="str">
        <f aca="false">IF(A497="","",IFERROR(INDEX(Metrics!$C:$C,MATCH(A497,Metrics!$A:$A,0)),"ID not found"))</f>
        <v/>
      </c>
      <c r="D497" s="20" t="str">
        <f aca="false">IF(B497="","",IFERROR(INDEX(Products!$B:$B,MATCH(B497,Products!$A:$A,0)),"ID not found"))</f>
        <v/>
      </c>
      <c r="E497" s="30"/>
      <c r="F497" s="30"/>
      <c r="G497" s="30"/>
      <c r="H497" s="30"/>
    </row>
    <row r="498" customFormat="false" ht="15" hidden="false" customHeight="false" outlineLevel="0" collapsed="false">
      <c r="A498" s="29"/>
      <c r="B498" s="29"/>
      <c r="C498" s="20" t="str">
        <f aca="false">IF(A498="","",IFERROR(INDEX(Metrics!$C:$C,MATCH(A498,Metrics!$A:$A,0)),"ID not found"))</f>
        <v/>
      </c>
      <c r="D498" s="20" t="str">
        <f aca="false">IF(B498="","",IFERROR(INDEX(Products!$B:$B,MATCH(B498,Products!$A:$A,0)),"ID not found"))</f>
        <v/>
      </c>
      <c r="E498" s="30"/>
      <c r="F498" s="30"/>
      <c r="G498" s="30"/>
      <c r="H498" s="30"/>
    </row>
    <row r="499" customFormat="false" ht="15" hidden="false" customHeight="false" outlineLevel="0" collapsed="false">
      <c r="A499" s="29"/>
      <c r="B499" s="29"/>
      <c r="C499" s="20" t="str">
        <f aca="false">IF(A499="","",IFERROR(INDEX(Metrics!$C:$C,MATCH(A499,Metrics!$A:$A,0)),"ID not found"))</f>
        <v/>
      </c>
      <c r="D499" s="20" t="str">
        <f aca="false">IF(B499="","",IFERROR(INDEX(Products!$B:$B,MATCH(B499,Products!$A:$A,0)),"ID not found"))</f>
        <v/>
      </c>
      <c r="E499" s="30"/>
      <c r="F499" s="30"/>
      <c r="G499" s="30"/>
      <c r="H499" s="30"/>
    </row>
    <row r="500" customFormat="false" ht="15" hidden="false" customHeight="false" outlineLevel="0" collapsed="false">
      <c r="A500" s="29"/>
      <c r="B500" s="29"/>
      <c r="C500" s="20" t="str">
        <f aca="false">IF(A500="","",IFERROR(INDEX(Metrics!$C:$C,MATCH(A500,Metrics!$A:$A,0)),"ID not found"))</f>
        <v/>
      </c>
      <c r="D500" s="20" t="str">
        <f aca="false">IF(B500="","",IFERROR(INDEX(Products!$B:$B,MATCH(B500,Products!$A:$A,0)),"ID not found"))</f>
        <v/>
      </c>
      <c r="E500" s="30"/>
      <c r="F500" s="30"/>
      <c r="G500" s="30"/>
      <c r="H500" s="30"/>
    </row>
    <row r="501" customFormat="false" ht="15" hidden="false" customHeight="false" outlineLevel="0" collapsed="false">
      <c r="A501" s="29"/>
      <c r="B501" s="29"/>
      <c r="C501" s="20" t="str">
        <f aca="false">IF(A501="","",IFERROR(INDEX(Metrics!$C:$C,MATCH(A501,Metrics!$A:$A,0)),"ID not found"))</f>
        <v/>
      </c>
      <c r="D501" s="20" t="str">
        <f aca="false">IF(B501="","",IFERROR(INDEX(Products!$B:$B,MATCH(B501,Products!$A:$A,0)),"ID not found"))</f>
        <v/>
      </c>
      <c r="E501" s="30"/>
      <c r="F501" s="30"/>
      <c r="G501" s="30"/>
      <c r="H501" s="30"/>
    </row>
    <row r="502" customFormat="false" ht="15" hidden="false" customHeight="false" outlineLevel="0" collapsed="false">
      <c r="A502" s="29"/>
      <c r="B502" s="29"/>
      <c r="C502" s="20" t="str">
        <f aca="false">IF(A502="","",IFERROR(INDEX(Metrics!$C:$C,MATCH(A502,Metrics!$A:$A,0)),"ID not found"))</f>
        <v/>
      </c>
      <c r="D502" s="20" t="str">
        <f aca="false">IF(B502="","",IFERROR(INDEX(Products!$B:$B,MATCH(B502,Products!$A:$A,0)),"ID not found"))</f>
        <v/>
      </c>
      <c r="E502" s="30"/>
      <c r="F502" s="30"/>
      <c r="G502" s="30"/>
      <c r="H502" s="30"/>
    </row>
    <row r="503" customFormat="false" ht="15" hidden="false" customHeight="false" outlineLevel="0" collapsed="false">
      <c r="A503" s="29"/>
      <c r="B503" s="29"/>
      <c r="C503" s="20" t="str">
        <f aca="false">IF(A503="","",IFERROR(INDEX(Metrics!$C:$C,MATCH(A503,Metrics!$A:$A,0)),"ID not found"))</f>
        <v/>
      </c>
      <c r="D503" s="20" t="str">
        <f aca="false">IF(B503="","",IFERROR(INDEX(Products!$B:$B,MATCH(B503,Products!$A:$A,0)),"ID not found"))</f>
        <v/>
      </c>
      <c r="E503" s="30"/>
      <c r="F503" s="30"/>
      <c r="G503" s="30"/>
      <c r="H503" s="30"/>
    </row>
    <row r="504" customFormat="false" ht="15" hidden="false" customHeight="false" outlineLevel="0" collapsed="false">
      <c r="A504" s="29"/>
      <c r="B504" s="29"/>
      <c r="C504" s="20" t="str">
        <f aca="false">IF(A504="","",IFERROR(INDEX(Metrics!$C:$C,MATCH(A504,Metrics!$A:$A,0)),"ID not found"))</f>
        <v/>
      </c>
      <c r="D504" s="20" t="str">
        <f aca="false">IF(B504="","",IFERROR(INDEX(Products!$B:$B,MATCH(B504,Products!$A:$A,0)),"ID not found"))</f>
        <v/>
      </c>
      <c r="E504" s="30"/>
      <c r="F504" s="30"/>
      <c r="G504" s="30"/>
      <c r="H504" s="30"/>
    </row>
  </sheetData>
  <autoFilter ref="A4:H504"/>
  <conditionalFormatting sqref="C5:C504">
    <cfRule type="cellIs" priority="2" operator="equal" aboveAverage="0" equalAverage="0" bottom="0" percent="0" rank="0" text="" dxfId="16">
      <formula>"ID not found"</formula>
    </cfRule>
  </conditionalFormatting>
  <conditionalFormatting sqref="D5:D504">
    <cfRule type="cellIs" priority="3" operator="equal" aboveAverage="0" equalAverage="0" bottom="0" percent="0" rank="0" text="" dxfId="16">
      <formula>"ID not found"</formula>
    </cfRule>
  </conditionalFormatting>
  <dataValidations count="1">
    <dataValidation allowBlank="true" errorStyle="stop" operator="between" showDropDown="false" showErrorMessage="false" showInputMessage="false" sqref="H5:H84" type="list">
      <formula1>"Found,Inferred,Guessed,Human"</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A5C"/>
    <pageSetUpPr fitToPage="true"/>
  </sheetPr>
  <dimension ref="A1:M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24"/>
    <col collapsed="false" customWidth="true" hidden="false" outlineLevel="0" max="3" min="3" style="0" width="44"/>
    <col collapsed="false" customWidth="true" hidden="false" outlineLevel="0" max="5" min="4" style="0" width="34"/>
    <col collapsed="false" customWidth="true" hidden="false" outlineLevel="0" max="6" min="6" style="0" width="12"/>
    <col collapsed="false" customWidth="true" hidden="false" outlineLevel="0" max="7" min="7" style="0" width="16"/>
    <col collapsed="false" customWidth="true" hidden="false" outlineLevel="0" max="8" min="8" style="0" width="10"/>
    <col collapsed="false" customWidth="true" hidden="false" outlineLevel="0" max="10" min="9" style="0" width="30"/>
    <col collapsed="false" customWidth="true" hidden="false" outlineLevel="0" max="11" min="11" style="0" width="11"/>
    <col collapsed="false" customWidth="true" hidden="false" outlineLevel="0" max="12" min="12" style="0" width="12"/>
    <col collapsed="false" customWidth="true" hidden="false" outlineLevel="0" max="13" min="13" style="0" width="14"/>
  </cols>
  <sheetData>
    <row r="1" customFormat="false" ht="17.35" hidden="false" customHeight="false" outlineLevel="0" collapsed="false">
      <c r="A1" s="1" t="s">
        <v>9</v>
      </c>
    </row>
    <row r="2" customFormat="false" ht="15" hidden="false" customHeight="false" outlineLevel="0" collapsed="false">
      <c r="A2" s="2" t="s">
        <v>398</v>
      </c>
    </row>
    <row r="4" customFormat="false" ht="31.5" hidden="false" customHeight="true" outlineLevel="0" collapsed="false">
      <c r="A4" s="21" t="s">
        <v>182</v>
      </c>
      <c r="B4" s="21" t="s">
        <v>185</v>
      </c>
      <c r="C4" s="21" t="s">
        <v>188</v>
      </c>
      <c r="D4" s="21" t="s">
        <v>191</v>
      </c>
      <c r="E4" s="21" t="s">
        <v>194</v>
      </c>
      <c r="F4" s="21" t="s">
        <v>101</v>
      </c>
      <c r="G4" s="21" t="s">
        <v>199</v>
      </c>
      <c r="H4" s="21" t="s">
        <v>118</v>
      </c>
      <c r="I4" s="21" t="s">
        <v>130</v>
      </c>
      <c r="J4" s="21" t="s">
        <v>171</v>
      </c>
      <c r="K4" s="21" t="s">
        <v>174</v>
      </c>
      <c r="L4" s="21" t="s">
        <v>177</v>
      </c>
      <c r="M4" s="21" t="s">
        <v>180</v>
      </c>
    </row>
    <row r="5" customFormat="false" ht="23.85" hidden="false" customHeight="false" outlineLevel="0" collapsed="false">
      <c r="A5" s="29" t="s">
        <v>184</v>
      </c>
      <c r="B5" s="30" t="s">
        <v>187</v>
      </c>
      <c r="C5" s="30" t="s">
        <v>399</v>
      </c>
      <c r="D5" s="30" t="s">
        <v>400</v>
      </c>
      <c r="E5" s="30" t="s">
        <v>401</v>
      </c>
      <c r="F5" s="30" t="s">
        <v>198</v>
      </c>
      <c r="G5" s="30"/>
      <c r="H5" s="20" t="n">
        <f aca="false">IF(A5="","",COUNTIF(Metrics!$E:$E,A5))</f>
        <v>2</v>
      </c>
      <c r="I5" s="30" t="s">
        <v>402</v>
      </c>
      <c r="J5" s="30"/>
      <c r="K5" s="30" t="s">
        <v>372</v>
      </c>
      <c r="L5" s="30" t="s">
        <v>179</v>
      </c>
      <c r="M5" s="30"/>
    </row>
    <row r="6" customFormat="false" ht="23.85" hidden="false" customHeight="false" outlineLevel="0" collapsed="false">
      <c r="A6" s="29" t="s">
        <v>389</v>
      </c>
      <c r="B6" s="30" t="s">
        <v>403</v>
      </c>
      <c r="C6" s="30" t="s">
        <v>404</v>
      </c>
      <c r="D6" s="30" t="s">
        <v>405</v>
      </c>
      <c r="E6" s="30" t="s">
        <v>406</v>
      </c>
      <c r="F6" s="30" t="s">
        <v>198</v>
      </c>
      <c r="G6" s="30"/>
      <c r="H6" s="20" t="n">
        <f aca="false">IF(A6="","",COUNTIF(Metrics!$E:$E,A6))</f>
        <v>1</v>
      </c>
      <c r="I6" s="30" t="s">
        <v>374</v>
      </c>
      <c r="J6" s="30"/>
      <c r="K6" s="30" t="s">
        <v>372</v>
      </c>
      <c r="L6" s="30" t="s">
        <v>179</v>
      </c>
      <c r="M6" s="30"/>
    </row>
    <row r="7" customFormat="false" ht="15" hidden="false" customHeight="false" outlineLevel="0" collapsed="false">
      <c r="A7" s="29"/>
      <c r="B7" s="30"/>
      <c r="C7" s="30"/>
      <c r="D7" s="30"/>
      <c r="E7" s="30"/>
      <c r="F7" s="30"/>
      <c r="G7" s="30"/>
      <c r="H7" s="20" t="str">
        <f aca="false">IF(A7="","",COUNTIF(Metrics!$E:$E,A7))</f>
        <v/>
      </c>
      <c r="I7" s="30"/>
      <c r="J7" s="30"/>
      <c r="K7" s="30"/>
      <c r="L7" s="30"/>
      <c r="M7" s="30"/>
    </row>
    <row r="8" customFormat="false" ht="15" hidden="false" customHeight="false" outlineLevel="0" collapsed="false">
      <c r="A8" s="29"/>
      <c r="B8" s="30"/>
      <c r="C8" s="30"/>
      <c r="D8" s="30"/>
      <c r="E8" s="30"/>
      <c r="F8" s="30"/>
      <c r="G8" s="30"/>
      <c r="H8" s="20" t="str">
        <f aca="false">IF(A8="","",COUNTIF(Metrics!$E:$E,A8))</f>
        <v/>
      </c>
      <c r="I8" s="30"/>
      <c r="J8" s="30"/>
      <c r="K8" s="30"/>
      <c r="L8" s="30"/>
      <c r="M8" s="30"/>
    </row>
    <row r="9" customFormat="false" ht="15" hidden="false" customHeight="false" outlineLevel="0" collapsed="false">
      <c r="A9" s="29"/>
      <c r="B9" s="30"/>
      <c r="C9" s="30"/>
      <c r="D9" s="30"/>
      <c r="E9" s="30"/>
      <c r="F9" s="30"/>
      <c r="G9" s="30"/>
      <c r="H9" s="20" t="str">
        <f aca="false">IF(A9="","",COUNTIF(Metrics!$E:$E,A9))</f>
        <v/>
      </c>
      <c r="I9" s="30"/>
      <c r="J9" s="30"/>
      <c r="K9" s="30"/>
      <c r="L9" s="30"/>
      <c r="M9" s="30"/>
    </row>
    <row r="10" customFormat="false" ht="15" hidden="false" customHeight="false" outlineLevel="0" collapsed="false">
      <c r="A10" s="29"/>
      <c r="B10" s="30"/>
      <c r="C10" s="30"/>
      <c r="D10" s="30"/>
      <c r="E10" s="30"/>
      <c r="F10" s="30"/>
      <c r="G10" s="30"/>
      <c r="H10" s="20" t="str">
        <f aca="false">IF(A10="","",COUNTIF(Metrics!$E:$E,A10))</f>
        <v/>
      </c>
      <c r="I10" s="30"/>
      <c r="J10" s="30"/>
      <c r="K10" s="30"/>
      <c r="L10" s="30"/>
      <c r="M10" s="30"/>
    </row>
    <row r="11" customFormat="false" ht="15" hidden="false" customHeight="false" outlineLevel="0" collapsed="false">
      <c r="A11" s="29"/>
      <c r="B11" s="30"/>
      <c r="C11" s="30"/>
      <c r="D11" s="30"/>
      <c r="E11" s="30"/>
      <c r="F11" s="30"/>
      <c r="G11" s="30"/>
      <c r="H11" s="20" t="str">
        <f aca="false">IF(A11="","",COUNTIF(Metrics!$E:$E,A11))</f>
        <v/>
      </c>
      <c r="I11" s="30"/>
      <c r="J11" s="30"/>
      <c r="K11" s="30"/>
      <c r="L11" s="30"/>
      <c r="M11" s="30"/>
    </row>
    <row r="12" customFormat="false" ht="15" hidden="false" customHeight="false" outlineLevel="0" collapsed="false">
      <c r="A12" s="29"/>
      <c r="B12" s="30"/>
      <c r="C12" s="30"/>
      <c r="D12" s="30"/>
      <c r="E12" s="30"/>
      <c r="F12" s="30"/>
      <c r="G12" s="30"/>
      <c r="H12" s="20" t="str">
        <f aca="false">IF(A12="","",COUNTIF(Metrics!$E:$E,A12))</f>
        <v/>
      </c>
      <c r="I12" s="30"/>
      <c r="J12" s="30"/>
      <c r="K12" s="30"/>
      <c r="L12" s="30"/>
      <c r="M12" s="30"/>
    </row>
    <row r="13" customFormat="false" ht="15" hidden="false" customHeight="false" outlineLevel="0" collapsed="false">
      <c r="A13" s="29"/>
      <c r="B13" s="30"/>
      <c r="C13" s="30"/>
      <c r="D13" s="30"/>
      <c r="E13" s="30"/>
      <c r="F13" s="30"/>
      <c r="G13" s="30"/>
      <c r="H13" s="20" t="str">
        <f aca="false">IF(A13="","",COUNTIF(Metrics!$E:$E,A13))</f>
        <v/>
      </c>
      <c r="I13" s="30"/>
      <c r="J13" s="30"/>
      <c r="K13" s="30"/>
      <c r="L13" s="30"/>
      <c r="M13" s="30"/>
    </row>
    <row r="14" customFormat="false" ht="15" hidden="false" customHeight="false" outlineLevel="0" collapsed="false">
      <c r="A14" s="29"/>
      <c r="B14" s="30"/>
      <c r="C14" s="30"/>
      <c r="D14" s="30"/>
      <c r="E14" s="30"/>
      <c r="F14" s="30"/>
      <c r="G14" s="30"/>
      <c r="H14" s="20" t="str">
        <f aca="false">IF(A14="","",COUNTIF(Metrics!$E:$E,A14))</f>
        <v/>
      </c>
      <c r="I14" s="30"/>
      <c r="J14" s="30"/>
      <c r="K14" s="30"/>
      <c r="L14" s="30"/>
      <c r="M14" s="30"/>
    </row>
    <row r="15" customFormat="false" ht="15" hidden="false" customHeight="false" outlineLevel="0" collapsed="false">
      <c r="A15" s="29"/>
      <c r="B15" s="30"/>
      <c r="C15" s="30"/>
      <c r="D15" s="30"/>
      <c r="E15" s="30"/>
      <c r="F15" s="30"/>
      <c r="G15" s="30"/>
      <c r="H15" s="20" t="str">
        <f aca="false">IF(A15="","",COUNTIF(Metrics!$E:$E,A15))</f>
        <v/>
      </c>
      <c r="I15" s="30"/>
      <c r="J15" s="30"/>
      <c r="K15" s="30"/>
      <c r="L15" s="30"/>
      <c r="M15" s="30"/>
    </row>
    <row r="16" customFormat="false" ht="15" hidden="false" customHeight="false" outlineLevel="0" collapsed="false">
      <c r="A16" s="29"/>
      <c r="B16" s="30"/>
      <c r="C16" s="30"/>
      <c r="D16" s="30"/>
      <c r="E16" s="30"/>
      <c r="F16" s="30"/>
      <c r="G16" s="30"/>
      <c r="H16" s="20" t="str">
        <f aca="false">IF(A16="","",COUNTIF(Metrics!$E:$E,A16))</f>
        <v/>
      </c>
      <c r="I16" s="30"/>
      <c r="J16" s="30"/>
      <c r="K16" s="30"/>
      <c r="L16" s="30"/>
      <c r="M16" s="30"/>
    </row>
    <row r="17" customFormat="false" ht="15" hidden="false" customHeight="false" outlineLevel="0" collapsed="false">
      <c r="A17" s="29"/>
      <c r="B17" s="30"/>
      <c r="C17" s="30"/>
      <c r="D17" s="30"/>
      <c r="E17" s="30"/>
      <c r="F17" s="30"/>
      <c r="G17" s="30"/>
      <c r="H17" s="20" t="str">
        <f aca="false">IF(A17="","",COUNTIF(Metrics!$E:$E,A17))</f>
        <v/>
      </c>
      <c r="I17" s="30"/>
      <c r="J17" s="30"/>
      <c r="K17" s="30"/>
      <c r="L17" s="30"/>
      <c r="M17" s="30"/>
    </row>
    <row r="18" customFormat="false" ht="15" hidden="false" customHeight="false" outlineLevel="0" collapsed="false">
      <c r="A18" s="29"/>
      <c r="B18" s="30"/>
      <c r="C18" s="30"/>
      <c r="D18" s="30"/>
      <c r="E18" s="30"/>
      <c r="F18" s="30"/>
      <c r="G18" s="30"/>
      <c r="H18" s="20" t="str">
        <f aca="false">IF(A18="","",COUNTIF(Metrics!$E:$E,A18))</f>
        <v/>
      </c>
      <c r="I18" s="30"/>
      <c r="J18" s="30"/>
      <c r="K18" s="30"/>
      <c r="L18" s="30"/>
      <c r="M18" s="30"/>
    </row>
    <row r="19" customFormat="false" ht="15" hidden="false" customHeight="false" outlineLevel="0" collapsed="false">
      <c r="A19" s="29"/>
      <c r="B19" s="30"/>
      <c r="C19" s="30"/>
      <c r="D19" s="30"/>
      <c r="E19" s="30"/>
      <c r="F19" s="30"/>
      <c r="G19" s="30"/>
      <c r="H19" s="20" t="str">
        <f aca="false">IF(A19="","",COUNTIF(Metrics!$E:$E,A19))</f>
        <v/>
      </c>
      <c r="I19" s="30"/>
      <c r="J19" s="30"/>
      <c r="K19" s="30"/>
      <c r="L19" s="30"/>
      <c r="M19" s="30"/>
    </row>
    <row r="20" customFormat="false" ht="15" hidden="false" customHeight="false" outlineLevel="0" collapsed="false">
      <c r="A20" s="29"/>
      <c r="B20" s="30"/>
      <c r="C20" s="30"/>
      <c r="D20" s="30"/>
      <c r="E20" s="30"/>
      <c r="F20" s="30"/>
      <c r="G20" s="30"/>
      <c r="H20" s="20" t="str">
        <f aca="false">IF(A20="","",COUNTIF(Metrics!$E:$E,A20))</f>
        <v/>
      </c>
      <c r="I20" s="30"/>
      <c r="J20" s="30"/>
      <c r="K20" s="30"/>
      <c r="L20" s="30"/>
      <c r="M20" s="30"/>
    </row>
    <row r="21" customFormat="false" ht="15" hidden="false" customHeight="false" outlineLevel="0" collapsed="false">
      <c r="A21" s="29"/>
      <c r="B21" s="30"/>
      <c r="C21" s="30"/>
      <c r="D21" s="30"/>
      <c r="E21" s="30"/>
      <c r="F21" s="30"/>
      <c r="G21" s="30"/>
      <c r="H21" s="20" t="str">
        <f aca="false">IF(A21="","",COUNTIF(Metrics!$E:$E,A21))</f>
        <v/>
      </c>
      <c r="I21" s="30"/>
      <c r="J21" s="30"/>
      <c r="K21" s="30"/>
      <c r="L21" s="30"/>
      <c r="M21" s="30"/>
    </row>
    <row r="22" customFormat="false" ht="15" hidden="false" customHeight="false" outlineLevel="0" collapsed="false">
      <c r="A22" s="29"/>
      <c r="B22" s="30"/>
      <c r="C22" s="30"/>
      <c r="D22" s="30"/>
      <c r="E22" s="30"/>
      <c r="F22" s="30"/>
      <c r="G22" s="30"/>
      <c r="H22" s="20" t="str">
        <f aca="false">IF(A22="","",COUNTIF(Metrics!$E:$E,A22))</f>
        <v/>
      </c>
      <c r="I22" s="30"/>
      <c r="J22" s="30"/>
      <c r="K22" s="30"/>
      <c r="L22" s="30"/>
      <c r="M22" s="30"/>
    </row>
    <row r="23" customFormat="false" ht="15" hidden="false" customHeight="false" outlineLevel="0" collapsed="false">
      <c r="A23" s="29"/>
      <c r="B23" s="30"/>
      <c r="C23" s="30"/>
      <c r="D23" s="30"/>
      <c r="E23" s="30"/>
      <c r="F23" s="30"/>
      <c r="G23" s="30"/>
      <c r="H23" s="20" t="str">
        <f aca="false">IF(A23="","",COUNTIF(Metrics!$E:$E,A23))</f>
        <v/>
      </c>
      <c r="I23" s="30"/>
      <c r="J23" s="30"/>
      <c r="K23" s="30"/>
      <c r="L23" s="30"/>
      <c r="M23" s="30"/>
    </row>
    <row r="24" customFormat="false" ht="15" hidden="false" customHeight="false" outlineLevel="0" collapsed="false">
      <c r="A24" s="29"/>
      <c r="B24" s="30"/>
      <c r="C24" s="30"/>
      <c r="D24" s="30"/>
      <c r="E24" s="30"/>
      <c r="F24" s="30"/>
      <c r="G24" s="30"/>
      <c r="H24" s="20" t="str">
        <f aca="false">IF(A24="","",COUNTIF(Metrics!$E:$E,A24))</f>
        <v/>
      </c>
      <c r="I24" s="30"/>
      <c r="J24" s="30"/>
      <c r="K24" s="30"/>
      <c r="L24" s="30"/>
      <c r="M24" s="30"/>
    </row>
    <row r="25" customFormat="false" ht="15" hidden="false" customHeight="false" outlineLevel="0" collapsed="false">
      <c r="A25" s="29"/>
      <c r="B25" s="30"/>
      <c r="C25" s="30"/>
      <c r="D25" s="30"/>
      <c r="E25" s="30"/>
      <c r="F25" s="30"/>
      <c r="G25" s="30"/>
      <c r="H25" s="20" t="str">
        <f aca="false">IF(A25="","",COUNTIF(Metrics!$E:$E,A25))</f>
        <v/>
      </c>
      <c r="I25" s="30"/>
      <c r="J25" s="30"/>
      <c r="K25" s="30"/>
      <c r="L25" s="30"/>
      <c r="M25" s="30"/>
    </row>
    <row r="26" customFormat="false" ht="15" hidden="false" customHeight="false" outlineLevel="0" collapsed="false">
      <c r="A26" s="29"/>
      <c r="B26" s="30"/>
      <c r="C26" s="30"/>
      <c r="D26" s="30"/>
      <c r="E26" s="30"/>
      <c r="F26" s="30"/>
      <c r="G26" s="30"/>
      <c r="H26" s="20" t="str">
        <f aca="false">IF(A26="","",COUNTIF(Metrics!$E:$E,A26))</f>
        <v/>
      </c>
      <c r="I26" s="30"/>
      <c r="J26" s="30"/>
      <c r="K26" s="30"/>
      <c r="L26" s="30"/>
      <c r="M26" s="30"/>
    </row>
    <row r="27" customFormat="false" ht="15" hidden="false" customHeight="false" outlineLevel="0" collapsed="false">
      <c r="A27" s="29"/>
      <c r="B27" s="30"/>
      <c r="C27" s="30"/>
      <c r="D27" s="30"/>
      <c r="E27" s="30"/>
      <c r="F27" s="30"/>
      <c r="G27" s="30"/>
      <c r="H27" s="20" t="str">
        <f aca="false">IF(A27="","",COUNTIF(Metrics!$E:$E,A27))</f>
        <v/>
      </c>
      <c r="I27" s="30"/>
      <c r="J27" s="30"/>
      <c r="K27" s="30"/>
      <c r="L27" s="30"/>
      <c r="M27" s="30"/>
    </row>
    <row r="28" customFormat="false" ht="15" hidden="false" customHeight="false" outlineLevel="0" collapsed="false">
      <c r="A28" s="29"/>
      <c r="B28" s="30"/>
      <c r="C28" s="30"/>
      <c r="D28" s="30"/>
      <c r="E28" s="30"/>
      <c r="F28" s="30"/>
      <c r="G28" s="30"/>
      <c r="H28" s="20" t="str">
        <f aca="false">IF(A28="","",COUNTIF(Metrics!$E:$E,A28))</f>
        <v/>
      </c>
      <c r="I28" s="30"/>
      <c r="J28" s="30"/>
      <c r="K28" s="30"/>
      <c r="L28" s="30"/>
      <c r="M28" s="30"/>
    </row>
    <row r="29" customFormat="false" ht="15" hidden="false" customHeight="false" outlineLevel="0" collapsed="false">
      <c r="A29" s="29"/>
      <c r="B29" s="30"/>
      <c r="C29" s="30"/>
      <c r="D29" s="30"/>
      <c r="E29" s="30"/>
      <c r="F29" s="30"/>
      <c r="G29" s="30"/>
      <c r="H29" s="20" t="str">
        <f aca="false">IF(A29="","",COUNTIF(Metrics!$E:$E,A29))</f>
        <v/>
      </c>
      <c r="I29" s="30"/>
      <c r="J29" s="30"/>
      <c r="K29" s="30"/>
      <c r="L29" s="30"/>
      <c r="M29" s="30"/>
    </row>
    <row r="30" customFormat="false" ht="15" hidden="false" customHeight="false" outlineLevel="0" collapsed="false">
      <c r="A30" s="29"/>
      <c r="B30" s="30"/>
      <c r="C30" s="30"/>
      <c r="D30" s="30"/>
      <c r="E30" s="30"/>
      <c r="F30" s="30"/>
      <c r="G30" s="30"/>
      <c r="H30" s="20" t="str">
        <f aca="false">IF(A30="","",COUNTIF(Metrics!$E:$E,A30))</f>
        <v/>
      </c>
      <c r="I30" s="30"/>
      <c r="J30" s="30"/>
      <c r="K30" s="30"/>
      <c r="L30" s="30"/>
      <c r="M30" s="30"/>
    </row>
    <row r="31" customFormat="false" ht="15" hidden="false" customHeight="false" outlineLevel="0" collapsed="false">
      <c r="A31" s="29"/>
      <c r="B31" s="30"/>
      <c r="C31" s="30"/>
      <c r="D31" s="30"/>
      <c r="E31" s="30"/>
      <c r="F31" s="30"/>
      <c r="G31" s="30"/>
      <c r="H31" s="20" t="str">
        <f aca="false">IF(A31="","",COUNTIF(Metrics!$E:$E,A31))</f>
        <v/>
      </c>
      <c r="I31" s="30"/>
      <c r="J31" s="30"/>
      <c r="K31" s="30"/>
      <c r="L31" s="30"/>
      <c r="M31" s="30"/>
    </row>
    <row r="32" customFormat="false" ht="15" hidden="false" customHeight="false" outlineLevel="0" collapsed="false">
      <c r="A32" s="29"/>
      <c r="B32" s="30"/>
      <c r="C32" s="30"/>
      <c r="D32" s="30"/>
      <c r="E32" s="30"/>
      <c r="F32" s="30"/>
      <c r="G32" s="30"/>
      <c r="H32" s="20" t="str">
        <f aca="false">IF(A32="","",COUNTIF(Metrics!$E:$E,A32))</f>
        <v/>
      </c>
      <c r="I32" s="30"/>
      <c r="J32" s="30"/>
      <c r="K32" s="30"/>
      <c r="L32" s="30"/>
      <c r="M32" s="30"/>
    </row>
    <row r="33" customFormat="false" ht="15" hidden="false" customHeight="false" outlineLevel="0" collapsed="false">
      <c r="A33" s="29"/>
      <c r="B33" s="30"/>
      <c r="C33" s="30"/>
      <c r="D33" s="30"/>
      <c r="E33" s="30"/>
      <c r="F33" s="30"/>
      <c r="G33" s="30"/>
      <c r="H33" s="20" t="str">
        <f aca="false">IF(A33="","",COUNTIF(Metrics!$E:$E,A33))</f>
        <v/>
      </c>
      <c r="I33" s="30"/>
      <c r="J33" s="30"/>
      <c r="K33" s="30"/>
      <c r="L33" s="30"/>
      <c r="M33" s="30"/>
    </row>
    <row r="34" customFormat="false" ht="15" hidden="false" customHeight="false" outlineLevel="0" collapsed="false">
      <c r="A34" s="29"/>
      <c r="B34" s="30"/>
      <c r="C34" s="30"/>
      <c r="D34" s="30"/>
      <c r="E34" s="30"/>
      <c r="F34" s="30"/>
      <c r="G34" s="30"/>
      <c r="H34" s="20" t="str">
        <f aca="false">IF(A34="","",COUNTIF(Metrics!$E:$E,A34))</f>
        <v/>
      </c>
      <c r="I34" s="30"/>
      <c r="J34" s="30"/>
      <c r="K34" s="30"/>
      <c r="L34" s="30"/>
      <c r="M34" s="30"/>
    </row>
    <row r="35" customFormat="false" ht="15" hidden="false" customHeight="false" outlineLevel="0" collapsed="false">
      <c r="A35" s="29"/>
      <c r="B35" s="30"/>
      <c r="C35" s="30"/>
      <c r="D35" s="30"/>
      <c r="E35" s="30"/>
      <c r="F35" s="30"/>
      <c r="G35" s="30"/>
      <c r="H35" s="20" t="str">
        <f aca="false">IF(A35="","",COUNTIF(Metrics!$E:$E,A35))</f>
        <v/>
      </c>
      <c r="I35" s="30"/>
      <c r="J35" s="30"/>
      <c r="K35" s="30"/>
      <c r="L35" s="30"/>
      <c r="M35" s="30"/>
    </row>
    <row r="36" customFormat="false" ht="15" hidden="false" customHeight="false" outlineLevel="0" collapsed="false">
      <c r="A36" s="29"/>
      <c r="B36" s="30"/>
      <c r="C36" s="30"/>
      <c r="D36" s="30"/>
      <c r="E36" s="30"/>
      <c r="F36" s="30"/>
      <c r="G36" s="30"/>
      <c r="H36" s="20" t="str">
        <f aca="false">IF(A36="","",COUNTIF(Metrics!$E:$E,A36))</f>
        <v/>
      </c>
      <c r="I36" s="30"/>
      <c r="J36" s="30"/>
      <c r="K36" s="30"/>
      <c r="L36" s="30"/>
      <c r="M36" s="30"/>
    </row>
    <row r="37" customFormat="false" ht="15" hidden="false" customHeight="false" outlineLevel="0" collapsed="false">
      <c r="A37" s="29"/>
      <c r="B37" s="30"/>
      <c r="C37" s="30"/>
      <c r="D37" s="30"/>
      <c r="E37" s="30"/>
      <c r="F37" s="30"/>
      <c r="G37" s="30"/>
      <c r="H37" s="20" t="str">
        <f aca="false">IF(A37="","",COUNTIF(Metrics!$E:$E,A37))</f>
        <v/>
      </c>
      <c r="I37" s="30"/>
      <c r="J37" s="30"/>
      <c r="K37" s="30"/>
      <c r="L37" s="30"/>
      <c r="M37" s="30"/>
    </row>
    <row r="38" customFormat="false" ht="15" hidden="false" customHeight="false" outlineLevel="0" collapsed="false">
      <c r="A38" s="29"/>
      <c r="B38" s="30"/>
      <c r="C38" s="30"/>
      <c r="D38" s="30"/>
      <c r="E38" s="30"/>
      <c r="F38" s="30"/>
      <c r="G38" s="30"/>
      <c r="H38" s="20" t="str">
        <f aca="false">IF(A38="","",COUNTIF(Metrics!$E:$E,A38))</f>
        <v/>
      </c>
      <c r="I38" s="30"/>
      <c r="J38" s="30"/>
      <c r="K38" s="30"/>
      <c r="L38" s="30"/>
      <c r="M38" s="30"/>
    </row>
    <row r="39" customFormat="false" ht="15" hidden="false" customHeight="false" outlineLevel="0" collapsed="false">
      <c r="A39" s="29"/>
      <c r="B39" s="30"/>
      <c r="C39" s="30"/>
      <c r="D39" s="30"/>
      <c r="E39" s="30"/>
      <c r="F39" s="30"/>
      <c r="G39" s="30"/>
      <c r="H39" s="20" t="str">
        <f aca="false">IF(A39="","",COUNTIF(Metrics!$E:$E,A39))</f>
        <v/>
      </c>
      <c r="I39" s="30"/>
      <c r="J39" s="30"/>
      <c r="K39" s="30"/>
      <c r="L39" s="30"/>
      <c r="M39" s="30"/>
    </row>
    <row r="40" customFormat="false" ht="15" hidden="false" customHeight="false" outlineLevel="0" collapsed="false">
      <c r="A40" s="29"/>
      <c r="B40" s="30"/>
      <c r="C40" s="30"/>
      <c r="D40" s="30"/>
      <c r="E40" s="30"/>
      <c r="F40" s="30"/>
      <c r="G40" s="30"/>
      <c r="H40" s="20" t="str">
        <f aca="false">IF(A40="","",COUNTIF(Metrics!$E:$E,A40))</f>
        <v/>
      </c>
      <c r="I40" s="30"/>
      <c r="J40" s="30"/>
      <c r="K40" s="30"/>
      <c r="L40" s="30"/>
      <c r="M40" s="30"/>
    </row>
    <row r="41" customFormat="false" ht="15" hidden="false" customHeight="false" outlineLevel="0" collapsed="false">
      <c r="A41" s="29"/>
      <c r="B41" s="30"/>
      <c r="C41" s="30"/>
      <c r="D41" s="30"/>
      <c r="E41" s="30"/>
      <c r="F41" s="30"/>
      <c r="G41" s="30"/>
      <c r="H41" s="20" t="str">
        <f aca="false">IF(A41="","",COUNTIF(Metrics!$E:$E,A41))</f>
        <v/>
      </c>
      <c r="I41" s="30"/>
      <c r="J41" s="30"/>
      <c r="K41" s="30"/>
      <c r="L41" s="30"/>
      <c r="M41" s="30"/>
    </row>
    <row r="42" customFormat="false" ht="15" hidden="false" customHeight="false" outlineLevel="0" collapsed="false">
      <c r="A42" s="29"/>
      <c r="B42" s="30"/>
      <c r="C42" s="30"/>
      <c r="D42" s="30"/>
      <c r="E42" s="30"/>
      <c r="F42" s="30"/>
      <c r="G42" s="30"/>
      <c r="H42" s="20" t="str">
        <f aca="false">IF(A42="","",COUNTIF(Metrics!$E:$E,A42))</f>
        <v/>
      </c>
      <c r="I42" s="30"/>
      <c r="J42" s="30"/>
      <c r="K42" s="30"/>
      <c r="L42" s="30"/>
      <c r="M42" s="30"/>
    </row>
    <row r="43" customFormat="false" ht="15" hidden="false" customHeight="false" outlineLevel="0" collapsed="false">
      <c r="A43" s="29"/>
      <c r="B43" s="30"/>
      <c r="C43" s="30"/>
      <c r="D43" s="30"/>
      <c r="E43" s="30"/>
      <c r="F43" s="30"/>
      <c r="G43" s="30"/>
      <c r="H43" s="20" t="str">
        <f aca="false">IF(A43="","",COUNTIF(Metrics!$E:$E,A43))</f>
        <v/>
      </c>
      <c r="I43" s="30"/>
      <c r="J43" s="30"/>
      <c r="K43" s="30"/>
      <c r="L43" s="30"/>
      <c r="M43" s="30"/>
    </row>
    <row r="44" customFormat="false" ht="15" hidden="false" customHeight="false" outlineLevel="0" collapsed="false">
      <c r="A44" s="29"/>
      <c r="B44" s="30"/>
      <c r="C44" s="30"/>
      <c r="D44" s="30"/>
      <c r="E44" s="30"/>
      <c r="F44" s="30"/>
      <c r="G44" s="30"/>
      <c r="H44" s="20" t="str">
        <f aca="false">IF(A44="","",COUNTIF(Metrics!$E:$E,A44))</f>
        <v/>
      </c>
      <c r="I44" s="30"/>
      <c r="J44" s="30"/>
      <c r="K44" s="30"/>
      <c r="L44" s="30"/>
      <c r="M44" s="30"/>
    </row>
    <row r="45" customFormat="false" ht="15" hidden="false" customHeight="false" outlineLevel="0" collapsed="false">
      <c r="A45" s="29"/>
      <c r="B45" s="30"/>
      <c r="C45" s="30"/>
      <c r="D45" s="30"/>
      <c r="E45" s="30"/>
      <c r="F45" s="30"/>
      <c r="G45" s="30"/>
      <c r="H45" s="20" t="str">
        <f aca="false">IF(A45="","",COUNTIF(Metrics!$E:$E,A45))</f>
        <v/>
      </c>
      <c r="I45" s="30"/>
      <c r="J45" s="30"/>
      <c r="K45" s="30"/>
      <c r="L45" s="30"/>
      <c r="M45" s="30"/>
    </row>
    <row r="46" customFormat="false" ht="15" hidden="false" customHeight="false" outlineLevel="0" collapsed="false">
      <c r="A46" s="29"/>
      <c r="B46" s="30"/>
      <c r="C46" s="30"/>
      <c r="D46" s="30"/>
      <c r="E46" s="30"/>
      <c r="F46" s="30"/>
      <c r="G46" s="30"/>
      <c r="H46" s="20" t="str">
        <f aca="false">IF(A46="","",COUNTIF(Metrics!$E:$E,A46))</f>
        <v/>
      </c>
      <c r="I46" s="30"/>
      <c r="J46" s="30"/>
      <c r="K46" s="30"/>
      <c r="L46" s="30"/>
      <c r="M46" s="30"/>
    </row>
    <row r="47" customFormat="false" ht="15" hidden="false" customHeight="false" outlineLevel="0" collapsed="false">
      <c r="A47" s="29"/>
      <c r="B47" s="30"/>
      <c r="C47" s="30"/>
      <c r="D47" s="30"/>
      <c r="E47" s="30"/>
      <c r="F47" s="30"/>
      <c r="G47" s="30"/>
      <c r="H47" s="20" t="str">
        <f aca="false">IF(A47="","",COUNTIF(Metrics!$E:$E,A47))</f>
        <v/>
      </c>
      <c r="I47" s="30"/>
      <c r="J47" s="30"/>
      <c r="K47" s="30"/>
      <c r="L47" s="30"/>
      <c r="M47" s="30"/>
    </row>
    <row r="48" customFormat="false" ht="15" hidden="false" customHeight="false" outlineLevel="0" collapsed="false">
      <c r="A48" s="29"/>
      <c r="B48" s="30"/>
      <c r="C48" s="30"/>
      <c r="D48" s="30"/>
      <c r="E48" s="30"/>
      <c r="F48" s="30"/>
      <c r="G48" s="30"/>
      <c r="H48" s="20" t="str">
        <f aca="false">IF(A48="","",COUNTIF(Metrics!$E:$E,A48))</f>
        <v/>
      </c>
      <c r="I48" s="30"/>
      <c r="J48" s="30"/>
      <c r="K48" s="30"/>
      <c r="L48" s="30"/>
      <c r="M48" s="30"/>
    </row>
    <row r="49" customFormat="false" ht="15" hidden="false" customHeight="false" outlineLevel="0" collapsed="false">
      <c r="A49" s="29"/>
      <c r="B49" s="30"/>
      <c r="C49" s="30"/>
      <c r="D49" s="30"/>
      <c r="E49" s="30"/>
      <c r="F49" s="30"/>
      <c r="G49" s="30"/>
      <c r="H49" s="20" t="str">
        <f aca="false">IF(A49="","",COUNTIF(Metrics!$E:$E,A49))</f>
        <v/>
      </c>
      <c r="I49" s="30"/>
      <c r="J49" s="30"/>
      <c r="K49" s="30"/>
      <c r="L49" s="30"/>
      <c r="M49" s="30"/>
    </row>
    <row r="50" customFormat="false" ht="15" hidden="false" customHeight="false" outlineLevel="0" collapsed="false">
      <c r="A50" s="29"/>
      <c r="B50" s="30"/>
      <c r="C50" s="30"/>
      <c r="D50" s="30"/>
      <c r="E50" s="30"/>
      <c r="F50" s="30"/>
      <c r="G50" s="30"/>
      <c r="H50" s="20" t="str">
        <f aca="false">IF(A50="","",COUNTIF(Metrics!$E:$E,A50))</f>
        <v/>
      </c>
      <c r="I50" s="30"/>
      <c r="J50" s="30"/>
      <c r="K50" s="30"/>
      <c r="L50" s="30"/>
      <c r="M50" s="30"/>
    </row>
    <row r="51" customFormat="false" ht="15" hidden="false" customHeight="false" outlineLevel="0" collapsed="false">
      <c r="A51" s="29"/>
      <c r="B51" s="30"/>
      <c r="C51" s="30"/>
      <c r="D51" s="30"/>
      <c r="E51" s="30"/>
      <c r="F51" s="30"/>
      <c r="G51" s="30"/>
      <c r="H51" s="20" t="str">
        <f aca="false">IF(A51="","",COUNTIF(Metrics!$E:$E,A51))</f>
        <v/>
      </c>
      <c r="I51" s="30"/>
      <c r="J51" s="30"/>
      <c r="K51" s="30"/>
      <c r="L51" s="30"/>
      <c r="M51" s="30"/>
    </row>
    <row r="52" customFormat="false" ht="15" hidden="false" customHeight="false" outlineLevel="0" collapsed="false">
      <c r="A52" s="29"/>
      <c r="B52" s="30"/>
      <c r="C52" s="30"/>
      <c r="D52" s="30"/>
      <c r="E52" s="30"/>
      <c r="F52" s="30"/>
      <c r="G52" s="30"/>
      <c r="H52" s="20" t="str">
        <f aca="false">IF(A52="","",COUNTIF(Metrics!$E:$E,A52))</f>
        <v/>
      </c>
      <c r="I52" s="30"/>
      <c r="J52" s="30"/>
      <c r="K52" s="30"/>
      <c r="L52" s="30"/>
      <c r="M52" s="30"/>
    </row>
    <row r="53" customFormat="false" ht="15" hidden="false" customHeight="false" outlineLevel="0" collapsed="false">
      <c r="A53" s="29"/>
      <c r="B53" s="30"/>
      <c r="C53" s="30"/>
      <c r="D53" s="30"/>
      <c r="E53" s="30"/>
      <c r="F53" s="30"/>
      <c r="G53" s="30"/>
      <c r="H53" s="20" t="str">
        <f aca="false">IF(A53="","",COUNTIF(Metrics!$E:$E,A53))</f>
        <v/>
      </c>
      <c r="I53" s="30"/>
      <c r="J53" s="30"/>
      <c r="K53" s="30"/>
      <c r="L53" s="30"/>
      <c r="M53" s="30"/>
    </row>
    <row r="54" customFormat="false" ht="15" hidden="false" customHeight="false" outlineLevel="0" collapsed="false">
      <c r="A54" s="29"/>
      <c r="B54" s="30"/>
      <c r="C54" s="30"/>
      <c r="D54" s="30"/>
      <c r="E54" s="30"/>
      <c r="F54" s="30"/>
      <c r="G54" s="30"/>
      <c r="H54" s="20" t="str">
        <f aca="false">IF(A54="","",COUNTIF(Metrics!$E:$E,A54))</f>
        <v/>
      </c>
      <c r="I54" s="30"/>
      <c r="J54" s="30"/>
      <c r="K54" s="30"/>
      <c r="L54" s="30"/>
      <c r="M54" s="30"/>
    </row>
    <row r="55" customFormat="false" ht="15" hidden="false" customHeight="false" outlineLevel="0" collapsed="false">
      <c r="A55" s="29"/>
      <c r="B55" s="30"/>
      <c r="C55" s="30"/>
      <c r="D55" s="30"/>
      <c r="E55" s="30"/>
      <c r="F55" s="30"/>
      <c r="G55" s="30"/>
      <c r="H55" s="20" t="str">
        <f aca="false">IF(A55="","",COUNTIF(Metrics!$E:$E,A55))</f>
        <v/>
      </c>
      <c r="I55" s="30"/>
      <c r="J55" s="30"/>
      <c r="K55" s="30"/>
      <c r="L55" s="30"/>
      <c r="M55" s="30"/>
    </row>
    <row r="56" customFormat="false" ht="15" hidden="false" customHeight="false" outlineLevel="0" collapsed="false">
      <c r="A56" s="29"/>
      <c r="B56" s="30"/>
      <c r="C56" s="30"/>
      <c r="D56" s="30"/>
      <c r="E56" s="30"/>
      <c r="F56" s="30"/>
      <c r="G56" s="30"/>
      <c r="H56" s="20" t="str">
        <f aca="false">IF(A56="","",COUNTIF(Metrics!$E:$E,A56))</f>
        <v/>
      </c>
      <c r="I56" s="30"/>
      <c r="J56" s="30"/>
      <c r="K56" s="30"/>
      <c r="L56" s="30"/>
      <c r="M56" s="30"/>
    </row>
    <row r="57" customFormat="false" ht="15" hidden="false" customHeight="false" outlineLevel="0" collapsed="false">
      <c r="A57" s="29"/>
      <c r="B57" s="30"/>
      <c r="C57" s="30"/>
      <c r="D57" s="30"/>
      <c r="E57" s="30"/>
      <c r="F57" s="30"/>
      <c r="G57" s="30"/>
      <c r="H57" s="20" t="str">
        <f aca="false">IF(A57="","",COUNTIF(Metrics!$E:$E,A57))</f>
        <v/>
      </c>
      <c r="I57" s="30"/>
      <c r="J57" s="30"/>
      <c r="K57" s="30"/>
      <c r="L57" s="30"/>
      <c r="M57" s="30"/>
    </row>
    <row r="58" customFormat="false" ht="15" hidden="false" customHeight="false" outlineLevel="0" collapsed="false">
      <c r="A58" s="29"/>
      <c r="B58" s="30"/>
      <c r="C58" s="30"/>
      <c r="D58" s="30"/>
      <c r="E58" s="30"/>
      <c r="F58" s="30"/>
      <c r="G58" s="30"/>
      <c r="H58" s="20" t="str">
        <f aca="false">IF(A58="","",COUNTIF(Metrics!$E:$E,A58))</f>
        <v/>
      </c>
      <c r="I58" s="30"/>
      <c r="J58" s="30"/>
      <c r="K58" s="30"/>
      <c r="L58" s="30"/>
      <c r="M58" s="30"/>
    </row>
    <row r="59" customFormat="false" ht="15" hidden="false" customHeight="false" outlineLevel="0" collapsed="false">
      <c r="A59" s="29"/>
      <c r="B59" s="30"/>
      <c r="C59" s="30"/>
      <c r="D59" s="30"/>
      <c r="E59" s="30"/>
      <c r="F59" s="30"/>
      <c r="G59" s="30"/>
      <c r="H59" s="20" t="str">
        <f aca="false">IF(A59="","",COUNTIF(Metrics!$E:$E,A59))</f>
        <v/>
      </c>
      <c r="I59" s="30"/>
      <c r="J59" s="30"/>
      <c r="K59" s="30"/>
      <c r="L59" s="30"/>
      <c r="M59" s="30"/>
    </row>
    <row r="60" customFormat="false" ht="15" hidden="false" customHeight="false" outlineLevel="0" collapsed="false">
      <c r="A60" s="29"/>
      <c r="B60" s="30"/>
      <c r="C60" s="30"/>
      <c r="D60" s="30"/>
      <c r="E60" s="30"/>
      <c r="F60" s="30"/>
      <c r="G60" s="30"/>
      <c r="H60" s="20" t="str">
        <f aca="false">IF(A60="","",COUNTIF(Metrics!$E:$E,A60))</f>
        <v/>
      </c>
      <c r="I60" s="30"/>
      <c r="J60" s="30"/>
      <c r="K60" s="30"/>
      <c r="L60" s="30"/>
      <c r="M60" s="30"/>
    </row>
    <row r="61" customFormat="false" ht="15" hidden="false" customHeight="false" outlineLevel="0" collapsed="false">
      <c r="A61" s="29"/>
      <c r="B61" s="30"/>
      <c r="C61" s="30"/>
      <c r="D61" s="30"/>
      <c r="E61" s="30"/>
      <c r="F61" s="30"/>
      <c r="G61" s="30"/>
      <c r="H61" s="20" t="str">
        <f aca="false">IF(A61="","",COUNTIF(Metrics!$E:$E,A61))</f>
        <v/>
      </c>
      <c r="I61" s="30"/>
      <c r="J61" s="30"/>
      <c r="K61" s="30"/>
      <c r="L61" s="30"/>
      <c r="M61" s="30"/>
    </row>
    <row r="62" customFormat="false" ht="15" hidden="false" customHeight="false" outlineLevel="0" collapsed="false">
      <c r="A62" s="29"/>
      <c r="B62" s="30"/>
      <c r="C62" s="30"/>
      <c r="D62" s="30"/>
      <c r="E62" s="30"/>
      <c r="F62" s="30"/>
      <c r="G62" s="30"/>
      <c r="H62" s="20" t="str">
        <f aca="false">IF(A62="","",COUNTIF(Metrics!$E:$E,A62))</f>
        <v/>
      </c>
      <c r="I62" s="30"/>
      <c r="J62" s="30"/>
      <c r="K62" s="30"/>
      <c r="L62" s="30"/>
      <c r="M62" s="30"/>
    </row>
    <row r="63" customFormat="false" ht="15" hidden="false" customHeight="false" outlineLevel="0" collapsed="false">
      <c r="A63" s="29"/>
      <c r="B63" s="30"/>
      <c r="C63" s="30"/>
      <c r="D63" s="30"/>
      <c r="E63" s="30"/>
      <c r="F63" s="30"/>
      <c r="G63" s="30"/>
      <c r="H63" s="20" t="str">
        <f aca="false">IF(A63="","",COUNTIF(Metrics!$E:$E,A63))</f>
        <v/>
      </c>
      <c r="I63" s="30"/>
      <c r="J63" s="30"/>
      <c r="K63" s="30"/>
      <c r="L63" s="30"/>
      <c r="M63" s="30"/>
    </row>
    <row r="64" customFormat="false" ht="15" hidden="false" customHeight="false" outlineLevel="0" collapsed="false">
      <c r="A64" s="29"/>
      <c r="B64" s="30"/>
      <c r="C64" s="30"/>
      <c r="D64" s="30"/>
      <c r="E64" s="30"/>
      <c r="F64" s="30"/>
      <c r="G64" s="30"/>
      <c r="H64" s="20" t="str">
        <f aca="false">IF(A64="","",COUNTIF(Metrics!$E:$E,A64))</f>
        <v/>
      </c>
      <c r="I64" s="30"/>
      <c r="J64" s="30"/>
      <c r="K64" s="30"/>
      <c r="L64" s="30"/>
      <c r="M64" s="30"/>
    </row>
  </sheetData>
  <autoFilter ref="A4:M64"/>
  <conditionalFormatting sqref="F5:F64">
    <cfRule type="cellIs" priority="2" operator="equal" aboveAverage="0" equalAverage="0" bottom="0" percent="0" rank="0" text="" dxfId="14">
      <formula>"Certified"</formula>
    </cfRule>
    <cfRule type="cellIs" priority="3" operator="equal" aboveAverage="0" equalAverage="0" bottom="0" percent="0" rank="0" text="" dxfId="14">
      <formula>"Agreed"</formula>
    </cfRule>
    <cfRule type="cellIs" priority="4" operator="equal" aboveAverage="0" equalAverage="0" bottom="0" percent="0" rank="0" text="" dxfId="15">
      <formula>"Draft"</formula>
    </cfRule>
  </conditionalFormatting>
  <dataValidations count="2">
    <dataValidation allowBlank="true" errorStyle="stop" operator="between" showDropDown="false" showErrorMessage="false" showInputMessage="false" sqref="F5:F84" type="list">
      <formula1>"Draft,Under review,Agreed,Certified"</formula1>
      <formula2>0</formula2>
    </dataValidation>
    <dataValidation allowBlank="true" errorStyle="stop" operator="between" showDropDown="false" showErrorMessage="false" showInputMessage="false" sqref="K5:K84" type="list">
      <formula1>"Found,Inferred,Guessed,Human"</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A5C"/>
    <pageSetUpPr fitToPage="true"/>
  </sheetPr>
  <dimension ref="A1:AC2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8"/>
    <col collapsed="false" customWidth="true" hidden="false" outlineLevel="0" max="3" min="3" style="0" width="12"/>
    <col collapsed="false" customWidth="true" hidden="false" outlineLevel="0" max="4" min="4" style="0" width="22"/>
    <col collapsed="false" customWidth="true" hidden="false" outlineLevel="0" max="5" min="5" style="0" width="48"/>
    <col collapsed="false" customWidth="true" hidden="false" outlineLevel="0" max="8" min="6" style="0" width="16"/>
    <col collapsed="false" customWidth="true" hidden="false" outlineLevel="0" max="9" min="9" style="0" width="10"/>
    <col collapsed="false" customWidth="true" hidden="false" outlineLevel="0" max="10" min="10" style="0" width="11"/>
    <col collapsed="false" customWidth="true" hidden="false" outlineLevel="0" max="11" min="11" style="0" width="15"/>
    <col collapsed="false" customWidth="true" hidden="false" outlineLevel="0" max="12" min="12" style="0" width="24"/>
    <col collapsed="false" customWidth="true" hidden="false" outlineLevel="0" max="13" min="13" style="0" width="7"/>
    <col collapsed="false" customWidth="true" hidden="false" outlineLevel="0" max="14" min="14" style="0" width="40"/>
    <col collapsed="false" customWidth="true" hidden="false" outlineLevel="0" max="15" min="15" style="0" width="9"/>
    <col collapsed="false" customWidth="true" hidden="false" outlineLevel="0" max="16" min="16" style="0" width="11"/>
    <col collapsed="false" customWidth="true" hidden="false" outlineLevel="0" max="17" min="17" style="0" width="36"/>
    <col collapsed="false" customWidth="true" hidden="false" outlineLevel="0" max="18" min="18" style="0" width="26"/>
    <col collapsed="false" customWidth="true" hidden="false" outlineLevel="0" max="19" min="19" style="0" width="11"/>
    <col collapsed="false" customWidth="true" hidden="false" outlineLevel="0" max="20" min="20" style="0" width="12"/>
    <col collapsed="false" customWidth="true" hidden="false" outlineLevel="0" max="21" min="21" style="0" width="14"/>
    <col collapsed="false" customWidth="true" hidden="false" outlineLevel="0" max="29" min="22" style="0" width="8"/>
  </cols>
  <sheetData>
    <row r="1" customFormat="false" ht="17.35" hidden="false" customHeight="false" outlineLevel="0" collapsed="false">
      <c r="A1" s="1" t="s">
        <v>11</v>
      </c>
    </row>
    <row r="2" customFormat="false" ht="15" hidden="false" customHeight="false" outlineLevel="0" collapsed="false">
      <c r="A2" s="2" t="s">
        <v>407</v>
      </c>
    </row>
    <row r="4" customFormat="false" ht="31.5" hidden="false" customHeight="true" outlineLevel="0" collapsed="false">
      <c r="A4" s="21" t="s">
        <v>92</v>
      </c>
      <c r="B4" s="21" t="s">
        <v>93</v>
      </c>
      <c r="C4" s="21" t="s">
        <v>94</v>
      </c>
      <c r="D4" s="21" t="s">
        <v>242</v>
      </c>
      <c r="E4" s="21" t="s">
        <v>97</v>
      </c>
      <c r="F4" s="21" t="s">
        <v>157</v>
      </c>
      <c r="G4" s="21" t="s">
        <v>248</v>
      </c>
      <c r="H4" s="21" t="s">
        <v>160</v>
      </c>
      <c r="I4" s="21" t="s">
        <v>252</v>
      </c>
      <c r="J4" s="21" t="s">
        <v>101</v>
      </c>
      <c r="K4" s="21" t="s">
        <v>68</v>
      </c>
      <c r="L4" s="21" t="s">
        <v>69</v>
      </c>
      <c r="M4" s="21" t="s">
        <v>95</v>
      </c>
      <c r="N4" s="21" t="s">
        <v>104</v>
      </c>
      <c r="O4" s="21" t="s">
        <v>261</v>
      </c>
      <c r="P4" s="21" t="s">
        <v>96</v>
      </c>
      <c r="Q4" s="21" t="s">
        <v>130</v>
      </c>
      <c r="R4" s="21" t="s">
        <v>171</v>
      </c>
      <c r="S4" s="21" t="s">
        <v>174</v>
      </c>
      <c r="T4" s="21" t="s">
        <v>177</v>
      </c>
      <c r="U4" s="21" t="s">
        <v>180</v>
      </c>
      <c r="V4" s="31" t="s">
        <v>408</v>
      </c>
      <c r="W4" s="31" t="s">
        <v>409</v>
      </c>
      <c r="X4" s="31" t="s">
        <v>410</v>
      </c>
      <c r="Y4" s="31" t="s">
        <v>411</v>
      </c>
      <c r="Z4" s="31" t="s">
        <v>412</v>
      </c>
      <c r="AA4" s="31" t="s">
        <v>413</v>
      </c>
      <c r="AB4" s="31" t="s">
        <v>414</v>
      </c>
      <c r="AC4" s="31" t="s">
        <v>415</v>
      </c>
    </row>
    <row r="5" customFormat="false" ht="23.85" hidden="false" customHeight="false" outlineLevel="0" collapsed="false">
      <c r="A5" s="29" t="s">
        <v>305</v>
      </c>
      <c r="B5" s="30" t="s">
        <v>307</v>
      </c>
      <c r="C5" s="30" t="s">
        <v>416</v>
      </c>
      <c r="D5" s="30"/>
      <c r="E5" s="30" t="s">
        <v>417</v>
      </c>
      <c r="F5" s="30" t="s">
        <v>250</v>
      </c>
      <c r="G5" s="30" t="s">
        <v>250</v>
      </c>
      <c r="H5" s="30"/>
      <c r="I5" s="30" t="s">
        <v>165</v>
      </c>
      <c r="J5" s="30" t="s">
        <v>255</v>
      </c>
      <c r="K5" s="30" t="s">
        <v>71</v>
      </c>
      <c r="L5" s="30" t="s">
        <v>72</v>
      </c>
      <c r="M5" s="20" t="n">
        <f aca="false">IF(A5="","",IF(V5="",0,IF(W5="",1,IF(X5="",2,IF(Y5="",3,"4+")))))</f>
        <v>0</v>
      </c>
      <c r="N5" s="20" t="str">
        <f aca="false">IF(A5="","",A5&amp;IF(V5="",""," &lt;- "&amp;V5&amp;IF(W5="",""," &lt;- "&amp;W5&amp;IF(X5="",""," &lt;- "&amp;X5&amp;IF(Y5="",""," &lt;- "&amp;Y5))))&amp;IF(ISNUMBER(FIND(",",D5))," (+ other parents)",""))</f>
        <v>T-001</v>
      </c>
      <c r="O5" s="20" t="n">
        <f aca="false">IF(A5="","",COUNTIF(Fields!$D:$D,A5))</f>
        <v>4</v>
      </c>
      <c r="P5" s="20" t="n">
        <f aca="false">IF(A5="","",SUMIF(Fields!$D:$D,A5,Fields!$O:$O))</f>
        <v>8</v>
      </c>
      <c r="Q5" s="30" t="s">
        <v>374</v>
      </c>
      <c r="R5" s="30"/>
      <c r="S5" s="30" t="s">
        <v>372</v>
      </c>
      <c r="T5" s="30" t="s">
        <v>179</v>
      </c>
      <c r="U5" s="30"/>
      <c r="V5" s="34" t="str">
        <f aca="false">IF(A5="","",IF(IFERROR(INDEX($D:$D,MATCH(A5,$A:$A,0)),"")="","",TRIM(IF(ISNUMBER(FIND(",",IFERROR(INDEX($D:$D,MATCH(A5,$A:$A,0)),""))),LEFT(IFERROR(INDEX($D:$D,MATCH(A5,$A:$A,0)),""),FIND(",",IFERROR(INDEX($D:$D,MATCH(A5,$A:$A,0)),""))-1),IFERROR(INDEX($D:$D,MATCH(A5,$A:$A,0)),"")))))</f>
        <v/>
      </c>
      <c r="W5" s="34" t="str">
        <f aca="false">IF(V5="","",IF(IFERROR(INDEX($D:$D,MATCH(V5,$A:$A,0)),"")="","",TRIM(IF(ISNUMBER(FIND(",",IFERROR(INDEX($D:$D,MATCH(V5,$A:$A,0)),""))),LEFT(IFERROR(INDEX($D:$D,MATCH(V5,$A:$A,0)),""),FIND(",",IFERROR(INDEX($D:$D,MATCH(V5,$A:$A,0)),""))-1),IFERROR(INDEX($D:$D,MATCH(V5,$A:$A,0)),"")))))</f>
        <v/>
      </c>
      <c r="X5" s="34" t="str">
        <f aca="false">IF(W5="","",IF(IFERROR(INDEX($D:$D,MATCH(W5,$A:$A,0)),"")="","",TRIM(IF(ISNUMBER(FIND(",",IFERROR(INDEX($D:$D,MATCH(W5,$A:$A,0)),""))),LEFT(IFERROR(INDEX($D:$D,MATCH(W5,$A:$A,0)),""),FIND(",",IFERROR(INDEX($D:$D,MATCH(W5,$A:$A,0)),""))-1),IFERROR(INDEX($D:$D,MATCH(W5,$A:$A,0)),"")))))</f>
        <v/>
      </c>
      <c r="Y5" s="34" t="str">
        <f aca="false">IF(X5="","",IF(IFERROR(INDEX($D:$D,MATCH(X5,$A:$A,0)),"")="","",TRIM(IF(ISNUMBER(FIND(",",IFERROR(INDEX($D:$D,MATCH(X5,$A:$A,0)),""))),LEFT(IFERROR(INDEX($D:$D,MATCH(X5,$A:$A,0)),""),FIND(",",IFERROR(INDEX($D:$D,MATCH(X5,$A:$A,0)),""))-1),IFERROR(INDEX($D:$D,MATCH(X5,$A:$A,0)),"")))))</f>
        <v/>
      </c>
      <c r="Z5" s="34" t="str">
        <f aca="false">IF(AND(A5&lt;&gt;"",L5="Retire"),COUNTIF($L$5:L5,"Retire"),"")</f>
        <v/>
      </c>
      <c r="AA5" s="34" t="str">
        <f aca="false">IF(AND(A5&lt;&gt;"",L5="Build"),COUNTIF($L$5:L5,"Build"),"")</f>
        <v/>
      </c>
      <c r="AB5" s="34" t="str">
        <f aca="false">IF(AND(A5&lt;&gt;"",OR(M5="4+",AND(ISNUMBER(M5),M5&gt;=2))),SUMPRODUCT(($A$5:A5&lt;&gt;"")*(($M$5:M5="4+")+(ISNUMBER($M$5:M5)*($M$5:M5&gt;=2)))),"")</f>
        <v/>
      </c>
      <c r="AC5" s="34" t="str">
        <f aca="false">IF(AND(A5&lt;&gt;"",OR(L5="",L5="Undecided",K5="")),SUMPRODUCT(($A$5:A5&lt;&gt;"")*(($L$5:L5="")+($L$5:L5="Undecided")+($K$5:K5=""))&gt;0*1),"")</f>
        <v/>
      </c>
    </row>
    <row r="6" customFormat="false" ht="23.85" hidden="false" customHeight="false" outlineLevel="0" collapsed="false">
      <c r="A6" s="29" t="s">
        <v>418</v>
      </c>
      <c r="B6" s="30" t="s">
        <v>419</v>
      </c>
      <c r="C6" s="30" t="s">
        <v>416</v>
      </c>
      <c r="D6" s="30"/>
      <c r="E6" s="30" t="s">
        <v>420</v>
      </c>
      <c r="F6" s="30" t="s">
        <v>250</v>
      </c>
      <c r="G6" s="30" t="s">
        <v>250</v>
      </c>
      <c r="H6" s="30"/>
      <c r="I6" s="30" t="s">
        <v>165</v>
      </c>
      <c r="J6" s="30" t="s">
        <v>255</v>
      </c>
      <c r="K6" s="30" t="s">
        <v>71</v>
      </c>
      <c r="L6" s="30" t="s">
        <v>72</v>
      </c>
      <c r="M6" s="20" t="n">
        <f aca="false">IF(A6="","",IF(V6="",0,IF(W6="",1,IF(X6="",2,IF(Y6="",3,"4+")))))</f>
        <v>0</v>
      </c>
      <c r="N6" s="20" t="str">
        <f aca="false">IF(A6="","",A6&amp;IF(V6="",""," &lt;- "&amp;V6&amp;IF(W6="",""," &lt;- "&amp;W6&amp;IF(X6="",""," &lt;- "&amp;X6&amp;IF(Y6="",""," &lt;- "&amp;Y6))))&amp;IF(ISNUMBER(FIND(",",D6))," (+ other parents)",""))</f>
        <v>T-002</v>
      </c>
      <c r="O6" s="20" t="n">
        <f aca="false">IF(A6="","",COUNTIF(Fields!$D:$D,A6))</f>
        <v>2</v>
      </c>
      <c r="P6" s="20" t="n">
        <f aca="false">IF(A6="","",SUMIF(Fields!$D:$D,A6,Fields!$O:$O))</f>
        <v>0</v>
      </c>
      <c r="Q6" s="30" t="s">
        <v>374</v>
      </c>
      <c r="R6" s="30"/>
      <c r="S6" s="30" t="s">
        <v>372</v>
      </c>
      <c r="T6" s="30" t="s">
        <v>179</v>
      </c>
      <c r="U6" s="30"/>
      <c r="V6" s="34" t="str">
        <f aca="false">IF(A6="","",IF(IFERROR(INDEX($D:$D,MATCH(A6,$A:$A,0)),"")="","",TRIM(IF(ISNUMBER(FIND(",",IFERROR(INDEX($D:$D,MATCH(A6,$A:$A,0)),""))),LEFT(IFERROR(INDEX($D:$D,MATCH(A6,$A:$A,0)),""),FIND(",",IFERROR(INDEX($D:$D,MATCH(A6,$A:$A,0)),""))-1),IFERROR(INDEX($D:$D,MATCH(A6,$A:$A,0)),"")))))</f>
        <v/>
      </c>
      <c r="W6" s="34" t="str">
        <f aca="false">IF(V6="","",IF(IFERROR(INDEX($D:$D,MATCH(V6,$A:$A,0)),"")="","",TRIM(IF(ISNUMBER(FIND(",",IFERROR(INDEX($D:$D,MATCH(V6,$A:$A,0)),""))),LEFT(IFERROR(INDEX($D:$D,MATCH(V6,$A:$A,0)),""),FIND(",",IFERROR(INDEX($D:$D,MATCH(V6,$A:$A,0)),""))-1),IFERROR(INDEX($D:$D,MATCH(V6,$A:$A,0)),"")))))</f>
        <v/>
      </c>
      <c r="X6" s="34" t="str">
        <f aca="false">IF(W6="","",IF(IFERROR(INDEX($D:$D,MATCH(W6,$A:$A,0)),"")="","",TRIM(IF(ISNUMBER(FIND(",",IFERROR(INDEX($D:$D,MATCH(W6,$A:$A,0)),""))),LEFT(IFERROR(INDEX($D:$D,MATCH(W6,$A:$A,0)),""),FIND(",",IFERROR(INDEX($D:$D,MATCH(W6,$A:$A,0)),""))-1),IFERROR(INDEX($D:$D,MATCH(W6,$A:$A,0)),"")))))</f>
        <v/>
      </c>
      <c r="Y6" s="34" t="str">
        <f aca="false">IF(X6="","",IF(IFERROR(INDEX($D:$D,MATCH(X6,$A:$A,0)),"")="","",TRIM(IF(ISNUMBER(FIND(",",IFERROR(INDEX($D:$D,MATCH(X6,$A:$A,0)),""))),LEFT(IFERROR(INDEX($D:$D,MATCH(X6,$A:$A,0)),""),FIND(",",IFERROR(INDEX($D:$D,MATCH(X6,$A:$A,0)),""))-1),IFERROR(INDEX($D:$D,MATCH(X6,$A:$A,0)),"")))))</f>
        <v/>
      </c>
      <c r="Z6" s="34" t="str">
        <f aca="false">IF(AND(A6&lt;&gt;"",L6="Retire"),COUNTIF($L$5:L6,"Retire"),"")</f>
        <v/>
      </c>
      <c r="AA6" s="34" t="str">
        <f aca="false">IF(AND(A6&lt;&gt;"",L6="Build"),COUNTIF($L$5:L6,"Build"),"")</f>
        <v/>
      </c>
      <c r="AB6" s="34" t="str">
        <f aca="false">IF(AND(A6&lt;&gt;"",OR(M6="4+",AND(ISNUMBER(M6),M6&gt;=2))),SUMPRODUCT(($A$5:A6&lt;&gt;"")*(($M$5:M6="4+")+(ISNUMBER($M$5:M6)*($M$5:M6&gt;=2)))),"")</f>
        <v/>
      </c>
      <c r="AC6" s="34" t="str">
        <f aca="false">IF(AND(A6&lt;&gt;"",OR(L6="",L6="Undecided",K6="")),SUMPRODUCT(($A$5:A6&lt;&gt;"")*(($L$5:L6="")+($L$5:L6="Undecided")+($K$5:K6=""))&gt;0*1),"")</f>
        <v/>
      </c>
    </row>
    <row r="7" customFormat="false" ht="15" hidden="false" customHeight="false" outlineLevel="0" collapsed="false">
      <c r="A7" s="29" t="s">
        <v>421</v>
      </c>
      <c r="B7" s="30" t="s">
        <v>422</v>
      </c>
      <c r="C7" s="30" t="s">
        <v>416</v>
      </c>
      <c r="D7" s="30"/>
      <c r="E7" s="30" t="s">
        <v>423</v>
      </c>
      <c r="F7" s="30" t="s">
        <v>250</v>
      </c>
      <c r="G7" s="30" t="s">
        <v>250</v>
      </c>
      <c r="H7" s="30"/>
      <c r="I7" s="30" t="s">
        <v>165</v>
      </c>
      <c r="J7" s="30" t="s">
        <v>255</v>
      </c>
      <c r="K7" s="30" t="s">
        <v>71</v>
      </c>
      <c r="L7" s="30" t="s">
        <v>72</v>
      </c>
      <c r="M7" s="20" t="n">
        <f aca="false">IF(A7="","",IF(V7="",0,IF(W7="",1,IF(X7="",2,IF(Y7="",3,"4+")))))</f>
        <v>0</v>
      </c>
      <c r="N7" s="20" t="str">
        <f aca="false">IF(A7="","",A7&amp;IF(V7="",""," &lt;- "&amp;V7&amp;IF(W7="",""," &lt;- "&amp;W7&amp;IF(X7="",""," &lt;- "&amp;X7&amp;IF(Y7="",""," &lt;- "&amp;Y7))))&amp;IF(ISNUMBER(FIND(",",D7))," (+ other parents)",""))</f>
        <v>T-003</v>
      </c>
      <c r="O7" s="20" t="n">
        <f aca="false">IF(A7="","",COUNTIF(Fields!$D:$D,A7))</f>
        <v>2</v>
      </c>
      <c r="P7" s="20" t="n">
        <f aca="false">IF(A7="","",SUMIF(Fields!$D:$D,A7,Fields!$O:$O))</f>
        <v>5</v>
      </c>
      <c r="Q7" s="30" t="s">
        <v>374</v>
      </c>
      <c r="R7" s="30"/>
      <c r="S7" s="30" t="s">
        <v>372</v>
      </c>
      <c r="T7" s="30" t="s">
        <v>179</v>
      </c>
      <c r="U7" s="30"/>
      <c r="V7" s="34" t="str">
        <f aca="false">IF(A7="","",IF(IFERROR(INDEX($D:$D,MATCH(A7,$A:$A,0)),"")="","",TRIM(IF(ISNUMBER(FIND(",",IFERROR(INDEX($D:$D,MATCH(A7,$A:$A,0)),""))),LEFT(IFERROR(INDEX($D:$D,MATCH(A7,$A:$A,0)),""),FIND(",",IFERROR(INDEX($D:$D,MATCH(A7,$A:$A,0)),""))-1),IFERROR(INDEX($D:$D,MATCH(A7,$A:$A,0)),"")))))</f>
        <v/>
      </c>
      <c r="W7" s="34" t="str">
        <f aca="false">IF(V7="","",IF(IFERROR(INDEX($D:$D,MATCH(V7,$A:$A,0)),"")="","",TRIM(IF(ISNUMBER(FIND(",",IFERROR(INDEX($D:$D,MATCH(V7,$A:$A,0)),""))),LEFT(IFERROR(INDEX($D:$D,MATCH(V7,$A:$A,0)),""),FIND(",",IFERROR(INDEX($D:$D,MATCH(V7,$A:$A,0)),""))-1),IFERROR(INDEX($D:$D,MATCH(V7,$A:$A,0)),"")))))</f>
        <v/>
      </c>
      <c r="X7" s="34" t="str">
        <f aca="false">IF(W7="","",IF(IFERROR(INDEX($D:$D,MATCH(W7,$A:$A,0)),"")="","",TRIM(IF(ISNUMBER(FIND(",",IFERROR(INDEX($D:$D,MATCH(W7,$A:$A,0)),""))),LEFT(IFERROR(INDEX($D:$D,MATCH(W7,$A:$A,0)),""),FIND(",",IFERROR(INDEX($D:$D,MATCH(W7,$A:$A,0)),""))-1),IFERROR(INDEX($D:$D,MATCH(W7,$A:$A,0)),"")))))</f>
        <v/>
      </c>
      <c r="Y7" s="34" t="str">
        <f aca="false">IF(X7="","",IF(IFERROR(INDEX($D:$D,MATCH(X7,$A:$A,0)),"")="","",TRIM(IF(ISNUMBER(FIND(",",IFERROR(INDEX($D:$D,MATCH(X7,$A:$A,0)),""))),LEFT(IFERROR(INDEX($D:$D,MATCH(X7,$A:$A,0)),""),FIND(",",IFERROR(INDEX($D:$D,MATCH(X7,$A:$A,0)),""))-1),IFERROR(INDEX($D:$D,MATCH(X7,$A:$A,0)),"")))))</f>
        <v/>
      </c>
      <c r="Z7" s="34" t="str">
        <f aca="false">IF(AND(A7&lt;&gt;"",L7="Retire"),COUNTIF($L$5:L7,"Retire"),"")</f>
        <v/>
      </c>
      <c r="AA7" s="34" t="str">
        <f aca="false">IF(AND(A7&lt;&gt;"",L7="Build"),COUNTIF($L$5:L7,"Build"),"")</f>
        <v/>
      </c>
      <c r="AB7" s="34" t="str">
        <f aca="false">IF(AND(A7&lt;&gt;"",OR(M7="4+",AND(ISNUMBER(M7),M7&gt;=2))),SUMPRODUCT(($A$5:A7&lt;&gt;"")*(($M$5:M7="4+")+(ISNUMBER($M$5:M7)*($M$5:M7&gt;=2)))),"")</f>
        <v/>
      </c>
      <c r="AC7" s="34" t="str">
        <f aca="false">IF(AND(A7&lt;&gt;"",OR(L7="",L7="Undecided",K7="")),SUMPRODUCT(($A$5:A7&lt;&gt;"")*(($L$5:L7="")+($L$5:L7="Undecided")+($K$5:K7=""))&gt;0*1),"")</f>
        <v/>
      </c>
    </row>
    <row r="8" customFormat="false" ht="35.05" hidden="false" customHeight="false" outlineLevel="0" collapsed="false">
      <c r="A8" s="29" t="s">
        <v>237</v>
      </c>
      <c r="B8" s="30" t="s">
        <v>239</v>
      </c>
      <c r="C8" s="30" t="s">
        <v>241</v>
      </c>
      <c r="D8" s="30" t="s">
        <v>418</v>
      </c>
      <c r="E8" s="30" t="s">
        <v>424</v>
      </c>
      <c r="F8" s="30" t="s">
        <v>159</v>
      </c>
      <c r="G8" s="30" t="s">
        <v>159</v>
      </c>
      <c r="H8" s="30"/>
      <c r="I8" s="30" t="s">
        <v>165</v>
      </c>
      <c r="J8" s="30" t="s">
        <v>255</v>
      </c>
      <c r="K8" s="30" t="s">
        <v>74</v>
      </c>
      <c r="L8" s="30" t="s">
        <v>72</v>
      </c>
      <c r="M8" s="20" t="n">
        <f aca="false">IF(A8="","",IF(V8="",0,IF(W8="",1,IF(X8="",2,IF(Y8="",3,"4+")))))</f>
        <v>1</v>
      </c>
      <c r="N8" s="20" t="str">
        <f aca="false">IF(A8="","",A8&amp;IF(V8="",""," &lt;- "&amp;V8&amp;IF(W8="",""," &lt;- "&amp;W8&amp;IF(X8="",""," &lt;- "&amp;X8&amp;IF(Y8="",""," &lt;- "&amp;Y8))))&amp;IF(ISNUMBER(FIND(",",D8))," (+ other parents)",""))</f>
        <v>T-004 &lt;- T-002</v>
      </c>
      <c r="O8" s="20" t="n">
        <f aca="false">IF(A8="","",COUNTIF(Fields!$D:$D,A8))</f>
        <v>1</v>
      </c>
      <c r="P8" s="20" t="n">
        <f aca="false">IF(A8="","",SUMIF(Fields!$D:$D,A8,Fields!$O:$O))</f>
        <v>2</v>
      </c>
      <c r="Q8" s="30" t="s">
        <v>425</v>
      </c>
      <c r="R8" s="30" t="s">
        <v>426</v>
      </c>
      <c r="S8" s="30" t="s">
        <v>176</v>
      </c>
      <c r="T8" s="30" t="s">
        <v>179</v>
      </c>
      <c r="U8" s="30"/>
      <c r="V8" s="34" t="str">
        <f aca="false">IF(A8="","",IF(IFERROR(INDEX($D:$D,MATCH(A8,$A:$A,0)),"")="","",TRIM(IF(ISNUMBER(FIND(",",IFERROR(INDEX($D:$D,MATCH(A8,$A:$A,0)),""))),LEFT(IFERROR(INDEX($D:$D,MATCH(A8,$A:$A,0)),""),FIND(",",IFERROR(INDEX($D:$D,MATCH(A8,$A:$A,0)),""))-1),IFERROR(INDEX($D:$D,MATCH(A8,$A:$A,0)),"")))))</f>
        <v>T-002</v>
      </c>
      <c r="W8" s="34" t="str">
        <f aca="false">IF(V8="","",IF(IFERROR(INDEX($D:$D,MATCH(V8,$A:$A,0)),"")="","",TRIM(IF(ISNUMBER(FIND(",",IFERROR(INDEX($D:$D,MATCH(V8,$A:$A,0)),""))),LEFT(IFERROR(INDEX($D:$D,MATCH(V8,$A:$A,0)),""),FIND(",",IFERROR(INDEX($D:$D,MATCH(V8,$A:$A,0)),""))-1),IFERROR(INDEX($D:$D,MATCH(V8,$A:$A,0)),"")))))</f>
        <v/>
      </c>
      <c r="X8" s="34" t="str">
        <f aca="false">IF(W8="","",IF(IFERROR(INDEX($D:$D,MATCH(W8,$A:$A,0)),"")="","",TRIM(IF(ISNUMBER(FIND(",",IFERROR(INDEX($D:$D,MATCH(W8,$A:$A,0)),""))),LEFT(IFERROR(INDEX($D:$D,MATCH(W8,$A:$A,0)),""),FIND(",",IFERROR(INDEX($D:$D,MATCH(W8,$A:$A,0)),""))-1),IFERROR(INDEX($D:$D,MATCH(W8,$A:$A,0)),"")))))</f>
        <v/>
      </c>
      <c r="Y8" s="34" t="str">
        <f aca="false">IF(X8="","",IF(IFERROR(INDEX($D:$D,MATCH(X8,$A:$A,0)),"")="","",TRIM(IF(ISNUMBER(FIND(",",IFERROR(INDEX($D:$D,MATCH(X8,$A:$A,0)),""))),LEFT(IFERROR(INDEX($D:$D,MATCH(X8,$A:$A,0)),""),FIND(",",IFERROR(INDEX($D:$D,MATCH(X8,$A:$A,0)),""))-1),IFERROR(INDEX($D:$D,MATCH(X8,$A:$A,0)),"")))))</f>
        <v/>
      </c>
      <c r="Z8" s="34" t="str">
        <f aca="false">IF(AND(A8&lt;&gt;"",L8="Retire"),COUNTIF($L$5:L8,"Retire"),"")</f>
        <v/>
      </c>
      <c r="AA8" s="34" t="str">
        <f aca="false">IF(AND(A8&lt;&gt;"",L8="Build"),COUNTIF($L$5:L8,"Build"),"")</f>
        <v/>
      </c>
      <c r="AB8" s="34" t="str">
        <f aca="false">IF(AND(A8&lt;&gt;"",OR(M8="4+",AND(ISNUMBER(M8),M8&gt;=2))),SUMPRODUCT(($A$5:A8&lt;&gt;"")*(($M$5:M8="4+")+(ISNUMBER($M$5:M8)*($M$5:M8&gt;=2)))),"")</f>
        <v/>
      </c>
      <c r="AC8" s="34" t="str">
        <f aca="false">IF(AND(A8&lt;&gt;"",OR(L8="",L8="Undecided",K8="")),SUMPRODUCT(($A$5:A8&lt;&gt;"")*(($L$5:L8="")+($L$5:L8="Undecided")+($K$5:K8=""))&gt;0*1),"")</f>
        <v/>
      </c>
    </row>
    <row r="9" customFormat="false" ht="23.85" hidden="false" customHeight="false" outlineLevel="0" collapsed="false">
      <c r="A9" s="29" t="s">
        <v>272</v>
      </c>
      <c r="B9" s="30" t="s">
        <v>273</v>
      </c>
      <c r="C9" s="30" t="s">
        <v>241</v>
      </c>
      <c r="D9" s="30" t="s">
        <v>427</v>
      </c>
      <c r="E9" s="30" t="s">
        <v>428</v>
      </c>
      <c r="F9" s="30" t="s">
        <v>159</v>
      </c>
      <c r="G9" s="30" t="s">
        <v>159</v>
      </c>
      <c r="H9" s="30"/>
      <c r="I9" s="30" t="s">
        <v>165</v>
      </c>
      <c r="J9" s="30" t="s">
        <v>255</v>
      </c>
      <c r="K9" s="30" t="s">
        <v>74</v>
      </c>
      <c r="L9" s="30" t="s">
        <v>84</v>
      </c>
      <c r="M9" s="20" t="n">
        <f aca="false">IF(A9="","",IF(V9="",0,IF(W9="",1,IF(X9="",2,IF(Y9="",3,"4+")))))</f>
        <v>2</v>
      </c>
      <c r="N9" s="20" t="str">
        <f aca="false">IF(A9="","",A9&amp;IF(V9="",""," &lt;- "&amp;V9&amp;IF(W9="",""," &lt;- "&amp;W9&amp;IF(X9="",""," &lt;- "&amp;X9&amp;IF(Y9="",""," &lt;- "&amp;Y9))))&amp;IF(ISNUMBER(FIND(",",D9))," (+ other parents)",""))</f>
        <v>T-005 &lt;- T-004 &lt;- T-002 (+ other parents)</v>
      </c>
      <c r="O9" s="20" t="n">
        <f aca="false">IF(A9="","",COUNTIF(Fields!$D:$D,A9))</f>
        <v>1</v>
      </c>
      <c r="P9" s="20" t="n">
        <f aca="false">IF(A9="","",SUMIF(Fields!$D:$D,A9,Fields!$O:$O))</f>
        <v>2</v>
      </c>
      <c r="Q9" s="30" t="s">
        <v>429</v>
      </c>
      <c r="R9" s="30" t="s">
        <v>430</v>
      </c>
      <c r="S9" s="30" t="s">
        <v>176</v>
      </c>
      <c r="T9" s="30" t="s">
        <v>179</v>
      </c>
      <c r="U9" s="30"/>
      <c r="V9" s="34" t="str">
        <f aca="false">IF(A9="","",IF(IFERROR(INDEX($D:$D,MATCH(A9,$A:$A,0)),"")="","",TRIM(IF(ISNUMBER(FIND(",",IFERROR(INDEX($D:$D,MATCH(A9,$A:$A,0)),""))),LEFT(IFERROR(INDEX($D:$D,MATCH(A9,$A:$A,0)),""),FIND(",",IFERROR(INDEX($D:$D,MATCH(A9,$A:$A,0)),""))-1),IFERROR(INDEX($D:$D,MATCH(A9,$A:$A,0)),"")))))</f>
        <v>T-004</v>
      </c>
      <c r="W9" s="34" t="str">
        <f aca="false">IF(V9="","",IF(IFERROR(INDEX($D:$D,MATCH(V9,$A:$A,0)),"")="","",TRIM(IF(ISNUMBER(FIND(",",IFERROR(INDEX($D:$D,MATCH(V9,$A:$A,0)),""))),LEFT(IFERROR(INDEX($D:$D,MATCH(V9,$A:$A,0)),""),FIND(",",IFERROR(INDEX($D:$D,MATCH(V9,$A:$A,0)),""))-1),IFERROR(INDEX($D:$D,MATCH(V9,$A:$A,0)),"")))))</f>
        <v>T-002</v>
      </c>
      <c r="X9" s="34" t="str">
        <f aca="false">IF(W9="","",IF(IFERROR(INDEX($D:$D,MATCH(W9,$A:$A,0)),"")="","",TRIM(IF(ISNUMBER(FIND(",",IFERROR(INDEX($D:$D,MATCH(W9,$A:$A,0)),""))),LEFT(IFERROR(INDEX($D:$D,MATCH(W9,$A:$A,0)),""),FIND(",",IFERROR(INDEX($D:$D,MATCH(W9,$A:$A,0)),""))-1),IFERROR(INDEX($D:$D,MATCH(W9,$A:$A,0)),"")))))</f>
        <v/>
      </c>
      <c r="Y9" s="34" t="str">
        <f aca="false">IF(X9="","",IF(IFERROR(INDEX($D:$D,MATCH(X9,$A:$A,0)),"")="","",TRIM(IF(ISNUMBER(FIND(",",IFERROR(INDEX($D:$D,MATCH(X9,$A:$A,0)),""))),LEFT(IFERROR(INDEX($D:$D,MATCH(X9,$A:$A,0)),""),FIND(",",IFERROR(INDEX($D:$D,MATCH(X9,$A:$A,0)),""))-1),IFERROR(INDEX($D:$D,MATCH(X9,$A:$A,0)),"")))))</f>
        <v/>
      </c>
      <c r="Z9" s="34" t="str">
        <f aca="false">IF(AND(A9&lt;&gt;"",L9="Retire"),COUNTIF($L$5:L9,"Retire"),"")</f>
        <v/>
      </c>
      <c r="AA9" s="34" t="str">
        <f aca="false">IF(AND(A9&lt;&gt;"",L9="Build"),COUNTIF($L$5:L9,"Build"),"")</f>
        <v/>
      </c>
      <c r="AB9" s="34" t="n">
        <f aca="false">IF(AND(A9&lt;&gt;"",OR(M9="4+",AND(ISNUMBER(M9),M9&gt;=2))),SUMPRODUCT(($A$5:A9&lt;&gt;"")*(($M$5:M9="4+")+(ISNUMBER($M$5:M9)*($M$5:M9&gt;=2)))),"")</f>
        <v>1</v>
      </c>
      <c r="AC9" s="34" t="str">
        <f aca="false">IF(AND(A9&lt;&gt;"",OR(L9="",L9="Undecided",K9="")),SUMPRODUCT(($A$5:A9&lt;&gt;"")*(($L$5:L9="")+($L$5:L9="Undecided")+($K$5:K9=""))&gt;0*1),"")</f>
        <v/>
      </c>
    </row>
    <row r="10" customFormat="false" ht="35.05" hidden="false" customHeight="false" outlineLevel="0" collapsed="false">
      <c r="A10" s="29" t="s">
        <v>431</v>
      </c>
      <c r="B10" s="30" t="s">
        <v>432</v>
      </c>
      <c r="C10" s="30" t="s">
        <v>241</v>
      </c>
      <c r="D10" s="30" t="s">
        <v>272</v>
      </c>
      <c r="E10" s="30" t="s">
        <v>433</v>
      </c>
      <c r="F10" s="30" t="s">
        <v>159</v>
      </c>
      <c r="G10" s="30" t="s">
        <v>159</v>
      </c>
      <c r="H10" s="30"/>
      <c r="I10" s="30" t="s">
        <v>165</v>
      </c>
      <c r="J10" s="30" t="s">
        <v>255</v>
      </c>
      <c r="K10" s="30" t="s">
        <v>80</v>
      </c>
      <c r="L10" s="30" t="s">
        <v>86</v>
      </c>
      <c r="M10" s="20" t="n">
        <f aca="false">IF(A10="","",IF(V10="",0,IF(W10="",1,IF(X10="",2,IF(Y10="",3,"4+")))))</f>
        <v>3</v>
      </c>
      <c r="N10" s="20" t="str">
        <f aca="false">IF(A10="","",A10&amp;IF(V10="",""," &lt;- "&amp;V10&amp;IF(W10="",""," &lt;- "&amp;W10&amp;IF(X10="",""," &lt;- "&amp;X10&amp;IF(Y10="",""," &lt;- "&amp;Y10))))&amp;IF(ISNUMBER(FIND(",",D10))," (+ other parents)",""))</f>
        <v>T-006 &lt;- T-005 &lt;- T-004 &lt;- T-002</v>
      </c>
      <c r="O10" s="20" t="n">
        <f aca="false">IF(A10="","",COUNTIF(Fields!$D:$D,A10))</f>
        <v>0</v>
      </c>
      <c r="P10" s="20" t="n">
        <f aca="false">IF(A10="","",SUMIF(Fields!$D:$D,A10,Fields!$O:$O))</f>
        <v>0</v>
      </c>
      <c r="Q10" s="30" t="s">
        <v>434</v>
      </c>
      <c r="R10" s="30" t="s">
        <v>435</v>
      </c>
      <c r="S10" s="30" t="s">
        <v>176</v>
      </c>
      <c r="T10" s="30" t="s">
        <v>179</v>
      </c>
      <c r="U10" s="30"/>
      <c r="V10" s="34" t="str">
        <f aca="false">IF(A10="","",IF(IFERROR(INDEX($D:$D,MATCH(A10,$A:$A,0)),"")="","",TRIM(IF(ISNUMBER(FIND(",",IFERROR(INDEX($D:$D,MATCH(A10,$A:$A,0)),""))),LEFT(IFERROR(INDEX($D:$D,MATCH(A10,$A:$A,0)),""),FIND(",",IFERROR(INDEX($D:$D,MATCH(A10,$A:$A,0)),""))-1),IFERROR(INDEX($D:$D,MATCH(A10,$A:$A,0)),"")))))</f>
        <v>T-005</v>
      </c>
      <c r="W10" s="34" t="str">
        <f aca="false">IF(V10="","",IF(IFERROR(INDEX($D:$D,MATCH(V10,$A:$A,0)),"")="","",TRIM(IF(ISNUMBER(FIND(",",IFERROR(INDEX($D:$D,MATCH(V10,$A:$A,0)),""))),LEFT(IFERROR(INDEX($D:$D,MATCH(V10,$A:$A,0)),""),FIND(",",IFERROR(INDEX($D:$D,MATCH(V10,$A:$A,0)),""))-1),IFERROR(INDEX($D:$D,MATCH(V10,$A:$A,0)),"")))))</f>
        <v>T-004</v>
      </c>
      <c r="X10" s="34" t="str">
        <f aca="false">IF(W10="","",IF(IFERROR(INDEX($D:$D,MATCH(W10,$A:$A,0)),"")="","",TRIM(IF(ISNUMBER(FIND(",",IFERROR(INDEX($D:$D,MATCH(W10,$A:$A,0)),""))),LEFT(IFERROR(INDEX($D:$D,MATCH(W10,$A:$A,0)),""),FIND(",",IFERROR(INDEX($D:$D,MATCH(W10,$A:$A,0)),""))-1),IFERROR(INDEX($D:$D,MATCH(W10,$A:$A,0)),"")))))</f>
        <v>T-002</v>
      </c>
      <c r="Y10" s="34" t="str">
        <f aca="false">IF(X10="","",IF(IFERROR(INDEX($D:$D,MATCH(X10,$A:$A,0)),"")="","",TRIM(IF(ISNUMBER(FIND(",",IFERROR(INDEX($D:$D,MATCH(X10,$A:$A,0)),""))),LEFT(IFERROR(INDEX($D:$D,MATCH(X10,$A:$A,0)),""),FIND(",",IFERROR(INDEX($D:$D,MATCH(X10,$A:$A,0)),""))-1),IFERROR(INDEX($D:$D,MATCH(X10,$A:$A,0)),"")))))</f>
        <v/>
      </c>
      <c r="Z10" s="34" t="n">
        <f aca="false">IF(AND(A10&lt;&gt;"",L10="Retire"),COUNTIF($L$5:L10,"Retire"),"")</f>
        <v>1</v>
      </c>
      <c r="AA10" s="34" t="str">
        <f aca="false">IF(AND(A10&lt;&gt;"",L10="Build"),COUNTIF($L$5:L10,"Build"),"")</f>
        <v/>
      </c>
      <c r="AB10" s="34" t="n">
        <f aca="false">IF(AND(A10&lt;&gt;"",OR(M10="4+",AND(ISNUMBER(M10),M10&gt;=2))),SUMPRODUCT(($A$5:A10&lt;&gt;"")*(($M$5:M10="4+")+(ISNUMBER($M$5:M10)*($M$5:M10&gt;=2)))),"")</f>
        <v>2</v>
      </c>
      <c r="AC10" s="34" t="str">
        <f aca="false">IF(AND(A10&lt;&gt;"",OR(L10="",L10="Undecided",K10="")),SUMPRODUCT(($A$5:A10&lt;&gt;"")*(($L$5:L10="")+($L$5:L10="Undecided")+($K$5:K10=""))&gt;0*1),"")</f>
        <v/>
      </c>
    </row>
    <row r="11" customFormat="false" ht="35.05" hidden="false" customHeight="false" outlineLevel="0" collapsed="false">
      <c r="A11" s="29" t="s">
        <v>436</v>
      </c>
      <c r="B11" s="30" t="s">
        <v>437</v>
      </c>
      <c r="C11" s="30" t="s">
        <v>241</v>
      </c>
      <c r="D11" s="30" t="s">
        <v>438</v>
      </c>
      <c r="E11" s="30" t="s">
        <v>439</v>
      </c>
      <c r="F11" s="30" t="s">
        <v>159</v>
      </c>
      <c r="G11" s="30" t="s">
        <v>159</v>
      </c>
      <c r="H11" s="30"/>
      <c r="I11" s="30" t="s">
        <v>165</v>
      </c>
      <c r="J11" s="30" t="s">
        <v>440</v>
      </c>
      <c r="K11" s="30" t="s">
        <v>77</v>
      </c>
      <c r="L11" s="30" t="s">
        <v>75</v>
      </c>
      <c r="M11" s="20" t="n">
        <f aca="false">IF(A11="","",IF(V11="",0,IF(W11="",1,IF(X11="",2,IF(Y11="",3,"4+")))))</f>
        <v>1</v>
      </c>
      <c r="N11" s="20" t="str">
        <f aca="false">IF(A11="","",A11&amp;IF(V11="",""," &lt;- "&amp;V11&amp;IF(W11="",""," &lt;- "&amp;W11&amp;IF(X11="",""," &lt;- "&amp;X11&amp;IF(Y11="",""," &lt;- "&amp;Y11))))&amp;IF(ISNUMBER(FIND(",",D11))," (+ other parents)",""))</f>
        <v>T-007 &lt;- T-001 (+ other parents)</v>
      </c>
      <c r="O11" s="20" t="n">
        <f aca="false">IF(A11="","",COUNTIF(Fields!$D:$D,A11))</f>
        <v>0</v>
      </c>
      <c r="P11" s="20" t="n">
        <f aca="false">IF(A11="","",SUMIF(Fields!$D:$D,A11,Fields!$O:$O))</f>
        <v>0</v>
      </c>
      <c r="Q11" s="30" t="s">
        <v>441</v>
      </c>
      <c r="R11" s="30"/>
      <c r="S11" s="30" t="s">
        <v>372</v>
      </c>
      <c r="T11" s="30" t="s">
        <v>179</v>
      </c>
      <c r="U11" s="30"/>
      <c r="V11" s="34" t="str">
        <f aca="false">IF(A11="","",IF(IFERROR(INDEX($D:$D,MATCH(A11,$A:$A,0)),"")="","",TRIM(IF(ISNUMBER(FIND(",",IFERROR(INDEX($D:$D,MATCH(A11,$A:$A,0)),""))),LEFT(IFERROR(INDEX($D:$D,MATCH(A11,$A:$A,0)),""),FIND(",",IFERROR(INDEX($D:$D,MATCH(A11,$A:$A,0)),""))-1),IFERROR(INDEX($D:$D,MATCH(A11,$A:$A,0)),"")))))</f>
        <v>T-001</v>
      </c>
      <c r="W11" s="34" t="str">
        <f aca="false">IF(V11="","",IF(IFERROR(INDEX($D:$D,MATCH(V11,$A:$A,0)),"")="","",TRIM(IF(ISNUMBER(FIND(",",IFERROR(INDEX($D:$D,MATCH(V11,$A:$A,0)),""))),LEFT(IFERROR(INDEX($D:$D,MATCH(V11,$A:$A,0)),""),FIND(",",IFERROR(INDEX($D:$D,MATCH(V11,$A:$A,0)),""))-1),IFERROR(INDEX($D:$D,MATCH(V11,$A:$A,0)),"")))))</f>
        <v/>
      </c>
      <c r="X11" s="34" t="str">
        <f aca="false">IF(W11="","",IF(IFERROR(INDEX($D:$D,MATCH(W11,$A:$A,0)),"")="","",TRIM(IF(ISNUMBER(FIND(",",IFERROR(INDEX($D:$D,MATCH(W11,$A:$A,0)),""))),LEFT(IFERROR(INDEX($D:$D,MATCH(W11,$A:$A,0)),""),FIND(",",IFERROR(INDEX($D:$D,MATCH(W11,$A:$A,0)),""))-1),IFERROR(INDEX($D:$D,MATCH(W11,$A:$A,0)),"")))))</f>
        <v/>
      </c>
      <c r="Y11" s="34" t="str">
        <f aca="false">IF(X11="","",IF(IFERROR(INDEX($D:$D,MATCH(X11,$A:$A,0)),"")="","",TRIM(IF(ISNUMBER(FIND(",",IFERROR(INDEX($D:$D,MATCH(X11,$A:$A,0)),""))),LEFT(IFERROR(INDEX($D:$D,MATCH(X11,$A:$A,0)),""),FIND(",",IFERROR(INDEX($D:$D,MATCH(X11,$A:$A,0)),""))-1),IFERROR(INDEX($D:$D,MATCH(X11,$A:$A,0)),"")))))</f>
        <v/>
      </c>
      <c r="Z11" s="34" t="str">
        <f aca="false">IF(AND(A11&lt;&gt;"",L11="Retire"),COUNTIF($L$5:L11,"Retire"),"")</f>
        <v/>
      </c>
      <c r="AA11" s="34" t="n">
        <f aca="false">IF(AND(A11&lt;&gt;"",L11="Build"),COUNTIF($L$5:L11,"Build"),"")</f>
        <v>1</v>
      </c>
      <c r="AB11" s="34" t="str">
        <f aca="false">IF(AND(A11&lt;&gt;"",OR(M11="4+",AND(ISNUMBER(M11),M11&gt;=2))),SUMPRODUCT(($A$5:A11&lt;&gt;"")*(($M$5:M11="4+")+(ISNUMBER($M$5:M11)*($M$5:M11&gt;=2)))),"")</f>
        <v/>
      </c>
      <c r="AC11" s="34" t="str">
        <f aca="false">IF(AND(A11&lt;&gt;"",OR(L11="",L11="Undecided",K11="")),SUMPRODUCT(($A$5:A11&lt;&gt;"")*(($L$5:L11="")+($L$5:L11="Undecided")+($K$5:K11=""))&gt;0*1),"")</f>
        <v/>
      </c>
    </row>
    <row r="12" customFormat="false" ht="15" hidden="false" customHeight="false" outlineLevel="0" collapsed="false">
      <c r="A12" s="29"/>
      <c r="B12" s="30"/>
      <c r="C12" s="30"/>
      <c r="D12" s="30"/>
      <c r="E12" s="30"/>
      <c r="F12" s="30"/>
      <c r="G12" s="30"/>
      <c r="H12" s="30"/>
      <c r="I12" s="30"/>
      <c r="J12" s="30"/>
      <c r="K12" s="30"/>
      <c r="L12" s="30"/>
      <c r="M12" s="20" t="str">
        <f aca="false">IF(A12="","",IF(V12="",0,IF(W12="",1,IF(X12="",2,IF(Y12="",3,"4+")))))</f>
        <v/>
      </c>
      <c r="N12" s="20" t="str">
        <f aca="false">IF(A12="","",A12&amp;IF(V12="",""," &lt;- "&amp;V12&amp;IF(W12="",""," &lt;- "&amp;W12&amp;IF(X12="",""," &lt;- "&amp;X12&amp;IF(Y12="",""," &lt;- "&amp;Y12))))&amp;IF(ISNUMBER(FIND(",",D12))," (+ other parents)",""))</f>
        <v/>
      </c>
      <c r="O12" s="20" t="str">
        <f aca="false">IF(A12="","",COUNTIF(Fields!$D:$D,A12))</f>
        <v/>
      </c>
      <c r="P12" s="20" t="str">
        <f aca="false">IF(A12="","",SUMIF(Fields!$D:$D,A12,Fields!$O:$O))</f>
        <v/>
      </c>
      <c r="Q12" s="30"/>
      <c r="R12" s="30"/>
      <c r="S12" s="30"/>
      <c r="T12" s="30"/>
      <c r="U12" s="30"/>
      <c r="V12" s="34" t="str">
        <f aca="false">IF(A12="","",IF(IFERROR(INDEX($D:$D,MATCH(A12,$A:$A,0)),"")="","",TRIM(IF(ISNUMBER(FIND(",",IFERROR(INDEX($D:$D,MATCH(A12,$A:$A,0)),""))),LEFT(IFERROR(INDEX($D:$D,MATCH(A12,$A:$A,0)),""),FIND(",",IFERROR(INDEX($D:$D,MATCH(A12,$A:$A,0)),""))-1),IFERROR(INDEX($D:$D,MATCH(A12,$A:$A,0)),"")))))</f>
        <v/>
      </c>
      <c r="W12" s="34" t="str">
        <f aca="false">IF(V12="","",IF(IFERROR(INDEX($D:$D,MATCH(V12,$A:$A,0)),"")="","",TRIM(IF(ISNUMBER(FIND(",",IFERROR(INDEX($D:$D,MATCH(V12,$A:$A,0)),""))),LEFT(IFERROR(INDEX($D:$D,MATCH(V12,$A:$A,0)),""),FIND(",",IFERROR(INDEX($D:$D,MATCH(V12,$A:$A,0)),""))-1),IFERROR(INDEX($D:$D,MATCH(V12,$A:$A,0)),"")))))</f>
        <v/>
      </c>
      <c r="X12" s="34" t="str">
        <f aca="false">IF(W12="","",IF(IFERROR(INDEX($D:$D,MATCH(W12,$A:$A,0)),"")="","",TRIM(IF(ISNUMBER(FIND(",",IFERROR(INDEX($D:$D,MATCH(W12,$A:$A,0)),""))),LEFT(IFERROR(INDEX($D:$D,MATCH(W12,$A:$A,0)),""),FIND(",",IFERROR(INDEX($D:$D,MATCH(W12,$A:$A,0)),""))-1),IFERROR(INDEX($D:$D,MATCH(W12,$A:$A,0)),"")))))</f>
        <v/>
      </c>
      <c r="Y12" s="34" t="str">
        <f aca="false">IF(X12="","",IF(IFERROR(INDEX($D:$D,MATCH(X12,$A:$A,0)),"")="","",TRIM(IF(ISNUMBER(FIND(",",IFERROR(INDEX($D:$D,MATCH(X12,$A:$A,0)),""))),LEFT(IFERROR(INDEX($D:$D,MATCH(X12,$A:$A,0)),""),FIND(",",IFERROR(INDEX($D:$D,MATCH(X12,$A:$A,0)),""))-1),IFERROR(INDEX($D:$D,MATCH(X12,$A:$A,0)),"")))))</f>
        <v/>
      </c>
      <c r="Z12" s="34" t="str">
        <f aca="false">IF(AND(A12&lt;&gt;"",L12="Retire"),COUNTIF($L$5:L12,"Retire"),"")</f>
        <v/>
      </c>
      <c r="AA12" s="34" t="str">
        <f aca="false">IF(AND(A12&lt;&gt;"",L12="Build"),COUNTIF($L$5:L12,"Build"),"")</f>
        <v/>
      </c>
      <c r="AB12" s="34" t="str">
        <f aca="false">IF(AND(A12&lt;&gt;"",OR(M12="4+",AND(ISNUMBER(M12),M12&gt;=2))),SUMPRODUCT(($A$5:A12&lt;&gt;"")*(($M$5:M12="4+")+(ISNUMBER($M$5:M12)*($M$5:M12&gt;=2)))),"")</f>
        <v/>
      </c>
      <c r="AC12" s="34" t="str">
        <f aca="false">IF(AND(A12&lt;&gt;"",OR(L12="",L12="Undecided",K12="")),SUMPRODUCT(($A$5:A12&lt;&gt;"")*(($L$5:L12="")+($L$5:L12="Undecided")+($K$5:K12=""))&gt;0*1),"")</f>
        <v/>
      </c>
    </row>
    <row r="13" customFormat="false" ht="15" hidden="false" customHeight="false" outlineLevel="0" collapsed="false">
      <c r="A13" s="29"/>
      <c r="B13" s="30"/>
      <c r="C13" s="30"/>
      <c r="D13" s="30"/>
      <c r="E13" s="30"/>
      <c r="F13" s="30"/>
      <c r="G13" s="30"/>
      <c r="H13" s="30"/>
      <c r="I13" s="30"/>
      <c r="J13" s="30"/>
      <c r="K13" s="30"/>
      <c r="L13" s="30"/>
      <c r="M13" s="20" t="str">
        <f aca="false">IF(A13="","",IF(V13="",0,IF(W13="",1,IF(X13="",2,IF(Y13="",3,"4+")))))</f>
        <v/>
      </c>
      <c r="N13" s="20" t="str">
        <f aca="false">IF(A13="","",A13&amp;IF(V13="",""," &lt;- "&amp;V13&amp;IF(W13="",""," &lt;- "&amp;W13&amp;IF(X13="",""," &lt;- "&amp;X13&amp;IF(Y13="",""," &lt;- "&amp;Y13))))&amp;IF(ISNUMBER(FIND(",",D13))," (+ other parents)",""))</f>
        <v/>
      </c>
      <c r="O13" s="20" t="str">
        <f aca="false">IF(A13="","",COUNTIF(Fields!$D:$D,A13))</f>
        <v/>
      </c>
      <c r="P13" s="20" t="str">
        <f aca="false">IF(A13="","",SUMIF(Fields!$D:$D,A13,Fields!$O:$O))</f>
        <v/>
      </c>
      <c r="Q13" s="30"/>
      <c r="R13" s="30"/>
      <c r="S13" s="30"/>
      <c r="T13" s="30"/>
      <c r="U13" s="30"/>
      <c r="V13" s="34" t="str">
        <f aca="false">IF(A13="","",IF(IFERROR(INDEX($D:$D,MATCH(A13,$A:$A,0)),"")="","",TRIM(IF(ISNUMBER(FIND(",",IFERROR(INDEX($D:$D,MATCH(A13,$A:$A,0)),""))),LEFT(IFERROR(INDEX($D:$D,MATCH(A13,$A:$A,0)),""),FIND(",",IFERROR(INDEX($D:$D,MATCH(A13,$A:$A,0)),""))-1),IFERROR(INDEX($D:$D,MATCH(A13,$A:$A,0)),"")))))</f>
        <v/>
      </c>
      <c r="W13" s="34" t="str">
        <f aca="false">IF(V13="","",IF(IFERROR(INDEX($D:$D,MATCH(V13,$A:$A,0)),"")="","",TRIM(IF(ISNUMBER(FIND(",",IFERROR(INDEX($D:$D,MATCH(V13,$A:$A,0)),""))),LEFT(IFERROR(INDEX($D:$D,MATCH(V13,$A:$A,0)),""),FIND(",",IFERROR(INDEX($D:$D,MATCH(V13,$A:$A,0)),""))-1),IFERROR(INDEX($D:$D,MATCH(V13,$A:$A,0)),"")))))</f>
        <v/>
      </c>
      <c r="X13" s="34" t="str">
        <f aca="false">IF(W13="","",IF(IFERROR(INDEX($D:$D,MATCH(W13,$A:$A,0)),"")="","",TRIM(IF(ISNUMBER(FIND(",",IFERROR(INDEX($D:$D,MATCH(W13,$A:$A,0)),""))),LEFT(IFERROR(INDEX($D:$D,MATCH(W13,$A:$A,0)),""),FIND(",",IFERROR(INDEX($D:$D,MATCH(W13,$A:$A,0)),""))-1),IFERROR(INDEX($D:$D,MATCH(W13,$A:$A,0)),"")))))</f>
        <v/>
      </c>
      <c r="Y13" s="34" t="str">
        <f aca="false">IF(X13="","",IF(IFERROR(INDEX($D:$D,MATCH(X13,$A:$A,0)),"")="","",TRIM(IF(ISNUMBER(FIND(",",IFERROR(INDEX($D:$D,MATCH(X13,$A:$A,0)),""))),LEFT(IFERROR(INDEX($D:$D,MATCH(X13,$A:$A,0)),""),FIND(",",IFERROR(INDEX($D:$D,MATCH(X13,$A:$A,0)),""))-1),IFERROR(INDEX($D:$D,MATCH(X13,$A:$A,0)),"")))))</f>
        <v/>
      </c>
      <c r="Z13" s="34" t="str">
        <f aca="false">IF(AND(A13&lt;&gt;"",L13="Retire"),COUNTIF($L$5:L13,"Retire"),"")</f>
        <v/>
      </c>
      <c r="AA13" s="34" t="str">
        <f aca="false">IF(AND(A13&lt;&gt;"",L13="Build"),COUNTIF($L$5:L13,"Build"),"")</f>
        <v/>
      </c>
      <c r="AB13" s="34" t="str">
        <f aca="false">IF(AND(A13&lt;&gt;"",OR(M13="4+",AND(ISNUMBER(M13),M13&gt;=2))),SUMPRODUCT(($A$5:A13&lt;&gt;"")*(($M$5:M13="4+")+(ISNUMBER($M$5:M13)*($M$5:M13&gt;=2)))),"")</f>
        <v/>
      </c>
      <c r="AC13" s="34" t="str">
        <f aca="false">IF(AND(A13&lt;&gt;"",OR(L13="",L13="Undecided",K13="")),SUMPRODUCT(($A$5:A13&lt;&gt;"")*(($L$5:L13="")+($L$5:L13="Undecided")+($K$5:K13=""))&gt;0*1),"")</f>
        <v/>
      </c>
    </row>
    <row r="14" customFormat="false" ht="15" hidden="false" customHeight="false" outlineLevel="0" collapsed="false">
      <c r="A14" s="29"/>
      <c r="B14" s="30"/>
      <c r="C14" s="30"/>
      <c r="D14" s="30"/>
      <c r="E14" s="30"/>
      <c r="F14" s="30"/>
      <c r="G14" s="30"/>
      <c r="H14" s="30"/>
      <c r="I14" s="30"/>
      <c r="J14" s="30"/>
      <c r="K14" s="30"/>
      <c r="L14" s="30"/>
      <c r="M14" s="20" t="str">
        <f aca="false">IF(A14="","",IF(V14="",0,IF(W14="",1,IF(X14="",2,IF(Y14="",3,"4+")))))</f>
        <v/>
      </c>
      <c r="N14" s="20" t="str">
        <f aca="false">IF(A14="","",A14&amp;IF(V14="",""," &lt;- "&amp;V14&amp;IF(W14="",""," &lt;- "&amp;W14&amp;IF(X14="",""," &lt;- "&amp;X14&amp;IF(Y14="",""," &lt;- "&amp;Y14))))&amp;IF(ISNUMBER(FIND(",",D14))," (+ other parents)",""))</f>
        <v/>
      </c>
      <c r="O14" s="20" t="str">
        <f aca="false">IF(A14="","",COUNTIF(Fields!$D:$D,A14))</f>
        <v/>
      </c>
      <c r="P14" s="20" t="str">
        <f aca="false">IF(A14="","",SUMIF(Fields!$D:$D,A14,Fields!$O:$O))</f>
        <v/>
      </c>
      <c r="Q14" s="30"/>
      <c r="R14" s="30"/>
      <c r="S14" s="30"/>
      <c r="T14" s="30"/>
      <c r="U14" s="30"/>
      <c r="V14" s="34" t="str">
        <f aca="false">IF(A14="","",IF(IFERROR(INDEX($D:$D,MATCH(A14,$A:$A,0)),"")="","",TRIM(IF(ISNUMBER(FIND(",",IFERROR(INDEX($D:$D,MATCH(A14,$A:$A,0)),""))),LEFT(IFERROR(INDEX($D:$D,MATCH(A14,$A:$A,0)),""),FIND(",",IFERROR(INDEX($D:$D,MATCH(A14,$A:$A,0)),""))-1),IFERROR(INDEX($D:$D,MATCH(A14,$A:$A,0)),"")))))</f>
        <v/>
      </c>
      <c r="W14" s="34" t="str">
        <f aca="false">IF(V14="","",IF(IFERROR(INDEX($D:$D,MATCH(V14,$A:$A,0)),"")="","",TRIM(IF(ISNUMBER(FIND(",",IFERROR(INDEX($D:$D,MATCH(V14,$A:$A,0)),""))),LEFT(IFERROR(INDEX($D:$D,MATCH(V14,$A:$A,0)),""),FIND(",",IFERROR(INDEX($D:$D,MATCH(V14,$A:$A,0)),""))-1),IFERROR(INDEX($D:$D,MATCH(V14,$A:$A,0)),"")))))</f>
        <v/>
      </c>
      <c r="X14" s="34" t="str">
        <f aca="false">IF(W14="","",IF(IFERROR(INDEX($D:$D,MATCH(W14,$A:$A,0)),"")="","",TRIM(IF(ISNUMBER(FIND(",",IFERROR(INDEX($D:$D,MATCH(W14,$A:$A,0)),""))),LEFT(IFERROR(INDEX($D:$D,MATCH(W14,$A:$A,0)),""),FIND(",",IFERROR(INDEX($D:$D,MATCH(W14,$A:$A,0)),""))-1),IFERROR(INDEX($D:$D,MATCH(W14,$A:$A,0)),"")))))</f>
        <v/>
      </c>
      <c r="Y14" s="34" t="str">
        <f aca="false">IF(X14="","",IF(IFERROR(INDEX($D:$D,MATCH(X14,$A:$A,0)),"")="","",TRIM(IF(ISNUMBER(FIND(",",IFERROR(INDEX($D:$D,MATCH(X14,$A:$A,0)),""))),LEFT(IFERROR(INDEX($D:$D,MATCH(X14,$A:$A,0)),""),FIND(",",IFERROR(INDEX($D:$D,MATCH(X14,$A:$A,0)),""))-1),IFERROR(INDEX($D:$D,MATCH(X14,$A:$A,0)),"")))))</f>
        <v/>
      </c>
      <c r="Z14" s="34" t="str">
        <f aca="false">IF(AND(A14&lt;&gt;"",L14="Retire"),COUNTIF($L$5:L14,"Retire"),"")</f>
        <v/>
      </c>
      <c r="AA14" s="34" t="str">
        <f aca="false">IF(AND(A14&lt;&gt;"",L14="Build"),COUNTIF($L$5:L14,"Build"),"")</f>
        <v/>
      </c>
      <c r="AB14" s="34" t="str">
        <f aca="false">IF(AND(A14&lt;&gt;"",OR(M14="4+",AND(ISNUMBER(M14),M14&gt;=2))),SUMPRODUCT(($A$5:A14&lt;&gt;"")*(($M$5:M14="4+")+(ISNUMBER($M$5:M14)*($M$5:M14&gt;=2)))),"")</f>
        <v/>
      </c>
      <c r="AC14" s="34" t="str">
        <f aca="false">IF(AND(A14&lt;&gt;"",OR(L14="",L14="Undecided",K14="")),SUMPRODUCT(($A$5:A14&lt;&gt;"")*(($L$5:L14="")+($L$5:L14="Undecided")+($K$5:K14=""))&gt;0*1),"")</f>
        <v/>
      </c>
    </row>
    <row r="15" customFormat="false" ht="15" hidden="false" customHeight="false" outlineLevel="0" collapsed="false">
      <c r="A15" s="29"/>
      <c r="B15" s="30"/>
      <c r="C15" s="30"/>
      <c r="D15" s="30"/>
      <c r="E15" s="30"/>
      <c r="F15" s="30"/>
      <c r="G15" s="30"/>
      <c r="H15" s="30"/>
      <c r="I15" s="30"/>
      <c r="J15" s="30"/>
      <c r="K15" s="30"/>
      <c r="L15" s="30"/>
      <c r="M15" s="20" t="str">
        <f aca="false">IF(A15="","",IF(V15="",0,IF(W15="",1,IF(X15="",2,IF(Y15="",3,"4+")))))</f>
        <v/>
      </c>
      <c r="N15" s="20" t="str">
        <f aca="false">IF(A15="","",A15&amp;IF(V15="",""," &lt;- "&amp;V15&amp;IF(W15="",""," &lt;- "&amp;W15&amp;IF(X15="",""," &lt;- "&amp;X15&amp;IF(Y15="",""," &lt;- "&amp;Y15))))&amp;IF(ISNUMBER(FIND(",",D15))," (+ other parents)",""))</f>
        <v/>
      </c>
      <c r="O15" s="20" t="str">
        <f aca="false">IF(A15="","",COUNTIF(Fields!$D:$D,A15))</f>
        <v/>
      </c>
      <c r="P15" s="20" t="str">
        <f aca="false">IF(A15="","",SUMIF(Fields!$D:$D,A15,Fields!$O:$O))</f>
        <v/>
      </c>
      <c r="Q15" s="30"/>
      <c r="R15" s="30"/>
      <c r="S15" s="30"/>
      <c r="T15" s="30"/>
      <c r="U15" s="30"/>
      <c r="V15" s="34" t="str">
        <f aca="false">IF(A15="","",IF(IFERROR(INDEX($D:$D,MATCH(A15,$A:$A,0)),"")="","",TRIM(IF(ISNUMBER(FIND(",",IFERROR(INDEX($D:$D,MATCH(A15,$A:$A,0)),""))),LEFT(IFERROR(INDEX($D:$D,MATCH(A15,$A:$A,0)),""),FIND(",",IFERROR(INDEX($D:$D,MATCH(A15,$A:$A,0)),""))-1),IFERROR(INDEX($D:$D,MATCH(A15,$A:$A,0)),"")))))</f>
        <v/>
      </c>
      <c r="W15" s="34" t="str">
        <f aca="false">IF(V15="","",IF(IFERROR(INDEX($D:$D,MATCH(V15,$A:$A,0)),"")="","",TRIM(IF(ISNUMBER(FIND(",",IFERROR(INDEX($D:$D,MATCH(V15,$A:$A,0)),""))),LEFT(IFERROR(INDEX($D:$D,MATCH(V15,$A:$A,0)),""),FIND(",",IFERROR(INDEX($D:$D,MATCH(V15,$A:$A,0)),""))-1),IFERROR(INDEX($D:$D,MATCH(V15,$A:$A,0)),"")))))</f>
        <v/>
      </c>
      <c r="X15" s="34" t="str">
        <f aca="false">IF(W15="","",IF(IFERROR(INDEX($D:$D,MATCH(W15,$A:$A,0)),"")="","",TRIM(IF(ISNUMBER(FIND(",",IFERROR(INDEX($D:$D,MATCH(W15,$A:$A,0)),""))),LEFT(IFERROR(INDEX($D:$D,MATCH(W15,$A:$A,0)),""),FIND(",",IFERROR(INDEX($D:$D,MATCH(W15,$A:$A,0)),""))-1),IFERROR(INDEX($D:$D,MATCH(W15,$A:$A,0)),"")))))</f>
        <v/>
      </c>
      <c r="Y15" s="34" t="str">
        <f aca="false">IF(X15="","",IF(IFERROR(INDEX($D:$D,MATCH(X15,$A:$A,0)),"")="","",TRIM(IF(ISNUMBER(FIND(",",IFERROR(INDEX($D:$D,MATCH(X15,$A:$A,0)),""))),LEFT(IFERROR(INDEX($D:$D,MATCH(X15,$A:$A,0)),""),FIND(",",IFERROR(INDEX($D:$D,MATCH(X15,$A:$A,0)),""))-1),IFERROR(INDEX($D:$D,MATCH(X15,$A:$A,0)),"")))))</f>
        <v/>
      </c>
      <c r="Z15" s="34" t="str">
        <f aca="false">IF(AND(A15&lt;&gt;"",L15="Retire"),COUNTIF($L$5:L15,"Retire"),"")</f>
        <v/>
      </c>
      <c r="AA15" s="34" t="str">
        <f aca="false">IF(AND(A15&lt;&gt;"",L15="Build"),COUNTIF($L$5:L15,"Build"),"")</f>
        <v/>
      </c>
      <c r="AB15" s="34" t="str">
        <f aca="false">IF(AND(A15&lt;&gt;"",OR(M15="4+",AND(ISNUMBER(M15),M15&gt;=2))),SUMPRODUCT(($A$5:A15&lt;&gt;"")*(($M$5:M15="4+")+(ISNUMBER($M$5:M15)*($M$5:M15&gt;=2)))),"")</f>
        <v/>
      </c>
      <c r="AC15" s="34" t="str">
        <f aca="false">IF(AND(A15&lt;&gt;"",OR(L15="",L15="Undecided",K15="")),SUMPRODUCT(($A$5:A15&lt;&gt;"")*(($L$5:L15="")+($L$5:L15="Undecided")+($K$5:K15=""))&gt;0*1),"")</f>
        <v/>
      </c>
    </row>
    <row r="16" customFormat="false" ht="15" hidden="false" customHeight="false" outlineLevel="0" collapsed="false">
      <c r="A16" s="29"/>
      <c r="B16" s="30"/>
      <c r="C16" s="30"/>
      <c r="D16" s="30"/>
      <c r="E16" s="30"/>
      <c r="F16" s="30"/>
      <c r="G16" s="30"/>
      <c r="H16" s="30"/>
      <c r="I16" s="30"/>
      <c r="J16" s="30"/>
      <c r="K16" s="30"/>
      <c r="L16" s="30"/>
      <c r="M16" s="20" t="str">
        <f aca="false">IF(A16="","",IF(V16="",0,IF(W16="",1,IF(X16="",2,IF(Y16="",3,"4+")))))</f>
        <v/>
      </c>
      <c r="N16" s="20" t="str">
        <f aca="false">IF(A16="","",A16&amp;IF(V16="",""," &lt;- "&amp;V16&amp;IF(W16="",""," &lt;- "&amp;W16&amp;IF(X16="",""," &lt;- "&amp;X16&amp;IF(Y16="",""," &lt;- "&amp;Y16))))&amp;IF(ISNUMBER(FIND(",",D16))," (+ other parents)",""))</f>
        <v/>
      </c>
      <c r="O16" s="20" t="str">
        <f aca="false">IF(A16="","",COUNTIF(Fields!$D:$D,A16))</f>
        <v/>
      </c>
      <c r="P16" s="20" t="str">
        <f aca="false">IF(A16="","",SUMIF(Fields!$D:$D,A16,Fields!$O:$O))</f>
        <v/>
      </c>
      <c r="Q16" s="30"/>
      <c r="R16" s="30"/>
      <c r="S16" s="30"/>
      <c r="T16" s="30"/>
      <c r="U16" s="30"/>
      <c r="V16" s="34" t="str">
        <f aca="false">IF(A16="","",IF(IFERROR(INDEX($D:$D,MATCH(A16,$A:$A,0)),"")="","",TRIM(IF(ISNUMBER(FIND(",",IFERROR(INDEX($D:$D,MATCH(A16,$A:$A,0)),""))),LEFT(IFERROR(INDEX($D:$D,MATCH(A16,$A:$A,0)),""),FIND(",",IFERROR(INDEX($D:$D,MATCH(A16,$A:$A,0)),""))-1),IFERROR(INDEX($D:$D,MATCH(A16,$A:$A,0)),"")))))</f>
        <v/>
      </c>
      <c r="W16" s="34" t="str">
        <f aca="false">IF(V16="","",IF(IFERROR(INDEX($D:$D,MATCH(V16,$A:$A,0)),"")="","",TRIM(IF(ISNUMBER(FIND(",",IFERROR(INDEX($D:$D,MATCH(V16,$A:$A,0)),""))),LEFT(IFERROR(INDEX($D:$D,MATCH(V16,$A:$A,0)),""),FIND(",",IFERROR(INDEX($D:$D,MATCH(V16,$A:$A,0)),""))-1),IFERROR(INDEX($D:$D,MATCH(V16,$A:$A,0)),"")))))</f>
        <v/>
      </c>
      <c r="X16" s="34" t="str">
        <f aca="false">IF(W16="","",IF(IFERROR(INDEX($D:$D,MATCH(W16,$A:$A,0)),"")="","",TRIM(IF(ISNUMBER(FIND(",",IFERROR(INDEX($D:$D,MATCH(W16,$A:$A,0)),""))),LEFT(IFERROR(INDEX($D:$D,MATCH(W16,$A:$A,0)),""),FIND(",",IFERROR(INDEX($D:$D,MATCH(W16,$A:$A,0)),""))-1),IFERROR(INDEX($D:$D,MATCH(W16,$A:$A,0)),"")))))</f>
        <v/>
      </c>
      <c r="Y16" s="34" t="str">
        <f aca="false">IF(X16="","",IF(IFERROR(INDEX($D:$D,MATCH(X16,$A:$A,0)),"")="","",TRIM(IF(ISNUMBER(FIND(",",IFERROR(INDEX($D:$D,MATCH(X16,$A:$A,0)),""))),LEFT(IFERROR(INDEX($D:$D,MATCH(X16,$A:$A,0)),""),FIND(",",IFERROR(INDEX($D:$D,MATCH(X16,$A:$A,0)),""))-1),IFERROR(INDEX($D:$D,MATCH(X16,$A:$A,0)),"")))))</f>
        <v/>
      </c>
      <c r="Z16" s="34" t="str">
        <f aca="false">IF(AND(A16&lt;&gt;"",L16="Retire"),COUNTIF($L$5:L16,"Retire"),"")</f>
        <v/>
      </c>
      <c r="AA16" s="34" t="str">
        <f aca="false">IF(AND(A16&lt;&gt;"",L16="Build"),COUNTIF($L$5:L16,"Build"),"")</f>
        <v/>
      </c>
      <c r="AB16" s="34" t="str">
        <f aca="false">IF(AND(A16&lt;&gt;"",OR(M16="4+",AND(ISNUMBER(M16),M16&gt;=2))),SUMPRODUCT(($A$5:A16&lt;&gt;"")*(($M$5:M16="4+")+(ISNUMBER($M$5:M16)*($M$5:M16&gt;=2)))),"")</f>
        <v/>
      </c>
      <c r="AC16" s="34" t="str">
        <f aca="false">IF(AND(A16&lt;&gt;"",OR(L16="",L16="Undecided",K16="")),SUMPRODUCT(($A$5:A16&lt;&gt;"")*(($L$5:L16="")+($L$5:L16="Undecided")+($K$5:K16=""))&gt;0*1),"")</f>
        <v/>
      </c>
    </row>
    <row r="17" customFormat="false" ht="15" hidden="false" customHeight="false" outlineLevel="0" collapsed="false">
      <c r="A17" s="29"/>
      <c r="B17" s="30"/>
      <c r="C17" s="30"/>
      <c r="D17" s="30"/>
      <c r="E17" s="30"/>
      <c r="F17" s="30"/>
      <c r="G17" s="30"/>
      <c r="H17" s="30"/>
      <c r="I17" s="30"/>
      <c r="J17" s="30"/>
      <c r="K17" s="30"/>
      <c r="L17" s="30"/>
      <c r="M17" s="20" t="str">
        <f aca="false">IF(A17="","",IF(V17="",0,IF(W17="",1,IF(X17="",2,IF(Y17="",3,"4+")))))</f>
        <v/>
      </c>
      <c r="N17" s="20" t="str">
        <f aca="false">IF(A17="","",A17&amp;IF(V17="",""," &lt;- "&amp;V17&amp;IF(W17="",""," &lt;- "&amp;W17&amp;IF(X17="",""," &lt;- "&amp;X17&amp;IF(Y17="",""," &lt;- "&amp;Y17))))&amp;IF(ISNUMBER(FIND(",",D17))," (+ other parents)",""))</f>
        <v/>
      </c>
      <c r="O17" s="20" t="str">
        <f aca="false">IF(A17="","",COUNTIF(Fields!$D:$D,A17))</f>
        <v/>
      </c>
      <c r="P17" s="20" t="str">
        <f aca="false">IF(A17="","",SUMIF(Fields!$D:$D,A17,Fields!$O:$O))</f>
        <v/>
      </c>
      <c r="Q17" s="30"/>
      <c r="R17" s="30"/>
      <c r="S17" s="30"/>
      <c r="T17" s="30"/>
      <c r="U17" s="30"/>
      <c r="V17" s="34" t="str">
        <f aca="false">IF(A17="","",IF(IFERROR(INDEX($D:$D,MATCH(A17,$A:$A,0)),"")="","",TRIM(IF(ISNUMBER(FIND(",",IFERROR(INDEX($D:$D,MATCH(A17,$A:$A,0)),""))),LEFT(IFERROR(INDEX($D:$D,MATCH(A17,$A:$A,0)),""),FIND(",",IFERROR(INDEX($D:$D,MATCH(A17,$A:$A,0)),""))-1),IFERROR(INDEX($D:$D,MATCH(A17,$A:$A,0)),"")))))</f>
        <v/>
      </c>
      <c r="W17" s="34" t="str">
        <f aca="false">IF(V17="","",IF(IFERROR(INDEX($D:$D,MATCH(V17,$A:$A,0)),"")="","",TRIM(IF(ISNUMBER(FIND(",",IFERROR(INDEX($D:$D,MATCH(V17,$A:$A,0)),""))),LEFT(IFERROR(INDEX($D:$D,MATCH(V17,$A:$A,0)),""),FIND(",",IFERROR(INDEX($D:$D,MATCH(V17,$A:$A,0)),""))-1),IFERROR(INDEX($D:$D,MATCH(V17,$A:$A,0)),"")))))</f>
        <v/>
      </c>
      <c r="X17" s="34" t="str">
        <f aca="false">IF(W17="","",IF(IFERROR(INDEX($D:$D,MATCH(W17,$A:$A,0)),"")="","",TRIM(IF(ISNUMBER(FIND(",",IFERROR(INDEX($D:$D,MATCH(W17,$A:$A,0)),""))),LEFT(IFERROR(INDEX($D:$D,MATCH(W17,$A:$A,0)),""),FIND(",",IFERROR(INDEX($D:$D,MATCH(W17,$A:$A,0)),""))-1),IFERROR(INDEX($D:$D,MATCH(W17,$A:$A,0)),"")))))</f>
        <v/>
      </c>
      <c r="Y17" s="34" t="str">
        <f aca="false">IF(X17="","",IF(IFERROR(INDEX($D:$D,MATCH(X17,$A:$A,0)),"")="","",TRIM(IF(ISNUMBER(FIND(",",IFERROR(INDEX($D:$D,MATCH(X17,$A:$A,0)),""))),LEFT(IFERROR(INDEX($D:$D,MATCH(X17,$A:$A,0)),""),FIND(",",IFERROR(INDEX($D:$D,MATCH(X17,$A:$A,0)),""))-1),IFERROR(INDEX($D:$D,MATCH(X17,$A:$A,0)),"")))))</f>
        <v/>
      </c>
      <c r="Z17" s="34" t="str">
        <f aca="false">IF(AND(A17&lt;&gt;"",L17="Retire"),COUNTIF($L$5:L17,"Retire"),"")</f>
        <v/>
      </c>
      <c r="AA17" s="34" t="str">
        <f aca="false">IF(AND(A17&lt;&gt;"",L17="Build"),COUNTIF($L$5:L17,"Build"),"")</f>
        <v/>
      </c>
      <c r="AB17" s="34" t="str">
        <f aca="false">IF(AND(A17&lt;&gt;"",OR(M17="4+",AND(ISNUMBER(M17),M17&gt;=2))),SUMPRODUCT(($A$5:A17&lt;&gt;"")*(($M$5:M17="4+")+(ISNUMBER($M$5:M17)*($M$5:M17&gt;=2)))),"")</f>
        <v/>
      </c>
      <c r="AC17" s="34" t="str">
        <f aca="false">IF(AND(A17&lt;&gt;"",OR(L17="",L17="Undecided",K17="")),SUMPRODUCT(($A$5:A17&lt;&gt;"")*(($L$5:L17="")+($L$5:L17="Undecided")+($K$5:K17=""))&gt;0*1),"")</f>
        <v/>
      </c>
    </row>
    <row r="18" customFormat="false" ht="15" hidden="false" customHeight="false" outlineLevel="0" collapsed="false">
      <c r="A18" s="29"/>
      <c r="B18" s="30"/>
      <c r="C18" s="30"/>
      <c r="D18" s="30"/>
      <c r="E18" s="30"/>
      <c r="F18" s="30"/>
      <c r="G18" s="30"/>
      <c r="H18" s="30"/>
      <c r="I18" s="30"/>
      <c r="J18" s="30"/>
      <c r="K18" s="30"/>
      <c r="L18" s="30"/>
      <c r="M18" s="20" t="str">
        <f aca="false">IF(A18="","",IF(V18="",0,IF(W18="",1,IF(X18="",2,IF(Y18="",3,"4+")))))</f>
        <v/>
      </c>
      <c r="N18" s="20" t="str">
        <f aca="false">IF(A18="","",A18&amp;IF(V18="",""," &lt;- "&amp;V18&amp;IF(W18="",""," &lt;- "&amp;W18&amp;IF(X18="",""," &lt;- "&amp;X18&amp;IF(Y18="",""," &lt;- "&amp;Y18))))&amp;IF(ISNUMBER(FIND(",",D18))," (+ other parents)",""))</f>
        <v/>
      </c>
      <c r="O18" s="20" t="str">
        <f aca="false">IF(A18="","",COUNTIF(Fields!$D:$D,A18))</f>
        <v/>
      </c>
      <c r="P18" s="20" t="str">
        <f aca="false">IF(A18="","",SUMIF(Fields!$D:$D,A18,Fields!$O:$O))</f>
        <v/>
      </c>
      <c r="Q18" s="30"/>
      <c r="R18" s="30"/>
      <c r="S18" s="30"/>
      <c r="T18" s="30"/>
      <c r="U18" s="30"/>
      <c r="V18" s="34" t="str">
        <f aca="false">IF(A18="","",IF(IFERROR(INDEX($D:$D,MATCH(A18,$A:$A,0)),"")="","",TRIM(IF(ISNUMBER(FIND(",",IFERROR(INDEX($D:$D,MATCH(A18,$A:$A,0)),""))),LEFT(IFERROR(INDEX($D:$D,MATCH(A18,$A:$A,0)),""),FIND(",",IFERROR(INDEX($D:$D,MATCH(A18,$A:$A,0)),""))-1),IFERROR(INDEX($D:$D,MATCH(A18,$A:$A,0)),"")))))</f>
        <v/>
      </c>
      <c r="W18" s="34" t="str">
        <f aca="false">IF(V18="","",IF(IFERROR(INDEX($D:$D,MATCH(V18,$A:$A,0)),"")="","",TRIM(IF(ISNUMBER(FIND(",",IFERROR(INDEX($D:$D,MATCH(V18,$A:$A,0)),""))),LEFT(IFERROR(INDEX($D:$D,MATCH(V18,$A:$A,0)),""),FIND(",",IFERROR(INDEX($D:$D,MATCH(V18,$A:$A,0)),""))-1),IFERROR(INDEX($D:$D,MATCH(V18,$A:$A,0)),"")))))</f>
        <v/>
      </c>
      <c r="X18" s="34" t="str">
        <f aca="false">IF(W18="","",IF(IFERROR(INDEX($D:$D,MATCH(W18,$A:$A,0)),"")="","",TRIM(IF(ISNUMBER(FIND(",",IFERROR(INDEX($D:$D,MATCH(W18,$A:$A,0)),""))),LEFT(IFERROR(INDEX($D:$D,MATCH(W18,$A:$A,0)),""),FIND(",",IFERROR(INDEX($D:$D,MATCH(W18,$A:$A,0)),""))-1),IFERROR(INDEX($D:$D,MATCH(W18,$A:$A,0)),"")))))</f>
        <v/>
      </c>
      <c r="Y18" s="34" t="str">
        <f aca="false">IF(X18="","",IF(IFERROR(INDEX($D:$D,MATCH(X18,$A:$A,0)),"")="","",TRIM(IF(ISNUMBER(FIND(",",IFERROR(INDEX($D:$D,MATCH(X18,$A:$A,0)),""))),LEFT(IFERROR(INDEX($D:$D,MATCH(X18,$A:$A,0)),""),FIND(",",IFERROR(INDEX($D:$D,MATCH(X18,$A:$A,0)),""))-1),IFERROR(INDEX($D:$D,MATCH(X18,$A:$A,0)),"")))))</f>
        <v/>
      </c>
      <c r="Z18" s="34" t="str">
        <f aca="false">IF(AND(A18&lt;&gt;"",L18="Retire"),COUNTIF($L$5:L18,"Retire"),"")</f>
        <v/>
      </c>
      <c r="AA18" s="34" t="str">
        <f aca="false">IF(AND(A18&lt;&gt;"",L18="Build"),COUNTIF($L$5:L18,"Build"),"")</f>
        <v/>
      </c>
      <c r="AB18" s="34" t="str">
        <f aca="false">IF(AND(A18&lt;&gt;"",OR(M18="4+",AND(ISNUMBER(M18),M18&gt;=2))),SUMPRODUCT(($A$5:A18&lt;&gt;"")*(($M$5:M18="4+")+(ISNUMBER($M$5:M18)*($M$5:M18&gt;=2)))),"")</f>
        <v/>
      </c>
      <c r="AC18" s="34" t="str">
        <f aca="false">IF(AND(A18&lt;&gt;"",OR(L18="",L18="Undecided",K18="")),SUMPRODUCT(($A$5:A18&lt;&gt;"")*(($L$5:L18="")+($L$5:L18="Undecided")+($K$5:K18=""))&gt;0*1),"")</f>
        <v/>
      </c>
    </row>
    <row r="19" customFormat="false" ht="15" hidden="false" customHeight="false" outlineLevel="0" collapsed="false">
      <c r="A19" s="29"/>
      <c r="B19" s="30"/>
      <c r="C19" s="30"/>
      <c r="D19" s="30"/>
      <c r="E19" s="30"/>
      <c r="F19" s="30"/>
      <c r="G19" s="30"/>
      <c r="H19" s="30"/>
      <c r="I19" s="30"/>
      <c r="J19" s="30"/>
      <c r="K19" s="30"/>
      <c r="L19" s="30"/>
      <c r="M19" s="20" t="str">
        <f aca="false">IF(A19="","",IF(V19="",0,IF(W19="",1,IF(X19="",2,IF(Y19="",3,"4+")))))</f>
        <v/>
      </c>
      <c r="N19" s="20" t="str">
        <f aca="false">IF(A19="","",A19&amp;IF(V19="",""," &lt;- "&amp;V19&amp;IF(W19="",""," &lt;- "&amp;W19&amp;IF(X19="",""," &lt;- "&amp;X19&amp;IF(Y19="",""," &lt;- "&amp;Y19))))&amp;IF(ISNUMBER(FIND(",",D19))," (+ other parents)",""))</f>
        <v/>
      </c>
      <c r="O19" s="20" t="str">
        <f aca="false">IF(A19="","",COUNTIF(Fields!$D:$D,A19))</f>
        <v/>
      </c>
      <c r="P19" s="20" t="str">
        <f aca="false">IF(A19="","",SUMIF(Fields!$D:$D,A19,Fields!$O:$O))</f>
        <v/>
      </c>
      <c r="Q19" s="30"/>
      <c r="R19" s="30"/>
      <c r="S19" s="30"/>
      <c r="T19" s="30"/>
      <c r="U19" s="30"/>
      <c r="V19" s="34" t="str">
        <f aca="false">IF(A19="","",IF(IFERROR(INDEX($D:$D,MATCH(A19,$A:$A,0)),"")="","",TRIM(IF(ISNUMBER(FIND(",",IFERROR(INDEX($D:$D,MATCH(A19,$A:$A,0)),""))),LEFT(IFERROR(INDEX($D:$D,MATCH(A19,$A:$A,0)),""),FIND(",",IFERROR(INDEX($D:$D,MATCH(A19,$A:$A,0)),""))-1),IFERROR(INDEX($D:$D,MATCH(A19,$A:$A,0)),"")))))</f>
        <v/>
      </c>
      <c r="W19" s="34" t="str">
        <f aca="false">IF(V19="","",IF(IFERROR(INDEX($D:$D,MATCH(V19,$A:$A,0)),"")="","",TRIM(IF(ISNUMBER(FIND(",",IFERROR(INDEX($D:$D,MATCH(V19,$A:$A,0)),""))),LEFT(IFERROR(INDEX($D:$D,MATCH(V19,$A:$A,0)),""),FIND(",",IFERROR(INDEX($D:$D,MATCH(V19,$A:$A,0)),""))-1),IFERROR(INDEX($D:$D,MATCH(V19,$A:$A,0)),"")))))</f>
        <v/>
      </c>
      <c r="X19" s="34" t="str">
        <f aca="false">IF(W19="","",IF(IFERROR(INDEX($D:$D,MATCH(W19,$A:$A,0)),"")="","",TRIM(IF(ISNUMBER(FIND(",",IFERROR(INDEX($D:$D,MATCH(W19,$A:$A,0)),""))),LEFT(IFERROR(INDEX($D:$D,MATCH(W19,$A:$A,0)),""),FIND(",",IFERROR(INDEX($D:$D,MATCH(W19,$A:$A,0)),""))-1),IFERROR(INDEX($D:$D,MATCH(W19,$A:$A,0)),"")))))</f>
        <v/>
      </c>
      <c r="Y19" s="34" t="str">
        <f aca="false">IF(X19="","",IF(IFERROR(INDEX($D:$D,MATCH(X19,$A:$A,0)),"")="","",TRIM(IF(ISNUMBER(FIND(",",IFERROR(INDEX($D:$D,MATCH(X19,$A:$A,0)),""))),LEFT(IFERROR(INDEX($D:$D,MATCH(X19,$A:$A,0)),""),FIND(",",IFERROR(INDEX($D:$D,MATCH(X19,$A:$A,0)),""))-1),IFERROR(INDEX($D:$D,MATCH(X19,$A:$A,0)),"")))))</f>
        <v/>
      </c>
      <c r="Z19" s="34" t="str">
        <f aca="false">IF(AND(A19&lt;&gt;"",L19="Retire"),COUNTIF($L$5:L19,"Retire"),"")</f>
        <v/>
      </c>
      <c r="AA19" s="34" t="str">
        <f aca="false">IF(AND(A19&lt;&gt;"",L19="Build"),COUNTIF($L$5:L19,"Build"),"")</f>
        <v/>
      </c>
      <c r="AB19" s="34" t="str">
        <f aca="false">IF(AND(A19&lt;&gt;"",OR(M19="4+",AND(ISNUMBER(M19),M19&gt;=2))),SUMPRODUCT(($A$5:A19&lt;&gt;"")*(($M$5:M19="4+")+(ISNUMBER($M$5:M19)*($M$5:M19&gt;=2)))),"")</f>
        <v/>
      </c>
      <c r="AC19" s="34" t="str">
        <f aca="false">IF(AND(A19&lt;&gt;"",OR(L19="",L19="Undecided",K19="")),SUMPRODUCT(($A$5:A19&lt;&gt;"")*(($L$5:L19="")+($L$5:L19="Undecided")+($K$5:K19=""))&gt;0*1),"")</f>
        <v/>
      </c>
    </row>
    <row r="20" customFormat="false" ht="15" hidden="false" customHeight="false" outlineLevel="0" collapsed="false">
      <c r="A20" s="29"/>
      <c r="B20" s="30"/>
      <c r="C20" s="30"/>
      <c r="D20" s="30"/>
      <c r="E20" s="30"/>
      <c r="F20" s="30"/>
      <c r="G20" s="30"/>
      <c r="H20" s="30"/>
      <c r="I20" s="30"/>
      <c r="J20" s="30"/>
      <c r="K20" s="30"/>
      <c r="L20" s="30"/>
      <c r="M20" s="20" t="str">
        <f aca="false">IF(A20="","",IF(V20="",0,IF(W20="",1,IF(X20="",2,IF(Y20="",3,"4+")))))</f>
        <v/>
      </c>
      <c r="N20" s="20" t="str">
        <f aca="false">IF(A20="","",A20&amp;IF(V20="",""," &lt;- "&amp;V20&amp;IF(W20="",""," &lt;- "&amp;W20&amp;IF(X20="",""," &lt;- "&amp;X20&amp;IF(Y20="",""," &lt;- "&amp;Y20))))&amp;IF(ISNUMBER(FIND(",",D20))," (+ other parents)",""))</f>
        <v/>
      </c>
      <c r="O20" s="20" t="str">
        <f aca="false">IF(A20="","",COUNTIF(Fields!$D:$D,A20))</f>
        <v/>
      </c>
      <c r="P20" s="20" t="str">
        <f aca="false">IF(A20="","",SUMIF(Fields!$D:$D,A20,Fields!$O:$O))</f>
        <v/>
      </c>
      <c r="Q20" s="30"/>
      <c r="R20" s="30"/>
      <c r="S20" s="30"/>
      <c r="T20" s="30"/>
      <c r="U20" s="30"/>
      <c r="V20" s="34" t="str">
        <f aca="false">IF(A20="","",IF(IFERROR(INDEX($D:$D,MATCH(A20,$A:$A,0)),"")="","",TRIM(IF(ISNUMBER(FIND(",",IFERROR(INDEX($D:$D,MATCH(A20,$A:$A,0)),""))),LEFT(IFERROR(INDEX($D:$D,MATCH(A20,$A:$A,0)),""),FIND(",",IFERROR(INDEX($D:$D,MATCH(A20,$A:$A,0)),""))-1),IFERROR(INDEX($D:$D,MATCH(A20,$A:$A,0)),"")))))</f>
        <v/>
      </c>
      <c r="W20" s="34" t="str">
        <f aca="false">IF(V20="","",IF(IFERROR(INDEX($D:$D,MATCH(V20,$A:$A,0)),"")="","",TRIM(IF(ISNUMBER(FIND(",",IFERROR(INDEX($D:$D,MATCH(V20,$A:$A,0)),""))),LEFT(IFERROR(INDEX($D:$D,MATCH(V20,$A:$A,0)),""),FIND(",",IFERROR(INDEX($D:$D,MATCH(V20,$A:$A,0)),""))-1),IFERROR(INDEX($D:$D,MATCH(V20,$A:$A,0)),"")))))</f>
        <v/>
      </c>
      <c r="X20" s="34" t="str">
        <f aca="false">IF(W20="","",IF(IFERROR(INDEX($D:$D,MATCH(W20,$A:$A,0)),"")="","",TRIM(IF(ISNUMBER(FIND(",",IFERROR(INDEX($D:$D,MATCH(W20,$A:$A,0)),""))),LEFT(IFERROR(INDEX($D:$D,MATCH(W20,$A:$A,0)),""),FIND(",",IFERROR(INDEX($D:$D,MATCH(W20,$A:$A,0)),""))-1),IFERROR(INDEX($D:$D,MATCH(W20,$A:$A,0)),"")))))</f>
        <v/>
      </c>
      <c r="Y20" s="34" t="str">
        <f aca="false">IF(X20="","",IF(IFERROR(INDEX($D:$D,MATCH(X20,$A:$A,0)),"")="","",TRIM(IF(ISNUMBER(FIND(",",IFERROR(INDEX($D:$D,MATCH(X20,$A:$A,0)),""))),LEFT(IFERROR(INDEX($D:$D,MATCH(X20,$A:$A,0)),""),FIND(",",IFERROR(INDEX($D:$D,MATCH(X20,$A:$A,0)),""))-1),IFERROR(INDEX($D:$D,MATCH(X20,$A:$A,0)),"")))))</f>
        <v/>
      </c>
      <c r="Z20" s="34" t="str">
        <f aca="false">IF(AND(A20&lt;&gt;"",L20="Retire"),COUNTIF($L$5:L20,"Retire"),"")</f>
        <v/>
      </c>
      <c r="AA20" s="34" t="str">
        <f aca="false">IF(AND(A20&lt;&gt;"",L20="Build"),COUNTIF($L$5:L20,"Build"),"")</f>
        <v/>
      </c>
      <c r="AB20" s="34" t="str">
        <f aca="false">IF(AND(A20&lt;&gt;"",OR(M20="4+",AND(ISNUMBER(M20),M20&gt;=2))),SUMPRODUCT(($A$5:A20&lt;&gt;"")*(($M$5:M20="4+")+(ISNUMBER($M$5:M20)*($M$5:M20&gt;=2)))),"")</f>
        <v/>
      </c>
      <c r="AC20" s="34" t="str">
        <f aca="false">IF(AND(A20&lt;&gt;"",OR(L20="",L20="Undecided",K20="")),SUMPRODUCT(($A$5:A20&lt;&gt;"")*(($L$5:L20="")+($L$5:L20="Undecided")+($K$5:K20=""))&gt;0*1),"")</f>
        <v/>
      </c>
    </row>
    <row r="21" customFormat="false" ht="15" hidden="false" customHeight="false" outlineLevel="0" collapsed="false">
      <c r="A21" s="29"/>
      <c r="B21" s="30"/>
      <c r="C21" s="30"/>
      <c r="D21" s="30"/>
      <c r="E21" s="30"/>
      <c r="F21" s="30"/>
      <c r="G21" s="30"/>
      <c r="H21" s="30"/>
      <c r="I21" s="30"/>
      <c r="J21" s="30"/>
      <c r="K21" s="30"/>
      <c r="L21" s="30"/>
      <c r="M21" s="20" t="str">
        <f aca="false">IF(A21="","",IF(V21="",0,IF(W21="",1,IF(X21="",2,IF(Y21="",3,"4+")))))</f>
        <v/>
      </c>
      <c r="N21" s="20" t="str">
        <f aca="false">IF(A21="","",A21&amp;IF(V21="",""," &lt;- "&amp;V21&amp;IF(W21="",""," &lt;- "&amp;W21&amp;IF(X21="",""," &lt;- "&amp;X21&amp;IF(Y21="",""," &lt;- "&amp;Y21))))&amp;IF(ISNUMBER(FIND(",",D21))," (+ other parents)",""))</f>
        <v/>
      </c>
      <c r="O21" s="20" t="str">
        <f aca="false">IF(A21="","",COUNTIF(Fields!$D:$D,A21))</f>
        <v/>
      </c>
      <c r="P21" s="20" t="str">
        <f aca="false">IF(A21="","",SUMIF(Fields!$D:$D,A21,Fields!$O:$O))</f>
        <v/>
      </c>
      <c r="Q21" s="30"/>
      <c r="R21" s="30"/>
      <c r="S21" s="30"/>
      <c r="T21" s="30"/>
      <c r="U21" s="30"/>
      <c r="V21" s="34" t="str">
        <f aca="false">IF(A21="","",IF(IFERROR(INDEX($D:$D,MATCH(A21,$A:$A,0)),"")="","",TRIM(IF(ISNUMBER(FIND(",",IFERROR(INDEX($D:$D,MATCH(A21,$A:$A,0)),""))),LEFT(IFERROR(INDEX($D:$D,MATCH(A21,$A:$A,0)),""),FIND(",",IFERROR(INDEX($D:$D,MATCH(A21,$A:$A,0)),""))-1),IFERROR(INDEX($D:$D,MATCH(A21,$A:$A,0)),"")))))</f>
        <v/>
      </c>
      <c r="W21" s="34" t="str">
        <f aca="false">IF(V21="","",IF(IFERROR(INDEX($D:$D,MATCH(V21,$A:$A,0)),"")="","",TRIM(IF(ISNUMBER(FIND(",",IFERROR(INDEX($D:$D,MATCH(V21,$A:$A,0)),""))),LEFT(IFERROR(INDEX($D:$D,MATCH(V21,$A:$A,0)),""),FIND(",",IFERROR(INDEX($D:$D,MATCH(V21,$A:$A,0)),""))-1),IFERROR(INDEX($D:$D,MATCH(V21,$A:$A,0)),"")))))</f>
        <v/>
      </c>
      <c r="X21" s="34" t="str">
        <f aca="false">IF(W21="","",IF(IFERROR(INDEX($D:$D,MATCH(W21,$A:$A,0)),"")="","",TRIM(IF(ISNUMBER(FIND(",",IFERROR(INDEX($D:$D,MATCH(W21,$A:$A,0)),""))),LEFT(IFERROR(INDEX($D:$D,MATCH(W21,$A:$A,0)),""),FIND(",",IFERROR(INDEX($D:$D,MATCH(W21,$A:$A,0)),""))-1),IFERROR(INDEX($D:$D,MATCH(W21,$A:$A,0)),"")))))</f>
        <v/>
      </c>
      <c r="Y21" s="34" t="str">
        <f aca="false">IF(X21="","",IF(IFERROR(INDEX($D:$D,MATCH(X21,$A:$A,0)),"")="","",TRIM(IF(ISNUMBER(FIND(",",IFERROR(INDEX($D:$D,MATCH(X21,$A:$A,0)),""))),LEFT(IFERROR(INDEX($D:$D,MATCH(X21,$A:$A,0)),""),FIND(",",IFERROR(INDEX($D:$D,MATCH(X21,$A:$A,0)),""))-1),IFERROR(INDEX($D:$D,MATCH(X21,$A:$A,0)),"")))))</f>
        <v/>
      </c>
      <c r="Z21" s="34" t="str">
        <f aca="false">IF(AND(A21&lt;&gt;"",L21="Retire"),COUNTIF($L$5:L21,"Retire"),"")</f>
        <v/>
      </c>
      <c r="AA21" s="34" t="str">
        <f aca="false">IF(AND(A21&lt;&gt;"",L21="Build"),COUNTIF($L$5:L21,"Build"),"")</f>
        <v/>
      </c>
      <c r="AB21" s="34" t="str">
        <f aca="false">IF(AND(A21&lt;&gt;"",OR(M21="4+",AND(ISNUMBER(M21),M21&gt;=2))),SUMPRODUCT(($A$5:A21&lt;&gt;"")*(($M$5:M21="4+")+(ISNUMBER($M$5:M21)*($M$5:M21&gt;=2)))),"")</f>
        <v/>
      </c>
      <c r="AC21" s="34" t="str">
        <f aca="false">IF(AND(A21&lt;&gt;"",OR(L21="",L21="Undecided",K21="")),SUMPRODUCT(($A$5:A21&lt;&gt;"")*(($L$5:L21="")+($L$5:L21="Undecided")+($K$5:K21=""))&gt;0*1),"")</f>
        <v/>
      </c>
    </row>
    <row r="22" customFormat="false" ht="15" hidden="false" customHeight="false" outlineLevel="0" collapsed="false">
      <c r="A22" s="29"/>
      <c r="B22" s="30"/>
      <c r="C22" s="30"/>
      <c r="D22" s="30"/>
      <c r="E22" s="30"/>
      <c r="F22" s="30"/>
      <c r="G22" s="30"/>
      <c r="H22" s="30"/>
      <c r="I22" s="30"/>
      <c r="J22" s="30"/>
      <c r="K22" s="30"/>
      <c r="L22" s="30"/>
      <c r="M22" s="20" t="str">
        <f aca="false">IF(A22="","",IF(V22="",0,IF(W22="",1,IF(X22="",2,IF(Y22="",3,"4+")))))</f>
        <v/>
      </c>
      <c r="N22" s="20" t="str">
        <f aca="false">IF(A22="","",A22&amp;IF(V22="",""," &lt;- "&amp;V22&amp;IF(W22="",""," &lt;- "&amp;W22&amp;IF(X22="",""," &lt;- "&amp;X22&amp;IF(Y22="",""," &lt;- "&amp;Y22))))&amp;IF(ISNUMBER(FIND(",",D22))," (+ other parents)",""))</f>
        <v/>
      </c>
      <c r="O22" s="20" t="str">
        <f aca="false">IF(A22="","",COUNTIF(Fields!$D:$D,A22))</f>
        <v/>
      </c>
      <c r="P22" s="20" t="str">
        <f aca="false">IF(A22="","",SUMIF(Fields!$D:$D,A22,Fields!$O:$O))</f>
        <v/>
      </c>
      <c r="Q22" s="30"/>
      <c r="R22" s="30"/>
      <c r="S22" s="30"/>
      <c r="T22" s="30"/>
      <c r="U22" s="30"/>
      <c r="V22" s="34" t="str">
        <f aca="false">IF(A22="","",IF(IFERROR(INDEX($D:$D,MATCH(A22,$A:$A,0)),"")="","",TRIM(IF(ISNUMBER(FIND(",",IFERROR(INDEX($D:$D,MATCH(A22,$A:$A,0)),""))),LEFT(IFERROR(INDEX($D:$D,MATCH(A22,$A:$A,0)),""),FIND(",",IFERROR(INDEX($D:$D,MATCH(A22,$A:$A,0)),""))-1),IFERROR(INDEX($D:$D,MATCH(A22,$A:$A,0)),"")))))</f>
        <v/>
      </c>
      <c r="W22" s="34" t="str">
        <f aca="false">IF(V22="","",IF(IFERROR(INDEX($D:$D,MATCH(V22,$A:$A,0)),"")="","",TRIM(IF(ISNUMBER(FIND(",",IFERROR(INDEX($D:$D,MATCH(V22,$A:$A,0)),""))),LEFT(IFERROR(INDEX($D:$D,MATCH(V22,$A:$A,0)),""),FIND(",",IFERROR(INDEX($D:$D,MATCH(V22,$A:$A,0)),""))-1),IFERROR(INDEX($D:$D,MATCH(V22,$A:$A,0)),"")))))</f>
        <v/>
      </c>
      <c r="X22" s="34" t="str">
        <f aca="false">IF(W22="","",IF(IFERROR(INDEX($D:$D,MATCH(W22,$A:$A,0)),"")="","",TRIM(IF(ISNUMBER(FIND(",",IFERROR(INDEX($D:$D,MATCH(W22,$A:$A,0)),""))),LEFT(IFERROR(INDEX($D:$D,MATCH(W22,$A:$A,0)),""),FIND(",",IFERROR(INDEX($D:$D,MATCH(W22,$A:$A,0)),""))-1),IFERROR(INDEX($D:$D,MATCH(W22,$A:$A,0)),"")))))</f>
        <v/>
      </c>
      <c r="Y22" s="34" t="str">
        <f aca="false">IF(X22="","",IF(IFERROR(INDEX($D:$D,MATCH(X22,$A:$A,0)),"")="","",TRIM(IF(ISNUMBER(FIND(",",IFERROR(INDEX($D:$D,MATCH(X22,$A:$A,0)),""))),LEFT(IFERROR(INDEX($D:$D,MATCH(X22,$A:$A,0)),""),FIND(",",IFERROR(INDEX($D:$D,MATCH(X22,$A:$A,0)),""))-1),IFERROR(INDEX($D:$D,MATCH(X22,$A:$A,0)),"")))))</f>
        <v/>
      </c>
      <c r="Z22" s="34" t="str">
        <f aca="false">IF(AND(A22&lt;&gt;"",L22="Retire"),COUNTIF($L$5:L22,"Retire"),"")</f>
        <v/>
      </c>
      <c r="AA22" s="34" t="str">
        <f aca="false">IF(AND(A22&lt;&gt;"",L22="Build"),COUNTIF($L$5:L22,"Build"),"")</f>
        <v/>
      </c>
      <c r="AB22" s="34" t="str">
        <f aca="false">IF(AND(A22&lt;&gt;"",OR(M22="4+",AND(ISNUMBER(M22),M22&gt;=2))),SUMPRODUCT(($A$5:A22&lt;&gt;"")*(($M$5:M22="4+")+(ISNUMBER($M$5:M22)*($M$5:M22&gt;=2)))),"")</f>
        <v/>
      </c>
      <c r="AC22" s="34" t="str">
        <f aca="false">IF(AND(A22&lt;&gt;"",OR(L22="",L22="Undecided",K22="")),SUMPRODUCT(($A$5:A22&lt;&gt;"")*(($L$5:L22="")+($L$5:L22="Undecided")+($K$5:K22=""))&gt;0*1),"")</f>
        <v/>
      </c>
    </row>
    <row r="23" customFormat="false" ht="15" hidden="false" customHeight="false" outlineLevel="0" collapsed="false">
      <c r="A23" s="29"/>
      <c r="B23" s="30"/>
      <c r="C23" s="30"/>
      <c r="D23" s="30"/>
      <c r="E23" s="30"/>
      <c r="F23" s="30"/>
      <c r="G23" s="30"/>
      <c r="H23" s="30"/>
      <c r="I23" s="30"/>
      <c r="J23" s="30"/>
      <c r="K23" s="30"/>
      <c r="L23" s="30"/>
      <c r="M23" s="20" t="str">
        <f aca="false">IF(A23="","",IF(V23="",0,IF(W23="",1,IF(X23="",2,IF(Y23="",3,"4+")))))</f>
        <v/>
      </c>
      <c r="N23" s="20" t="str">
        <f aca="false">IF(A23="","",A23&amp;IF(V23="",""," &lt;- "&amp;V23&amp;IF(W23="",""," &lt;- "&amp;W23&amp;IF(X23="",""," &lt;- "&amp;X23&amp;IF(Y23="",""," &lt;- "&amp;Y23))))&amp;IF(ISNUMBER(FIND(",",D23))," (+ other parents)",""))</f>
        <v/>
      </c>
      <c r="O23" s="20" t="str">
        <f aca="false">IF(A23="","",COUNTIF(Fields!$D:$D,A23))</f>
        <v/>
      </c>
      <c r="P23" s="20" t="str">
        <f aca="false">IF(A23="","",SUMIF(Fields!$D:$D,A23,Fields!$O:$O))</f>
        <v/>
      </c>
      <c r="Q23" s="30"/>
      <c r="R23" s="30"/>
      <c r="S23" s="30"/>
      <c r="T23" s="30"/>
      <c r="U23" s="30"/>
      <c r="V23" s="34" t="str">
        <f aca="false">IF(A23="","",IF(IFERROR(INDEX($D:$D,MATCH(A23,$A:$A,0)),"")="","",TRIM(IF(ISNUMBER(FIND(",",IFERROR(INDEX($D:$D,MATCH(A23,$A:$A,0)),""))),LEFT(IFERROR(INDEX($D:$D,MATCH(A23,$A:$A,0)),""),FIND(",",IFERROR(INDEX($D:$D,MATCH(A23,$A:$A,0)),""))-1),IFERROR(INDEX($D:$D,MATCH(A23,$A:$A,0)),"")))))</f>
        <v/>
      </c>
      <c r="W23" s="34" t="str">
        <f aca="false">IF(V23="","",IF(IFERROR(INDEX($D:$D,MATCH(V23,$A:$A,0)),"")="","",TRIM(IF(ISNUMBER(FIND(",",IFERROR(INDEX($D:$D,MATCH(V23,$A:$A,0)),""))),LEFT(IFERROR(INDEX($D:$D,MATCH(V23,$A:$A,0)),""),FIND(",",IFERROR(INDEX($D:$D,MATCH(V23,$A:$A,0)),""))-1),IFERROR(INDEX($D:$D,MATCH(V23,$A:$A,0)),"")))))</f>
        <v/>
      </c>
      <c r="X23" s="34" t="str">
        <f aca="false">IF(W23="","",IF(IFERROR(INDEX($D:$D,MATCH(W23,$A:$A,0)),"")="","",TRIM(IF(ISNUMBER(FIND(",",IFERROR(INDEX($D:$D,MATCH(W23,$A:$A,0)),""))),LEFT(IFERROR(INDEX($D:$D,MATCH(W23,$A:$A,0)),""),FIND(",",IFERROR(INDEX($D:$D,MATCH(W23,$A:$A,0)),""))-1),IFERROR(INDEX($D:$D,MATCH(W23,$A:$A,0)),"")))))</f>
        <v/>
      </c>
      <c r="Y23" s="34" t="str">
        <f aca="false">IF(X23="","",IF(IFERROR(INDEX($D:$D,MATCH(X23,$A:$A,0)),"")="","",TRIM(IF(ISNUMBER(FIND(",",IFERROR(INDEX($D:$D,MATCH(X23,$A:$A,0)),""))),LEFT(IFERROR(INDEX($D:$D,MATCH(X23,$A:$A,0)),""),FIND(",",IFERROR(INDEX($D:$D,MATCH(X23,$A:$A,0)),""))-1),IFERROR(INDEX($D:$D,MATCH(X23,$A:$A,0)),"")))))</f>
        <v/>
      </c>
      <c r="Z23" s="34" t="str">
        <f aca="false">IF(AND(A23&lt;&gt;"",L23="Retire"),COUNTIF($L$5:L23,"Retire"),"")</f>
        <v/>
      </c>
      <c r="AA23" s="34" t="str">
        <f aca="false">IF(AND(A23&lt;&gt;"",L23="Build"),COUNTIF($L$5:L23,"Build"),"")</f>
        <v/>
      </c>
      <c r="AB23" s="34" t="str">
        <f aca="false">IF(AND(A23&lt;&gt;"",OR(M23="4+",AND(ISNUMBER(M23),M23&gt;=2))),SUMPRODUCT(($A$5:A23&lt;&gt;"")*(($M$5:M23="4+")+(ISNUMBER($M$5:M23)*($M$5:M23&gt;=2)))),"")</f>
        <v/>
      </c>
      <c r="AC23" s="34" t="str">
        <f aca="false">IF(AND(A23&lt;&gt;"",OR(L23="",L23="Undecided",K23="")),SUMPRODUCT(($A$5:A23&lt;&gt;"")*(($L$5:L23="")+($L$5:L23="Undecided")+($K$5:K23=""))&gt;0*1),"")</f>
        <v/>
      </c>
    </row>
    <row r="24" customFormat="false" ht="15" hidden="false" customHeight="false" outlineLevel="0" collapsed="false">
      <c r="A24" s="29"/>
      <c r="B24" s="30"/>
      <c r="C24" s="30"/>
      <c r="D24" s="30"/>
      <c r="E24" s="30"/>
      <c r="F24" s="30"/>
      <c r="G24" s="30"/>
      <c r="H24" s="30"/>
      <c r="I24" s="30"/>
      <c r="J24" s="30"/>
      <c r="K24" s="30"/>
      <c r="L24" s="30"/>
      <c r="M24" s="20" t="str">
        <f aca="false">IF(A24="","",IF(V24="",0,IF(W24="",1,IF(X24="",2,IF(Y24="",3,"4+")))))</f>
        <v/>
      </c>
      <c r="N24" s="20" t="str">
        <f aca="false">IF(A24="","",A24&amp;IF(V24="",""," &lt;- "&amp;V24&amp;IF(W24="",""," &lt;- "&amp;W24&amp;IF(X24="",""," &lt;- "&amp;X24&amp;IF(Y24="",""," &lt;- "&amp;Y24))))&amp;IF(ISNUMBER(FIND(",",D24))," (+ other parents)",""))</f>
        <v/>
      </c>
      <c r="O24" s="20" t="str">
        <f aca="false">IF(A24="","",COUNTIF(Fields!$D:$D,A24))</f>
        <v/>
      </c>
      <c r="P24" s="20" t="str">
        <f aca="false">IF(A24="","",SUMIF(Fields!$D:$D,A24,Fields!$O:$O))</f>
        <v/>
      </c>
      <c r="Q24" s="30"/>
      <c r="R24" s="30"/>
      <c r="S24" s="30"/>
      <c r="T24" s="30"/>
      <c r="U24" s="30"/>
      <c r="V24" s="34" t="str">
        <f aca="false">IF(A24="","",IF(IFERROR(INDEX($D:$D,MATCH(A24,$A:$A,0)),"")="","",TRIM(IF(ISNUMBER(FIND(",",IFERROR(INDEX($D:$D,MATCH(A24,$A:$A,0)),""))),LEFT(IFERROR(INDEX($D:$D,MATCH(A24,$A:$A,0)),""),FIND(",",IFERROR(INDEX($D:$D,MATCH(A24,$A:$A,0)),""))-1),IFERROR(INDEX($D:$D,MATCH(A24,$A:$A,0)),"")))))</f>
        <v/>
      </c>
      <c r="W24" s="34" t="str">
        <f aca="false">IF(V24="","",IF(IFERROR(INDEX($D:$D,MATCH(V24,$A:$A,0)),"")="","",TRIM(IF(ISNUMBER(FIND(",",IFERROR(INDEX($D:$D,MATCH(V24,$A:$A,0)),""))),LEFT(IFERROR(INDEX($D:$D,MATCH(V24,$A:$A,0)),""),FIND(",",IFERROR(INDEX($D:$D,MATCH(V24,$A:$A,0)),""))-1),IFERROR(INDEX($D:$D,MATCH(V24,$A:$A,0)),"")))))</f>
        <v/>
      </c>
      <c r="X24" s="34" t="str">
        <f aca="false">IF(W24="","",IF(IFERROR(INDEX($D:$D,MATCH(W24,$A:$A,0)),"")="","",TRIM(IF(ISNUMBER(FIND(",",IFERROR(INDEX($D:$D,MATCH(W24,$A:$A,0)),""))),LEFT(IFERROR(INDEX($D:$D,MATCH(W24,$A:$A,0)),""),FIND(",",IFERROR(INDEX($D:$D,MATCH(W24,$A:$A,0)),""))-1),IFERROR(INDEX($D:$D,MATCH(W24,$A:$A,0)),"")))))</f>
        <v/>
      </c>
      <c r="Y24" s="34" t="str">
        <f aca="false">IF(X24="","",IF(IFERROR(INDEX($D:$D,MATCH(X24,$A:$A,0)),"")="","",TRIM(IF(ISNUMBER(FIND(",",IFERROR(INDEX($D:$D,MATCH(X24,$A:$A,0)),""))),LEFT(IFERROR(INDEX($D:$D,MATCH(X24,$A:$A,0)),""),FIND(",",IFERROR(INDEX($D:$D,MATCH(X24,$A:$A,0)),""))-1),IFERROR(INDEX($D:$D,MATCH(X24,$A:$A,0)),"")))))</f>
        <v/>
      </c>
      <c r="Z24" s="34" t="str">
        <f aca="false">IF(AND(A24&lt;&gt;"",L24="Retire"),COUNTIF($L$5:L24,"Retire"),"")</f>
        <v/>
      </c>
      <c r="AA24" s="34" t="str">
        <f aca="false">IF(AND(A24&lt;&gt;"",L24="Build"),COUNTIF($L$5:L24,"Build"),"")</f>
        <v/>
      </c>
      <c r="AB24" s="34" t="str">
        <f aca="false">IF(AND(A24&lt;&gt;"",OR(M24="4+",AND(ISNUMBER(M24),M24&gt;=2))),SUMPRODUCT(($A$5:A24&lt;&gt;"")*(($M$5:M24="4+")+(ISNUMBER($M$5:M24)*($M$5:M24&gt;=2)))),"")</f>
        <v/>
      </c>
      <c r="AC24" s="34" t="str">
        <f aca="false">IF(AND(A24&lt;&gt;"",OR(L24="",L24="Undecided",K24="")),SUMPRODUCT(($A$5:A24&lt;&gt;"")*(($L$5:L24="")+($L$5:L24="Undecided")+($K$5:K24=""))&gt;0*1),"")</f>
        <v/>
      </c>
    </row>
    <row r="25" customFormat="false" ht="15" hidden="false" customHeight="false" outlineLevel="0" collapsed="false">
      <c r="A25" s="29"/>
      <c r="B25" s="30"/>
      <c r="C25" s="30"/>
      <c r="D25" s="30"/>
      <c r="E25" s="30"/>
      <c r="F25" s="30"/>
      <c r="G25" s="30"/>
      <c r="H25" s="30"/>
      <c r="I25" s="30"/>
      <c r="J25" s="30"/>
      <c r="K25" s="30"/>
      <c r="L25" s="30"/>
      <c r="M25" s="20" t="str">
        <f aca="false">IF(A25="","",IF(V25="",0,IF(W25="",1,IF(X25="",2,IF(Y25="",3,"4+")))))</f>
        <v/>
      </c>
      <c r="N25" s="20" t="str">
        <f aca="false">IF(A25="","",A25&amp;IF(V25="",""," &lt;- "&amp;V25&amp;IF(W25="",""," &lt;- "&amp;W25&amp;IF(X25="",""," &lt;- "&amp;X25&amp;IF(Y25="",""," &lt;- "&amp;Y25))))&amp;IF(ISNUMBER(FIND(",",D25))," (+ other parents)",""))</f>
        <v/>
      </c>
      <c r="O25" s="20" t="str">
        <f aca="false">IF(A25="","",COUNTIF(Fields!$D:$D,A25))</f>
        <v/>
      </c>
      <c r="P25" s="20" t="str">
        <f aca="false">IF(A25="","",SUMIF(Fields!$D:$D,A25,Fields!$O:$O))</f>
        <v/>
      </c>
      <c r="Q25" s="30"/>
      <c r="R25" s="30"/>
      <c r="S25" s="30"/>
      <c r="T25" s="30"/>
      <c r="U25" s="30"/>
      <c r="V25" s="34" t="str">
        <f aca="false">IF(A25="","",IF(IFERROR(INDEX($D:$D,MATCH(A25,$A:$A,0)),"")="","",TRIM(IF(ISNUMBER(FIND(",",IFERROR(INDEX($D:$D,MATCH(A25,$A:$A,0)),""))),LEFT(IFERROR(INDEX($D:$D,MATCH(A25,$A:$A,0)),""),FIND(",",IFERROR(INDEX($D:$D,MATCH(A25,$A:$A,0)),""))-1),IFERROR(INDEX($D:$D,MATCH(A25,$A:$A,0)),"")))))</f>
        <v/>
      </c>
      <c r="W25" s="34" t="str">
        <f aca="false">IF(V25="","",IF(IFERROR(INDEX($D:$D,MATCH(V25,$A:$A,0)),"")="","",TRIM(IF(ISNUMBER(FIND(",",IFERROR(INDEX($D:$D,MATCH(V25,$A:$A,0)),""))),LEFT(IFERROR(INDEX($D:$D,MATCH(V25,$A:$A,0)),""),FIND(",",IFERROR(INDEX($D:$D,MATCH(V25,$A:$A,0)),""))-1),IFERROR(INDEX($D:$D,MATCH(V25,$A:$A,0)),"")))))</f>
        <v/>
      </c>
      <c r="X25" s="34" t="str">
        <f aca="false">IF(W25="","",IF(IFERROR(INDEX($D:$D,MATCH(W25,$A:$A,0)),"")="","",TRIM(IF(ISNUMBER(FIND(",",IFERROR(INDEX($D:$D,MATCH(W25,$A:$A,0)),""))),LEFT(IFERROR(INDEX($D:$D,MATCH(W25,$A:$A,0)),""),FIND(",",IFERROR(INDEX($D:$D,MATCH(W25,$A:$A,0)),""))-1),IFERROR(INDEX($D:$D,MATCH(W25,$A:$A,0)),"")))))</f>
        <v/>
      </c>
      <c r="Y25" s="34" t="str">
        <f aca="false">IF(X25="","",IF(IFERROR(INDEX($D:$D,MATCH(X25,$A:$A,0)),"")="","",TRIM(IF(ISNUMBER(FIND(",",IFERROR(INDEX($D:$D,MATCH(X25,$A:$A,0)),""))),LEFT(IFERROR(INDEX($D:$D,MATCH(X25,$A:$A,0)),""),FIND(",",IFERROR(INDEX($D:$D,MATCH(X25,$A:$A,0)),""))-1),IFERROR(INDEX($D:$D,MATCH(X25,$A:$A,0)),"")))))</f>
        <v/>
      </c>
      <c r="Z25" s="34" t="str">
        <f aca="false">IF(AND(A25&lt;&gt;"",L25="Retire"),COUNTIF($L$5:L25,"Retire"),"")</f>
        <v/>
      </c>
      <c r="AA25" s="34" t="str">
        <f aca="false">IF(AND(A25&lt;&gt;"",L25="Build"),COUNTIF($L$5:L25,"Build"),"")</f>
        <v/>
      </c>
      <c r="AB25" s="34" t="str">
        <f aca="false">IF(AND(A25&lt;&gt;"",OR(M25="4+",AND(ISNUMBER(M25),M25&gt;=2))),SUMPRODUCT(($A$5:A25&lt;&gt;"")*(($M$5:M25="4+")+(ISNUMBER($M$5:M25)*($M$5:M25&gt;=2)))),"")</f>
        <v/>
      </c>
      <c r="AC25" s="34" t="str">
        <f aca="false">IF(AND(A25&lt;&gt;"",OR(L25="",L25="Undecided",K25="")),SUMPRODUCT(($A$5:A25&lt;&gt;"")*(($L$5:L25="")+($L$5:L25="Undecided")+($K$5:K25=""))&gt;0*1),"")</f>
        <v/>
      </c>
    </row>
    <row r="26" customFormat="false" ht="15" hidden="false" customHeight="false" outlineLevel="0" collapsed="false">
      <c r="A26" s="29"/>
      <c r="B26" s="30"/>
      <c r="C26" s="30"/>
      <c r="D26" s="30"/>
      <c r="E26" s="30"/>
      <c r="F26" s="30"/>
      <c r="G26" s="30"/>
      <c r="H26" s="30"/>
      <c r="I26" s="30"/>
      <c r="J26" s="30"/>
      <c r="K26" s="30"/>
      <c r="L26" s="30"/>
      <c r="M26" s="20" t="str">
        <f aca="false">IF(A26="","",IF(V26="",0,IF(W26="",1,IF(X26="",2,IF(Y26="",3,"4+")))))</f>
        <v/>
      </c>
      <c r="N26" s="20" t="str">
        <f aca="false">IF(A26="","",A26&amp;IF(V26="",""," &lt;- "&amp;V26&amp;IF(W26="",""," &lt;- "&amp;W26&amp;IF(X26="",""," &lt;- "&amp;X26&amp;IF(Y26="",""," &lt;- "&amp;Y26))))&amp;IF(ISNUMBER(FIND(",",D26))," (+ other parents)",""))</f>
        <v/>
      </c>
      <c r="O26" s="20" t="str">
        <f aca="false">IF(A26="","",COUNTIF(Fields!$D:$D,A26))</f>
        <v/>
      </c>
      <c r="P26" s="20" t="str">
        <f aca="false">IF(A26="","",SUMIF(Fields!$D:$D,A26,Fields!$O:$O))</f>
        <v/>
      </c>
      <c r="Q26" s="30"/>
      <c r="R26" s="30"/>
      <c r="S26" s="30"/>
      <c r="T26" s="30"/>
      <c r="U26" s="30"/>
      <c r="V26" s="34" t="str">
        <f aca="false">IF(A26="","",IF(IFERROR(INDEX($D:$D,MATCH(A26,$A:$A,0)),"")="","",TRIM(IF(ISNUMBER(FIND(",",IFERROR(INDEX($D:$D,MATCH(A26,$A:$A,0)),""))),LEFT(IFERROR(INDEX($D:$D,MATCH(A26,$A:$A,0)),""),FIND(",",IFERROR(INDEX($D:$D,MATCH(A26,$A:$A,0)),""))-1),IFERROR(INDEX($D:$D,MATCH(A26,$A:$A,0)),"")))))</f>
        <v/>
      </c>
      <c r="W26" s="34" t="str">
        <f aca="false">IF(V26="","",IF(IFERROR(INDEX($D:$D,MATCH(V26,$A:$A,0)),"")="","",TRIM(IF(ISNUMBER(FIND(",",IFERROR(INDEX($D:$D,MATCH(V26,$A:$A,0)),""))),LEFT(IFERROR(INDEX($D:$D,MATCH(V26,$A:$A,0)),""),FIND(",",IFERROR(INDEX($D:$D,MATCH(V26,$A:$A,0)),""))-1),IFERROR(INDEX($D:$D,MATCH(V26,$A:$A,0)),"")))))</f>
        <v/>
      </c>
      <c r="X26" s="34" t="str">
        <f aca="false">IF(W26="","",IF(IFERROR(INDEX($D:$D,MATCH(W26,$A:$A,0)),"")="","",TRIM(IF(ISNUMBER(FIND(",",IFERROR(INDEX($D:$D,MATCH(W26,$A:$A,0)),""))),LEFT(IFERROR(INDEX($D:$D,MATCH(W26,$A:$A,0)),""),FIND(",",IFERROR(INDEX($D:$D,MATCH(W26,$A:$A,0)),""))-1),IFERROR(INDEX($D:$D,MATCH(W26,$A:$A,0)),"")))))</f>
        <v/>
      </c>
      <c r="Y26" s="34" t="str">
        <f aca="false">IF(X26="","",IF(IFERROR(INDEX($D:$D,MATCH(X26,$A:$A,0)),"")="","",TRIM(IF(ISNUMBER(FIND(",",IFERROR(INDEX($D:$D,MATCH(X26,$A:$A,0)),""))),LEFT(IFERROR(INDEX($D:$D,MATCH(X26,$A:$A,0)),""),FIND(",",IFERROR(INDEX($D:$D,MATCH(X26,$A:$A,0)),""))-1),IFERROR(INDEX($D:$D,MATCH(X26,$A:$A,0)),"")))))</f>
        <v/>
      </c>
      <c r="Z26" s="34" t="str">
        <f aca="false">IF(AND(A26&lt;&gt;"",L26="Retire"),COUNTIF($L$5:L26,"Retire"),"")</f>
        <v/>
      </c>
      <c r="AA26" s="34" t="str">
        <f aca="false">IF(AND(A26&lt;&gt;"",L26="Build"),COUNTIF($L$5:L26,"Build"),"")</f>
        <v/>
      </c>
      <c r="AB26" s="34" t="str">
        <f aca="false">IF(AND(A26&lt;&gt;"",OR(M26="4+",AND(ISNUMBER(M26),M26&gt;=2))),SUMPRODUCT(($A$5:A26&lt;&gt;"")*(($M$5:M26="4+")+(ISNUMBER($M$5:M26)*($M$5:M26&gt;=2)))),"")</f>
        <v/>
      </c>
      <c r="AC26" s="34" t="str">
        <f aca="false">IF(AND(A26&lt;&gt;"",OR(L26="",L26="Undecided",K26="")),SUMPRODUCT(($A$5:A26&lt;&gt;"")*(($L$5:L26="")+($L$5:L26="Undecided")+($K$5:K26=""))&gt;0*1),"")</f>
        <v/>
      </c>
    </row>
    <row r="27" customFormat="false" ht="15" hidden="false" customHeight="false" outlineLevel="0" collapsed="false">
      <c r="A27" s="29"/>
      <c r="B27" s="30"/>
      <c r="C27" s="30"/>
      <c r="D27" s="30"/>
      <c r="E27" s="30"/>
      <c r="F27" s="30"/>
      <c r="G27" s="30"/>
      <c r="H27" s="30"/>
      <c r="I27" s="30"/>
      <c r="J27" s="30"/>
      <c r="K27" s="30"/>
      <c r="L27" s="30"/>
      <c r="M27" s="20" t="str">
        <f aca="false">IF(A27="","",IF(V27="",0,IF(W27="",1,IF(X27="",2,IF(Y27="",3,"4+")))))</f>
        <v/>
      </c>
      <c r="N27" s="20" t="str">
        <f aca="false">IF(A27="","",A27&amp;IF(V27="",""," &lt;- "&amp;V27&amp;IF(W27="",""," &lt;- "&amp;W27&amp;IF(X27="",""," &lt;- "&amp;X27&amp;IF(Y27="",""," &lt;- "&amp;Y27))))&amp;IF(ISNUMBER(FIND(",",D27))," (+ other parents)",""))</f>
        <v/>
      </c>
      <c r="O27" s="20" t="str">
        <f aca="false">IF(A27="","",COUNTIF(Fields!$D:$D,A27))</f>
        <v/>
      </c>
      <c r="P27" s="20" t="str">
        <f aca="false">IF(A27="","",SUMIF(Fields!$D:$D,A27,Fields!$O:$O))</f>
        <v/>
      </c>
      <c r="Q27" s="30"/>
      <c r="R27" s="30"/>
      <c r="S27" s="30"/>
      <c r="T27" s="30"/>
      <c r="U27" s="30"/>
      <c r="V27" s="34" t="str">
        <f aca="false">IF(A27="","",IF(IFERROR(INDEX($D:$D,MATCH(A27,$A:$A,0)),"")="","",TRIM(IF(ISNUMBER(FIND(",",IFERROR(INDEX($D:$D,MATCH(A27,$A:$A,0)),""))),LEFT(IFERROR(INDEX($D:$D,MATCH(A27,$A:$A,0)),""),FIND(",",IFERROR(INDEX($D:$D,MATCH(A27,$A:$A,0)),""))-1),IFERROR(INDEX($D:$D,MATCH(A27,$A:$A,0)),"")))))</f>
        <v/>
      </c>
      <c r="W27" s="34" t="str">
        <f aca="false">IF(V27="","",IF(IFERROR(INDEX($D:$D,MATCH(V27,$A:$A,0)),"")="","",TRIM(IF(ISNUMBER(FIND(",",IFERROR(INDEX($D:$D,MATCH(V27,$A:$A,0)),""))),LEFT(IFERROR(INDEX($D:$D,MATCH(V27,$A:$A,0)),""),FIND(",",IFERROR(INDEX($D:$D,MATCH(V27,$A:$A,0)),""))-1),IFERROR(INDEX($D:$D,MATCH(V27,$A:$A,0)),"")))))</f>
        <v/>
      </c>
      <c r="X27" s="34" t="str">
        <f aca="false">IF(W27="","",IF(IFERROR(INDEX($D:$D,MATCH(W27,$A:$A,0)),"")="","",TRIM(IF(ISNUMBER(FIND(",",IFERROR(INDEX($D:$D,MATCH(W27,$A:$A,0)),""))),LEFT(IFERROR(INDEX($D:$D,MATCH(W27,$A:$A,0)),""),FIND(",",IFERROR(INDEX($D:$D,MATCH(W27,$A:$A,0)),""))-1),IFERROR(INDEX($D:$D,MATCH(W27,$A:$A,0)),"")))))</f>
        <v/>
      </c>
      <c r="Y27" s="34" t="str">
        <f aca="false">IF(X27="","",IF(IFERROR(INDEX($D:$D,MATCH(X27,$A:$A,0)),"")="","",TRIM(IF(ISNUMBER(FIND(",",IFERROR(INDEX($D:$D,MATCH(X27,$A:$A,0)),""))),LEFT(IFERROR(INDEX($D:$D,MATCH(X27,$A:$A,0)),""),FIND(",",IFERROR(INDEX($D:$D,MATCH(X27,$A:$A,0)),""))-1),IFERROR(INDEX($D:$D,MATCH(X27,$A:$A,0)),"")))))</f>
        <v/>
      </c>
      <c r="Z27" s="34" t="str">
        <f aca="false">IF(AND(A27&lt;&gt;"",L27="Retire"),COUNTIF($L$5:L27,"Retire"),"")</f>
        <v/>
      </c>
      <c r="AA27" s="34" t="str">
        <f aca="false">IF(AND(A27&lt;&gt;"",L27="Build"),COUNTIF($L$5:L27,"Build"),"")</f>
        <v/>
      </c>
      <c r="AB27" s="34" t="str">
        <f aca="false">IF(AND(A27&lt;&gt;"",OR(M27="4+",AND(ISNUMBER(M27),M27&gt;=2))),SUMPRODUCT(($A$5:A27&lt;&gt;"")*(($M$5:M27="4+")+(ISNUMBER($M$5:M27)*($M$5:M27&gt;=2)))),"")</f>
        <v/>
      </c>
      <c r="AC27" s="34" t="str">
        <f aca="false">IF(AND(A27&lt;&gt;"",OR(L27="",L27="Undecided",K27="")),SUMPRODUCT(($A$5:A27&lt;&gt;"")*(($L$5:L27="")+($L$5:L27="Undecided")+($K$5:K27=""))&gt;0*1),"")</f>
        <v/>
      </c>
    </row>
    <row r="28" customFormat="false" ht="15" hidden="false" customHeight="false" outlineLevel="0" collapsed="false">
      <c r="A28" s="29"/>
      <c r="B28" s="30"/>
      <c r="C28" s="30"/>
      <c r="D28" s="30"/>
      <c r="E28" s="30"/>
      <c r="F28" s="30"/>
      <c r="G28" s="30"/>
      <c r="H28" s="30"/>
      <c r="I28" s="30"/>
      <c r="J28" s="30"/>
      <c r="K28" s="30"/>
      <c r="L28" s="30"/>
      <c r="M28" s="20" t="str">
        <f aca="false">IF(A28="","",IF(V28="",0,IF(W28="",1,IF(X28="",2,IF(Y28="",3,"4+")))))</f>
        <v/>
      </c>
      <c r="N28" s="20" t="str">
        <f aca="false">IF(A28="","",A28&amp;IF(V28="",""," &lt;- "&amp;V28&amp;IF(W28="",""," &lt;- "&amp;W28&amp;IF(X28="",""," &lt;- "&amp;X28&amp;IF(Y28="",""," &lt;- "&amp;Y28))))&amp;IF(ISNUMBER(FIND(",",D28))," (+ other parents)",""))</f>
        <v/>
      </c>
      <c r="O28" s="20" t="str">
        <f aca="false">IF(A28="","",COUNTIF(Fields!$D:$D,A28))</f>
        <v/>
      </c>
      <c r="P28" s="20" t="str">
        <f aca="false">IF(A28="","",SUMIF(Fields!$D:$D,A28,Fields!$O:$O))</f>
        <v/>
      </c>
      <c r="Q28" s="30"/>
      <c r="R28" s="30"/>
      <c r="S28" s="30"/>
      <c r="T28" s="30"/>
      <c r="U28" s="30"/>
      <c r="V28" s="34" t="str">
        <f aca="false">IF(A28="","",IF(IFERROR(INDEX($D:$D,MATCH(A28,$A:$A,0)),"")="","",TRIM(IF(ISNUMBER(FIND(",",IFERROR(INDEX($D:$D,MATCH(A28,$A:$A,0)),""))),LEFT(IFERROR(INDEX($D:$D,MATCH(A28,$A:$A,0)),""),FIND(",",IFERROR(INDEX($D:$D,MATCH(A28,$A:$A,0)),""))-1),IFERROR(INDEX($D:$D,MATCH(A28,$A:$A,0)),"")))))</f>
        <v/>
      </c>
      <c r="W28" s="34" t="str">
        <f aca="false">IF(V28="","",IF(IFERROR(INDEX($D:$D,MATCH(V28,$A:$A,0)),"")="","",TRIM(IF(ISNUMBER(FIND(",",IFERROR(INDEX($D:$D,MATCH(V28,$A:$A,0)),""))),LEFT(IFERROR(INDEX($D:$D,MATCH(V28,$A:$A,0)),""),FIND(",",IFERROR(INDEX($D:$D,MATCH(V28,$A:$A,0)),""))-1),IFERROR(INDEX($D:$D,MATCH(V28,$A:$A,0)),"")))))</f>
        <v/>
      </c>
      <c r="X28" s="34" t="str">
        <f aca="false">IF(W28="","",IF(IFERROR(INDEX($D:$D,MATCH(W28,$A:$A,0)),"")="","",TRIM(IF(ISNUMBER(FIND(",",IFERROR(INDEX($D:$D,MATCH(W28,$A:$A,0)),""))),LEFT(IFERROR(INDEX($D:$D,MATCH(W28,$A:$A,0)),""),FIND(",",IFERROR(INDEX($D:$D,MATCH(W28,$A:$A,0)),""))-1),IFERROR(INDEX($D:$D,MATCH(W28,$A:$A,0)),"")))))</f>
        <v/>
      </c>
      <c r="Y28" s="34" t="str">
        <f aca="false">IF(X28="","",IF(IFERROR(INDEX($D:$D,MATCH(X28,$A:$A,0)),"")="","",TRIM(IF(ISNUMBER(FIND(",",IFERROR(INDEX($D:$D,MATCH(X28,$A:$A,0)),""))),LEFT(IFERROR(INDEX($D:$D,MATCH(X28,$A:$A,0)),""),FIND(",",IFERROR(INDEX($D:$D,MATCH(X28,$A:$A,0)),""))-1),IFERROR(INDEX($D:$D,MATCH(X28,$A:$A,0)),"")))))</f>
        <v/>
      </c>
      <c r="Z28" s="34" t="str">
        <f aca="false">IF(AND(A28&lt;&gt;"",L28="Retire"),COUNTIF($L$5:L28,"Retire"),"")</f>
        <v/>
      </c>
      <c r="AA28" s="34" t="str">
        <f aca="false">IF(AND(A28&lt;&gt;"",L28="Build"),COUNTIF($L$5:L28,"Build"),"")</f>
        <v/>
      </c>
      <c r="AB28" s="34" t="str">
        <f aca="false">IF(AND(A28&lt;&gt;"",OR(M28="4+",AND(ISNUMBER(M28),M28&gt;=2))),SUMPRODUCT(($A$5:A28&lt;&gt;"")*(($M$5:M28="4+")+(ISNUMBER($M$5:M28)*($M$5:M28&gt;=2)))),"")</f>
        <v/>
      </c>
      <c r="AC28" s="34" t="str">
        <f aca="false">IF(AND(A28&lt;&gt;"",OR(L28="",L28="Undecided",K28="")),SUMPRODUCT(($A$5:A28&lt;&gt;"")*(($L$5:L28="")+($L$5:L28="Undecided")+($K$5:K28=""))&gt;0*1),"")</f>
        <v/>
      </c>
    </row>
    <row r="29" customFormat="false" ht="15" hidden="false" customHeight="false" outlineLevel="0" collapsed="false">
      <c r="A29" s="29"/>
      <c r="B29" s="30"/>
      <c r="C29" s="30"/>
      <c r="D29" s="30"/>
      <c r="E29" s="30"/>
      <c r="F29" s="30"/>
      <c r="G29" s="30"/>
      <c r="H29" s="30"/>
      <c r="I29" s="30"/>
      <c r="J29" s="30"/>
      <c r="K29" s="30"/>
      <c r="L29" s="30"/>
      <c r="M29" s="20" t="str">
        <f aca="false">IF(A29="","",IF(V29="",0,IF(W29="",1,IF(X29="",2,IF(Y29="",3,"4+")))))</f>
        <v/>
      </c>
      <c r="N29" s="20" t="str">
        <f aca="false">IF(A29="","",A29&amp;IF(V29="",""," &lt;- "&amp;V29&amp;IF(W29="",""," &lt;- "&amp;W29&amp;IF(X29="",""," &lt;- "&amp;X29&amp;IF(Y29="",""," &lt;- "&amp;Y29))))&amp;IF(ISNUMBER(FIND(",",D29))," (+ other parents)",""))</f>
        <v/>
      </c>
      <c r="O29" s="20" t="str">
        <f aca="false">IF(A29="","",COUNTIF(Fields!$D:$D,A29))</f>
        <v/>
      </c>
      <c r="P29" s="20" t="str">
        <f aca="false">IF(A29="","",SUMIF(Fields!$D:$D,A29,Fields!$O:$O))</f>
        <v/>
      </c>
      <c r="Q29" s="30"/>
      <c r="R29" s="30"/>
      <c r="S29" s="30"/>
      <c r="T29" s="30"/>
      <c r="U29" s="30"/>
      <c r="V29" s="34" t="str">
        <f aca="false">IF(A29="","",IF(IFERROR(INDEX($D:$D,MATCH(A29,$A:$A,0)),"")="","",TRIM(IF(ISNUMBER(FIND(",",IFERROR(INDEX($D:$D,MATCH(A29,$A:$A,0)),""))),LEFT(IFERROR(INDEX($D:$D,MATCH(A29,$A:$A,0)),""),FIND(",",IFERROR(INDEX($D:$D,MATCH(A29,$A:$A,0)),""))-1),IFERROR(INDEX($D:$D,MATCH(A29,$A:$A,0)),"")))))</f>
        <v/>
      </c>
      <c r="W29" s="34" t="str">
        <f aca="false">IF(V29="","",IF(IFERROR(INDEX($D:$D,MATCH(V29,$A:$A,0)),"")="","",TRIM(IF(ISNUMBER(FIND(",",IFERROR(INDEX($D:$D,MATCH(V29,$A:$A,0)),""))),LEFT(IFERROR(INDEX($D:$D,MATCH(V29,$A:$A,0)),""),FIND(",",IFERROR(INDEX($D:$D,MATCH(V29,$A:$A,0)),""))-1),IFERROR(INDEX($D:$D,MATCH(V29,$A:$A,0)),"")))))</f>
        <v/>
      </c>
      <c r="X29" s="34" t="str">
        <f aca="false">IF(W29="","",IF(IFERROR(INDEX($D:$D,MATCH(W29,$A:$A,0)),"")="","",TRIM(IF(ISNUMBER(FIND(",",IFERROR(INDEX($D:$D,MATCH(W29,$A:$A,0)),""))),LEFT(IFERROR(INDEX($D:$D,MATCH(W29,$A:$A,0)),""),FIND(",",IFERROR(INDEX($D:$D,MATCH(W29,$A:$A,0)),""))-1),IFERROR(INDEX($D:$D,MATCH(W29,$A:$A,0)),"")))))</f>
        <v/>
      </c>
      <c r="Y29" s="34" t="str">
        <f aca="false">IF(X29="","",IF(IFERROR(INDEX($D:$D,MATCH(X29,$A:$A,0)),"")="","",TRIM(IF(ISNUMBER(FIND(",",IFERROR(INDEX($D:$D,MATCH(X29,$A:$A,0)),""))),LEFT(IFERROR(INDEX($D:$D,MATCH(X29,$A:$A,0)),""),FIND(",",IFERROR(INDEX($D:$D,MATCH(X29,$A:$A,0)),""))-1),IFERROR(INDEX($D:$D,MATCH(X29,$A:$A,0)),"")))))</f>
        <v/>
      </c>
      <c r="Z29" s="34" t="str">
        <f aca="false">IF(AND(A29&lt;&gt;"",L29="Retire"),COUNTIF($L$5:L29,"Retire"),"")</f>
        <v/>
      </c>
      <c r="AA29" s="34" t="str">
        <f aca="false">IF(AND(A29&lt;&gt;"",L29="Build"),COUNTIF($L$5:L29,"Build"),"")</f>
        <v/>
      </c>
      <c r="AB29" s="34" t="str">
        <f aca="false">IF(AND(A29&lt;&gt;"",OR(M29="4+",AND(ISNUMBER(M29),M29&gt;=2))),SUMPRODUCT(($A$5:A29&lt;&gt;"")*(($M$5:M29="4+")+(ISNUMBER($M$5:M29)*($M$5:M29&gt;=2)))),"")</f>
        <v/>
      </c>
      <c r="AC29" s="34" t="str">
        <f aca="false">IF(AND(A29&lt;&gt;"",OR(L29="",L29="Undecided",K29="")),SUMPRODUCT(($A$5:A29&lt;&gt;"")*(($L$5:L29="")+($L$5:L29="Undecided")+($K$5:K29=""))&gt;0*1),"")</f>
        <v/>
      </c>
    </row>
    <row r="30" customFormat="false" ht="15" hidden="false" customHeight="false" outlineLevel="0" collapsed="false">
      <c r="A30" s="29"/>
      <c r="B30" s="30"/>
      <c r="C30" s="30"/>
      <c r="D30" s="30"/>
      <c r="E30" s="30"/>
      <c r="F30" s="30"/>
      <c r="G30" s="30"/>
      <c r="H30" s="30"/>
      <c r="I30" s="30"/>
      <c r="J30" s="30"/>
      <c r="K30" s="30"/>
      <c r="L30" s="30"/>
      <c r="M30" s="20" t="str">
        <f aca="false">IF(A30="","",IF(V30="",0,IF(W30="",1,IF(X30="",2,IF(Y30="",3,"4+")))))</f>
        <v/>
      </c>
      <c r="N30" s="20" t="str">
        <f aca="false">IF(A30="","",A30&amp;IF(V30="",""," &lt;- "&amp;V30&amp;IF(W30="",""," &lt;- "&amp;W30&amp;IF(X30="",""," &lt;- "&amp;X30&amp;IF(Y30="",""," &lt;- "&amp;Y30))))&amp;IF(ISNUMBER(FIND(",",D30))," (+ other parents)",""))</f>
        <v/>
      </c>
      <c r="O30" s="20" t="str">
        <f aca="false">IF(A30="","",COUNTIF(Fields!$D:$D,A30))</f>
        <v/>
      </c>
      <c r="P30" s="20" t="str">
        <f aca="false">IF(A30="","",SUMIF(Fields!$D:$D,A30,Fields!$O:$O))</f>
        <v/>
      </c>
      <c r="Q30" s="30"/>
      <c r="R30" s="30"/>
      <c r="S30" s="30"/>
      <c r="T30" s="30"/>
      <c r="U30" s="30"/>
      <c r="V30" s="34" t="str">
        <f aca="false">IF(A30="","",IF(IFERROR(INDEX($D:$D,MATCH(A30,$A:$A,0)),"")="","",TRIM(IF(ISNUMBER(FIND(",",IFERROR(INDEX($D:$D,MATCH(A30,$A:$A,0)),""))),LEFT(IFERROR(INDEX($D:$D,MATCH(A30,$A:$A,0)),""),FIND(",",IFERROR(INDEX($D:$D,MATCH(A30,$A:$A,0)),""))-1),IFERROR(INDEX($D:$D,MATCH(A30,$A:$A,0)),"")))))</f>
        <v/>
      </c>
      <c r="W30" s="34" t="str">
        <f aca="false">IF(V30="","",IF(IFERROR(INDEX($D:$D,MATCH(V30,$A:$A,0)),"")="","",TRIM(IF(ISNUMBER(FIND(",",IFERROR(INDEX($D:$D,MATCH(V30,$A:$A,0)),""))),LEFT(IFERROR(INDEX($D:$D,MATCH(V30,$A:$A,0)),""),FIND(",",IFERROR(INDEX($D:$D,MATCH(V30,$A:$A,0)),""))-1),IFERROR(INDEX($D:$D,MATCH(V30,$A:$A,0)),"")))))</f>
        <v/>
      </c>
      <c r="X30" s="34" t="str">
        <f aca="false">IF(W30="","",IF(IFERROR(INDEX($D:$D,MATCH(W30,$A:$A,0)),"")="","",TRIM(IF(ISNUMBER(FIND(",",IFERROR(INDEX($D:$D,MATCH(W30,$A:$A,0)),""))),LEFT(IFERROR(INDEX($D:$D,MATCH(W30,$A:$A,0)),""),FIND(",",IFERROR(INDEX($D:$D,MATCH(W30,$A:$A,0)),""))-1),IFERROR(INDEX($D:$D,MATCH(W30,$A:$A,0)),"")))))</f>
        <v/>
      </c>
      <c r="Y30" s="34" t="str">
        <f aca="false">IF(X30="","",IF(IFERROR(INDEX($D:$D,MATCH(X30,$A:$A,0)),"")="","",TRIM(IF(ISNUMBER(FIND(",",IFERROR(INDEX($D:$D,MATCH(X30,$A:$A,0)),""))),LEFT(IFERROR(INDEX($D:$D,MATCH(X30,$A:$A,0)),""),FIND(",",IFERROR(INDEX($D:$D,MATCH(X30,$A:$A,0)),""))-1),IFERROR(INDEX($D:$D,MATCH(X30,$A:$A,0)),"")))))</f>
        <v/>
      </c>
      <c r="Z30" s="34" t="str">
        <f aca="false">IF(AND(A30&lt;&gt;"",L30="Retire"),COUNTIF($L$5:L30,"Retire"),"")</f>
        <v/>
      </c>
      <c r="AA30" s="34" t="str">
        <f aca="false">IF(AND(A30&lt;&gt;"",L30="Build"),COUNTIF($L$5:L30,"Build"),"")</f>
        <v/>
      </c>
      <c r="AB30" s="34" t="str">
        <f aca="false">IF(AND(A30&lt;&gt;"",OR(M30="4+",AND(ISNUMBER(M30),M30&gt;=2))),SUMPRODUCT(($A$5:A30&lt;&gt;"")*(($M$5:M30="4+")+(ISNUMBER($M$5:M30)*($M$5:M30&gt;=2)))),"")</f>
        <v/>
      </c>
      <c r="AC30" s="34" t="str">
        <f aca="false">IF(AND(A30&lt;&gt;"",OR(L30="",L30="Undecided",K30="")),SUMPRODUCT(($A$5:A30&lt;&gt;"")*(($L$5:L30="")+($L$5:L30="Undecided")+($K$5:K30=""))&gt;0*1),"")</f>
        <v/>
      </c>
    </row>
    <row r="31" customFormat="false" ht="15" hidden="false" customHeight="false" outlineLevel="0" collapsed="false">
      <c r="A31" s="29"/>
      <c r="B31" s="30"/>
      <c r="C31" s="30"/>
      <c r="D31" s="30"/>
      <c r="E31" s="30"/>
      <c r="F31" s="30"/>
      <c r="G31" s="30"/>
      <c r="H31" s="30"/>
      <c r="I31" s="30"/>
      <c r="J31" s="30"/>
      <c r="K31" s="30"/>
      <c r="L31" s="30"/>
      <c r="M31" s="20" t="str">
        <f aca="false">IF(A31="","",IF(V31="",0,IF(W31="",1,IF(X31="",2,IF(Y31="",3,"4+")))))</f>
        <v/>
      </c>
      <c r="N31" s="20" t="str">
        <f aca="false">IF(A31="","",A31&amp;IF(V31="",""," &lt;- "&amp;V31&amp;IF(W31="",""," &lt;- "&amp;W31&amp;IF(X31="",""," &lt;- "&amp;X31&amp;IF(Y31="",""," &lt;- "&amp;Y31))))&amp;IF(ISNUMBER(FIND(",",D31))," (+ other parents)",""))</f>
        <v/>
      </c>
      <c r="O31" s="20" t="str">
        <f aca="false">IF(A31="","",COUNTIF(Fields!$D:$D,A31))</f>
        <v/>
      </c>
      <c r="P31" s="20" t="str">
        <f aca="false">IF(A31="","",SUMIF(Fields!$D:$D,A31,Fields!$O:$O))</f>
        <v/>
      </c>
      <c r="Q31" s="30"/>
      <c r="R31" s="30"/>
      <c r="S31" s="30"/>
      <c r="T31" s="30"/>
      <c r="U31" s="30"/>
      <c r="V31" s="34" t="str">
        <f aca="false">IF(A31="","",IF(IFERROR(INDEX($D:$D,MATCH(A31,$A:$A,0)),"")="","",TRIM(IF(ISNUMBER(FIND(",",IFERROR(INDEX($D:$D,MATCH(A31,$A:$A,0)),""))),LEFT(IFERROR(INDEX($D:$D,MATCH(A31,$A:$A,0)),""),FIND(",",IFERROR(INDEX($D:$D,MATCH(A31,$A:$A,0)),""))-1),IFERROR(INDEX($D:$D,MATCH(A31,$A:$A,0)),"")))))</f>
        <v/>
      </c>
      <c r="W31" s="34" t="str">
        <f aca="false">IF(V31="","",IF(IFERROR(INDEX($D:$D,MATCH(V31,$A:$A,0)),"")="","",TRIM(IF(ISNUMBER(FIND(",",IFERROR(INDEX($D:$D,MATCH(V31,$A:$A,0)),""))),LEFT(IFERROR(INDEX($D:$D,MATCH(V31,$A:$A,0)),""),FIND(",",IFERROR(INDEX($D:$D,MATCH(V31,$A:$A,0)),""))-1),IFERROR(INDEX($D:$D,MATCH(V31,$A:$A,0)),"")))))</f>
        <v/>
      </c>
      <c r="X31" s="34" t="str">
        <f aca="false">IF(W31="","",IF(IFERROR(INDEX($D:$D,MATCH(W31,$A:$A,0)),"")="","",TRIM(IF(ISNUMBER(FIND(",",IFERROR(INDEX($D:$D,MATCH(W31,$A:$A,0)),""))),LEFT(IFERROR(INDEX($D:$D,MATCH(W31,$A:$A,0)),""),FIND(",",IFERROR(INDEX($D:$D,MATCH(W31,$A:$A,0)),""))-1),IFERROR(INDEX($D:$D,MATCH(W31,$A:$A,0)),"")))))</f>
        <v/>
      </c>
      <c r="Y31" s="34" t="str">
        <f aca="false">IF(X31="","",IF(IFERROR(INDEX($D:$D,MATCH(X31,$A:$A,0)),"")="","",TRIM(IF(ISNUMBER(FIND(",",IFERROR(INDEX($D:$D,MATCH(X31,$A:$A,0)),""))),LEFT(IFERROR(INDEX($D:$D,MATCH(X31,$A:$A,0)),""),FIND(",",IFERROR(INDEX($D:$D,MATCH(X31,$A:$A,0)),""))-1),IFERROR(INDEX($D:$D,MATCH(X31,$A:$A,0)),"")))))</f>
        <v/>
      </c>
      <c r="Z31" s="34" t="str">
        <f aca="false">IF(AND(A31&lt;&gt;"",L31="Retire"),COUNTIF($L$5:L31,"Retire"),"")</f>
        <v/>
      </c>
      <c r="AA31" s="34" t="str">
        <f aca="false">IF(AND(A31&lt;&gt;"",L31="Build"),COUNTIF($L$5:L31,"Build"),"")</f>
        <v/>
      </c>
      <c r="AB31" s="34" t="str">
        <f aca="false">IF(AND(A31&lt;&gt;"",OR(M31="4+",AND(ISNUMBER(M31),M31&gt;=2))),SUMPRODUCT(($A$5:A31&lt;&gt;"")*(($M$5:M31="4+")+(ISNUMBER($M$5:M31)*($M$5:M31&gt;=2)))),"")</f>
        <v/>
      </c>
      <c r="AC31" s="34" t="str">
        <f aca="false">IF(AND(A31&lt;&gt;"",OR(L31="",L31="Undecided",K31="")),SUMPRODUCT(($A$5:A31&lt;&gt;"")*(($L$5:L31="")+($L$5:L31="Undecided")+($K$5:K31=""))&gt;0*1),"")</f>
        <v/>
      </c>
    </row>
    <row r="32" customFormat="false" ht="15" hidden="false" customHeight="false" outlineLevel="0" collapsed="false">
      <c r="A32" s="29"/>
      <c r="B32" s="30"/>
      <c r="C32" s="30"/>
      <c r="D32" s="30"/>
      <c r="E32" s="30"/>
      <c r="F32" s="30"/>
      <c r="G32" s="30"/>
      <c r="H32" s="30"/>
      <c r="I32" s="30"/>
      <c r="J32" s="30"/>
      <c r="K32" s="30"/>
      <c r="L32" s="30"/>
      <c r="M32" s="20" t="str">
        <f aca="false">IF(A32="","",IF(V32="",0,IF(W32="",1,IF(X32="",2,IF(Y32="",3,"4+")))))</f>
        <v/>
      </c>
      <c r="N32" s="20" t="str">
        <f aca="false">IF(A32="","",A32&amp;IF(V32="",""," &lt;- "&amp;V32&amp;IF(W32="",""," &lt;- "&amp;W32&amp;IF(X32="",""," &lt;- "&amp;X32&amp;IF(Y32="",""," &lt;- "&amp;Y32))))&amp;IF(ISNUMBER(FIND(",",D32))," (+ other parents)",""))</f>
        <v/>
      </c>
      <c r="O32" s="20" t="str">
        <f aca="false">IF(A32="","",COUNTIF(Fields!$D:$D,A32))</f>
        <v/>
      </c>
      <c r="P32" s="20" t="str">
        <f aca="false">IF(A32="","",SUMIF(Fields!$D:$D,A32,Fields!$O:$O))</f>
        <v/>
      </c>
      <c r="Q32" s="30"/>
      <c r="R32" s="30"/>
      <c r="S32" s="30"/>
      <c r="T32" s="30"/>
      <c r="U32" s="30"/>
      <c r="V32" s="34" t="str">
        <f aca="false">IF(A32="","",IF(IFERROR(INDEX($D:$D,MATCH(A32,$A:$A,0)),"")="","",TRIM(IF(ISNUMBER(FIND(",",IFERROR(INDEX($D:$D,MATCH(A32,$A:$A,0)),""))),LEFT(IFERROR(INDEX($D:$D,MATCH(A32,$A:$A,0)),""),FIND(",",IFERROR(INDEX($D:$D,MATCH(A32,$A:$A,0)),""))-1),IFERROR(INDEX($D:$D,MATCH(A32,$A:$A,0)),"")))))</f>
        <v/>
      </c>
      <c r="W32" s="34" t="str">
        <f aca="false">IF(V32="","",IF(IFERROR(INDEX($D:$D,MATCH(V32,$A:$A,0)),"")="","",TRIM(IF(ISNUMBER(FIND(",",IFERROR(INDEX($D:$D,MATCH(V32,$A:$A,0)),""))),LEFT(IFERROR(INDEX($D:$D,MATCH(V32,$A:$A,0)),""),FIND(",",IFERROR(INDEX($D:$D,MATCH(V32,$A:$A,0)),""))-1),IFERROR(INDEX($D:$D,MATCH(V32,$A:$A,0)),"")))))</f>
        <v/>
      </c>
      <c r="X32" s="34" t="str">
        <f aca="false">IF(W32="","",IF(IFERROR(INDEX($D:$D,MATCH(W32,$A:$A,0)),"")="","",TRIM(IF(ISNUMBER(FIND(",",IFERROR(INDEX($D:$D,MATCH(W32,$A:$A,0)),""))),LEFT(IFERROR(INDEX($D:$D,MATCH(W32,$A:$A,0)),""),FIND(",",IFERROR(INDEX($D:$D,MATCH(W32,$A:$A,0)),""))-1),IFERROR(INDEX($D:$D,MATCH(W32,$A:$A,0)),"")))))</f>
        <v/>
      </c>
      <c r="Y32" s="34" t="str">
        <f aca="false">IF(X32="","",IF(IFERROR(INDEX($D:$D,MATCH(X32,$A:$A,0)),"")="","",TRIM(IF(ISNUMBER(FIND(",",IFERROR(INDEX($D:$D,MATCH(X32,$A:$A,0)),""))),LEFT(IFERROR(INDEX($D:$D,MATCH(X32,$A:$A,0)),""),FIND(",",IFERROR(INDEX($D:$D,MATCH(X32,$A:$A,0)),""))-1),IFERROR(INDEX($D:$D,MATCH(X32,$A:$A,0)),"")))))</f>
        <v/>
      </c>
      <c r="Z32" s="34" t="str">
        <f aca="false">IF(AND(A32&lt;&gt;"",L32="Retire"),COUNTIF($L$5:L32,"Retire"),"")</f>
        <v/>
      </c>
      <c r="AA32" s="34" t="str">
        <f aca="false">IF(AND(A32&lt;&gt;"",L32="Build"),COUNTIF($L$5:L32,"Build"),"")</f>
        <v/>
      </c>
      <c r="AB32" s="34" t="str">
        <f aca="false">IF(AND(A32&lt;&gt;"",OR(M32="4+",AND(ISNUMBER(M32),M32&gt;=2))),SUMPRODUCT(($A$5:A32&lt;&gt;"")*(($M$5:M32="4+")+(ISNUMBER($M$5:M32)*($M$5:M32&gt;=2)))),"")</f>
        <v/>
      </c>
      <c r="AC32" s="34" t="str">
        <f aca="false">IF(AND(A32&lt;&gt;"",OR(L32="",L32="Undecided",K32="")),SUMPRODUCT(($A$5:A32&lt;&gt;"")*(($L$5:L32="")+($L$5:L32="Undecided")+($K$5:K32=""))&gt;0*1),"")</f>
        <v/>
      </c>
    </row>
    <row r="33" customFormat="false" ht="15" hidden="false" customHeight="false" outlineLevel="0" collapsed="false">
      <c r="A33" s="29"/>
      <c r="B33" s="30"/>
      <c r="C33" s="30"/>
      <c r="D33" s="30"/>
      <c r="E33" s="30"/>
      <c r="F33" s="30"/>
      <c r="G33" s="30"/>
      <c r="H33" s="30"/>
      <c r="I33" s="30"/>
      <c r="J33" s="30"/>
      <c r="K33" s="30"/>
      <c r="L33" s="30"/>
      <c r="M33" s="20" t="str">
        <f aca="false">IF(A33="","",IF(V33="",0,IF(W33="",1,IF(X33="",2,IF(Y33="",3,"4+")))))</f>
        <v/>
      </c>
      <c r="N33" s="20" t="str">
        <f aca="false">IF(A33="","",A33&amp;IF(V33="",""," &lt;- "&amp;V33&amp;IF(W33="",""," &lt;- "&amp;W33&amp;IF(X33="",""," &lt;- "&amp;X33&amp;IF(Y33="",""," &lt;- "&amp;Y33))))&amp;IF(ISNUMBER(FIND(",",D33))," (+ other parents)",""))</f>
        <v/>
      </c>
      <c r="O33" s="20" t="str">
        <f aca="false">IF(A33="","",COUNTIF(Fields!$D:$D,A33))</f>
        <v/>
      </c>
      <c r="P33" s="20" t="str">
        <f aca="false">IF(A33="","",SUMIF(Fields!$D:$D,A33,Fields!$O:$O))</f>
        <v/>
      </c>
      <c r="Q33" s="30"/>
      <c r="R33" s="30"/>
      <c r="S33" s="30"/>
      <c r="T33" s="30"/>
      <c r="U33" s="30"/>
      <c r="V33" s="34" t="str">
        <f aca="false">IF(A33="","",IF(IFERROR(INDEX($D:$D,MATCH(A33,$A:$A,0)),"")="","",TRIM(IF(ISNUMBER(FIND(",",IFERROR(INDEX($D:$D,MATCH(A33,$A:$A,0)),""))),LEFT(IFERROR(INDEX($D:$D,MATCH(A33,$A:$A,0)),""),FIND(",",IFERROR(INDEX($D:$D,MATCH(A33,$A:$A,0)),""))-1),IFERROR(INDEX($D:$D,MATCH(A33,$A:$A,0)),"")))))</f>
        <v/>
      </c>
      <c r="W33" s="34" t="str">
        <f aca="false">IF(V33="","",IF(IFERROR(INDEX($D:$D,MATCH(V33,$A:$A,0)),"")="","",TRIM(IF(ISNUMBER(FIND(",",IFERROR(INDEX($D:$D,MATCH(V33,$A:$A,0)),""))),LEFT(IFERROR(INDEX($D:$D,MATCH(V33,$A:$A,0)),""),FIND(",",IFERROR(INDEX($D:$D,MATCH(V33,$A:$A,0)),""))-1),IFERROR(INDEX($D:$D,MATCH(V33,$A:$A,0)),"")))))</f>
        <v/>
      </c>
      <c r="X33" s="34" t="str">
        <f aca="false">IF(W33="","",IF(IFERROR(INDEX($D:$D,MATCH(W33,$A:$A,0)),"")="","",TRIM(IF(ISNUMBER(FIND(",",IFERROR(INDEX($D:$D,MATCH(W33,$A:$A,0)),""))),LEFT(IFERROR(INDEX($D:$D,MATCH(W33,$A:$A,0)),""),FIND(",",IFERROR(INDEX($D:$D,MATCH(W33,$A:$A,0)),""))-1),IFERROR(INDEX($D:$D,MATCH(W33,$A:$A,0)),"")))))</f>
        <v/>
      </c>
      <c r="Y33" s="34" t="str">
        <f aca="false">IF(X33="","",IF(IFERROR(INDEX($D:$D,MATCH(X33,$A:$A,0)),"")="","",TRIM(IF(ISNUMBER(FIND(",",IFERROR(INDEX($D:$D,MATCH(X33,$A:$A,0)),""))),LEFT(IFERROR(INDEX($D:$D,MATCH(X33,$A:$A,0)),""),FIND(",",IFERROR(INDEX($D:$D,MATCH(X33,$A:$A,0)),""))-1),IFERROR(INDEX($D:$D,MATCH(X33,$A:$A,0)),"")))))</f>
        <v/>
      </c>
      <c r="Z33" s="34" t="str">
        <f aca="false">IF(AND(A33&lt;&gt;"",L33="Retire"),COUNTIF($L$5:L33,"Retire"),"")</f>
        <v/>
      </c>
      <c r="AA33" s="34" t="str">
        <f aca="false">IF(AND(A33&lt;&gt;"",L33="Build"),COUNTIF($L$5:L33,"Build"),"")</f>
        <v/>
      </c>
      <c r="AB33" s="34" t="str">
        <f aca="false">IF(AND(A33&lt;&gt;"",OR(M33="4+",AND(ISNUMBER(M33),M33&gt;=2))),SUMPRODUCT(($A$5:A33&lt;&gt;"")*(($M$5:M33="4+")+(ISNUMBER($M$5:M33)*($M$5:M33&gt;=2)))),"")</f>
        <v/>
      </c>
      <c r="AC33" s="34" t="str">
        <f aca="false">IF(AND(A33&lt;&gt;"",OR(L33="",L33="Undecided",K33="")),SUMPRODUCT(($A$5:A33&lt;&gt;"")*(($L$5:L33="")+($L$5:L33="Undecided")+($K$5:K33=""))&gt;0*1),"")</f>
        <v/>
      </c>
    </row>
    <row r="34" customFormat="false" ht="15" hidden="false" customHeight="false" outlineLevel="0" collapsed="false">
      <c r="A34" s="29"/>
      <c r="B34" s="30"/>
      <c r="C34" s="30"/>
      <c r="D34" s="30"/>
      <c r="E34" s="30"/>
      <c r="F34" s="30"/>
      <c r="G34" s="30"/>
      <c r="H34" s="30"/>
      <c r="I34" s="30"/>
      <c r="J34" s="30"/>
      <c r="K34" s="30"/>
      <c r="L34" s="30"/>
      <c r="M34" s="20" t="str">
        <f aca="false">IF(A34="","",IF(V34="",0,IF(W34="",1,IF(X34="",2,IF(Y34="",3,"4+")))))</f>
        <v/>
      </c>
      <c r="N34" s="20" t="str">
        <f aca="false">IF(A34="","",A34&amp;IF(V34="",""," &lt;- "&amp;V34&amp;IF(W34="",""," &lt;- "&amp;W34&amp;IF(X34="",""," &lt;- "&amp;X34&amp;IF(Y34="",""," &lt;- "&amp;Y34))))&amp;IF(ISNUMBER(FIND(",",D34))," (+ other parents)",""))</f>
        <v/>
      </c>
      <c r="O34" s="20" t="str">
        <f aca="false">IF(A34="","",COUNTIF(Fields!$D:$D,A34))</f>
        <v/>
      </c>
      <c r="P34" s="20" t="str">
        <f aca="false">IF(A34="","",SUMIF(Fields!$D:$D,A34,Fields!$O:$O))</f>
        <v/>
      </c>
      <c r="Q34" s="30"/>
      <c r="R34" s="30"/>
      <c r="S34" s="30"/>
      <c r="T34" s="30"/>
      <c r="U34" s="30"/>
      <c r="V34" s="34" t="str">
        <f aca="false">IF(A34="","",IF(IFERROR(INDEX($D:$D,MATCH(A34,$A:$A,0)),"")="","",TRIM(IF(ISNUMBER(FIND(",",IFERROR(INDEX($D:$D,MATCH(A34,$A:$A,0)),""))),LEFT(IFERROR(INDEX($D:$D,MATCH(A34,$A:$A,0)),""),FIND(",",IFERROR(INDEX($D:$D,MATCH(A34,$A:$A,0)),""))-1),IFERROR(INDEX($D:$D,MATCH(A34,$A:$A,0)),"")))))</f>
        <v/>
      </c>
      <c r="W34" s="34" t="str">
        <f aca="false">IF(V34="","",IF(IFERROR(INDEX($D:$D,MATCH(V34,$A:$A,0)),"")="","",TRIM(IF(ISNUMBER(FIND(",",IFERROR(INDEX($D:$D,MATCH(V34,$A:$A,0)),""))),LEFT(IFERROR(INDEX($D:$D,MATCH(V34,$A:$A,0)),""),FIND(",",IFERROR(INDEX($D:$D,MATCH(V34,$A:$A,0)),""))-1),IFERROR(INDEX($D:$D,MATCH(V34,$A:$A,0)),"")))))</f>
        <v/>
      </c>
      <c r="X34" s="34" t="str">
        <f aca="false">IF(W34="","",IF(IFERROR(INDEX($D:$D,MATCH(W34,$A:$A,0)),"")="","",TRIM(IF(ISNUMBER(FIND(",",IFERROR(INDEX($D:$D,MATCH(W34,$A:$A,0)),""))),LEFT(IFERROR(INDEX($D:$D,MATCH(W34,$A:$A,0)),""),FIND(",",IFERROR(INDEX($D:$D,MATCH(W34,$A:$A,0)),""))-1),IFERROR(INDEX($D:$D,MATCH(W34,$A:$A,0)),"")))))</f>
        <v/>
      </c>
      <c r="Y34" s="34" t="str">
        <f aca="false">IF(X34="","",IF(IFERROR(INDEX($D:$D,MATCH(X34,$A:$A,0)),"")="","",TRIM(IF(ISNUMBER(FIND(",",IFERROR(INDEX($D:$D,MATCH(X34,$A:$A,0)),""))),LEFT(IFERROR(INDEX($D:$D,MATCH(X34,$A:$A,0)),""),FIND(",",IFERROR(INDEX($D:$D,MATCH(X34,$A:$A,0)),""))-1),IFERROR(INDEX($D:$D,MATCH(X34,$A:$A,0)),"")))))</f>
        <v/>
      </c>
      <c r="Z34" s="34" t="str">
        <f aca="false">IF(AND(A34&lt;&gt;"",L34="Retire"),COUNTIF($L$5:L34,"Retire"),"")</f>
        <v/>
      </c>
      <c r="AA34" s="34" t="str">
        <f aca="false">IF(AND(A34&lt;&gt;"",L34="Build"),COUNTIF($L$5:L34,"Build"),"")</f>
        <v/>
      </c>
      <c r="AB34" s="34" t="str">
        <f aca="false">IF(AND(A34&lt;&gt;"",OR(M34="4+",AND(ISNUMBER(M34),M34&gt;=2))),SUMPRODUCT(($A$5:A34&lt;&gt;"")*(($M$5:M34="4+")+(ISNUMBER($M$5:M34)*($M$5:M34&gt;=2)))),"")</f>
        <v/>
      </c>
      <c r="AC34" s="34" t="str">
        <f aca="false">IF(AND(A34&lt;&gt;"",OR(L34="",L34="Undecided",K34="")),SUMPRODUCT(($A$5:A34&lt;&gt;"")*(($L$5:L34="")+($L$5:L34="Undecided")+($K$5:K34=""))&gt;0*1),"")</f>
        <v/>
      </c>
    </row>
    <row r="35" customFormat="false" ht="15" hidden="false" customHeight="false" outlineLevel="0" collapsed="false">
      <c r="A35" s="29"/>
      <c r="B35" s="30"/>
      <c r="C35" s="30"/>
      <c r="D35" s="30"/>
      <c r="E35" s="30"/>
      <c r="F35" s="30"/>
      <c r="G35" s="30"/>
      <c r="H35" s="30"/>
      <c r="I35" s="30"/>
      <c r="J35" s="30"/>
      <c r="K35" s="30"/>
      <c r="L35" s="30"/>
      <c r="M35" s="20" t="str">
        <f aca="false">IF(A35="","",IF(V35="",0,IF(W35="",1,IF(X35="",2,IF(Y35="",3,"4+")))))</f>
        <v/>
      </c>
      <c r="N35" s="20" t="str">
        <f aca="false">IF(A35="","",A35&amp;IF(V35="",""," &lt;- "&amp;V35&amp;IF(W35="",""," &lt;- "&amp;W35&amp;IF(X35="",""," &lt;- "&amp;X35&amp;IF(Y35="",""," &lt;- "&amp;Y35))))&amp;IF(ISNUMBER(FIND(",",D35))," (+ other parents)",""))</f>
        <v/>
      </c>
      <c r="O35" s="20" t="str">
        <f aca="false">IF(A35="","",COUNTIF(Fields!$D:$D,A35))</f>
        <v/>
      </c>
      <c r="P35" s="20" t="str">
        <f aca="false">IF(A35="","",SUMIF(Fields!$D:$D,A35,Fields!$O:$O))</f>
        <v/>
      </c>
      <c r="Q35" s="30"/>
      <c r="R35" s="30"/>
      <c r="S35" s="30"/>
      <c r="T35" s="30"/>
      <c r="U35" s="30"/>
      <c r="V35" s="34" t="str">
        <f aca="false">IF(A35="","",IF(IFERROR(INDEX($D:$D,MATCH(A35,$A:$A,0)),"")="","",TRIM(IF(ISNUMBER(FIND(",",IFERROR(INDEX($D:$D,MATCH(A35,$A:$A,0)),""))),LEFT(IFERROR(INDEX($D:$D,MATCH(A35,$A:$A,0)),""),FIND(",",IFERROR(INDEX($D:$D,MATCH(A35,$A:$A,0)),""))-1),IFERROR(INDEX($D:$D,MATCH(A35,$A:$A,0)),"")))))</f>
        <v/>
      </c>
      <c r="W35" s="34" t="str">
        <f aca="false">IF(V35="","",IF(IFERROR(INDEX($D:$D,MATCH(V35,$A:$A,0)),"")="","",TRIM(IF(ISNUMBER(FIND(",",IFERROR(INDEX($D:$D,MATCH(V35,$A:$A,0)),""))),LEFT(IFERROR(INDEX($D:$D,MATCH(V35,$A:$A,0)),""),FIND(",",IFERROR(INDEX($D:$D,MATCH(V35,$A:$A,0)),""))-1),IFERROR(INDEX($D:$D,MATCH(V35,$A:$A,0)),"")))))</f>
        <v/>
      </c>
      <c r="X35" s="34" t="str">
        <f aca="false">IF(W35="","",IF(IFERROR(INDEX($D:$D,MATCH(W35,$A:$A,0)),"")="","",TRIM(IF(ISNUMBER(FIND(",",IFERROR(INDEX($D:$D,MATCH(W35,$A:$A,0)),""))),LEFT(IFERROR(INDEX($D:$D,MATCH(W35,$A:$A,0)),""),FIND(",",IFERROR(INDEX($D:$D,MATCH(W35,$A:$A,0)),""))-1),IFERROR(INDEX($D:$D,MATCH(W35,$A:$A,0)),"")))))</f>
        <v/>
      </c>
      <c r="Y35" s="34" t="str">
        <f aca="false">IF(X35="","",IF(IFERROR(INDEX($D:$D,MATCH(X35,$A:$A,0)),"")="","",TRIM(IF(ISNUMBER(FIND(",",IFERROR(INDEX($D:$D,MATCH(X35,$A:$A,0)),""))),LEFT(IFERROR(INDEX($D:$D,MATCH(X35,$A:$A,0)),""),FIND(",",IFERROR(INDEX($D:$D,MATCH(X35,$A:$A,0)),""))-1),IFERROR(INDEX($D:$D,MATCH(X35,$A:$A,0)),"")))))</f>
        <v/>
      </c>
      <c r="Z35" s="34" t="str">
        <f aca="false">IF(AND(A35&lt;&gt;"",L35="Retire"),COUNTIF($L$5:L35,"Retire"),"")</f>
        <v/>
      </c>
      <c r="AA35" s="34" t="str">
        <f aca="false">IF(AND(A35&lt;&gt;"",L35="Build"),COUNTIF($L$5:L35,"Build"),"")</f>
        <v/>
      </c>
      <c r="AB35" s="34" t="str">
        <f aca="false">IF(AND(A35&lt;&gt;"",OR(M35="4+",AND(ISNUMBER(M35),M35&gt;=2))),SUMPRODUCT(($A$5:A35&lt;&gt;"")*(($M$5:M35="4+")+(ISNUMBER($M$5:M35)*($M$5:M35&gt;=2)))),"")</f>
        <v/>
      </c>
      <c r="AC35" s="34" t="str">
        <f aca="false">IF(AND(A35&lt;&gt;"",OR(L35="",L35="Undecided",K35="")),SUMPRODUCT(($A$5:A35&lt;&gt;"")*(($L$5:L35="")+($L$5:L35="Undecided")+($K$5:K35=""))&gt;0*1),"")</f>
        <v/>
      </c>
    </row>
    <row r="36" customFormat="false" ht="15" hidden="false" customHeight="false" outlineLevel="0" collapsed="false">
      <c r="A36" s="29"/>
      <c r="B36" s="30"/>
      <c r="C36" s="30"/>
      <c r="D36" s="30"/>
      <c r="E36" s="30"/>
      <c r="F36" s="30"/>
      <c r="G36" s="30"/>
      <c r="H36" s="30"/>
      <c r="I36" s="30"/>
      <c r="J36" s="30"/>
      <c r="K36" s="30"/>
      <c r="L36" s="30"/>
      <c r="M36" s="20" t="str">
        <f aca="false">IF(A36="","",IF(V36="",0,IF(W36="",1,IF(X36="",2,IF(Y36="",3,"4+")))))</f>
        <v/>
      </c>
      <c r="N36" s="20" t="str">
        <f aca="false">IF(A36="","",A36&amp;IF(V36="",""," &lt;- "&amp;V36&amp;IF(W36="",""," &lt;- "&amp;W36&amp;IF(X36="",""," &lt;- "&amp;X36&amp;IF(Y36="",""," &lt;- "&amp;Y36))))&amp;IF(ISNUMBER(FIND(",",D36))," (+ other parents)",""))</f>
        <v/>
      </c>
      <c r="O36" s="20" t="str">
        <f aca="false">IF(A36="","",COUNTIF(Fields!$D:$D,A36))</f>
        <v/>
      </c>
      <c r="P36" s="20" t="str">
        <f aca="false">IF(A36="","",SUMIF(Fields!$D:$D,A36,Fields!$O:$O))</f>
        <v/>
      </c>
      <c r="Q36" s="30"/>
      <c r="R36" s="30"/>
      <c r="S36" s="30"/>
      <c r="T36" s="30"/>
      <c r="U36" s="30"/>
      <c r="V36" s="34" t="str">
        <f aca="false">IF(A36="","",IF(IFERROR(INDEX($D:$D,MATCH(A36,$A:$A,0)),"")="","",TRIM(IF(ISNUMBER(FIND(",",IFERROR(INDEX($D:$D,MATCH(A36,$A:$A,0)),""))),LEFT(IFERROR(INDEX($D:$D,MATCH(A36,$A:$A,0)),""),FIND(",",IFERROR(INDEX($D:$D,MATCH(A36,$A:$A,0)),""))-1),IFERROR(INDEX($D:$D,MATCH(A36,$A:$A,0)),"")))))</f>
        <v/>
      </c>
      <c r="W36" s="34" t="str">
        <f aca="false">IF(V36="","",IF(IFERROR(INDEX($D:$D,MATCH(V36,$A:$A,0)),"")="","",TRIM(IF(ISNUMBER(FIND(",",IFERROR(INDEX($D:$D,MATCH(V36,$A:$A,0)),""))),LEFT(IFERROR(INDEX($D:$D,MATCH(V36,$A:$A,0)),""),FIND(",",IFERROR(INDEX($D:$D,MATCH(V36,$A:$A,0)),""))-1),IFERROR(INDEX($D:$D,MATCH(V36,$A:$A,0)),"")))))</f>
        <v/>
      </c>
      <c r="X36" s="34" t="str">
        <f aca="false">IF(W36="","",IF(IFERROR(INDEX($D:$D,MATCH(W36,$A:$A,0)),"")="","",TRIM(IF(ISNUMBER(FIND(",",IFERROR(INDEX($D:$D,MATCH(W36,$A:$A,0)),""))),LEFT(IFERROR(INDEX($D:$D,MATCH(W36,$A:$A,0)),""),FIND(",",IFERROR(INDEX($D:$D,MATCH(W36,$A:$A,0)),""))-1),IFERROR(INDEX($D:$D,MATCH(W36,$A:$A,0)),"")))))</f>
        <v/>
      </c>
      <c r="Y36" s="34" t="str">
        <f aca="false">IF(X36="","",IF(IFERROR(INDEX($D:$D,MATCH(X36,$A:$A,0)),"")="","",TRIM(IF(ISNUMBER(FIND(",",IFERROR(INDEX($D:$D,MATCH(X36,$A:$A,0)),""))),LEFT(IFERROR(INDEX($D:$D,MATCH(X36,$A:$A,0)),""),FIND(",",IFERROR(INDEX($D:$D,MATCH(X36,$A:$A,0)),""))-1),IFERROR(INDEX($D:$D,MATCH(X36,$A:$A,0)),"")))))</f>
        <v/>
      </c>
      <c r="Z36" s="34" t="str">
        <f aca="false">IF(AND(A36&lt;&gt;"",L36="Retire"),COUNTIF($L$5:L36,"Retire"),"")</f>
        <v/>
      </c>
      <c r="AA36" s="34" t="str">
        <f aca="false">IF(AND(A36&lt;&gt;"",L36="Build"),COUNTIF($L$5:L36,"Build"),"")</f>
        <v/>
      </c>
      <c r="AB36" s="34" t="str">
        <f aca="false">IF(AND(A36&lt;&gt;"",OR(M36="4+",AND(ISNUMBER(M36),M36&gt;=2))),SUMPRODUCT(($A$5:A36&lt;&gt;"")*(($M$5:M36="4+")+(ISNUMBER($M$5:M36)*($M$5:M36&gt;=2)))),"")</f>
        <v/>
      </c>
      <c r="AC36" s="34" t="str">
        <f aca="false">IF(AND(A36&lt;&gt;"",OR(L36="",L36="Undecided",K36="")),SUMPRODUCT(($A$5:A36&lt;&gt;"")*(($L$5:L36="")+($L$5:L36="Undecided")+($K$5:K36=""))&gt;0*1),"")</f>
        <v/>
      </c>
    </row>
    <row r="37" customFormat="false" ht="15" hidden="false" customHeight="false" outlineLevel="0" collapsed="false">
      <c r="A37" s="29"/>
      <c r="B37" s="30"/>
      <c r="C37" s="30"/>
      <c r="D37" s="30"/>
      <c r="E37" s="30"/>
      <c r="F37" s="30"/>
      <c r="G37" s="30"/>
      <c r="H37" s="30"/>
      <c r="I37" s="30"/>
      <c r="J37" s="30"/>
      <c r="K37" s="30"/>
      <c r="L37" s="30"/>
      <c r="M37" s="20" t="str">
        <f aca="false">IF(A37="","",IF(V37="",0,IF(W37="",1,IF(X37="",2,IF(Y37="",3,"4+")))))</f>
        <v/>
      </c>
      <c r="N37" s="20" t="str">
        <f aca="false">IF(A37="","",A37&amp;IF(V37="",""," &lt;- "&amp;V37&amp;IF(W37="",""," &lt;- "&amp;W37&amp;IF(X37="",""," &lt;- "&amp;X37&amp;IF(Y37="",""," &lt;- "&amp;Y37))))&amp;IF(ISNUMBER(FIND(",",D37))," (+ other parents)",""))</f>
        <v/>
      </c>
      <c r="O37" s="20" t="str">
        <f aca="false">IF(A37="","",COUNTIF(Fields!$D:$D,A37))</f>
        <v/>
      </c>
      <c r="P37" s="20" t="str">
        <f aca="false">IF(A37="","",SUMIF(Fields!$D:$D,A37,Fields!$O:$O))</f>
        <v/>
      </c>
      <c r="Q37" s="30"/>
      <c r="R37" s="30"/>
      <c r="S37" s="30"/>
      <c r="T37" s="30"/>
      <c r="U37" s="30"/>
      <c r="V37" s="34" t="str">
        <f aca="false">IF(A37="","",IF(IFERROR(INDEX($D:$D,MATCH(A37,$A:$A,0)),"")="","",TRIM(IF(ISNUMBER(FIND(",",IFERROR(INDEX($D:$D,MATCH(A37,$A:$A,0)),""))),LEFT(IFERROR(INDEX($D:$D,MATCH(A37,$A:$A,0)),""),FIND(",",IFERROR(INDEX($D:$D,MATCH(A37,$A:$A,0)),""))-1),IFERROR(INDEX($D:$D,MATCH(A37,$A:$A,0)),"")))))</f>
        <v/>
      </c>
      <c r="W37" s="34" t="str">
        <f aca="false">IF(V37="","",IF(IFERROR(INDEX($D:$D,MATCH(V37,$A:$A,0)),"")="","",TRIM(IF(ISNUMBER(FIND(",",IFERROR(INDEX($D:$D,MATCH(V37,$A:$A,0)),""))),LEFT(IFERROR(INDEX($D:$D,MATCH(V37,$A:$A,0)),""),FIND(",",IFERROR(INDEX($D:$D,MATCH(V37,$A:$A,0)),""))-1),IFERROR(INDEX($D:$D,MATCH(V37,$A:$A,0)),"")))))</f>
        <v/>
      </c>
      <c r="X37" s="34" t="str">
        <f aca="false">IF(W37="","",IF(IFERROR(INDEX($D:$D,MATCH(W37,$A:$A,0)),"")="","",TRIM(IF(ISNUMBER(FIND(",",IFERROR(INDEX($D:$D,MATCH(W37,$A:$A,0)),""))),LEFT(IFERROR(INDEX($D:$D,MATCH(W37,$A:$A,0)),""),FIND(",",IFERROR(INDEX($D:$D,MATCH(W37,$A:$A,0)),""))-1),IFERROR(INDEX($D:$D,MATCH(W37,$A:$A,0)),"")))))</f>
        <v/>
      </c>
      <c r="Y37" s="34" t="str">
        <f aca="false">IF(X37="","",IF(IFERROR(INDEX($D:$D,MATCH(X37,$A:$A,0)),"")="","",TRIM(IF(ISNUMBER(FIND(",",IFERROR(INDEX($D:$D,MATCH(X37,$A:$A,0)),""))),LEFT(IFERROR(INDEX($D:$D,MATCH(X37,$A:$A,0)),""),FIND(",",IFERROR(INDEX($D:$D,MATCH(X37,$A:$A,0)),""))-1),IFERROR(INDEX($D:$D,MATCH(X37,$A:$A,0)),"")))))</f>
        <v/>
      </c>
      <c r="Z37" s="34" t="str">
        <f aca="false">IF(AND(A37&lt;&gt;"",L37="Retire"),COUNTIF($L$5:L37,"Retire"),"")</f>
        <v/>
      </c>
      <c r="AA37" s="34" t="str">
        <f aca="false">IF(AND(A37&lt;&gt;"",L37="Build"),COUNTIF($L$5:L37,"Build"),"")</f>
        <v/>
      </c>
      <c r="AB37" s="34" t="str">
        <f aca="false">IF(AND(A37&lt;&gt;"",OR(M37="4+",AND(ISNUMBER(M37),M37&gt;=2))),SUMPRODUCT(($A$5:A37&lt;&gt;"")*(($M$5:M37="4+")+(ISNUMBER($M$5:M37)*($M$5:M37&gt;=2)))),"")</f>
        <v/>
      </c>
      <c r="AC37" s="34" t="str">
        <f aca="false">IF(AND(A37&lt;&gt;"",OR(L37="",L37="Undecided",K37="")),SUMPRODUCT(($A$5:A37&lt;&gt;"")*(($L$5:L37="")+($L$5:L37="Undecided")+($K$5:K37=""))&gt;0*1),"")</f>
        <v/>
      </c>
    </row>
    <row r="38" customFormat="false" ht="15" hidden="false" customHeight="false" outlineLevel="0" collapsed="false">
      <c r="A38" s="29"/>
      <c r="B38" s="30"/>
      <c r="C38" s="30"/>
      <c r="D38" s="30"/>
      <c r="E38" s="30"/>
      <c r="F38" s="30"/>
      <c r="G38" s="30"/>
      <c r="H38" s="30"/>
      <c r="I38" s="30"/>
      <c r="J38" s="30"/>
      <c r="K38" s="30"/>
      <c r="L38" s="30"/>
      <c r="M38" s="20" t="str">
        <f aca="false">IF(A38="","",IF(V38="",0,IF(W38="",1,IF(X38="",2,IF(Y38="",3,"4+")))))</f>
        <v/>
      </c>
      <c r="N38" s="20" t="str">
        <f aca="false">IF(A38="","",A38&amp;IF(V38="",""," &lt;- "&amp;V38&amp;IF(W38="",""," &lt;- "&amp;W38&amp;IF(X38="",""," &lt;- "&amp;X38&amp;IF(Y38="",""," &lt;- "&amp;Y38))))&amp;IF(ISNUMBER(FIND(",",D38))," (+ other parents)",""))</f>
        <v/>
      </c>
      <c r="O38" s="20" t="str">
        <f aca="false">IF(A38="","",COUNTIF(Fields!$D:$D,A38))</f>
        <v/>
      </c>
      <c r="P38" s="20" t="str">
        <f aca="false">IF(A38="","",SUMIF(Fields!$D:$D,A38,Fields!$O:$O))</f>
        <v/>
      </c>
      <c r="Q38" s="30"/>
      <c r="R38" s="30"/>
      <c r="S38" s="30"/>
      <c r="T38" s="30"/>
      <c r="U38" s="30"/>
      <c r="V38" s="34" t="str">
        <f aca="false">IF(A38="","",IF(IFERROR(INDEX($D:$D,MATCH(A38,$A:$A,0)),"")="","",TRIM(IF(ISNUMBER(FIND(",",IFERROR(INDEX($D:$D,MATCH(A38,$A:$A,0)),""))),LEFT(IFERROR(INDEX($D:$D,MATCH(A38,$A:$A,0)),""),FIND(",",IFERROR(INDEX($D:$D,MATCH(A38,$A:$A,0)),""))-1),IFERROR(INDEX($D:$D,MATCH(A38,$A:$A,0)),"")))))</f>
        <v/>
      </c>
      <c r="W38" s="34" t="str">
        <f aca="false">IF(V38="","",IF(IFERROR(INDEX($D:$D,MATCH(V38,$A:$A,0)),"")="","",TRIM(IF(ISNUMBER(FIND(",",IFERROR(INDEX($D:$D,MATCH(V38,$A:$A,0)),""))),LEFT(IFERROR(INDEX($D:$D,MATCH(V38,$A:$A,0)),""),FIND(",",IFERROR(INDEX($D:$D,MATCH(V38,$A:$A,0)),""))-1),IFERROR(INDEX($D:$D,MATCH(V38,$A:$A,0)),"")))))</f>
        <v/>
      </c>
      <c r="X38" s="34" t="str">
        <f aca="false">IF(W38="","",IF(IFERROR(INDEX($D:$D,MATCH(W38,$A:$A,0)),"")="","",TRIM(IF(ISNUMBER(FIND(",",IFERROR(INDEX($D:$D,MATCH(W38,$A:$A,0)),""))),LEFT(IFERROR(INDEX($D:$D,MATCH(W38,$A:$A,0)),""),FIND(",",IFERROR(INDEX($D:$D,MATCH(W38,$A:$A,0)),""))-1),IFERROR(INDEX($D:$D,MATCH(W38,$A:$A,0)),"")))))</f>
        <v/>
      </c>
      <c r="Y38" s="34" t="str">
        <f aca="false">IF(X38="","",IF(IFERROR(INDEX($D:$D,MATCH(X38,$A:$A,0)),"")="","",TRIM(IF(ISNUMBER(FIND(",",IFERROR(INDEX($D:$D,MATCH(X38,$A:$A,0)),""))),LEFT(IFERROR(INDEX($D:$D,MATCH(X38,$A:$A,0)),""),FIND(",",IFERROR(INDEX($D:$D,MATCH(X38,$A:$A,0)),""))-1),IFERROR(INDEX($D:$D,MATCH(X38,$A:$A,0)),"")))))</f>
        <v/>
      </c>
      <c r="Z38" s="34" t="str">
        <f aca="false">IF(AND(A38&lt;&gt;"",L38="Retire"),COUNTIF($L$5:L38,"Retire"),"")</f>
        <v/>
      </c>
      <c r="AA38" s="34" t="str">
        <f aca="false">IF(AND(A38&lt;&gt;"",L38="Build"),COUNTIF($L$5:L38,"Build"),"")</f>
        <v/>
      </c>
      <c r="AB38" s="34" t="str">
        <f aca="false">IF(AND(A38&lt;&gt;"",OR(M38="4+",AND(ISNUMBER(M38),M38&gt;=2))),SUMPRODUCT(($A$5:A38&lt;&gt;"")*(($M$5:M38="4+")+(ISNUMBER($M$5:M38)*($M$5:M38&gt;=2)))),"")</f>
        <v/>
      </c>
      <c r="AC38" s="34" t="str">
        <f aca="false">IF(AND(A38&lt;&gt;"",OR(L38="",L38="Undecided",K38="")),SUMPRODUCT(($A$5:A38&lt;&gt;"")*(($L$5:L38="")+($L$5:L38="Undecided")+($K$5:K38=""))&gt;0*1),"")</f>
        <v/>
      </c>
    </row>
    <row r="39" customFormat="false" ht="15" hidden="false" customHeight="false" outlineLevel="0" collapsed="false">
      <c r="A39" s="29"/>
      <c r="B39" s="30"/>
      <c r="C39" s="30"/>
      <c r="D39" s="30"/>
      <c r="E39" s="30"/>
      <c r="F39" s="30"/>
      <c r="G39" s="30"/>
      <c r="H39" s="30"/>
      <c r="I39" s="30"/>
      <c r="J39" s="30"/>
      <c r="K39" s="30"/>
      <c r="L39" s="30"/>
      <c r="M39" s="20" t="str">
        <f aca="false">IF(A39="","",IF(V39="",0,IF(W39="",1,IF(X39="",2,IF(Y39="",3,"4+")))))</f>
        <v/>
      </c>
      <c r="N39" s="20" t="str">
        <f aca="false">IF(A39="","",A39&amp;IF(V39="",""," &lt;- "&amp;V39&amp;IF(W39="",""," &lt;- "&amp;W39&amp;IF(X39="",""," &lt;- "&amp;X39&amp;IF(Y39="",""," &lt;- "&amp;Y39))))&amp;IF(ISNUMBER(FIND(",",D39))," (+ other parents)",""))</f>
        <v/>
      </c>
      <c r="O39" s="20" t="str">
        <f aca="false">IF(A39="","",COUNTIF(Fields!$D:$D,A39))</f>
        <v/>
      </c>
      <c r="P39" s="20" t="str">
        <f aca="false">IF(A39="","",SUMIF(Fields!$D:$D,A39,Fields!$O:$O))</f>
        <v/>
      </c>
      <c r="Q39" s="30"/>
      <c r="R39" s="30"/>
      <c r="S39" s="30"/>
      <c r="T39" s="30"/>
      <c r="U39" s="30"/>
      <c r="V39" s="34" t="str">
        <f aca="false">IF(A39="","",IF(IFERROR(INDEX($D:$D,MATCH(A39,$A:$A,0)),"")="","",TRIM(IF(ISNUMBER(FIND(",",IFERROR(INDEX($D:$D,MATCH(A39,$A:$A,0)),""))),LEFT(IFERROR(INDEX($D:$D,MATCH(A39,$A:$A,0)),""),FIND(",",IFERROR(INDEX($D:$D,MATCH(A39,$A:$A,0)),""))-1),IFERROR(INDEX($D:$D,MATCH(A39,$A:$A,0)),"")))))</f>
        <v/>
      </c>
      <c r="W39" s="34" t="str">
        <f aca="false">IF(V39="","",IF(IFERROR(INDEX($D:$D,MATCH(V39,$A:$A,0)),"")="","",TRIM(IF(ISNUMBER(FIND(",",IFERROR(INDEX($D:$D,MATCH(V39,$A:$A,0)),""))),LEFT(IFERROR(INDEX($D:$D,MATCH(V39,$A:$A,0)),""),FIND(",",IFERROR(INDEX($D:$D,MATCH(V39,$A:$A,0)),""))-1),IFERROR(INDEX($D:$D,MATCH(V39,$A:$A,0)),"")))))</f>
        <v/>
      </c>
      <c r="X39" s="34" t="str">
        <f aca="false">IF(W39="","",IF(IFERROR(INDEX($D:$D,MATCH(W39,$A:$A,0)),"")="","",TRIM(IF(ISNUMBER(FIND(",",IFERROR(INDEX($D:$D,MATCH(W39,$A:$A,0)),""))),LEFT(IFERROR(INDEX($D:$D,MATCH(W39,$A:$A,0)),""),FIND(",",IFERROR(INDEX($D:$D,MATCH(W39,$A:$A,0)),""))-1),IFERROR(INDEX($D:$D,MATCH(W39,$A:$A,0)),"")))))</f>
        <v/>
      </c>
      <c r="Y39" s="34" t="str">
        <f aca="false">IF(X39="","",IF(IFERROR(INDEX($D:$D,MATCH(X39,$A:$A,0)),"")="","",TRIM(IF(ISNUMBER(FIND(",",IFERROR(INDEX($D:$D,MATCH(X39,$A:$A,0)),""))),LEFT(IFERROR(INDEX($D:$D,MATCH(X39,$A:$A,0)),""),FIND(",",IFERROR(INDEX($D:$D,MATCH(X39,$A:$A,0)),""))-1),IFERROR(INDEX($D:$D,MATCH(X39,$A:$A,0)),"")))))</f>
        <v/>
      </c>
      <c r="Z39" s="34" t="str">
        <f aca="false">IF(AND(A39&lt;&gt;"",L39="Retire"),COUNTIF($L$5:L39,"Retire"),"")</f>
        <v/>
      </c>
      <c r="AA39" s="34" t="str">
        <f aca="false">IF(AND(A39&lt;&gt;"",L39="Build"),COUNTIF($L$5:L39,"Build"),"")</f>
        <v/>
      </c>
      <c r="AB39" s="34" t="str">
        <f aca="false">IF(AND(A39&lt;&gt;"",OR(M39="4+",AND(ISNUMBER(M39),M39&gt;=2))),SUMPRODUCT(($A$5:A39&lt;&gt;"")*(($M$5:M39="4+")+(ISNUMBER($M$5:M39)*($M$5:M39&gt;=2)))),"")</f>
        <v/>
      </c>
      <c r="AC39" s="34" t="str">
        <f aca="false">IF(AND(A39&lt;&gt;"",OR(L39="",L39="Undecided",K39="")),SUMPRODUCT(($A$5:A39&lt;&gt;"")*(($L$5:L39="")+($L$5:L39="Undecided")+($K$5:K39=""))&gt;0*1),"")</f>
        <v/>
      </c>
    </row>
    <row r="40" customFormat="false" ht="15" hidden="false" customHeight="false" outlineLevel="0" collapsed="false">
      <c r="A40" s="29"/>
      <c r="B40" s="30"/>
      <c r="C40" s="30"/>
      <c r="D40" s="30"/>
      <c r="E40" s="30"/>
      <c r="F40" s="30"/>
      <c r="G40" s="30"/>
      <c r="H40" s="30"/>
      <c r="I40" s="30"/>
      <c r="J40" s="30"/>
      <c r="K40" s="30"/>
      <c r="L40" s="30"/>
      <c r="M40" s="20" t="str">
        <f aca="false">IF(A40="","",IF(V40="",0,IF(W40="",1,IF(X40="",2,IF(Y40="",3,"4+")))))</f>
        <v/>
      </c>
      <c r="N40" s="20" t="str">
        <f aca="false">IF(A40="","",A40&amp;IF(V40="",""," &lt;- "&amp;V40&amp;IF(W40="",""," &lt;- "&amp;W40&amp;IF(X40="",""," &lt;- "&amp;X40&amp;IF(Y40="",""," &lt;- "&amp;Y40))))&amp;IF(ISNUMBER(FIND(",",D40))," (+ other parents)",""))</f>
        <v/>
      </c>
      <c r="O40" s="20" t="str">
        <f aca="false">IF(A40="","",COUNTIF(Fields!$D:$D,A40))</f>
        <v/>
      </c>
      <c r="P40" s="20" t="str">
        <f aca="false">IF(A40="","",SUMIF(Fields!$D:$D,A40,Fields!$O:$O))</f>
        <v/>
      </c>
      <c r="Q40" s="30"/>
      <c r="R40" s="30"/>
      <c r="S40" s="30"/>
      <c r="T40" s="30"/>
      <c r="U40" s="30"/>
      <c r="V40" s="34" t="str">
        <f aca="false">IF(A40="","",IF(IFERROR(INDEX($D:$D,MATCH(A40,$A:$A,0)),"")="","",TRIM(IF(ISNUMBER(FIND(",",IFERROR(INDEX($D:$D,MATCH(A40,$A:$A,0)),""))),LEFT(IFERROR(INDEX($D:$D,MATCH(A40,$A:$A,0)),""),FIND(",",IFERROR(INDEX($D:$D,MATCH(A40,$A:$A,0)),""))-1),IFERROR(INDEX($D:$D,MATCH(A40,$A:$A,0)),"")))))</f>
        <v/>
      </c>
      <c r="W40" s="34" t="str">
        <f aca="false">IF(V40="","",IF(IFERROR(INDEX($D:$D,MATCH(V40,$A:$A,0)),"")="","",TRIM(IF(ISNUMBER(FIND(",",IFERROR(INDEX($D:$D,MATCH(V40,$A:$A,0)),""))),LEFT(IFERROR(INDEX($D:$D,MATCH(V40,$A:$A,0)),""),FIND(",",IFERROR(INDEX($D:$D,MATCH(V40,$A:$A,0)),""))-1),IFERROR(INDEX($D:$D,MATCH(V40,$A:$A,0)),"")))))</f>
        <v/>
      </c>
      <c r="X40" s="34" t="str">
        <f aca="false">IF(W40="","",IF(IFERROR(INDEX($D:$D,MATCH(W40,$A:$A,0)),"")="","",TRIM(IF(ISNUMBER(FIND(",",IFERROR(INDEX($D:$D,MATCH(W40,$A:$A,0)),""))),LEFT(IFERROR(INDEX($D:$D,MATCH(W40,$A:$A,0)),""),FIND(",",IFERROR(INDEX($D:$D,MATCH(W40,$A:$A,0)),""))-1),IFERROR(INDEX($D:$D,MATCH(W40,$A:$A,0)),"")))))</f>
        <v/>
      </c>
      <c r="Y40" s="34" t="str">
        <f aca="false">IF(X40="","",IF(IFERROR(INDEX($D:$D,MATCH(X40,$A:$A,0)),"")="","",TRIM(IF(ISNUMBER(FIND(",",IFERROR(INDEX($D:$D,MATCH(X40,$A:$A,0)),""))),LEFT(IFERROR(INDEX($D:$D,MATCH(X40,$A:$A,0)),""),FIND(",",IFERROR(INDEX($D:$D,MATCH(X40,$A:$A,0)),""))-1),IFERROR(INDEX($D:$D,MATCH(X40,$A:$A,0)),"")))))</f>
        <v/>
      </c>
      <c r="Z40" s="34" t="str">
        <f aca="false">IF(AND(A40&lt;&gt;"",L40="Retire"),COUNTIF($L$5:L40,"Retire"),"")</f>
        <v/>
      </c>
      <c r="AA40" s="34" t="str">
        <f aca="false">IF(AND(A40&lt;&gt;"",L40="Build"),COUNTIF($L$5:L40,"Build"),"")</f>
        <v/>
      </c>
      <c r="AB40" s="34" t="str">
        <f aca="false">IF(AND(A40&lt;&gt;"",OR(M40="4+",AND(ISNUMBER(M40),M40&gt;=2))),SUMPRODUCT(($A$5:A40&lt;&gt;"")*(($M$5:M40="4+")+(ISNUMBER($M$5:M40)*($M$5:M40&gt;=2)))),"")</f>
        <v/>
      </c>
      <c r="AC40" s="34" t="str">
        <f aca="false">IF(AND(A40&lt;&gt;"",OR(L40="",L40="Undecided",K40="")),SUMPRODUCT(($A$5:A40&lt;&gt;"")*(($L$5:L40="")+($L$5:L40="Undecided")+($K$5:K40=""))&gt;0*1),"")</f>
        <v/>
      </c>
    </row>
    <row r="41" customFormat="false" ht="15" hidden="false" customHeight="false" outlineLevel="0" collapsed="false">
      <c r="A41" s="29"/>
      <c r="B41" s="30"/>
      <c r="C41" s="30"/>
      <c r="D41" s="30"/>
      <c r="E41" s="30"/>
      <c r="F41" s="30"/>
      <c r="G41" s="30"/>
      <c r="H41" s="30"/>
      <c r="I41" s="30"/>
      <c r="J41" s="30"/>
      <c r="K41" s="30"/>
      <c r="L41" s="30"/>
      <c r="M41" s="20" t="str">
        <f aca="false">IF(A41="","",IF(V41="",0,IF(W41="",1,IF(X41="",2,IF(Y41="",3,"4+")))))</f>
        <v/>
      </c>
      <c r="N41" s="20" t="str">
        <f aca="false">IF(A41="","",A41&amp;IF(V41="",""," &lt;- "&amp;V41&amp;IF(W41="",""," &lt;- "&amp;W41&amp;IF(X41="",""," &lt;- "&amp;X41&amp;IF(Y41="",""," &lt;- "&amp;Y41))))&amp;IF(ISNUMBER(FIND(",",D41))," (+ other parents)",""))</f>
        <v/>
      </c>
      <c r="O41" s="20" t="str">
        <f aca="false">IF(A41="","",COUNTIF(Fields!$D:$D,A41))</f>
        <v/>
      </c>
      <c r="P41" s="20" t="str">
        <f aca="false">IF(A41="","",SUMIF(Fields!$D:$D,A41,Fields!$O:$O))</f>
        <v/>
      </c>
      <c r="Q41" s="30"/>
      <c r="R41" s="30"/>
      <c r="S41" s="30"/>
      <c r="T41" s="30"/>
      <c r="U41" s="30"/>
      <c r="V41" s="34" t="str">
        <f aca="false">IF(A41="","",IF(IFERROR(INDEX($D:$D,MATCH(A41,$A:$A,0)),"")="","",TRIM(IF(ISNUMBER(FIND(",",IFERROR(INDEX($D:$D,MATCH(A41,$A:$A,0)),""))),LEFT(IFERROR(INDEX($D:$D,MATCH(A41,$A:$A,0)),""),FIND(",",IFERROR(INDEX($D:$D,MATCH(A41,$A:$A,0)),""))-1),IFERROR(INDEX($D:$D,MATCH(A41,$A:$A,0)),"")))))</f>
        <v/>
      </c>
      <c r="W41" s="34" t="str">
        <f aca="false">IF(V41="","",IF(IFERROR(INDEX($D:$D,MATCH(V41,$A:$A,0)),"")="","",TRIM(IF(ISNUMBER(FIND(",",IFERROR(INDEX($D:$D,MATCH(V41,$A:$A,0)),""))),LEFT(IFERROR(INDEX($D:$D,MATCH(V41,$A:$A,0)),""),FIND(",",IFERROR(INDEX($D:$D,MATCH(V41,$A:$A,0)),""))-1),IFERROR(INDEX($D:$D,MATCH(V41,$A:$A,0)),"")))))</f>
        <v/>
      </c>
      <c r="X41" s="34" t="str">
        <f aca="false">IF(W41="","",IF(IFERROR(INDEX($D:$D,MATCH(W41,$A:$A,0)),"")="","",TRIM(IF(ISNUMBER(FIND(",",IFERROR(INDEX($D:$D,MATCH(W41,$A:$A,0)),""))),LEFT(IFERROR(INDEX($D:$D,MATCH(W41,$A:$A,0)),""),FIND(",",IFERROR(INDEX($D:$D,MATCH(W41,$A:$A,0)),""))-1),IFERROR(INDEX($D:$D,MATCH(W41,$A:$A,0)),"")))))</f>
        <v/>
      </c>
      <c r="Y41" s="34" t="str">
        <f aca="false">IF(X41="","",IF(IFERROR(INDEX($D:$D,MATCH(X41,$A:$A,0)),"")="","",TRIM(IF(ISNUMBER(FIND(",",IFERROR(INDEX($D:$D,MATCH(X41,$A:$A,0)),""))),LEFT(IFERROR(INDEX($D:$D,MATCH(X41,$A:$A,0)),""),FIND(",",IFERROR(INDEX($D:$D,MATCH(X41,$A:$A,0)),""))-1),IFERROR(INDEX($D:$D,MATCH(X41,$A:$A,0)),"")))))</f>
        <v/>
      </c>
      <c r="Z41" s="34" t="str">
        <f aca="false">IF(AND(A41&lt;&gt;"",L41="Retire"),COUNTIF($L$5:L41,"Retire"),"")</f>
        <v/>
      </c>
      <c r="AA41" s="34" t="str">
        <f aca="false">IF(AND(A41&lt;&gt;"",L41="Build"),COUNTIF($L$5:L41,"Build"),"")</f>
        <v/>
      </c>
      <c r="AB41" s="34" t="str">
        <f aca="false">IF(AND(A41&lt;&gt;"",OR(M41="4+",AND(ISNUMBER(M41),M41&gt;=2))),SUMPRODUCT(($A$5:A41&lt;&gt;"")*(($M$5:M41="4+")+(ISNUMBER($M$5:M41)*($M$5:M41&gt;=2)))),"")</f>
        <v/>
      </c>
      <c r="AC41" s="34" t="str">
        <f aca="false">IF(AND(A41&lt;&gt;"",OR(L41="",L41="Undecided",K41="")),SUMPRODUCT(($A$5:A41&lt;&gt;"")*(($L$5:L41="")+($L$5:L41="Undecided")+($K$5:K41=""))&gt;0*1),"")</f>
        <v/>
      </c>
    </row>
    <row r="42" customFormat="false" ht="15" hidden="false" customHeight="false" outlineLevel="0" collapsed="false">
      <c r="A42" s="29"/>
      <c r="B42" s="30"/>
      <c r="C42" s="30"/>
      <c r="D42" s="30"/>
      <c r="E42" s="30"/>
      <c r="F42" s="30"/>
      <c r="G42" s="30"/>
      <c r="H42" s="30"/>
      <c r="I42" s="30"/>
      <c r="J42" s="30"/>
      <c r="K42" s="30"/>
      <c r="L42" s="30"/>
      <c r="M42" s="20" t="str">
        <f aca="false">IF(A42="","",IF(V42="",0,IF(W42="",1,IF(X42="",2,IF(Y42="",3,"4+")))))</f>
        <v/>
      </c>
      <c r="N42" s="20" t="str">
        <f aca="false">IF(A42="","",A42&amp;IF(V42="",""," &lt;- "&amp;V42&amp;IF(W42="",""," &lt;- "&amp;W42&amp;IF(X42="",""," &lt;- "&amp;X42&amp;IF(Y42="",""," &lt;- "&amp;Y42))))&amp;IF(ISNUMBER(FIND(",",D42))," (+ other parents)",""))</f>
        <v/>
      </c>
      <c r="O42" s="20" t="str">
        <f aca="false">IF(A42="","",COUNTIF(Fields!$D:$D,A42))</f>
        <v/>
      </c>
      <c r="P42" s="20" t="str">
        <f aca="false">IF(A42="","",SUMIF(Fields!$D:$D,A42,Fields!$O:$O))</f>
        <v/>
      </c>
      <c r="Q42" s="30"/>
      <c r="R42" s="30"/>
      <c r="S42" s="30"/>
      <c r="T42" s="30"/>
      <c r="U42" s="30"/>
      <c r="V42" s="34" t="str">
        <f aca="false">IF(A42="","",IF(IFERROR(INDEX($D:$D,MATCH(A42,$A:$A,0)),"")="","",TRIM(IF(ISNUMBER(FIND(",",IFERROR(INDEX($D:$D,MATCH(A42,$A:$A,0)),""))),LEFT(IFERROR(INDEX($D:$D,MATCH(A42,$A:$A,0)),""),FIND(",",IFERROR(INDEX($D:$D,MATCH(A42,$A:$A,0)),""))-1),IFERROR(INDEX($D:$D,MATCH(A42,$A:$A,0)),"")))))</f>
        <v/>
      </c>
      <c r="W42" s="34" t="str">
        <f aca="false">IF(V42="","",IF(IFERROR(INDEX($D:$D,MATCH(V42,$A:$A,0)),"")="","",TRIM(IF(ISNUMBER(FIND(",",IFERROR(INDEX($D:$D,MATCH(V42,$A:$A,0)),""))),LEFT(IFERROR(INDEX($D:$D,MATCH(V42,$A:$A,0)),""),FIND(",",IFERROR(INDEX($D:$D,MATCH(V42,$A:$A,0)),""))-1),IFERROR(INDEX($D:$D,MATCH(V42,$A:$A,0)),"")))))</f>
        <v/>
      </c>
      <c r="X42" s="34" t="str">
        <f aca="false">IF(W42="","",IF(IFERROR(INDEX($D:$D,MATCH(W42,$A:$A,0)),"")="","",TRIM(IF(ISNUMBER(FIND(",",IFERROR(INDEX($D:$D,MATCH(W42,$A:$A,0)),""))),LEFT(IFERROR(INDEX($D:$D,MATCH(W42,$A:$A,0)),""),FIND(",",IFERROR(INDEX($D:$D,MATCH(W42,$A:$A,0)),""))-1),IFERROR(INDEX($D:$D,MATCH(W42,$A:$A,0)),"")))))</f>
        <v/>
      </c>
      <c r="Y42" s="34" t="str">
        <f aca="false">IF(X42="","",IF(IFERROR(INDEX($D:$D,MATCH(X42,$A:$A,0)),"")="","",TRIM(IF(ISNUMBER(FIND(",",IFERROR(INDEX($D:$D,MATCH(X42,$A:$A,0)),""))),LEFT(IFERROR(INDEX($D:$D,MATCH(X42,$A:$A,0)),""),FIND(",",IFERROR(INDEX($D:$D,MATCH(X42,$A:$A,0)),""))-1),IFERROR(INDEX($D:$D,MATCH(X42,$A:$A,0)),"")))))</f>
        <v/>
      </c>
      <c r="Z42" s="34" t="str">
        <f aca="false">IF(AND(A42&lt;&gt;"",L42="Retire"),COUNTIF($L$5:L42,"Retire"),"")</f>
        <v/>
      </c>
      <c r="AA42" s="34" t="str">
        <f aca="false">IF(AND(A42&lt;&gt;"",L42="Build"),COUNTIF($L$5:L42,"Build"),"")</f>
        <v/>
      </c>
      <c r="AB42" s="34" t="str">
        <f aca="false">IF(AND(A42&lt;&gt;"",OR(M42="4+",AND(ISNUMBER(M42),M42&gt;=2))),SUMPRODUCT(($A$5:A42&lt;&gt;"")*(($M$5:M42="4+")+(ISNUMBER($M$5:M42)*($M$5:M42&gt;=2)))),"")</f>
        <v/>
      </c>
      <c r="AC42" s="34" t="str">
        <f aca="false">IF(AND(A42&lt;&gt;"",OR(L42="",L42="Undecided",K42="")),SUMPRODUCT(($A$5:A42&lt;&gt;"")*(($L$5:L42="")+($L$5:L42="Undecided")+($K$5:K42=""))&gt;0*1),"")</f>
        <v/>
      </c>
    </row>
    <row r="43" customFormat="false" ht="15" hidden="false" customHeight="false" outlineLevel="0" collapsed="false">
      <c r="A43" s="29"/>
      <c r="B43" s="30"/>
      <c r="C43" s="30"/>
      <c r="D43" s="30"/>
      <c r="E43" s="30"/>
      <c r="F43" s="30"/>
      <c r="G43" s="30"/>
      <c r="H43" s="30"/>
      <c r="I43" s="30"/>
      <c r="J43" s="30"/>
      <c r="K43" s="30"/>
      <c r="L43" s="30"/>
      <c r="M43" s="20" t="str">
        <f aca="false">IF(A43="","",IF(V43="",0,IF(W43="",1,IF(X43="",2,IF(Y43="",3,"4+")))))</f>
        <v/>
      </c>
      <c r="N43" s="20" t="str">
        <f aca="false">IF(A43="","",A43&amp;IF(V43="",""," &lt;- "&amp;V43&amp;IF(W43="",""," &lt;- "&amp;W43&amp;IF(X43="",""," &lt;- "&amp;X43&amp;IF(Y43="",""," &lt;- "&amp;Y43))))&amp;IF(ISNUMBER(FIND(",",D43))," (+ other parents)",""))</f>
        <v/>
      </c>
      <c r="O43" s="20" t="str">
        <f aca="false">IF(A43="","",COUNTIF(Fields!$D:$D,A43))</f>
        <v/>
      </c>
      <c r="P43" s="20" t="str">
        <f aca="false">IF(A43="","",SUMIF(Fields!$D:$D,A43,Fields!$O:$O))</f>
        <v/>
      </c>
      <c r="Q43" s="30"/>
      <c r="R43" s="30"/>
      <c r="S43" s="30"/>
      <c r="T43" s="30"/>
      <c r="U43" s="30"/>
      <c r="V43" s="34" t="str">
        <f aca="false">IF(A43="","",IF(IFERROR(INDEX($D:$D,MATCH(A43,$A:$A,0)),"")="","",TRIM(IF(ISNUMBER(FIND(",",IFERROR(INDEX($D:$D,MATCH(A43,$A:$A,0)),""))),LEFT(IFERROR(INDEX($D:$D,MATCH(A43,$A:$A,0)),""),FIND(",",IFERROR(INDEX($D:$D,MATCH(A43,$A:$A,0)),""))-1),IFERROR(INDEX($D:$D,MATCH(A43,$A:$A,0)),"")))))</f>
        <v/>
      </c>
      <c r="W43" s="34" t="str">
        <f aca="false">IF(V43="","",IF(IFERROR(INDEX($D:$D,MATCH(V43,$A:$A,0)),"")="","",TRIM(IF(ISNUMBER(FIND(",",IFERROR(INDEX($D:$D,MATCH(V43,$A:$A,0)),""))),LEFT(IFERROR(INDEX($D:$D,MATCH(V43,$A:$A,0)),""),FIND(",",IFERROR(INDEX($D:$D,MATCH(V43,$A:$A,0)),""))-1),IFERROR(INDEX($D:$D,MATCH(V43,$A:$A,0)),"")))))</f>
        <v/>
      </c>
      <c r="X43" s="34" t="str">
        <f aca="false">IF(W43="","",IF(IFERROR(INDEX($D:$D,MATCH(W43,$A:$A,0)),"")="","",TRIM(IF(ISNUMBER(FIND(",",IFERROR(INDEX($D:$D,MATCH(W43,$A:$A,0)),""))),LEFT(IFERROR(INDEX($D:$D,MATCH(W43,$A:$A,0)),""),FIND(",",IFERROR(INDEX($D:$D,MATCH(W43,$A:$A,0)),""))-1),IFERROR(INDEX($D:$D,MATCH(W43,$A:$A,0)),"")))))</f>
        <v/>
      </c>
      <c r="Y43" s="34" t="str">
        <f aca="false">IF(X43="","",IF(IFERROR(INDEX($D:$D,MATCH(X43,$A:$A,0)),"")="","",TRIM(IF(ISNUMBER(FIND(",",IFERROR(INDEX($D:$D,MATCH(X43,$A:$A,0)),""))),LEFT(IFERROR(INDEX($D:$D,MATCH(X43,$A:$A,0)),""),FIND(",",IFERROR(INDEX($D:$D,MATCH(X43,$A:$A,0)),""))-1),IFERROR(INDEX($D:$D,MATCH(X43,$A:$A,0)),"")))))</f>
        <v/>
      </c>
      <c r="Z43" s="34" t="str">
        <f aca="false">IF(AND(A43&lt;&gt;"",L43="Retire"),COUNTIF($L$5:L43,"Retire"),"")</f>
        <v/>
      </c>
      <c r="AA43" s="34" t="str">
        <f aca="false">IF(AND(A43&lt;&gt;"",L43="Build"),COUNTIF($L$5:L43,"Build"),"")</f>
        <v/>
      </c>
      <c r="AB43" s="34" t="str">
        <f aca="false">IF(AND(A43&lt;&gt;"",OR(M43="4+",AND(ISNUMBER(M43),M43&gt;=2))),SUMPRODUCT(($A$5:A43&lt;&gt;"")*(($M$5:M43="4+")+(ISNUMBER($M$5:M43)*($M$5:M43&gt;=2)))),"")</f>
        <v/>
      </c>
      <c r="AC43" s="34" t="str">
        <f aca="false">IF(AND(A43&lt;&gt;"",OR(L43="",L43="Undecided",K43="")),SUMPRODUCT(($A$5:A43&lt;&gt;"")*(($L$5:L43="")+($L$5:L43="Undecided")+($K$5:K43=""))&gt;0*1),"")</f>
        <v/>
      </c>
    </row>
    <row r="44" customFormat="false" ht="15" hidden="false" customHeight="false" outlineLevel="0" collapsed="false">
      <c r="A44" s="29"/>
      <c r="B44" s="30"/>
      <c r="C44" s="30"/>
      <c r="D44" s="30"/>
      <c r="E44" s="30"/>
      <c r="F44" s="30"/>
      <c r="G44" s="30"/>
      <c r="H44" s="30"/>
      <c r="I44" s="30"/>
      <c r="J44" s="30"/>
      <c r="K44" s="30"/>
      <c r="L44" s="30"/>
      <c r="M44" s="20" t="str">
        <f aca="false">IF(A44="","",IF(V44="",0,IF(W44="",1,IF(X44="",2,IF(Y44="",3,"4+")))))</f>
        <v/>
      </c>
      <c r="N44" s="20" t="str">
        <f aca="false">IF(A44="","",A44&amp;IF(V44="",""," &lt;- "&amp;V44&amp;IF(W44="",""," &lt;- "&amp;W44&amp;IF(X44="",""," &lt;- "&amp;X44&amp;IF(Y44="",""," &lt;- "&amp;Y44))))&amp;IF(ISNUMBER(FIND(",",D44))," (+ other parents)",""))</f>
        <v/>
      </c>
      <c r="O44" s="20" t="str">
        <f aca="false">IF(A44="","",COUNTIF(Fields!$D:$D,A44))</f>
        <v/>
      </c>
      <c r="P44" s="20" t="str">
        <f aca="false">IF(A44="","",SUMIF(Fields!$D:$D,A44,Fields!$O:$O))</f>
        <v/>
      </c>
      <c r="Q44" s="30"/>
      <c r="R44" s="30"/>
      <c r="S44" s="30"/>
      <c r="T44" s="30"/>
      <c r="U44" s="30"/>
      <c r="V44" s="34" t="str">
        <f aca="false">IF(A44="","",IF(IFERROR(INDEX($D:$D,MATCH(A44,$A:$A,0)),"")="","",TRIM(IF(ISNUMBER(FIND(",",IFERROR(INDEX($D:$D,MATCH(A44,$A:$A,0)),""))),LEFT(IFERROR(INDEX($D:$D,MATCH(A44,$A:$A,0)),""),FIND(",",IFERROR(INDEX($D:$D,MATCH(A44,$A:$A,0)),""))-1),IFERROR(INDEX($D:$D,MATCH(A44,$A:$A,0)),"")))))</f>
        <v/>
      </c>
      <c r="W44" s="34" t="str">
        <f aca="false">IF(V44="","",IF(IFERROR(INDEX($D:$D,MATCH(V44,$A:$A,0)),"")="","",TRIM(IF(ISNUMBER(FIND(",",IFERROR(INDEX($D:$D,MATCH(V44,$A:$A,0)),""))),LEFT(IFERROR(INDEX($D:$D,MATCH(V44,$A:$A,0)),""),FIND(",",IFERROR(INDEX($D:$D,MATCH(V44,$A:$A,0)),""))-1),IFERROR(INDEX($D:$D,MATCH(V44,$A:$A,0)),"")))))</f>
        <v/>
      </c>
      <c r="X44" s="34" t="str">
        <f aca="false">IF(W44="","",IF(IFERROR(INDEX($D:$D,MATCH(W44,$A:$A,0)),"")="","",TRIM(IF(ISNUMBER(FIND(",",IFERROR(INDEX($D:$D,MATCH(W44,$A:$A,0)),""))),LEFT(IFERROR(INDEX($D:$D,MATCH(W44,$A:$A,0)),""),FIND(",",IFERROR(INDEX($D:$D,MATCH(W44,$A:$A,0)),""))-1),IFERROR(INDEX($D:$D,MATCH(W44,$A:$A,0)),"")))))</f>
        <v/>
      </c>
      <c r="Y44" s="34" t="str">
        <f aca="false">IF(X44="","",IF(IFERROR(INDEX($D:$D,MATCH(X44,$A:$A,0)),"")="","",TRIM(IF(ISNUMBER(FIND(",",IFERROR(INDEX($D:$D,MATCH(X44,$A:$A,0)),""))),LEFT(IFERROR(INDEX($D:$D,MATCH(X44,$A:$A,0)),""),FIND(",",IFERROR(INDEX($D:$D,MATCH(X44,$A:$A,0)),""))-1),IFERROR(INDEX($D:$D,MATCH(X44,$A:$A,0)),"")))))</f>
        <v/>
      </c>
      <c r="Z44" s="34" t="str">
        <f aca="false">IF(AND(A44&lt;&gt;"",L44="Retire"),COUNTIF($L$5:L44,"Retire"),"")</f>
        <v/>
      </c>
      <c r="AA44" s="34" t="str">
        <f aca="false">IF(AND(A44&lt;&gt;"",L44="Build"),COUNTIF($L$5:L44,"Build"),"")</f>
        <v/>
      </c>
      <c r="AB44" s="34" t="str">
        <f aca="false">IF(AND(A44&lt;&gt;"",OR(M44="4+",AND(ISNUMBER(M44),M44&gt;=2))),SUMPRODUCT(($A$5:A44&lt;&gt;"")*(($M$5:M44="4+")+(ISNUMBER($M$5:M44)*($M$5:M44&gt;=2)))),"")</f>
        <v/>
      </c>
      <c r="AC44" s="34" t="str">
        <f aca="false">IF(AND(A44&lt;&gt;"",OR(L44="",L44="Undecided",K44="")),SUMPRODUCT(($A$5:A44&lt;&gt;"")*(($L$5:L44="")+($L$5:L44="Undecided")+($K$5:K44=""))&gt;0*1),"")</f>
        <v/>
      </c>
    </row>
    <row r="45" customFormat="false" ht="15" hidden="false" customHeight="false" outlineLevel="0" collapsed="false">
      <c r="A45" s="29"/>
      <c r="B45" s="30"/>
      <c r="C45" s="30"/>
      <c r="D45" s="30"/>
      <c r="E45" s="30"/>
      <c r="F45" s="30"/>
      <c r="G45" s="30"/>
      <c r="H45" s="30"/>
      <c r="I45" s="30"/>
      <c r="J45" s="30"/>
      <c r="K45" s="30"/>
      <c r="L45" s="30"/>
      <c r="M45" s="20" t="str">
        <f aca="false">IF(A45="","",IF(V45="",0,IF(W45="",1,IF(X45="",2,IF(Y45="",3,"4+")))))</f>
        <v/>
      </c>
      <c r="N45" s="20" t="str">
        <f aca="false">IF(A45="","",A45&amp;IF(V45="",""," &lt;- "&amp;V45&amp;IF(W45="",""," &lt;- "&amp;W45&amp;IF(X45="",""," &lt;- "&amp;X45&amp;IF(Y45="",""," &lt;- "&amp;Y45))))&amp;IF(ISNUMBER(FIND(",",D45))," (+ other parents)",""))</f>
        <v/>
      </c>
      <c r="O45" s="20" t="str">
        <f aca="false">IF(A45="","",COUNTIF(Fields!$D:$D,A45))</f>
        <v/>
      </c>
      <c r="P45" s="20" t="str">
        <f aca="false">IF(A45="","",SUMIF(Fields!$D:$D,A45,Fields!$O:$O))</f>
        <v/>
      </c>
      <c r="Q45" s="30"/>
      <c r="R45" s="30"/>
      <c r="S45" s="30"/>
      <c r="T45" s="30"/>
      <c r="U45" s="30"/>
      <c r="V45" s="34" t="str">
        <f aca="false">IF(A45="","",IF(IFERROR(INDEX($D:$D,MATCH(A45,$A:$A,0)),"")="","",TRIM(IF(ISNUMBER(FIND(",",IFERROR(INDEX($D:$D,MATCH(A45,$A:$A,0)),""))),LEFT(IFERROR(INDEX($D:$D,MATCH(A45,$A:$A,0)),""),FIND(",",IFERROR(INDEX($D:$D,MATCH(A45,$A:$A,0)),""))-1),IFERROR(INDEX($D:$D,MATCH(A45,$A:$A,0)),"")))))</f>
        <v/>
      </c>
      <c r="W45" s="34" t="str">
        <f aca="false">IF(V45="","",IF(IFERROR(INDEX($D:$D,MATCH(V45,$A:$A,0)),"")="","",TRIM(IF(ISNUMBER(FIND(",",IFERROR(INDEX($D:$D,MATCH(V45,$A:$A,0)),""))),LEFT(IFERROR(INDEX($D:$D,MATCH(V45,$A:$A,0)),""),FIND(",",IFERROR(INDEX($D:$D,MATCH(V45,$A:$A,0)),""))-1),IFERROR(INDEX($D:$D,MATCH(V45,$A:$A,0)),"")))))</f>
        <v/>
      </c>
      <c r="X45" s="34" t="str">
        <f aca="false">IF(W45="","",IF(IFERROR(INDEX($D:$D,MATCH(W45,$A:$A,0)),"")="","",TRIM(IF(ISNUMBER(FIND(",",IFERROR(INDEX($D:$D,MATCH(W45,$A:$A,0)),""))),LEFT(IFERROR(INDEX($D:$D,MATCH(W45,$A:$A,0)),""),FIND(",",IFERROR(INDEX($D:$D,MATCH(W45,$A:$A,0)),""))-1),IFERROR(INDEX($D:$D,MATCH(W45,$A:$A,0)),"")))))</f>
        <v/>
      </c>
      <c r="Y45" s="34" t="str">
        <f aca="false">IF(X45="","",IF(IFERROR(INDEX($D:$D,MATCH(X45,$A:$A,0)),"")="","",TRIM(IF(ISNUMBER(FIND(",",IFERROR(INDEX($D:$D,MATCH(X45,$A:$A,0)),""))),LEFT(IFERROR(INDEX($D:$D,MATCH(X45,$A:$A,0)),""),FIND(",",IFERROR(INDEX($D:$D,MATCH(X45,$A:$A,0)),""))-1),IFERROR(INDEX($D:$D,MATCH(X45,$A:$A,0)),"")))))</f>
        <v/>
      </c>
      <c r="Z45" s="34" t="str">
        <f aca="false">IF(AND(A45&lt;&gt;"",L45="Retire"),COUNTIF($L$5:L45,"Retire"),"")</f>
        <v/>
      </c>
      <c r="AA45" s="34" t="str">
        <f aca="false">IF(AND(A45&lt;&gt;"",L45="Build"),COUNTIF($L$5:L45,"Build"),"")</f>
        <v/>
      </c>
      <c r="AB45" s="34" t="str">
        <f aca="false">IF(AND(A45&lt;&gt;"",OR(M45="4+",AND(ISNUMBER(M45),M45&gt;=2))),SUMPRODUCT(($A$5:A45&lt;&gt;"")*(($M$5:M45="4+")+(ISNUMBER($M$5:M45)*($M$5:M45&gt;=2)))),"")</f>
        <v/>
      </c>
      <c r="AC45" s="34" t="str">
        <f aca="false">IF(AND(A45&lt;&gt;"",OR(L45="",L45="Undecided",K45="")),SUMPRODUCT(($A$5:A45&lt;&gt;"")*(($L$5:L45="")+($L$5:L45="Undecided")+($K$5:K45=""))&gt;0*1),"")</f>
        <v/>
      </c>
    </row>
    <row r="46" customFormat="false" ht="15" hidden="false" customHeight="false" outlineLevel="0" collapsed="false">
      <c r="A46" s="29"/>
      <c r="B46" s="30"/>
      <c r="C46" s="30"/>
      <c r="D46" s="30"/>
      <c r="E46" s="30"/>
      <c r="F46" s="30"/>
      <c r="G46" s="30"/>
      <c r="H46" s="30"/>
      <c r="I46" s="30"/>
      <c r="J46" s="30"/>
      <c r="K46" s="30"/>
      <c r="L46" s="30"/>
      <c r="M46" s="20" t="str">
        <f aca="false">IF(A46="","",IF(V46="",0,IF(W46="",1,IF(X46="",2,IF(Y46="",3,"4+")))))</f>
        <v/>
      </c>
      <c r="N46" s="20" t="str">
        <f aca="false">IF(A46="","",A46&amp;IF(V46="",""," &lt;- "&amp;V46&amp;IF(W46="",""," &lt;- "&amp;W46&amp;IF(X46="",""," &lt;- "&amp;X46&amp;IF(Y46="",""," &lt;- "&amp;Y46))))&amp;IF(ISNUMBER(FIND(",",D46))," (+ other parents)",""))</f>
        <v/>
      </c>
      <c r="O46" s="20" t="str">
        <f aca="false">IF(A46="","",COUNTIF(Fields!$D:$D,A46))</f>
        <v/>
      </c>
      <c r="P46" s="20" t="str">
        <f aca="false">IF(A46="","",SUMIF(Fields!$D:$D,A46,Fields!$O:$O))</f>
        <v/>
      </c>
      <c r="Q46" s="30"/>
      <c r="R46" s="30"/>
      <c r="S46" s="30"/>
      <c r="T46" s="30"/>
      <c r="U46" s="30"/>
      <c r="V46" s="34" t="str">
        <f aca="false">IF(A46="","",IF(IFERROR(INDEX($D:$D,MATCH(A46,$A:$A,0)),"")="","",TRIM(IF(ISNUMBER(FIND(",",IFERROR(INDEX($D:$D,MATCH(A46,$A:$A,0)),""))),LEFT(IFERROR(INDEX($D:$D,MATCH(A46,$A:$A,0)),""),FIND(",",IFERROR(INDEX($D:$D,MATCH(A46,$A:$A,0)),""))-1),IFERROR(INDEX($D:$D,MATCH(A46,$A:$A,0)),"")))))</f>
        <v/>
      </c>
      <c r="W46" s="34" t="str">
        <f aca="false">IF(V46="","",IF(IFERROR(INDEX($D:$D,MATCH(V46,$A:$A,0)),"")="","",TRIM(IF(ISNUMBER(FIND(",",IFERROR(INDEX($D:$D,MATCH(V46,$A:$A,0)),""))),LEFT(IFERROR(INDEX($D:$D,MATCH(V46,$A:$A,0)),""),FIND(",",IFERROR(INDEX($D:$D,MATCH(V46,$A:$A,0)),""))-1),IFERROR(INDEX($D:$D,MATCH(V46,$A:$A,0)),"")))))</f>
        <v/>
      </c>
      <c r="X46" s="34" t="str">
        <f aca="false">IF(W46="","",IF(IFERROR(INDEX($D:$D,MATCH(W46,$A:$A,0)),"")="","",TRIM(IF(ISNUMBER(FIND(",",IFERROR(INDEX($D:$D,MATCH(W46,$A:$A,0)),""))),LEFT(IFERROR(INDEX($D:$D,MATCH(W46,$A:$A,0)),""),FIND(",",IFERROR(INDEX($D:$D,MATCH(W46,$A:$A,0)),""))-1),IFERROR(INDEX($D:$D,MATCH(W46,$A:$A,0)),"")))))</f>
        <v/>
      </c>
      <c r="Y46" s="34" t="str">
        <f aca="false">IF(X46="","",IF(IFERROR(INDEX($D:$D,MATCH(X46,$A:$A,0)),"")="","",TRIM(IF(ISNUMBER(FIND(",",IFERROR(INDEX($D:$D,MATCH(X46,$A:$A,0)),""))),LEFT(IFERROR(INDEX($D:$D,MATCH(X46,$A:$A,0)),""),FIND(",",IFERROR(INDEX($D:$D,MATCH(X46,$A:$A,0)),""))-1),IFERROR(INDEX($D:$D,MATCH(X46,$A:$A,0)),"")))))</f>
        <v/>
      </c>
      <c r="Z46" s="34" t="str">
        <f aca="false">IF(AND(A46&lt;&gt;"",L46="Retire"),COUNTIF($L$5:L46,"Retire"),"")</f>
        <v/>
      </c>
      <c r="AA46" s="34" t="str">
        <f aca="false">IF(AND(A46&lt;&gt;"",L46="Build"),COUNTIF($L$5:L46,"Build"),"")</f>
        <v/>
      </c>
      <c r="AB46" s="34" t="str">
        <f aca="false">IF(AND(A46&lt;&gt;"",OR(M46="4+",AND(ISNUMBER(M46),M46&gt;=2))),SUMPRODUCT(($A$5:A46&lt;&gt;"")*(($M$5:M46="4+")+(ISNUMBER($M$5:M46)*($M$5:M46&gt;=2)))),"")</f>
        <v/>
      </c>
      <c r="AC46" s="34" t="str">
        <f aca="false">IF(AND(A46&lt;&gt;"",OR(L46="",L46="Undecided",K46="")),SUMPRODUCT(($A$5:A46&lt;&gt;"")*(($L$5:L46="")+($L$5:L46="Undecided")+($K$5:K46=""))&gt;0*1),"")</f>
        <v/>
      </c>
    </row>
    <row r="47" customFormat="false" ht="15" hidden="false" customHeight="false" outlineLevel="0" collapsed="false">
      <c r="A47" s="29"/>
      <c r="B47" s="30"/>
      <c r="C47" s="30"/>
      <c r="D47" s="30"/>
      <c r="E47" s="30"/>
      <c r="F47" s="30"/>
      <c r="G47" s="30"/>
      <c r="H47" s="30"/>
      <c r="I47" s="30"/>
      <c r="J47" s="30"/>
      <c r="K47" s="30"/>
      <c r="L47" s="30"/>
      <c r="M47" s="20" t="str">
        <f aca="false">IF(A47="","",IF(V47="",0,IF(W47="",1,IF(X47="",2,IF(Y47="",3,"4+")))))</f>
        <v/>
      </c>
      <c r="N47" s="20" t="str">
        <f aca="false">IF(A47="","",A47&amp;IF(V47="",""," &lt;- "&amp;V47&amp;IF(W47="",""," &lt;- "&amp;W47&amp;IF(X47="",""," &lt;- "&amp;X47&amp;IF(Y47="",""," &lt;- "&amp;Y47))))&amp;IF(ISNUMBER(FIND(",",D47))," (+ other parents)",""))</f>
        <v/>
      </c>
      <c r="O47" s="20" t="str">
        <f aca="false">IF(A47="","",COUNTIF(Fields!$D:$D,A47))</f>
        <v/>
      </c>
      <c r="P47" s="20" t="str">
        <f aca="false">IF(A47="","",SUMIF(Fields!$D:$D,A47,Fields!$O:$O))</f>
        <v/>
      </c>
      <c r="Q47" s="30"/>
      <c r="R47" s="30"/>
      <c r="S47" s="30"/>
      <c r="T47" s="30"/>
      <c r="U47" s="30"/>
      <c r="V47" s="34" t="str">
        <f aca="false">IF(A47="","",IF(IFERROR(INDEX($D:$D,MATCH(A47,$A:$A,0)),"")="","",TRIM(IF(ISNUMBER(FIND(",",IFERROR(INDEX($D:$D,MATCH(A47,$A:$A,0)),""))),LEFT(IFERROR(INDEX($D:$D,MATCH(A47,$A:$A,0)),""),FIND(",",IFERROR(INDEX($D:$D,MATCH(A47,$A:$A,0)),""))-1),IFERROR(INDEX($D:$D,MATCH(A47,$A:$A,0)),"")))))</f>
        <v/>
      </c>
      <c r="W47" s="34" t="str">
        <f aca="false">IF(V47="","",IF(IFERROR(INDEX($D:$D,MATCH(V47,$A:$A,0)),"")="","",TRIM(IF(ISNUMBER(FIND(",",IFERROR(INDEX($D:$D,MATCH(V47,$A:$A,0)),""))),LEFT(IFERROR(INDEX($D:$D,MATCH(V47,$A:$A,0)),""),FIND(",",IFERROR(INDEX($D:$D,MATCH(V47,$A:$A,0)),""))-1),IFERROR(INDEX($D:$D,MATCH(V47,$A:$A,0)),"")))))</f>
        <v/>
      </c>
      <c r="X47" s="34" t="str">
        <f aca="false">IF(W47="","",IF(IFERROR(INDEX($D:$D,MATCH(W47,$A:$A,0)),"")="","",TRIM(IF(ISNUMBER(FIND(",",IFERROR(INDEX($D:$D,MATCH(W47,$A:$A,0)),""))),LEFT(IFERROR(INDEX($D:$D,MATCH(W47,$A:$A,0)),""),FIND(",",IFERROR(INDEX($D:$D,MATCH(W47,$A:$A,0)),""))-1),IFERROR(INDEX($D:$D,MATCH(W47,$A:$A,0)),"")))))</f>
        <v/>
      </c>
      <c r="Y47" s="34" t="str">
        <f aca="false">IF(X47="","",IF(IFERROR(INDEX($D:$D,MATCH(X47,$A:$A,0)),"")="","",TRIM(IF(ISNUMBER(FIND(",",IFERROR(INDEX($D:$D,MATCH(X47,$A:$A,0)),""))),LEFT(IFERROR(INDEX($D:$D,MATCH(X47,$A:$A,0)),""),FIND(",",IFERROR(INDEX($D:$D,MATCH(X47,$A:$A,0)),""))-1),IFERROR(INDEX($D:$D,MATCH(X47,$A:$A,0)),"")))))</f>
        <v/>
      </c>
      <c r="Z47" s="34" t="str">
        <f aca="false">IF(AND(A47&lt;&gt;"",L47="Retire"),COUNTIF($L$5:L47,"Retire"),"")</f>
        <v/>
      </c>
      <c r="AA47" s="34" t="str">
        <f aca="false">IF(AND(A47&lt;&gt;"",L47="Build"),COUNTIF($L$5:L47,"Build"),"")</f>
        <v/>
      </c>
      <c r="AB47" s="34" t="str">
        <f aca="false">IF(AND(A47&lt;&gt;"",OR(M47="4+",AND(ISNUMBER(M47),M47&gt;=2))),SUMPRODUCT(($A$5:A47&lt;&gt;"")*(($M$5:M47="4+")+(ISNUMBER($M$5:M47)*($M$5:M47&gt;=2)))),"")</f>
        <v/>
      </c>
      <c r="AC47" s="34" t="str">
        <f aca="false">IF(AND(A47&lt;&gt;"",OR(L47="",L47="Undecided",K47="")),SUMPRODUCT(($A$5:A47&lt;&gt;"")*(($L$5:L47="")+($L$5:L47="Undecided")+($K$5:K47=""))&gt;0*1),"")</f>
        <v/>
      </c>
    </row>
    <row r="48" customFormat="false" ht="15" hidden="false" customHeight="false" outlineLevel="0" collapsed="false">
      <c r="A48" s="29"/>
      <c r="B48" s="30"/>
      <c r="C48" s="30"/>
      <c r="D48" s="30"/>
      <c r="E48" s="30"/>
      <c r="F48" s="30"/>
      <c r="G48" s="30"/>
      <c r="H48" s="30"/>
      <c r="I48" s="30"/>
      <c r="J48" s="30"/>
      <c r="K48" s="30"/>
      <c r="L48" s="30"/>
      <c r="M48" s="20" t="str">
        <f aca="false">IF(A48="","",IF(V48="",0,IF(W48="",1,IF(X48="",2,IF(Y48="",3,"4+")))))</f>
        <v/>
      </c>
      <c r="N48" s="20" t="str">
        <f aca="false">IF(A48="","",A48&amp;IF(V48="",""," &lt;- "&amp;V48&amp;IF(W48="",""," &lt;- "&amp;W48&amp;IF(X48="",""," &lt;- "&amp;X48&amp;IF(Y48="",""," &lt;- "&amp;Y48))))&amp;IF(ISNUMBER(FIND(",",D48))," (+ other parents)",""))</f>
        <v/>
      </c>
      <c r="O48" s="20" t="str">
        <f aca="false">IF(A48="","",COUNTIF(Fields!$D:$D,A48))</f>
        <v/>
      </c>
      <c r="P48" s="20" t="str">
        <f aca="false">IF(A48="","",SUMIF(Fields!$D:$D,A48,Fields!$O:$O))</f>
        <v/>
      </c>
      <c r="Q48" s="30"/>
      <c r="R48" s="30"/>
      <c r="S48" s="30"/>
      <c r="T48" s="30"/>
      <c r="U48" s="30"/>
      <c r="V48" s="34" t="str">
        <f aca="false">IF(A48="","",IF(IFERROR(INDEX($D:$D,MATCH(A48,$A:$A,0)),"")="","",TRIM(IF(ISNUMBER(FIND(",",IFERROR(INDEX($D:$D,MATCH(A48,$A:$A,0)),""))),LEFT(IFERROR(INDEX($D:$D,MATCH(A48,$A:$A,0)),""),FIND(",",IFERROR(INDEX($D:$D,MATCH(A48,$A:$A,0)),""))-1),IFERROR(INDEX($D:$D,MATCH(A48,$A:$A,0)),"")))))</f>
        <v/>
      </c>
      <c r="W48" s="34" t="str">
        <f aca="false">IF(V48="","",IF(IFERROR(INDEX($D:$D,MATCH(V48,$A:$A,0)),"")="","",TRIM(IF(ISNUMBER(FIND(",",IFERROR(INDEX($D:$D,MATCH(V48,$A:$A,0)),""))),LEFT(IFERROR(INDEX($D:$D,MATCH(V48,$A:$A,0)),""),FIND(",",IFERROR(INDEX($D:$D,MATCH(V48,$A:$A,0)),""))-1),IFERROR(INDEX($D:$D,MATCH(V48,$A:$A,0)),"")))))</f>
        <v/>
      </c>
      <c r="X48" s="34" t="str">
        <f aca="false">IF(W48="","",IF(IFERROR(INDEX($D:$D,MATCH(W48,$A:$A,0)),"")="","",TRIM(IF(ISNUMBER(FIND(",",IFERROR(INDEX($D:$D,MATCH(W48,$A:$A,0)),""))),LEFT(IFERROR(INDEX($D:$D,MATCH(W48,$A:$A,0)),""),FIND(",",IFERROR(INDEX($D:$D,MATCH(W48,$A:$A,0)),""))-1),IFERROR(INDEX($D:$D,MATCH(W48,$A:$A,0)),"")))))</f>
        <v/>
      </c>
      <c r="Y48" s="34" t="str">
        <f aca="false">IF(X48="","",IF(IFERROR(INDEX($D:$D,MATCH(X48,$A:$A,0)),"")="","",TRIM(IF(ISNUMBER(FIND(",",IFERROR(INDEX($D:$D,MATCH(X48,$A:$A,0)),""))),LEFT(IFERROR(INDEX($D:$D,MATCH(X48,$A:$A,0)),""),FIND(",",IFERROR(INDEX($D:$D,MATCH(X48,$A:$A,0)),""))-1),IFERROR(INDEX($D:$D,MATCH(X48,$A:$A,0)),"")))))</f>
        <v/>
      </c>
      <c r="Z48" s="34" t="str">
        <f aca="false">IF(AND(A48&lt;&gt;"",L48="Retire"),COUNTIF($L$5:L48,"Retire"),"")</f>
        <v/>
      </c>
      <c r="AA48" s="34" t="str">
        <f aca="false">IF(AND(A48&lt;&gt;"",L48="Build"),COUNTIF($L$5:L48,"Build"),"")</f>
        <v/>
      </c>
      <c r="AB48" s="34" t="str">
        <f aca="false">IF(AND(A48&lt;&gt;"",OR(M48="4+",AND(ISNUMBER(M48),M48&gt;=2))),SUMPRODUCT(($A$5:A48&lt;&gt;"")*(($M$5:M48="4+")+(ISNUMBER($M$5:M48)*($M$5:M48&gt;=2)))),"")</f>
        <v/>
      </c>
      <c r="AC48" s="34" t="str">
        <f aca="false">IF(AND(A48&lt;&gt;"",OR(L48="",L48="Undecided",K48="")),SUMPRODUCT(($A$5:A48&lt;&gt;"")*(($L$5:L48="")+($L$5:L48="Undecided")+($K$5:K48=""))&gt;0*1),"")</f>
        <v/>
      </c>
    </row>
    <row r="49" customFormat="false" ht="15" hidden="false" customHeight="false" outlineLevel="0" collapsed="false">
      <c r="A49" s="29"/>
      <c r="B49" s="30"/>
      <c r="C49" s="30"/>
      <c r="D49" s="30"/>
      <c r="E49" s="30"/>
      <c r="F49" s="30"/>
      <c r="G49" s="30"/>
      <c r="H49" s="30"/>
      <c r="I49" s="30"/>
      <c r="J49" s="30"/>
      <c r="K49" s="30"/>
      <c r="L49" s="30"/>
      <c r="M49" s="20" t="str">
        <f aca="false">IF(A49="","",IF(V49="",0,IF(W49="",1,IF(X49="",2,IF(Y49="",3,"4+")))))</f>
        <v/>
      </c>
      <c r="N49" s="20" t="str">
        <f aca="false">IF(A49="","",A49&amp;IF(V49="",""," &lt;- "&amp;V49&amp;IF(W49="",""," &lt;- "&amp;W49&amp;IF(X49="",""," &lt;- "&amp;X49&amp;IF(Y49="",""," &lt;- "&amp;Y49))))&amp;IF(ISNUMBER(FIND(",",D49))," (+ other parents)",""))</f>
        <v/>
      </c>
      <c r="O49" s="20" t="str">
        <f aca="false">IF(A49="","",COUNTIF(Fields!$D:$D,A49))</f>
        <v/>
      </c>
      <c r="P49" s="20" t="str">
        <f aca="false">IF(A49="","",SUMIF(Fields!$D:$D,A49,Fields!$O:$O))</f>
        <v/>
      </c>
      <c r="Q49" s="30"/>
      <c r="R49" s="30"/>
      <c r="S49" s="30"/>
      <c r="T49" s="30"/>
      <c r="U49" s="30"/>
      <c r="V49" s="34" t="str">
        <f aca="false">IF(A49="","",IF(IFERROR(INDEX($D:$D,MATCH(A49,$A:$A,0)),"")="","",TRIM(IF(ISNUMBER(FIND(",",IFERROR(INDEX($D:$D,MATCH(A49,$A:$A,0)),""))),LEFT(IFERROR(INDEX($D:$D,MATCH(A49,$A:$A,0)),""),FIND(",",IFERROR(INDEX($D:$D,MATCH(A49,$A:$A,0)),""))-1),IFERROR(INDEX($D:$D,MATCH(A49,$A:$A,0)),"")))))</f>
        <v/>
      </c>
      <c r="W49" s="34" t="str">
        <f aca="false">IF(V49="","",IF(IFERROR(INDEX($D:$D,MATCH(V49,$A:$A,0)),"")="","",TRIM(IF(ISNUMBER(FIND(",",IFERROR(INDEX($D:$D,MATCH(V49,$A:$A,0)),""))),LEFT(IFERROR(INDEX($D:$D,MATCH(V49,$A:$A,0)),""),FIND(",",IFERROR(INDEX($D:$D,MATCH(V49,$A:$A,0)),""))-1),IFERROR(INDEX($D:$D,MATCH(V49,$A:$A,0)),"")))))</f>
        <v/>
      </c>
      <c r="X49" s="34" t="str">
        <f aca="false">IF(W49="","",IF(IFERROR(INDEX($D:$D,MATCH(W49,$A:$A,0)),"")="","",TRIM(IF(ISNUMBER(FIND(",",IFERROR(INDEX($D:$D,MATCH(W49,$A:$A,0)),""))),LEFT(IFERROR(INDEX($D:$D,MATCH(W49,$A:$A,0)),""),FIND(",",IFERROR(INDEX($D:$D,MATCH(W49,$A:$A,0)),""))-1),IFERROR(INDEX($D:$D,MATCH(W49,$A:$A,0)),"")))))</f>
        <v/>
      </c>
      <c r="Y49" s="34" t="str">
        <f aca="false">IF(X49="","",IF(IFERROR(INDEX($D:$D,MATCH(X49,$A:$A,0)),"")="","",TRIM(IF(ISNUMBER(FIND(",",IFERROR(INDEX($D:$D,MATCH(X49,$A:$A,0)),""))),LEFT(IFERROR(INDEX($D:$D,MATCH(X49,$A:$A,0)),""),FIND(",",IFERROR(INDEX($D:$D,MATCH(X49,$A:$A,0)),""))-1),IFERROR(INDEX($D:$D,MATCH(X49,$A:$A,0)),"")))))</f>
        <v/>
      </c>
      <c r="Z49" s="34" t="str">
        <f aca="false">IF(AND(A49&lt;&gt;"",L49="Retire"),COUNTIF($L$5:L49,"Retire"),"")</f>
        <v/>
      </c>
      <c r="AA49" s="34" t="str">
        <f aca="false">IF(AND(A49&lt;&gt;"",L49="Build"),COUNTIF($L$5:L49,"Build"),"")</f>
        <v/>
      </c>
      <c r="AB49" s="34" t="str">
        <f aca="false">IF(AND(A49&lt;&gt;"",OR(M49="4+",AND(ISNUMBER(M49),M49&gt;=2))),SUMPRODUCT(($A$5:A49&lt;&gt;"")*(($M$5:M49="4+")+(ISNUMBER($M$5:M49)*($M$5:M49&gt;=2)))),"")</f>
        <v/>
      </c>
      <c r="AC49" s="34" t="str">
        <f aca="false">IF(AND(A49&lt;&gt;"",OR(L49="",L49="Undecided",K49="")),SUMPRODUCT(($A$5:A49&lt;&gt;"")*(($L$5:L49="")+($L$5:L49="Undecided")+($K$5:K49=""))&gt;0*1),"")</f>
        <v/>
      </c>
    </row>
    <row r="50" customFormat="false" ht="15" hidden="false" customHeight="false" outlineLevel="0" collapsed="false">
      <c r="A50" s="29"/>
      <c r="B50" s="30"/>
      <c r="C50" s="30"/>
      <c r="D50" s="30"/>
      <c r="E50" s="30"/>
      <c r="F50" s="30"/>
      <c r="G50" s="30"/>
      <c r="H50" s="30"/>
      <c r="I50" s="30"/>
      <c r="J50" s="30"/>
      <c r="K50" s="30"/>
      <c r="L50" s="30"/>
      <c r="M50" s="20" t="str">
        <f aca="false">IF(A50="","",IF(V50="",0,IF(W50="",1,IF(X50="",2,IF(Y50="",3,"4+")))))</f>
        <v/>
      </c>
      <c r="N50" s="20" t="str">
        <f aca="false">IF(A50="","",A50&amp;IF(V50="",""," &lt;- "&amp;V50&amp;IF(W50="",""," &lt;- "&amp;W50&amp;IF(X50="",""," &lt;- "&amp;X50&amp;IF(Y50="",""," &lt;- "&amp;Y50))))&amp;IF(ISNUMBER(FIND(",",D50))," (+ other parents)",""))</f>
        <v/>
      </c>
      <c r="O50" s="20" t="str">
        <f aca="false">IF(A50="","",COUNTIF(Fields!$D:$D,A50))</f>
        <v/>
      </c>
      <c r="P50" s="20" t="str">
        <f aca="false">IF(A50="","",SUMIF(Fields!$D:$D,A50,Fields!$O:$O))</f>
        <v/>
      </c>
      <c r="Q50" s="30"/>
      <c r="R50" s="30"/>
      <c r="S50" s="30"/>
      <c r="T50" s="30"/>
      <c r="U50" s="30"/>
      <c r="V50" s="34" t="str">
        <f aca="false">IF(A50="","",IF(IFERROR(INDEX($D:$D,MATCH(A50,$A:$A,0)),"")="","",TRIM(IF(ISNUMBER(FIND(",",IFERROR(INDEX($D:$D,MATCH(A50,$A:$A,0)),""))),LEFT(IFERROR(INDEX($D:$D,MATCH(A50,$A:$A,0)),""),FIND(",",IFERROR(INDEX($D:$D,MATCH(A50,$A:$A,0)),""))-1),IFERROR(INDEX($D:$D,MATCH(A50,$A:$A,0)),"")))))</f>
        <v/>
      </c>
      <c r="W50" s="34" t="str">
        <f aca="false">IF(V50="","",IF(IFERROR(INDEX($D:$D,MATCH(V50,$A:$A,0)),"")="","",TRIM(IF(ISNUMBER(FIND(",",IFERROR(INDEX($D:$D,MATCH(V50,$A:$A,0)),""))),LEFT(IFERROR(INDEX($D:$D,MATCH(V50,$A:$A,0)),""),FIND(",",IFERROR(INDEX($D:$D,MATCH(V50,$A:$A,0)),""))-1),IFERROR(INDEX($D:$D,MATCH(V50,$A:$A,0)),"")))))</f>
        <v/>
      </c>
      <c r="X50" s="34" t="str">
        <f aca="false">IF(W50="","",IF(IFERROR(INDEX($D:$D,MATCH(W50,$A:$A,0)),"")="","",TRIM(IF(ISNUMBER(FIND(",",IFERROR(INDEX($D:$D,MATCH(W50,$A:$A,0)),""))),LEFT(IFERROR(INDEX($D:$D,MATCH(W50,$A:$A,0)),""),FIND(",",IFERROR(INDEX($D:$D,MATCH(W50,$A:$A,0)),""))-1),IFERROR(INDEX($D:$D,MATCH(W50,$A:$A,0)),"")))))</f>
        <v/>
      </c>
      <c r="Y50" s="34" t="str">
        <f aca="false">IF(X50="","",IF(IFERROR(INDEX($D:$D,MATCH(X50,$A:$A,0)),"")="","",TRIM(IF(ISNUMBER(FIND(",",IFERROR(INDEX($D:$D,MATCH(X50,$A:$A,0)),""))),LEFT(IFERROR(INDEX($D:$D,MATCH(X50,$A:$A,0)),""),FIND(",",IFERROR(INDEX($D:$D,MATCH(X50,$A:$A,0)),""))-1),IFERROR(INDEX($D:$D,MATCH(X50,$A:$A,0)),"")))))</f>
        <v/>
      </c>
      <c r="Z50" s="34" t="str">
        <f aca="false">IF(AND(A50&lt;&gt;"",L50="Retire"),COUNTIF($L$5:L50,"Retire"),"")</f>
        <v/>
      </c>
      <c r="AA50" s="34" t="str">
        <f aca="false">IF(AND(A50&lt;&gt;"",L50="Build"),COUNTIF($L$5:L50,"Build"),"")</f>
        <v/>
      </c>
      <c r="AB50" s="34" t="str">
        <f aca="false">IF(AND(A50&lt;&gt;"",OR(M50="4+",AND(ISNUMBER(M50),M50&gt;=2))),SUMPRODUCT(($A$5:A50&lt;&gt;"")*(($M$5:M50="4+")+(ISNUMBER($M$5:M50)*($M$5:M50&gt;=2)))),"")</f>
        <v/>
      </c>
      <c r="AC50" s="34" t="str">
        <f aca="false">IF(AND(A50&lt;&gt;"",OR(L50="",L50="Undecided",K50="")),SUMPRODUCT(($A$5:A50&lt;&gt;"")*(($L$5:L50="")+($L$5:L50="Undecided")+($K$5:K50=""))&gt;0*1),"")</f>
        <v/>
      </c>
    </row>
    <row r="51" customFormat="false" ht="15" hidden="false" customHeight="false" outlineLevel="0" collapsed="false">
      <c r="A51" s="29"/>
      <c r="B51" s="30"/>
      <c r="C51" s="30"/>
      <c r="D51" s="30"/>
      <c r="E51" s="30"/>
      <c r="F51" s="30"/>
      <c r="G51" s="30"/>
      <c r="H51" s="30"/>
      <c r="I51" s="30"/>
      <c r="J51" s="30"/>
      <c r="K51" s="30"/>
      <c r="L51" s="30"/>
      <c r="M51" s="20" t="str">
        <f aca="false">IF(A51="","",IF(V51="",0,IF(W51="",1,IF(X51="",2,IF(Y51="",3,"4+")))))</f>
        <v/>
      </c>
      <c r="N51" s="20" t="str">
        <f aca="false">IF(A51="","",A51&amp;IF(V51="",""," &lt;- "&amp;V51&amp;IF(W51="",""," &lt;- "&amp;W51&amp;IF(X51="",""," &lt;- "&amp;X51&amp;IF(Y51="",""," &lt;- "&amp;Y51))))&amp;IF(ISNUMBER(FIND(",",D51))," (+ other parents)",""))</f>
        <v/>
      </c>
      <c r="O51" s="20" t="str">
        <f aca="false">IF(A51="","",COUNTIF(Fields!$D:$D,A51))</f>
        <v/>
      </c>
      <c r="P51" s="20" t="str">
        <f aca="false">IF(A51="","",SUMIF(Fields!$D:$D,A51,Fields!$O:$O))</f>
        <v/>
      </c>
      <c r="Q51" s="30"/>
      <c r="R51" s="30"/>
      <c r="S51" s="30"/>
      <c r="T51" s="30"/>
      <c r="U51" s="30"/>
      <c r="V51" s="34" t="str">
        <f aca="false">IF(A51="","",IF(IFERROR(INDEX($D:$D,MATCH(A51,$A:$A,0)),"")="","",TRIM(IF(ISNUMBER(FIND(",",IFERROR(INDEX($D:$D,MATCH(A51,$A:$A,0)),""))),LEFT(IFERROR(INDEX($D:$D,MATCH(A51,$A:$A,0)),""),FIND(",",IFERROR(INDEX($D:$D,MATCH(A51,$A:$A,0)),""))-1),IFERROR(INDEX($D:$D,MATCH(A51,$A:$A,0)),"")))))</f>
        <v/>
      </c>
      <c r="W51" s="34" t="str">
        <f aca="false">IF(V51="","",IF(IFERROR(INDEX($D:$D,MATCH(V51,$A:$A,0)),"")="","",TRIM(IF(ISNUMBER(FIND(",",IFERROR(INDEX($D:$D,MATCH(V51,$A:$A,0)),""))),LEFT(IFERROR(INDEX($D:$D,MATCH(V51,$A:$A,0)),""),FIND(",",IFERROR(INDEX($D:$D,MATCH(V51,$A:$A,0)),""))-1),IFERROR(INDEX($D:$D,MATCH(V51,$A:$A,0)),"")))))</f>
        <v/>
      </c>
      <c r="X51" s="34" t="str">
        <f aca="false">IF(W51="","",IF(IFERROR(INDEX($D:$D,MATCH(W51,$A:$A,0)),"")="","",TRIM(IF(ISNUMBER(FIND(",",IFERROR(INDEX($D:$D,MATCH(W51,$A:$A,0)),""))),LEFT(IFERROR(INDEX($D:$D,MATCH(W51,$A:$A,0)),""),FIND(",",IFERROR(INDEX($D:$D,MATCH(W51,$A:$A,0)),""))-1),IFERROR(INDEX($D:$D,MATCH(W51,$A:$A,0)),"")))))</f>
        <v/>
      </c>
      <c r="Y51" s="34" t="str">
        <f aca="false">IF(X51="","",IF(IFERROR(INDEX($D:$D,MATCH(X51,$A:$A,0)),"")="","",TRIM(IF(ISNUMBER(FIND(",",IFERROR(INDEX($D:$D,MATCH(X51,$A:$A,0)),""))),LEFT(IFERROR(INDEX($D:$D,MATCH(X51,$A:$A,0)),""),FIND(",",IFERROR(INDEX($D:$D,MATCH(X51,$A:$A,0)),""))-1),IFERROR(INDEX($D:$D,MATCH(X51,$A:$A,0)),"")))))</f>
        <v/>
      </c>
      <c r="Z51" s="34" t="str">
        <f aca="false">IF(AND(A51&lt;&gt;"",L51="Retire"),COUNTIF($L$5:L51,"Retire"),"")</f>
        <v/>
      </c>
      <c r="AA51" s="34" t="str">
        <f aca="false">IF(AND(A51&lt;&gt;"",L51="Build"),COUNTIF($L$5:L51,"Build"),"")</f>
        <v/>
      </c>
      <c r="AB51" s="34" t="str">
        <f aca="false">IF(AND(A51&lt;&gt;"",OR(M51="4+",AND(ISNUMBER(M51),M51&gt;=2))),SUMPRODUCT(($A$5:A51&lt;&gt;"")*(($M$5:M51="4+")+(ISNUMBER($M$5:M51)*($M$5:M51&gt;=2)))),"")</f>
        <v/>
      </c>
      <c r="AC51" s="34" t="str">
        <f aca="false">IF(AND(A51&lt;&gt;"",OR(L51="",L51="Undecided",K51="")),SUMPRODUCT(($A$5:A51&lt;&gt;"")*(($L$5:L51="")+($L$5:L51="Undecided")+($K$5:K51=""))&gt;0*1),"")</f>
        <v/>
      </c>
    </row>
    <row r="52" customFormat="false" ht="15" hidden="false" customHeight="false" outlineLevel="0" collapsed="false">
      <c r="A52" s="29"/>
      <c r="B52" s="30"/>
      <c r="C52" s="30"/>
      <c r="D52" s="30"/>
      <c r="E52" s="30"/>
      <c r="F52" s="30"/>
      <c r="G52" s="30"/>
      <c r="H52" s="30"/>
      <c r="I52" s="30"/>
      <c r="J52" s="30"/>
      <c r="K52" s="30"/>
      <c r="L52" s="30"/>
      <c r="M52" s="20" t="str">
        <f aca="false">IF(A52="","",IF(V52="",0,IF(W52="",1,IF(X52="",2,IF(Y52="",3,"4+")))))</f>
        <v/>
      </c>
      <c r="N52" s="20" t="str">
        <f aca="false">IF(A52="","",A52&amp;IF(V52="",""," &lt;- "&amp;V52&amp;IF(W52="",""," &lt;- "&amp;W52&amp;IF(X52="",""," &lt;- "&amp;X52&amp;IF(Y52="",""," &lt;- "&amp;Y52))))&amp;IF(ISNUMBER(FIND(",",D52))," (+ other parents)",""))</f>
        <v/>
      </c>
      <c r="O52" s="20" t="str">
        <f aca="false">IF(A52="","",COUNTIF(Fields!$D:$D,A52))</f>
        <v/>
      </c>
      <c r="P52" s="20" t="str">
        <f aca="false">IF(A52="","",SUMIF(Fields!$D:$D,A52,Fields!$O:$O))</f>
        <v/>
      </c>
      <c r="Q52" s="30"/>
      <c r="R52" s="30"/>
      <c r="S52" s="30"/>
      <c r="T52" s="30"/>
      <c r="U52" s="30"/>
      <c r="V52" s="34" t="str">
        <f aca="false">IF(A52="","",IF(IFERROR(INDEX($D:$D,MATCH(A52,$A:$A,0)),"")="","",TRIM(IF(ISNUMBER(FIND(",",IFERROR(INDEX($D:$D,MATCH(A52,$A:$A,0)),""))),LEFT(IFERROR(INDEX($D:$D,MATCH(A52,$A:$A,0)),""),FIND(",",IFERROR(INDEX($D:$D,MATCH(A52,$A:$A,0)),""))-1),IFERROR(INDEX($D:$D,MATCH(A52,$A:$A,0)),"")))))</f>
        <v/>
      </c>
      <c r="W52" s="34" t="str">
        <f aca="false">IF(V52="","",IF(IFERROR(INDEX($D:$D,MATCH(V52,$A:$A,0)),"")="","",TRIM(IF(ISNUMBER(FIND(",",IFERROR(INDEX($D:$D,MATCH(V52,$A:$A,0)),""))),LEFT(IFERROR(INDEX($D:$D,MATCH(V52,$A:$A,0)),""),FIND(",",IFERROR(INDEX($D:$D,MATCH(V52,$A:$A,0)),""))-1),IFERROR(INDEX($D:$D,MATCH(V52,$A:$A,0)),"")))))</f>
        <v/>
      </c>
      <c r="X52" s="34" t="str">
        <f aca="false">IF(W52="","",IF(IFERROR(INDEX($D:$D,MATCH(W52,$A:$A,0)),"")="","",TRIM(IF(ISNUMBER(FIND(",",IFERROR(INDEX($D:$D,MATCH(W52,$A:$A,0)),""))),LEFT(IFERROR(INDEX($D:$D,MATCH(W52,$A:$A,0)),""),FIND(",",IFERROR(INDEX($D:$D,MATCH(W52,$A:$A,0)),""))-1),IFERROR(INDEX($D:$D,MATCH(W52,$A:$A,0)),"")))))</f>
        <v/>
      </c>
      <c r="Y52" s="34" t="str">
        <f aca="false">IF(X52="","",IF(IFERROR(INDEX($D:$D,MATCH(X52,$A:$A,0)),"")="","",TRIM(IF(ISNUMBER(FIND(",",IFERROR(INDEX($D:$D,MATCH(X52,$A:$A,0)),""))),LEFT(IFERROR(INDEX($D:$D,MATCH(X52,$A:$A,0)),""),FIND(",",IFERROR(INDEX($D:$D,MATCH(X52,$A:$A,0)),""))-1),IFERROR(INDEX($D:$D,MATCH(X52,$A:$A,0)),"")))))</f>
        <v/>
      </c>
      <c r="Z52" s="34" t="str">
        <f aca="false">IF(AND(A52&lt;&gt;"",L52="Retire"),COUNTIF($L$5:L52,"Retire"),"")</f>
        <v/>
      </c>
      <c r="AA52" s="34" t="str">
        <f aca="false">IF(AND(A52&lt;&gt;"",L52="Build"),COUNTIF($L$5:L52,"Build"),"")</f>
        <v/>
      </c>
      <c r="AB52" s="34" t="str">
        <f aca="false">IF(AND(A52&lt;&gt;"",OR(M52="4+",AND(ISNUMBER(M52),M52&gt;=2))),SUMPRODUCT(($A$5:A52&lt;&gt;"")*(($M$5:M52="4+")+(ISNUMBER($M$5:M52)*($M$5:M52&gt;=2)))),"")</f>
        <v/>
      </c>
      <c r="AC52" s="34" t="str">
        <f aca="false">IF(AND(A52&lt;&gt;"",OR(L52="",L52="Undecided",K52="")),SUMPRODUCT(($A$5:A52&lt;&gt;"")*(($L$5:L52="")+($L$5:L52="Undecided")+($K$5:K52=""))&gt;0*1),"")</f>
        <v/>
      </c>
    </row>
    <row r="53" customFormat="false" ht="15" hidden="false" customHeight="false" outlineLevel="0" collapsed="false">
      <c r="A53" s="29"/>
      <c r="B53" s="30"/>
      <c r="C53" s="30"/>
      <c r="D53" s="30"/>
      <c r="E53" s="30"/>
      <c r="F53" s="30"/>
      <c r="G53" s="30"/>
      <c r="H53" s="30"/>
      <c r="I53" s="30"/>
      <c r="J53" s="30"/>
      <c r="K53" s="30"/>
      <c r="L53" s="30"/>
      <c r="M53" s="20" t="str">
        <f aca="false">IF(A53="","",IF(V53="",0,IF(W53="",1,IF(X53="",2,IF(Y53="",3,"4+")))))</f>
        <v/>
      </c>
      <c r="N53" s="20" t="str">
        <f aca="false">IF(A53="","",A53&amp;IF(V53="",""," &lt;- "&amp;V53&amp;IF(W53="",""," &lt;- "&amp;W53&amp;IF(X53="",""," &lt;- "&amp;X53&amp;IF(Y53="",""," &lt;- "&amp;Y53))))&amp;IF(ISNUMBER(FIND(",",D53))," (+ other parents)",""))</f>
        <v/>
      </c>
      <c r="O53" s="20" t="str">
        <f aca="false">IF(A53="","",COUNTIF(Fields!$D:$D,A53))</f>
        <v/>
      </c>
      <c r="P53" s="20" t="str">
        <f aca="false">IF(A53="","",SUMIF(Fields!$D:$D,A53,Fields!$O:$O))</f>
        <v/>
      </c>
      <c r="Q53" s="30"/>
      <c r="R53" s="30"/>
      <c r="S53" s="30"/>
      <c r="T53" s="30"/>
      <c r="U53" s="30"/>
      <c r="V53" s="34" t="str">
        <f aca="false">IF(A53="","",IF(IFERROR(INDEX($D:$D,MATCH(A53,$A:$A,0)),"")="","",TRIM(IF(ISNUMBER(FIND(",",IFERROR(INDEX($D:$D,MATCH(A53,$A:$A,0)),""))),LEFT(IFERROR(INDEX($D:$D,MATCH(A53,$A:$A,0)),""),FIND(",",IFERROR(INDEX($D:$D,MATCH(A53,$A:$A,0)),""))-1),IFERROR(INDEX($D:$D,MATCH(A53,$A:$A,0)),"")))))</f>
        <v/>
      </c>
      <c r="W53" s="34" t="str">
        <f aca="false">IF(V53="","",IF(IFERROR(INDEX($D:$D,MATCH(V53,$A:$A,0)),"")="","",TRIM(IF(ISNUMBER(FIND(",",IFERROR(INDEX($D:$D,MATCH(V53,$A:$A,0)),""))),LEFT(IFERROR(INDEX($D:$D,MATCH(V53,$A:$A,0)),""),FIND(",",IFERROR(INDEX($D:$D,MATCH(V53,$A:$A,0)),""))-1),IFERROR(INDEX($D:$D,MATCH(V53,$A:$A,0)),"")))))</f>
        <v/>
      </c>
      <c r="X53" s="34" t="str">
        <f aca="false">IF(W53="","",IF(IFERROR(INDEX($D:$D,MATCH(W53,$A:$A,0)),"")="","",TRIM(IF(ISNUMBER(FIND(",",IFERROR(INDEX($D:$D,MATCH(W53,$A:$A,0)),""))),LEFT(IFERROR(INDEX($D:$D,MATCH(W53,$A:$A,0)),""),FIND(",",IFERROR(INDEX($D:$D,MATCH(W53,$A:$A,0)),""))-1),IFERROR(INDEX($D:$D,MATCH(W53,$A:$A,0)),"")))))</f>
        <v/>
      </c>
      <c r="Y53" s="34" t="str">
        <f aca="false">IF(X53="","",IF(IFERROR(INDEX($D:$D,MATCH(X53,$A:$A,0)),"")="","",TRIM(IF(ISNUMBER(FIND(",",IFERROR(INDEX($D:$D,MATCH(X53,$A:$A,0)),""))),LEFT(IFERROR(INDEX($D:$D,MATCH(X53,$A:$A,0)),""),FIND(",",IFERROR(INDEX($D:$D,MATCH(X53,$A:$A,0)),""))-1),IFERROR(INDEX($D:$D,MATCH(X53,$A:$A,0)),"")))))</f>
        <v/>
      </c>
      <c r="Z53" s="34" t="str">
        <f aca="false">IF(AND(A53&lt;&gt;"",L53="Retire"),COUNTIF($L$5:L53,"Retire"),"")</f>
        <v/>
      </c>
      <c r="AA53" s="34" t="str">
        <f aca="false">IF(AND(A53&lt;&gt;"",L53="Build"),COUNTIF($L$5:L53,"Build"),"")</f>
        <v/>
      </c>
      <c r="AB53" s="34" t="str">
        <f aca="false">IF(AND(A53&lt;&gt;"",OR(M53="4+",AND(ISNUMBER(M53),M53&gt;=2))),SUMPRODUCT(($A$5:A53&lt;&gt;"")*(($M$5:M53="4+")+(ISNUMBER($M$5:M53)*($M$5:M53&gt;=2)))),"")</f>
        <v/>
      </c>
      <c r="AC53" s="34" t="str">
        <f aca="false">IF(AND(A53&lt;&gt;"",OR(L53="",L53="Undecided",K53="")),SUMPRODUCT(($A$5:A53&lt;&gt;"")*(($L$5:L53="")+($L$5:L53="Undecided")+($K$5:K53=""))&gt;0*1),"")</f>
        <v/>
      </c>
    </row>
    <row r="54" customFormat="false" ht="15" hidden="false" customHeight="false" outlineLevel="0" collapsed="false">
      <c r="A54" s="29"/>
      <c r="B54" s="30"/>
      <c r="C54" s="30"/>
      <c r="D54" s="30"/>
      <c r="E54" s="30"/>
      <c r="F54" s="30"/>
      <c r="G54" s="30"/>
      <c r="H54" s="30"/>
      <c r="I54" s="30"/>
      <c r="J54" s="30"/>
      <c r="K54" s="30"/>
      <c r="L54" s="30"/>
      <c r="M54" s="20" t="str">
        <f aca="false">IF(A54="","",IF(V54="",0,IF(W54="",1,IF(X54="",2,IF(Y54="",3,"4+")))))</f>
        <v/>
      </c>
      <c r="N54" s="20" t="str">
        <f aca="false">IF(A54="","",A54&amp;IF(V54="",""," &lt;- "&amp;V54&amp;IF(W54="",""," &lt;- "&amp;W54&amp;IF(X54="",""," &lt;- "&amp;X54&amp;IF(Y54="",""," &lt;- "&amp;Y54))))&amp;IF(ISNUMBER(FIND(",",D54))," (+ other parents)",""))</f>
        <v/>
      </c>
      <c r="O54" s="20" t="str">
        <f aca="false">IF(A54="","",COUNTIF(Fields!$D:$D,A54))</f>
        <v/>
      </c>
      <c r="P54" s="20" t="str">
        <f aca="false">IF(A54="","",SUMIF(Fields!$D:$D,A54,Fields!$O:$O))</f>
        <v/>
      </c>
      <c r="Q54" s="30"/>
      <c r="R54" s="30"/>
      <c r="S54" s="30"/>
      <c r="T54" s="30"/>
      <c r="U54" s="30"/>
      <c r="V54" s="34" t="str">
        <f aca="false">IF(A54="","",IF(IFERROR(INDEX($D:$D,MATCH(A54,$A:$A,0)),"")="","",TRIM(IF(ISNUMBER(FIND(",",IFERROR(INDEX($D:$D,MATCH(A54,$A:$A,0)),""))),LEFT(IFERROR(INDEX($D:$D,MATCH(A54,$A:$A,0)),""),FIND(",",IFERROR(INDEX($D:$D,MATCH(A54,$A:$A,0)),""))-1),IFERROR(INDEX($D:$D,MATCH(A54,$A:$A,0)),"")))))</f>
        <v/>
      </c>
      <c r="W54" s="34" t="str">
        <f aca="false">IF(V54="","",IF(IFERROR(INDEX($D:$D,MATCH(V54,$A:$A,0)),"")="","",TRIM(IF(ISNUMBER(FIND(",",IFERROR(INDEX($D:$D,MATCH(V54,$A:$A,0)),""))),LEFT(IFERROR(INDEX($D:$D,MATCH(V54,$A:$A,0)),""),FIND(",",IFERROR(INDEX($D:$D,MATCH(V54,$A:$A,0)),""))-1),IFERROR(INDEX($D:$D,MATCH(V54,$A:$A,0)),"")))))</f>
        <v/>
      </c>
      <c r="X54" s="34" t="str">
        <f aca="false">IF(W54="","",IF(IFERROR(INDEX($D:$D,MATCH(W54,$A:$A,0)),"")="","",TRIM(IF(ISNUMBER(FIND(",",IFERROR(INDEX($D:$D,MATCH(W54,$A:$A,0)),""))),LEFT(IFERROR(INDEX($D:$D,MATCH(W54,$A:$A,0)),""),FIND(",",IFERROR(INDEX($D:$D,MATCH(W54,$A:$A,0)),""))-1),IFERROR(INDEX($D:$D,MATCH(W54,$A:$A,0)),"")))))</f>
        <v/>
      </c>
      <c r="Y54" s="34" t="str">
        <f aca="false">IF(X54="","",IF(IFERROR(INDEX($D:$D,MATCH(X54,$A:$A,0)),"")="","",TRIM(IF(ISNUMBER(FIND(",",IFERROR(INDEX($D:$D,MATCH(X54,$A:$A,0)),""))),LEFT(IFERROR(INDEX($D:$D,MATCH(X54,$A:$A,0)),""),FIND(",",IFERROR(INDEX($D:$D,MATCH(X54,$A:$A,0)),""))-1),IFERROR(INDEX($D:$D,MATCH(X54,$A:$A,0)),"")))))</f>
        <v/>
      </c>
      <c r="Z54" s="34" t="str">
        <f aca="false">IF(AND(A54&lt;&gt;"",L54="Retire"),COUNTIF($L$5:L54,"Retire"),"")</f>
        <v/>
      </c>
      <c r="AA54" s="34" t="str">
        <f aca="false">IF(AND(A54&lt;&gt;"",L54="Build"),COUNTIF($L$5:L54,"Build"),"")</f>
        <v/>
      </c>
      <c r="AB54" s="34" t="str">
        <f aca="false">IF(AND(A54&lt;&gt;"",OR(M54="4+",AND(ISNUMBER(M54),M54&gt;=2))),SUMPRODUCT(($A$5:A54&lt;&gt;"")*(($M$5:M54="4+")+(ISNUMBER($M$5:M54)*($M$5:M54&gt;=2)))),"")</f>
        <v/>
      </c>
      <c r="AC54" s="34" t="str">
        <f aca="false">IF(AND(A54&lt;&gt;"",OR(L54="",L54="Undecided",K54="")),SUMPRODUCT(($A$5:A54&lt;&gt;"")*(($L$5:L54="")+($L$5:L54="Undecided")+($K$5:K54=""))&gt;0*1),"")</f>
        <v/>
      </c>
    </row>
    <row r="55" customFormat="false" ht="15" hidden="false" customHeight="false" outlineLevel="0" collapsed="false">
      <c r="A55" s="29"/>
      <c r="B55" s="30"/>
      <c r="C55" s="30"/>
      <c r="D55" s="30"/>
      <c r="E55" s="30"/>
      <c r="F55" s="30"/>
      <c r="G55" s="30"/>
      <c r="H55" s="30"/>
      <c r="I55" s="30"/>
      <c r="J55" s="30"/>
      <c r="K55" s="30"/>
      <c r="L55" s="30"/>
      <c r="M55" s="20" t="str">
        <f aca="false">IF(A55="","",IF(V55="",0,IF(W55="",1,IF(X55="",2,IF(Y55="",3,"4+")))))</f>
        <v/>
      </c>
      <c r="N55" s="20" t="str">
        <f aca="false">IF(A55="","",A55&amp;IF(V55="",""," &lt;- "&amp;V55&amp;IF(W55="",""," &lt;- "&amp;W55&amp;IF(X55="",""," &lt;- "&amp;X55&amp;IF(Y55="",""," &lt;- "&amp;Y55))))&amp;IF(ISNUMBER(FIND(",",D55))," (+ other parents)",""))</f>
        <v/>
      </c>
      <c r="O55" s="20" t="str">
        <f aca="false">IF(A55="","",COUNTIF(Fields!$D:$D,A55))</f>
        <v/>
      </c>
      <c r="P55" s="20" t="str">
        <f aca="false">IF(A55="","",SUMIF(Fields!$D:$D,A55,Fields!$O:$O))</f>
        <v/>
      </c>
      <c r="Q55" s="30"/>
      <c r="R55" s="30"/>
      <c r="S55" s="30"/>
      <c r="T55" s="30"/>
      <c r="U55" s="30"/>
      <c r="V55" s="34" t="str">
        <f aca="false">IF(A55="","",IF(IFERROR(INDEX($D:$D,MATCH(A55,$A:$A,0)),"")="","",TRIM(IF(ISNUMBER(FIND(",",IFERROR(INDEX($D:$D,MATCH(A55,$A:$A,0)),""))),LEFT(IFERROR(INDEX($D:$D,MATCH(A55,$A:$A,0)),""),FIND(",",IFERROR(INDEX($D:$D,MATCH(A55,$A:$A,0)),""))-1),IFERROR(INDEX($D:$D,MATCH(A55,$A:$A,0)),"")))))</f>
        <v/>
      </c>
      <c r="W55" s="34" t="str">
        <f aca="false">IF(V55="","",IF(IFERROR(INDEX($D:$D,MATCH(V55,$A:$A,0)),"")="","",TRIM(IF(ISNUMBER(FIND(",",IFERROR(INDEX($D:$D,MATCH(V55,$A:$A,0)),""))),LEFT(IFERROR(INDEX($D:$D,MATCH(V55,$A:$A,0)),""),FIND(",",IFERROR(INDEX($D:$D,MATCH(V55,$A:$A,0)),""))-1),IFERROR(INDEX($D:$D,MATCH(V55,$A:$A,0)),"")))))</f>
        <v/>
      </c>
      <c r="X55" s="34" t="str">
        <f aca="false">IF(W55="","",IF(IFERROR(INDEX($D:$D,MATCH(W55,$A:$A,0)),"")="","",TRIM(IF(ISNUMBER(FIND(",",IFERROR(INDEX($D:$D,MATCH(W55,$A:$A,0)),""))),LEFT(IFERROR(INDEX($D:$D,MATCH(W55,$A:$A,0)),""),FIND(",",IFERROR(INDEX($D:$D,MATCH(W55,$A:$A,0)),""))-1),IFERROR(INDEX($D:$D,MATCH(W55,$A:$A,0)),"")))))</f>
        <v/>
      </c>
      <c r="Y55" s="34" t="str">
        <f aca="false">IF(X55="","",IF(IFERROR(INDEX($D:$D,MATCH(X55,$A:$A,0)),"")="","",TRIM(IF(ISNUMBER(FIND(",",IFERROR(INDEX($D:$D,MATCH(X55,$A:$A,0)),""))),LEFT(IFERROR(INDEX($D:$D,MATCH(X55,$A:$A,0)),""),FIND(",",IFERROR(INDEX($D:$D,MATCH(X55,$A:$A,0)),""))-1),IFERROR(INDEX($D:$D,MATCH(X55,$A:$A,0)),"")))))</f>
        <v/>
      </c>
      <c r="Z55" s="34" t="str">
        <f aca="false">IF(AND(A55&lt;&gt;"",L55="Retire"),COUNTIF($L$5:L55,"Retire"),"")</f>
        <v/>
      </c>
      <c r="AA55" s="34" t="str">
        <f aca="false">IF(AND(A55&lt;&gt;"",L55="Build"),COUNTIF($L$5:L55,"Build"),"")</f>
        <v/>
      </c>
      <c r="AB55" s="34" t="str">
        <f aca="false">IF(AND(A55&lt;&gt;"",OR(M55="4+",AND(ISNUMBER(M55),M55&gt;=2))),SUMPRODUCT(($A$5:A55&lt;&gt;"")*(($M$5:M55="4+")+(ISNUMBER($M$5:M55)*($M$5:M55&gt;=2)))),"")</f>
        <v/>
      </c>
      <c r="AC55" s="34" t="str">
        <f aca="false">IF(AND(A55&lt;&gt;"",OR(L55="",L55="Undecided",K55="")),SUMPRODUCT(($A$5:A55&lt;&gt;"")*(($L$5:L55="")+($L$5:L55="Undecided")+($K$5:K55=""))&gt;0*1),"")</f>
        <v/>
      </c>
    </row>
    <row r="56" customFormat="false" ht="15" hidden="false" customHeight="false" outlineLevel="0" collapsed="false">
      <c r="A56" s="29"/>
      <c r="B56" s="30"/>
      <c r="C56" s="30"/>
      <c r="D56" s="30"/>
      <c r="E56" s="30"/>
      <c r="F56" s="30"/>
      <c r="G56" s="30"/>
      <c r="H56" s="30"/>
      <c r="I56" s="30"/>
      <c r="J56" s="30"/>
      <c r="K56" s="30"/>
      <c r="L56" s="30"/>
      <c r="M56" s="20" t="str">
        <f aca="false">IF(A56="","",IF(V56="",0,IF(W56="",1,IF(X56="",2,IF(Y56="",3,"4+")))))</f>
        <v/>
      </c>
      <c r="N56" s="20" t="str">
        <f aca="false">IF(A56="","",A56&amp;IF(V56="",""," &lt;- "&amp;V56&amp;IF(W56="",""," &lt;- "&amp;W56&amp;IF(X56="",""," &lt;- "&amp;X56&amp;IF(Y56="",""," &lt;- "&amp;Y56))))&amp;IF(ISNUMBER(FIND(",",D56))," (+ other parents)",""))</f>
        <v/>
      </c>
      <c r="O56" s="20" t="str">
        <f aca="false">IF(A56="","",COUNTIF(Fields!$D:$D,A56))</f>
        <v/>
      </c>
      <c r="P56" s="20" t="str">
        <f aca="false">IF(A56="","",SUMIF(Fields!$D:$D,A56,Fields!$O:$O))</f>
        <v/>
      </c>
      <c r="Q56" s="30"/>
      <c r="R56" s="30"/>
      <c r="S56" s="30"/>
      <c r="T56" s="30"/>
      <c r="U56" s="30"/>
      <c r="V56" s="34" t="str">
        <f aca="false">IF(A56="","",IF(IFERROR(INDEX($D:$D,MATCH(A56,$A:$A,0)),"")="","",TRIM(IF(ISNUMBER(FIND(",",IFERROR(INDEX($D:$D,MATCH(A56,$A:$A,0)),""))),LEFT(IFERROR(INDEX($D:$D,MATCH(A56,$A:$A,0)),""),FIND(",",IFERROR(INDEX($D:$D,MATCH(A56,$A:$A,0)),""))-1),IFERROR(INDEX($D:$D,MATCH(A56,$A:$A,0)),"")))))</f>
        <v/>
      </c>
      <c r="W56" s="34" t="str">
        <f aca="false">IF(V56="","",IF(IFERROR(INDEX($D:$D,MATCH(V56,$A:$A,0)),"")="","",TRIM(IF(ISNUMBER(FIND(",",IFERROR(INDEX($D:$D,MATCH(V56,$A:$A,0)),""))),LEFT(IFERROR(INDEX($D:$D,MATCH(V56,$A:$A,0)),""),FIND(",",IFERROR(INDEX($D:$D,MATCH(V56,$A:$A,0)),""))-1),IFERROR(INDEX($D:$D,MATCH(V56,$A:$A,0)),"")))))</f>
        <v/>
      </c>
      <c r="X56" s="34" t="str">
        <f aca="false">IF(W56="","",IF(IFERROR(INDEX($D:$D,MATCH(W56,$A:$A,0)),"")="","",TRIM(IF(ISNUMBER(FIND(",",IFERROR(INDEX($D:$D,MATCH(W56,$A:$A,0)),""))),LEFT(IFERROR(INDEX($D:$D,MATCH(W56,$A:$A,0)),""),FIND(",",IFERROR(INDEX($D:$D,MATCH(W56,$A:$A,0)),""))-1),IFERROR(INDEX($D:$D,MATCH(W56,$A:$A,0)),"")))))</f>
        <v/>
      </c>
      <c r="Y56" s="34" t="str">
        <f aca="false">IF(X56="","",IF(IFERROR(INDEX($D:$D,MATCH(X56,$A:$A,0)),"")="","",TRIM(IF(ISNUMBER(FIND(",",IFERROR(INDEX($D:$D,MATCH(X56,$A:$A,0)),""))),LEFT(IFERROR(INDEX($D:$D,MATCH(X56,$A:$A,0)),""),FIND(",",IFERROR(INDEX($D:$D,MATCH(X56,$A:$A,0)),""))-1),IFERROR(INDEX($D:$D,MATCH(X56,$A:$A,0)),"")))))</f>
        <v/>
      </c>
      <c r="Z56" s="34" t="str">
        <f aca="false">IF(AND(A56&lt;&gt;"",L56="Retire"),COUNTIF($L$5:L56,"Retire"),"")</f>
        <v/>
      </c>
      <c r="AA56" s="34" t="str">
        <f aca="false">IF(AND(A56&lt;&gt;"",L56="Build"),COUNTIF($L$5:L56,"Build"),"")</f>
        <v/>
      </c>
      <c r="AB56" s="34" t="str">
        <f aca="false">IF(AND(A56&lt;&gt;"",OR(M56="4+",AND(ISNUMBER(M56),M56&gt;=2))),SUMPRODUCT(($A$5:A56&lt;&gt;"")*(($M$5:M56="4+")+(ISNUMBER($M$5:M56)*($M$5:M56&gt;=2)))),"")</f>
        <v/>
      </c>
      <c r="AC56" s="34" t="str">
        <f aca="false">IF(AND(A56&lt;&gt;"",OR(L56="",L56="Undecided",K56="")),SUMPRODUCT(($A$5:A56&lt;&gt;"")*(($L$5:L56="")+($L$5:L56="Undecided")+($K$5:K56=""))&gt;0*1),"")</f>
        <v/>
      </c>
    </row>
    <row r="57" customFormat="false" ht="15" hidden="false" customHeight="false" outlineLevel="0" collapsed="false">
      <c r="A57" s="29"/>
      <c r="B57" s="30"/>
      <c r="C57" s="30"/>
      <c r="D57" s="30"/>
      <c r="E57" s="30"/>
      <c r="F57" s="30"/>
      <c r="G57" s="30"/>
      <c r="H57" s="30"/>
      <c r="I57" s="30"/>
      <c r="J57" s="30"/>
      <c r="K57" s="30"/>
      <c r="L57" s="30"/>
      <c r="M57" s="20" t="str">
        <f aca="false">IF(A57="","",IF(V57="",0,IF(W57="",1,IF(X57="",2,IF(Y57="",3,"4+")))))</f>
        <v/>
      </c>
      <c r="N57" s="20" t="str">
        <f aca="false">IF(A57="","",A57&amp;IF(V57="",""," &lt;- "&amp;V57&amp;IF(W57="",""," &lt;- "&amp;W57&amp;IF(X57="",""," &lt;- "&amp;X57&amp;IF(Y57="",""," &lt;- "&amp;Y57))))&amp;IF(ISNUMBER(FIND(",",D57))," (+ other parents)",""))</f>
        <v/>
      </c>
      <c r="O57" s="20" t="str">
        <f aca="false">IF(A57="","",COUNTIF(Fields!$D:$D,A57))</f>
        <v/>
      </c>
      <c r="P57" s="20" t="str">
        <f aca="false">IF(A57="","",SUMIF(Fields!$D:$D,A57,Fields!$O:$O))</f>
        <v/>
      </c>
      <c r="Q57" s="30"/>
      <c r="R57" s="30"/>
      <c r="S57" s="30"/>
      <c r="T57" s="30"/>
      <c r="U57" s="30"/>
      <c r="V57" s="34" t="str">
        <f aca="false">IF(A57="","",IF(IFERROR(INDEX($D:$D,MATCH(A57,$A:$A,0)),"")="","",TRIM(IF(ISNUMBER(FIND(",",IFERROR(INDEX($D:$D,MATCH(A57,$A:$A,0)),""))),LEFT(IFERROR(INDEX($D:$D,MATCH(A57,$A:$A,0)),""),FIND(",",IFERROR(INDEX($D:$D,MATCH(A57,$A:$A,0)),""))-1),IFERROR(INDEX($D:$D,MATCH(A57,$A:$A,0)),"")))))</f>
        <v/>
      </c>
      <c r="W57" s="34" t="str">
        <f aca="false">IF(V57="","",IF(IFERROR(INDEX($D:$D,MATCH(V57,$A:$A,0)),"")="","",TRIM(IF(ISNUMBER(FIND(",",IFERROR(INDEX($D:$D,MATCH(V57,$A:$A,0)),""))),LEFT(IFERROR(INDEX($D:$D,MATCH(V57,$A:$A,0)),""),FIND(",",IFERROR(INDEX($D:$D,MATCH(V57,$A:$A,0)),""))-1),IFERROR(INDEX($D:$D,MATCH(V57,$A:$A,0)),"")))))</f>
        <v/>
      </c>
      <c r="X57" s="34" t="str">
        <f aca="false">IF(W57="","",IF(IFERROR(INDEX($D:$D,MATCH(W57,$A:$A,0)),"")="","",TRIM(IF(ISNUMBER(FIND(",",IFERROR(INDEX($D:$D,MATCH(W57,$A:$A,0)),""))),LEFT(IFERROR(INDEX($D:$D,MATCH(W57,$A:$A,0)),""),FIND(",",IFERROR(INDEX($D:$D,MATCH(W57,$A:$A,0)),""))-1),IFERROR(INDEX($D:$D,MATCH(W57,$A:$A,0)),"")))))</f>
        <v/>
      </c>
      <c r="Y57" s="34" t="str">
        <f aca="false">IF(X57="","",IF(IFERROR(INDEX($D:$D,MATCH(X57,$A:$A,0)),"")="","",TRIM(IF(ISNUMBER(FIND(",",IFERROR(INDEX($D:$D,MATCH(X57,$A:$A,0)),""))),LEFT(IFERROR(INDEX($D:$D,MATCH(X57,$A:$A,0)),""),FIND(",",IFERROR(INDEX($D:$D,MATCH(X57,$A:$A,0)),""))-1),IFERROR(INDEX($D:$D,MATCH(X57,$A:$A,0)),"")))))</f>
        <v/>
      </c>
      <c r="Z57" s="34" t="str">
        <f aca="false">IF(AND(A57&lt;&gt;"",L57="Retire"),COUNTIF($L$5:L57,"Retire"),"")</f>
        <v/>
      </c>
      <c r="AA57" s="34" t="str">
        <f aca="false">IF(AND(A57&lt;&gt;"",L57="Build"),COUNTIF($L$5:L57,"Build"),"")</f>
        <v/>
      </c>
      <c r="AB57" s="34" t="str">
        <f aca="false">IF(AND(A57&lt;&gt;"",OR(M57="4+",AND(ISNUMBER(M57),M57&gt;=2))),SUMPRODUCT(($A$5:A57&lt;&gt;"")*(($M$5:M57="4+")+(ISNUMBER($M$5:M57)*($M$5:M57&gt;=2)))),"")</f>
        <v/>
      </c>
      <c r="AC57" s="34" t="str">
        <f aca="false">IF(AND(A57&lt;&gt;"",OR(L57="",L57="Undecided",K57="")),SUMPRODUCT(($A$5:A57&lt;&gt;"")*(($L$5:L57="")+($L$5:L57="Undecided")+($K$5:K57=""))&gt;0*1),"")</f>
        <v/>
      </c>
    </row>
    <row r="58" customFormat="false" ht="15" hidden="false" customHeight="false" outlineLevel="0" collapsed="false">
      <c r="A58" s="29"/>
      <c r="B58" s="30"/>
      <c r="C58" s="30"/>
      <c r="D58" s="30"/>
      <c r="E58" s="30"/>
      <c r="F58" s="30"/>
      <c r="G58" s="30"/>
      <c r="H58" s="30"/>
      <c r="I58" s="30"/>
      <c r="J58" s="30"/>
      <c r="K58" s="30"/>
      <c r="L58" s="30"/>
      <c r="M58" s="20" t="str">
        <f aca="false">IF(A58="","",IF(V58="",0,IF(W58="",1,IF(X58="",2,IF(Y58="",3,"4+")))))</f>
        <v/>
      </c>
      <c r="N58" s="20" t="str">
        <f aca="false">IF(A58="","",A58&amp;IF(V58="",""," &lt;- "&amp;V58&amp;IF(W58="",""," &lt;- "&amp;W58&amp;IF(X58="",""," &lt;- "&amp;X58&amp;IF(Y58="",""," &lt;- "&amp;Y58))))&amp;IF(ISNUMBER(FIND(",",D58))," (+ other parents)",""))</f>
        <v/>
      </c>
      <c r="O58" s="20" t="str">
        <f aca="false">IF(A58="","",COUNTIF(Fields!$D:$D,A58))</f>
        <v/>
      </c>
      <c r="P58" s="20" t="str">
        <f aca="false">IF(A58="","",SUMIF(Fields!$D:$D,A58,Fields!$O:$O))</f>
        <v/>
      </c>
      <c r="Q58" s="30"/>
      <c r="R58" s="30"/>
      <c r="S58" s="30"/>
      <c r="T58" s="30"/>
      <c r="U58" s="30"/>
      <c r="V58" s="34" t="str">
        <f aca="false">IF(A58="","",IF(IFERROR(INDEX($D:$D,MATCH(A58,$A:$A,0)),"")="","",TRIM(IF(ISNUMBER(FIND(",",IFERROR(INDEX($D:$D,MATCH(A58,$A:$A,0)),""))),LEFT(IFERROR(INDEX($D:$D,MATCH(A58,$A:$A,0)),""),FIND(",",IFERROR(INDEX($D:$D,MATCH(A58,$A:$A,0)),""))-1),IFERROR(INDEX($D:$D,MATCH(A58,$A:$A,0)),"")))))</f>
        <v/>
      </c>
      <c r="W58" s="34" t="str">
        <f aca="false">IF(V58="","",IF(IFERROR(INDEX($D:$D,MATCH(V58,$A:$A,0)),"")="","",TRIM(IF(ISNUMBER(FIND(",",IFERROR(INDEX($D:$D,MATCH(V58,$A:$A,0)),""))),LEFT(IFERROR(INDEX($D:$D,MATCH(V58,$A:$A,0)),""),FIND(",",IFERROR(INDEX($D:$D,MATCH(V58,$A:$A,0)),""))-1),IFERROR(INDEX($D:$D,MATCH(V58,$A:$A,0)),"")))))</f>
        <v/>
      </c>
      <c r="X58" s="34" t="str">
        <f aca="false">IF(W58="","",IF(IFERROR(INDEX($D:$D,MATCH(W58,$A:$A,0)),"")="","",TRIM(IF(ISNUMBER(FIND(",",IFERROR(INDEX($D:$D,MATCH(W58,$A:$A,0)),""))),LEFT(IFERROR(INDEX($D:$D,MATCH(W58,$A:$A,0)),""),FIND(",",IFERROR(INDEX($D:$D,MATCH(W58,$A:$A,0)),""))-1),IFERROR(INDEX($D:$D,MATCH(W58,$A:$A,0)),"")))))</f>
        <v/>
      </c>
      <c r="Y58" s="34" t="str">
        <f aca="false">IF(X58="","",IF(IFERROR(INDEX($D:$D,MATCH(X58,$A:$A,0)),"")="","",TRIM(IF(ISNUMBER(FIND(",",IFERROR(INDEX($D:$D,MATCH(X58,$A:$A,0)),""))),LEFT(IFERROR(INDEX($D:$D,MATCH(X58,$A:$A,0)),""),FIND(",",IFERROR(INDEX($D:$D,MATCH(X58,$A:$A,0)),""))-1),IFERROR(INDEX($D:$D,MATCH(X58,$A:$A,0)),"")))))</f>
        <v/>
      </c>
      <c r="Z58" s="34" t="str">
        <f aca="false">IF(AND(A58&lt;&gt;"",L58="Retire"),COUNTIF($L$5:L58,"Retire"),"")</f>
        <v/>
      </c>
      <c r="AA58" s="34" t="str">
        <f aca="false">IF(AND(A58&lt;&gt;"",L58="Build"),COUNTIF($L$5:L58,"Build"),"")</f>
        <v/>
      </c>
      <c r="AB58" s="34" t="str">
        <f aca="false">IF(AND(A58&lt;&gt;"",OR(M58="4+",AND(ISNUMBER(M58),M58&gt;=2))),SUMPRODUCT(($A$5:A58&lt;&gt;"")*(($M$5:M58="4+")+(ISNUMBER($M$5:M58)*($M$5:M58&gt;=2)))),"")</f>
        <v/>
      </c>
      <c r="AC58" s="34" t="str">
        <f aca="false">IF(AND(A58&lt;&gt;"",OR(L58="",L58="Undecided",K58="")),SUMPRODUCT(($A$5:A58&lt;&gt;"")*(($L$5:L58="")+($L$5:L58="Undecided")+($K$5:K58=""))&gt;0*1),"")</f>
        <v/>
      </c>
    </row>
    <row r="59" customFormat="false" ht="15" hidden="false" customHeight="false" outlineLevel="0" collapsed="false">
      <c r="A59" s="29"/>
      <c r="B59" s="30"/>
      <c r="C59" s="30"/>
      <c r="D59" s="30"/>
      <c r="E59" s="30"/>
      <c r="F59" s="30"/>
      <c r="G59" s="30"/>
      <c r="H59" s="30"/>
      <c r="I59" s="30"/>
      <c r="J59" s="30"/>
      <c r="K59" s="30"/>
      <c r="L59" s="30"/>
      <c r="M59" s="20" t="str">
        <f aca="false">IF(A59="","",IF(V59="",0,IF(W59="",1,IF(X59="",2,IF(Y59="",3,"4+")))))</f>
        <v/>
      </c>
      <c r="N59" s="20" t="str">
        <f aca="false">IF(A59="","",A59&amp;IF(V59="",""," &lt;- "&amp;V59&amp;IF(W59="",""," &lt;- "&amp;W59&amp;IF(X59="",""," &lt;- "&amp;X59&amp;IF(Y59="",""," &lt;- "&amp;Y59))))&amp;IF(ISNUMBER(FIND(",",D59))," (+ other parents)",""))</f>
        <v/>
      </c>
      <c r="O59" s="20" t="str">
        <f aca="false">IF(A59="","",COUNTIF(Fields!$D:$D,A59))</f>
        <v/>
      </c>
      <c r="P59" s="20" t="str">
        <f aca="false">IF(A59="","",SUMIF(Fields!$D:$D,A59,Fields!$O:$O))</f>
        <v/>
      </c>
      <c r="Q59" s="30"/>
      <c r="R59" s="30"/>
      <c r="S59" s="30"/>
      <c r="T59" s="30"/>
      <c r="U59" s="30"/>
      <c r="V59" s="34" t="str">
        <f aca="false">IF(A59="","",IF(IFERROR(INDEX($D:$D,MATCH(A59,$A:$A,0)),"")="","",TRIM(IF(ISNUMBER(FIND(",",IFERROR(INDEX($D:$D,MATCH(A59,$A:$A,0)),""))),LEFT(IFERROR(INDEX($D:$D,MATCH(A59,$A:$A,0)),""),FIND(",",IFERROR(INDEX($D:$D,MATCH(A59,$A:$A,0)),""))-1),IFERROR(INDEX($D:$D,MATCH(A59,$A:$A,0)),"")))))</f>
        <v/>
      </c>
      <c r="W59" s="34" t="str">
        <f aca="false">IF(V59="","",IF(IFERROR(INDEX($D:$D,MATCH(V59,$A:$A,0)),"")="","",TRIM(IF(ISNUMBER(FIND(",",IFERROR(INDEX($D:$D,MATCH(V59,$A:$A,0)),""))),LEFT(IFERROR(INDEX($D:$D,MATCH(V59,$A:$A,0)),""),FIND(",",IFERROR(INDEX($D:$D,MATCH(V59,$A:$A,0)),""))-1),IFERROR(INDEX($D:$D,MATCH(V59,$A:$A,0)),"")))))</f>
        <v/>
      </c>
      <c r="X59" s="34" t="str">
        <f aca="false">IF(W59="","",IF(IFERROR(INDEX($D:$D,MATCH(W59,$A:$A,0)),"")="","",TRIM(IF(ISNUMBER(FIND(",",IFERROR(INDEX($D:$D,MATCH(W59,$A:$A,0)),""))),LEFT(IFERROR(INDEX($D:$D,MATCH(W59,$A:$A,0)),""),FIND(",",IFERROR(INDEX($D:$D,MATCH(W59,$A:$A,0)),""))-1),IFERROR(INDEX($D:$D,MATCH(W59,$A:$A,0)),"")))))</f>
        <v/>
      </c>
      <c r="Y59" s="34" t="str">
        <f aca="false">IF(X59="","",IF(IFERROR(INDEX($D:$D,MATCH(X59,$A:$A,0)),"")="","",TRIM(IF(ISNUMBER(FIND(",",IFERROR(INDEX($D:$D,MATCH(X59,$A:$A,0)),""))),LEFT(IFERROR(INDEX($D:$D,MATCH(X59,$A:$A,0)),""),FIND(",",IFERROR(INDEX($D:$D,MATCH(X59,$A:$A,0)),""))-1),IFERROR(INDEX($D:$D,MATCH(X59,$A:$A,0)),"")))))</f>
        <v/>
      </c>
      <c r="Z59" s="34" t="str">
        <f aca="false">IF(AND(A59&lt;&gt;"",L59="Retire"),COUNTIF($L$5:L59,"Retire"),"")</f>
        <v/>
      </c>
      <c r="AA59" s="34" t="str">
        <f aca="false">IF(AND(A59&lt;&gt;"",L59="Build"),COUNTIF($L$5:L59,"Build"),"")</f>
        <v/>
      </c>
      <c r="AB59" s="34" t="str">
        <f aca="false">IF(AND(A59&lt;&gt;"",OR(M59="4+",AND(ISNUMBER(M59),M59&gt;=2))),SUMPRODUCT(($A$5:A59&lt;&gt;"")*(($M$5:M59="4+")+(ISNUMBER($M$5:M59)*($M$5:M59&gt;=2)))),"")</f>
        <v/>
      </c>
      <c r="AC59" s="34" t="str">
        <f aca="false">IF(AND(A59&lt;&gt;"",OR(L59="",L59="Undecided",K59="")),SUMPRODUCT(($A$5:A59&lt;&gt;"")*(($L$5:L59="")+($L$5:L59="Undecided")+($K$5:K59=""))&gt;0*1),"")</f>
        <v/>
      </c>
    </row>
    <row r="60" customFormat="false" ht="15" hidden="false" customHeight="false" outlineLevel="0" collapsed="false">
      <c r="A60" s="29"/>
      <c r="B60" s="30"/>
      <c r="C60" s="30"/>
      <c r="D60" s="30"/>
      <c r="E60" s="30"/>
      <c r="F60" s="30"/>
      <c r="G60" s="30"/>
      <c r="H60" s="30"/>
      <c r="I60" s="30"/>
      <c r="J60" s="30"/>
      <c r="K60" s="30"/>
      <c r="L60" s="30"/>
      <c r="M60" s="20" t="str">
        <f aca="false">IF(A60="","",IF(V60="",0,IF(W60="",1,IF(X60="",2,IF(Y60="",3,"4+")))))</f>
        <v/>
      </c>
      <c r="N60" s="20" t="str">
        <f aca="false">IF(A60="","",A60&amp;IF(V60="",""," &lt;- "&amp;V60&amp;IF(W60="",""," &lt;- "&amp;W60&amp;IF(X60="",""," &lt;- "&amp;X60&amp;IF(Y60="",""," &lt;- "&amp;Y60))))&amp;IF(ISNUMBER(FIND(",",D60))," (+ other parents)",""))</f>
        <v/>
      </c>
      <c r="O60" s="20" t="str">
        <f aca="false">IF(A60="","",COUNTIF(Fields!$D:$D,A60))</f>
        <v/>
      </c>
      <c r="P60" s="20" t="str">
        <f aca="false">IF(A60="","",SUMIF(Fields!$D:$D,A60,Fields!$O:$O))</f>
        <v/>
      </c>
      <c r="Q60" s="30"/>
      <c r="R60" s="30"/>
      <c r="S60" s="30"/>
      <c r="T60" s="30"/>
      <c r="U60" s="30"/>
      <c r="V60" s="34" t="str">
        <f aca="false">IF(A60="","",IF(IFERROR(INDEX($D:$D,MATCH(A60,$A:$A,0)),"")="","",TRIM(IF(ISNUMBER(FIND(",",IFERROR(INDEX($D:$D,MATCH(A60,$A:$A,0)),""))),LEFT(IFERROR(INDEX($D:$D,MATCH(A60,$A:$A,0)),""),FIND(",",IFERROR(INDEX($D:$D,MATCH(A60,$A:$A,0)),""))-1),IFERROR(INDEX($D:$D,MATCH(A60,$A:$A,0)),"")))))</f>
        <v/>
      </c>
      <c r="W60" s="34" t="str">
        <f aca="false">IF(V60="","",IF(IFERROR(INDEX($D:$D,MATCH(V60,$A:$A,0)),"")="","",TRIM(IF(ISNUMBER(FIND(",",IFERROR(INDEX($D:$D,MATCH(V60,$A:$A,0)),""))),LEFT(IFERROR(INDEX($D:$D,MATCH(V60,$A:$A,0)),""),FIND(",",IFERROR(INDEX($D:$D,MATCH(V60,$A:$A,0)),""))-1),IFERROR(INDEX($D:$D,MATCH(V60,$A:$A,0)),"")))))</f>
        <v/>
      </c>
      <c r="X60" s="34" t="str">
        <f aca="false">IF(W60="","",IF(IFERROR(INDEX($D:$D,MATCH(W60,$A:$A,0)),"")="","",TRIM(IF(ISNUMBER(FIND(",",IFERROR(INDEX($D:$D,MATCH(W60,$A:$A,0)),""))),LEFT(IFERROR(INDEX($D:$D,MATCH(W60,$A:$A,0)),""),FIND(",",IFERROR(INDEX($D:$D,MATCH(W60,$A:$A,0)),""))-1),IFERROR(INDEX($D:$D,MATCH(W60,$A:$A,0)),"")))))</f>
        <v/>
      </c>
      <c r="Y60" s="34" t="str">
        <f aca="false">IF(X60="","",IF(IFERROR(INDEX($D:$D,MATCH(X60,$A:$A,0)),"")="","",TRIM(IF(ISNUMBER(FIND(",",IFERROR(INDEX($D:$D,MATCH(X60,$A:$A,0)),""))),LEFT(IFERROR(INDEX($D:$D,MATCH(X60,$A:$A,0)),""),FIND(",",IFERROR(INDEX($D:$D,MATCH(X60,$A:$A,0)),""))-1),IFERROR(INDEX($D:$D,MATCH(X60,$A:$A,0)),"")))))</f>
        <v/>
      </c>
      <c r="Z60" s="34" t="str">
        <f aca="false">IF(AND(A60&lt;&gt;"",L60="Retire"),COUNTIF($L$5:L60,"Retire"),"")</f>
        <v/>
      </c>
      <c r="AA60" s="34" t="str">
        <f aca="false">IF(AND(A60&lt;&gt;"",L60="Build"),COUNTIF($L$5:L60,"Build"),"")</f>
        <v/>
      </c>
      <c r="AB60" s="34" t="str">
        <f aca="false">IF(AND(A60&lt;&gt;"",OR(M60="4+",AND(ISNUMBER(M60),M60&gt;=2))),SUMPRODUCT(($A$5:A60&lt;&gt;"")*(($M$5:M60="4+")+(ISNUMBER($M$5:M60)*($M$5:M60&gt;=2)))),"")</f>
        <v/>
      </c>
      <c r="AC60" s="34" t="str">
        <f aca="false">IF(AND(A60&lt;&gt;"",OR(L60="",L60="Undecided",K60="")),SUMPRODUCT(($A$5:A60&lt;&gt;"")*(($L$5:L60="")+($L$5:L60="Undecided")+($K$5:K60=""))&gt;0*1),"")</f>
        <v/>
      </c>
    </row>
    <row r="61" customFormat="false" ht="15" hidden="false" customHeight="false" outlineLevel="0" collapsed="false">
      <c r="A61" s="29"/>
      <c r="B61" s="30"/>
      <c r="C61" s="30"/>
      <c r="D61" s="30"/>
      <c r="E61" s="30"/>
      <c r="F61" s="30"/>
      <c r="G61" s="30"/>
      <c r="H61" s="30"/>
      <c r="I61" s="30"/>
      <c r="J61" s="30"/>
      <c r="K61" s="30"/>
      <c r="L61" s="30"/>
      <c r="M61" s="20" t="str">
        <f aca="false">IF(A61="","",IF(V61="",0,IF(W61="",1,IF(X61="",2,IF(Y61="",3,"4+")))))</f>
        <v/>
      </c>
      <c r="N61" s="20" t="str">
        <f aca="false">IF(A61="","",A61&amp;IF(V61="",""," &lt;- "&amp;V61&amp;IF(W61="",""," &lt;- "&amp;W61&amp;IF(X61="",""," &lt;- "&amp;X61&amp;IF(Y61="",""," &lt;- "&amp;Y61))))&amp;IF(ISNUMBER(FIND(",",D61))," (+ other parents)",""))</f>
        <v/>
      </c>
      <c r="O61" s="20" t="str">
        <f aca="false">IF(A61="","",COUNTIF(Fields!$D:$D,A61))</f>
        <v/>
      </c>
      <c r="P61" s="20" t="str">
        <f aca="false">IF(A61="","",SUMIF(Fields!$D:$D,A61,Fields!$O:$O))</f>
        <v/>
      </c>
      <c r="Q61" s="30"/>
      <c r="R61" s="30"/>
      <c r="S61" s="30"/>
      <c r="T61" s="30"/>
      <c r="U61" s="30"/>
      <c r="V61" s="34" t="str">
        <f aca="false">IF(A61="","",IF(IFERROR(INDEX($D:$D,MATCH(A61,$A:$A,0)),"")="","",TRIM(IF(ISNUMBER(FIND(",",IFERROR(INDEX($D:$D,MATCH(A61,$A:$A,0)),""))),LEFT(IFERROR(INDEX($D:$D,MATCH(A61,$A:$A,0)),""),FIND(",",IFERROR(INDEX($D:$D,MATCH(A61,$A:$A,0)),""))-1),IFERROR(INDEX($D:$D,MATCH(A61,$A:$A,0)),"")))))</f>
        <v/>
      </c>
      <c r="W61" s="34" t="str">
        <f aca="false">IF(V61="","",IF(IFERROR(INDEX($D:$D,MATCH(V61,$A:$A,0)),"")="","",TRIM(IF(ISNUMBER(FIND(",",IFERROR(INDEX($D:$D,MATCH(V61,$A:$A,0)),""))),LEFT(IFERROR(INDEX($D:$D,MATCH(V61,$A:$A,0)),""),FIND(",",IFERROR(INDEX($D:$D,MATCH(V61,$A:$A,0)),""))-1),IFERROR(INDEX($D:$D,MATCH(V61,$A:$A,0)),"")))))</f>
        <v/>
      </c>
      <c r="X61" s="34" t="str">
        <f aca="false">IF(W61="","",IF(IFERROR(INDEX($D:$D,MATCH(W61,$A:$A,0)),"")="","",TRIM(IF(ISNUMBER(FIND(",",IFERROR(INDEX($D:$D,MATCH(W61,$A:$A,0)),""))),LEFT(IFERROR(INDEX($D:$D,MATCH(W61,$A:$A,0)),""),FIND(",",IFERROR(INDEX($D:$D,MATCH(W61,$A:$A,0)),""))-1),IFERROR(INDEX($D:$D,MATCH(W61,$A:$A,0)),"")))))</f>
        <v/>
      </c>
      <c r="Y61" s="34" t="str">
        <f aca="false">IF(X61="","",IF(IFERROR(INDEX($D:$D,MATCH(X61,$A:$A,0)),"")="","",TRIM(IF(ISNUMBER(FIND(",",IFERROR(INDEX($D:$D,MATCH(X61,$A:$A,0)),""))),LEFT(IFERROR(INDEX($D:$D,MATCH(X61,$A:$A,0)),""),FIND(",",IFERROR(INDEX($D:$D,MATCH(X61,$A:$A,0)),""))-1),IFERROR(INDEX($D:$D,MATCH(X61,$A:$A,0)),"")))))</f>
        <v/>
      </c>
      <c r="Z61" s="34" t="str">
        <f aca="false">IF(AND(A61&lt;&gt;"",L61="Retire"),COUNTIF($L$5:L61,"Retire"),"")</f>
        <v/>
      </c>
      <c r="AA61" s="34" t="str">
        <f aca="false">IF(AND(A61&lt;&gt;"",L61="Build"),COUNTIF($L$5:L61,"Build"),"")</f>
        <v/>
      </c>
      <c r="AB61" s="34" t="str">
        <f aca="false">IF(AND(A61&lt;&gt;"",OR(M61="4+",AND(ISNUMBER(M61),M61&gt;=2))),SUMPRODUCT(($A$5:A61&lt;&gt;"")*(($M$5:M61="4+")+(ISNUMBER($M$5:M61)*($M$5:M61&gt;=2)))),"")</f>
        <v/>
      </c>
      <c r="AC61" s="34" t="str">
        <f aca="false">IF(AND(A61&lt;&gt;"",OR(L61="",L61="Undecided",K61="")),SUMPRODUCT(($A$5:A61&lt;&gt;"")*(($L$5:L61="")+($L$5:L61="Undecided")+($K$5:K61=""))&gt;0*1),"")</f>
        <v/>
      </c>
    </row>
    <row r="62" customFormat="false" ht="15" hidden="false" customHeight="false" outlineLevel="0" collapsed="false">
      <c r="A62" s="29"/>
      <c r="B62" s="30"/>
      <c r="C62" s="30"/>
      <c r="D62" s="30"/>
      <c r="E62" s="30"/>
      <c r="F62" s="30"/>
      <c r="G62" s="30"/>
      <c r="H62" s="30"/>
      <c r="I62" s="30"/>
      <c r="J62" s="30"/>
      <c r="K62" s="30"/>
      <c r="L62" s="30"/>
      <c r="M62" s="20" t="str">
        <f aca="false">IF(A62="","",IF(V62="",0,IF(W62="",1,IF(X62="",2,IF(Y62="",3,"4+")))))</f>
        <v/>
      </c>
      <c r="N62" s="20" t="str">
        <f aca="false">IF(A62="","",A62&amp;IF(V62="",""," &lt;- "&amp;V62&amp;IF(W62="",""," &lt;- "&amp;W62&amp;IF(X62="",""," &lt;- "&amp;X62&amp;IF(Y62="",""," &lt;- "&amp;Y62))))&amp;IF(ISNUMBER(FIND(",",D62))," (+ other parents)",""))</f>
        <v/>
      </c>
      <c r="O62" s="20" t="str">
        <f aca="false">IF(A62="","",COUNTIF(Fields!$D:$D,A62))</f>
        <v/>
      </c>
      <c r="P62" s="20" t="str">
        <f aca="false">IF(A62="","",SUMIF(Fields!$D:$D,A62,Fields!$O:$O))</f>
        <v/>
      </c>
      <c r="Q62" s="30"/>
      <c r="R62" s="30"/>
      <c r="S62" s="30"/>
      <c r="T62" s="30"/>
      <c r="U62" s="30"/>
      <c r="V62" s="34" t="str">
        <f aca="false">IF(A62="","",IF(IFERROR(INDEX($D:$D,MATCH(A62,$A:$A,0)),"")="","",TRIM(IF(ISNUMBER(FIND(",",IFERROR(INDEX($D:$D,MATCH(A62,$A:$A,0)),""))),LEFT(IFERROR(INDEX($D:$D,MATCH(A62,$A:$A,0)),""),FIND(",",IFERROR(INDEX($D:$D,MATCH(A62,$A:$A,0)),""))-1),IFERROR(INDEX($D:$D,MATCH(A62,$A:$A,0)),"")))))</f>
        <v/>
      </c>
      <c r="W62" s="34" t="str">
        <f aca="false">IF(V62="","",IF(IFERROR(INDEX($D:$D,MATCH(V62,$A:$A,0)),"")="","",TRIM(IF(ISNUMBER(FIND(",",IFERROR(INDEX($D:$D,MATCH(V62,$A:$A,0)),""))),LEFT(IFERROR(INDEX($D:$D,MATCH(V62,$A:$A,0)),""),FIND(",",IFERROR(INDEX($D:$D,MATCH(V62,$A:$A,0)),""))-1),IFERROR(INDEX($D:$D,MATCH(V62,$A:$A,0)),"")))))</f>
        <v/>
      </c>
      <c r="X62" s="34" t="str">
        <f aca="false">IF(W62="","",IF(IFERROR(INDEX($D:$D,MATCH(W62,$A:$A,0)),"")="","",TRIM(IF(ISNUMBER(FIND(",",IFERROR(INDEX($D:$D,MATCH(W62,$A:$A,0)),""))),LEFT(IFERROR(INDEX($D:$D,MATCH(W62,$A:$A,0)),""),FIND(",",IFERROR(INDEX($D:$D,MATCH(W62,$A:$A,0)),""))-1),IFERROR(INDEX($D:$D,MATCH(W62,$A:$A,0)),"")))))</f>
        <v/>
      </c>
      <c r="Y62" s="34" t="str">
        <f aca="false">IF(X62="","",IF(IFERROR(INDEX($D:$D,MATCH(X62,$A:$A,0)),"")="","",TRIM(IF(ISNUMBER(FIND(",",IFERROR(INDEX($D:$D,MATCH(X62,$A:$A,0)),""))),LEFT(IFERROR(INDEX($D:$D,MATCH(X62,$A:$A,0)),""),FIND(",",IFERROR(INDEX($D:$D,MATCH(X62,$A:$A,0)),""))-1),IFERROR(INDEX($D:$D,MATCH(X62,$A:$A,0)),"")))))</f>
        <v/>
      </c>
      <c r="Z62" s="34" t="str">
        <f aca="false">IF(AND(A62&lt;&gt;"",L62="Retire"),COUNTIF($L$5:L62,"Retire"),"")</f>
        <v/>
      </c>
      <c r="AA62" s="34" t="str">
        <f aca="false">IF(AND(A62&lt;&gt;"",L62="Build"),COUNTIF($L$5:L62,"Build"),"")</f>
        <v/>
      </c>
      <c r="AB62" s="34" t="str">
        <f aca="false">IF(AND(A62&lt;&gt;"",OR(M62="4+",AND(ISNUMBER(M62),M62&gt;=2))),SUMPRODUCT(($A$5:A62&lt;&gt;"")*(($M$5:M62="4+")+(ISNUMBER($M$5:M62)*($M$5:M62&gt;=2)))),"")</f>
        <v/>
      </c>
      <c r="AC62" s="34" t="str">
        <f aca="false">IF(AND(A62&lt;&gt;"",OR(L62="",L62="Undecided",K62="")),SUMPRODUCT(($A$5:A62&lt;&gt;"")*(($L$5:L62="")+($L$5:L62="Undecided")+($K$5:K62=""))&gt;0*1),"")</f>
        <v/>
      </c>
    </row>
    <row r="63" customFormat="false" ht="15" hidden="false" customHeight="false" outlineLevel="0" collapsed="false">
      <c r="A63" s="29"/>
      <c r="B63" s="30"/>
      <c r="C63" s="30"/>
      <c r="D63" s="30"/>
      <c r="E63" s="30"/>
      <c r="F63" s="30"/>
      <c r="G63" s="30"/>
      <c r="H63" s="30"/>
      <c r="I63" s="30"/>
      <c r="J63" s="30"/>
      <c r="K63" s="30"/>
      <c r="L63" s="30"/>
      <c r="M63" s="20" t="str">
        <f aca="false">IF(A63="","",IF(V63="",0,IF(W63="",1,IF(X63="",2,IF(Y63="",3,"4+")))))</f>
        <v/>
      </c>
      <c r="N63" s="20" t="str">
        <f aca="false">IF(A63="","",A63&amp;IF(V63="",""," &lt;- "&amp;V63&amp;IF(W63="",""," &lt;- "&amp;W63&amp;IF(X63="",""," &lt;- "&amp;X63&amp;IF(Y63="",""," &lt;- "&amp;Y63))))&amp;IF(ISNUMBER(FIND(",",D63))," (+ other parents)",""))</f>
        <v/>
      </c>
      <c r="O63" s="20" t="str">
        <f aca="false">IF(A63="","",COUNTIF(Fields!$D:$D,A63))</f>
        <v/>
      </c>
      <c r="P63" s="20" t="str">
        <f aca="false">IF(A63="","",SUMIF(Fields!$D:$D,A63,Fields!$O:$O))</f>
        <v/>
      </c>
      <c r="Q63" s="30"/>
      <c r="R63" s="30"/>
      <c r="S63" s="30"/>
      <c r="T63" s="30"/>
      <c r="U63" s="30"/>
      <c r="V63" s="34" t="str">
        <f aca="false">IF(A63="","",IF(IFERROR(INDEX($D:$D,MATCH(A63,$A:$A,0)),"")="","",TRIM(IF(ISNUMBER(FIND(",",IFERROR(INDEX($D:$D,MATCH(A63,$A:$A,0)),""))),LEFT(IFERROR(INDEX($D:$D,MATCH(A63,$A:$A,0)),""),FIND(",",IFERROR(INDEX($D:$D,MATCH(A63,$A:$A,0)),""))-1),IFERROR(INDEX($D:$D,MATCH(A63,$A:$A,0)),"")))))</f>
        <v/>
      </c>
      <c r="W63" s="34" t="str">
        <f aca="false">IF(V63="","",IF(IFERROR(INDEX($D:$D,MATCH(V63,$A:$A,0)),"")="","",TRIM(IF(ISNUMBER(FIND(",",IFERROR(INDEX($D:$D,MATCH(V63,$A:$A,0)),""))),LEFT(IFERROR(INDEX($D:$D,MATCH(V63,$A:$A,0)),""),FIND(",",IFERROR(INDEX($D:$D,MATCH(V63,$A:$A,0)),""))-1),IFERROR(INDEX($D:$D,MATCH(V63,$A:$A,0)),"")))))</f>
        <v/>
      </c>
      <c r="X63" s="34" t="str">
        <f aca="false">IF(W63="","",IF(IFERROR(INDEX($D:$D,MATCH(W63,$A:$A,0)),"")="","",TRIM(IF(ISNUMBER(FIND(",",IFERROR(INDEX($D:$D,MATCH(W63,$A:$A,0)),""))),LEFT(IFERROR(INDEX($D:$D,MATCH(W63,$A:$A,0)),""),FIND(",",IFERROR(INDEX($D:$D,MATCH(W63,$A:$A,0)),""))-1),IFERROR(INDEX($D:$D,MATCH(W63,$A:$A,0)),"")))))</f>
        <v/>
      </c>
      <c r="Y63" s="34" t="str">
        <f aca="false">IF(X63="","",IF(IFERROR(INDEX($D:$D,MATCH(X63,$A:$A,0)),"")="","",TRIM(IF(ISNUMBER(FIND(",",IFERROR(INDEX($D:$D,MATCH(X63,$A:$A,0)),""))),LEFT(IFERROR(INDEX($D:$D,MATCH(X63,$A:$A,0)),""),FIND(",",IFERROR(INDEX($D:$D,MATCH(X63,$A:$A,0)),""))-1),IFERROR(INDEX($D:$D,MATCH(X63,$A:$A,0)),"")))))</f>
        <v/>
      </c>
      <c r="Z63" s="34" t="str">
        <f aca="false">IF(AND(A63&lt;&gt;"",L63="Retire"),COUNTIF($L$5:L63,"Retire"),"")</f>
        <v/>
      </c>
      <c r="AA63" s="34" t="str">
        <f aca="false">IF(AND(A63&lt;&gt;"",L63="Build"),COUNTIF($L$5:L63,"Build"),"")</f>
        <v/>
      </c>
      <c r="AB63" s="34" t="str">
        <f aca="false">IF(AND(A63&lt;&gt;"",OR(M63="4+",AND(ISNUMBER(M63),M63&gt;=2))),SUMPRODUCT(($A$5:A63&lt;&gt;"")*(($M$5:M63="4+")+(ISNUMBER($M$5:M63)*($M$5:M63&gt;=2)))),"")</f>
        <v/>
      </c>
      <c r="AC63" s="34" t="str">
        <f aca="false">IF(AND(A63&lt;&gt;"",OR(L63="",L63="Undecided",K63="")),SUMPRODUCT(($A$5:A63&lt;&gt;"")*(($L$5:L63="")+($L$5:L63="Undecided")+($K$5:K63=""))&gt;0*1),"")</f>
        <v/>
      </c>
    </row>
    <row r="64" customFormat="false" ht="15" hidden="false" customHeight="false" outlineLevel="0" collapsed="false">
      <c r="A64" s="29"/>
      <c r="B64" s="30"/>
      <c r="C64" s="30"/>
      <c r="D64" s="30"/>
      <c r="E64" s="30"/>
      <c r="F64" s="30"/>
      <c r="G64" s="30"/>
      <c r="H64" s="30"/>
      <c r="I64" s="30"/>
      <c r="J64" s="30"/>
      <c r="K64" s="30"/>
      <c r="L64" s="30"/>
      <c r="M64" s="20" t="str">
        <f aca="false">IF(A64="","",IF(V64="",0,IF(W64="",1,IF(X64="",2,IF(Y64="",3,"4+")))))</f>
        <v/>
      </c>
      <c r="N64" s="20" t="str">
        <f aca="false">IF(A64="","",A64&amp;IF(V64="",""," &lt;- "&amp;V64&amp;IF(W64="",""," &lt;- "&amp;W64&amp;IF(X64="",""," &lt;- "&amp;X64&amp;IF(Y64="",""," &lt;- "&amp;Y64))))&amp;IF(ISNUMBER(FIND(",",D64))," (+ other parents)",""))</f>
        <v/>
      </c>
      <c r="O64" s="20" t="str">
        <f aca="false">IF(A64="","",COUNTIF(Fields!$D:$D,A64))</f>
        <v/>
      </c>
      <c r="P64" s="20" t="str">
        <f aca="false">IF(A64="","",SUMIF(Fields!$D:$D,A64,Fields!$O:$O))</f>
        <v/>
      </c>
      <c r="Q64" s="30"/>
      <c r="R64" s="30"/>
      <c r="S64" s="30"/>
      <c r="T64" s="30"/>
      <c r="U64" s="30"/>
      <c r="V64" s="34" t="str">
        <f aca="false">IF(A64="","",IF(IFERROR(INDEX($D:$D,MATCH(A64,$A:$A,0)),"")="","",TRIM(IF(ISNUMBER(FIND(",",IFERROR(INDEX($D:$D,MATCH(A64,$A:$A,0)),""))),LEFT(IFERROR(INDEX($D:$D,MATCH(A64,$A:$A,0)),""),FIND(",",IFERROR(INDEX($D:$D,MATCH(A64,$A:$A,0)),""))-1),IFERROR(INDEX($D:$D,MATCH(A64,$A:$A,0)),"")))))</f>
        <v/>
      </c>
      <c r="W64" s="34" t="str">
        <f aca="false">IF(V64="","",IF(IFERROR(INDEX($D:$D,MATCH(V64,$A:$A,0)),"")="","",TRIM(IF(ISNUMBER(FIND(",",IFERROR(INDEX($D:$D,MATCH(V64,$A:$A,0)),""))),LEFT(IFERROR(INDEX($D:$D,MATCH(V64,$A:$A,0)),""),FIND(",",IFERROR(INDEX($D:$D,MATCH(V64,$A:$A,0)),""))-1),IFERROR(INDEX($D:$D,MATCH(V64,$A:$A,0)),"")))))</f>
        <v/>
      </c>
      <c r="X64" s="34" t="str">
        <f aca="false">IF(W64="","",IF(IFERROR(INDEX($D:$D,MATCH(W64,$A:$A,0)),"")="","",TRIM(IF(ISNUMBER(FIND(",",IFERROR(INDEX($D:$D,MATCH(W64,$A:$A,0)),""))),LEFT(IFERROR(INDEX($D:$D,MATCH(W64,$A:$A,0)),""),FIND(",",IFERROR(INDEX($D:$D,MATCH(W64,$A:$A,0)),""))-1),IFERROR(INDEX($D:$D,MATCH(W64,$A:$A,0)),"")))))</f>
        <v/>
      </c>
      <c r="Y64" s="34" t="str">
        <f aca="false">IF(X64="","",IF(IFERROR(INDEX($D:$D,MATCH(X64,$A:$A,0)),"")="","",TRIM(IF(ISNUMBER(FIND(",",IFERROR(INDEX($D:$D,MATCH(X64,$A:$A,0)),""))),LEFT(IFERROR(INDEX($D:$D,MATCH(X64,$A:$A,0)),""),FIND(",",IFERROR(INDEX($D:$D,MATCH(X64,$A:$A,0)),""))-1),IFERROR(INDEX($D:$D,MATCH(X64,$A:$A,0)),"")))))</f>
        <v/>
      </c>
      <c r="Z64" s="34" t="str">
        <f aca="false">IF(AND(A64&lt;&gt;"",L64="Retire"),COUNTIF($L$5:L64,"Retire"),"")</f>
        <v/>
      </c>
      <c r="AA64" s="34" t="str">
        <f aca="false">IF(AND(A64&lt;&gt;"",L64="Build"),COUNTIF($L$5:L64,"Build"),"")</f>
        <v/>
      </c>
      <c r="AB64" s="34" t="str">
        <f aca="false">IF(AND(A64&lt;&gt;"",OR(M64="4+",AND(ISNUMBER(M64),M64&gt;=2))),SUMPRODUCT(($A$5:A64&lt;&gt;"")*(($M$5:M64="4+")+(ISNUMBER($M$5:M64)*($M$5:M64&gt;=2)))),"")</f>
        <v/>
      </c>
      <c r="AC64" s="34" t="str">
        <f aca="false">IF(AND(A64&lt;&gt;"",OR(L64="",L64="Undecided",K64="")),SUMPRODUCT(($A$5:A64&lt;&gt;"")*(($L$5:L64="")+($L$5:L64="Undecided")+($K$5:K64=""))&gt;0*1),"")</f>
        <v/>
      </c>
    </row>
    <row r="65" customFormat="false" ht="15" hidden="false" customHeight="false" outlineLevel="0" collapsed="false">
      <c r="A65" s="29"/>
      <c r="B65" s="30"/>
      <c r="C65" s="30"/>
      <c r="D65" s="30"/>
      <c r="E65" s="30"/>
      <c r="F65" s="30"/>
      <c r="G65" s="30"/>
      <c r="H65" s="30"/>
      <c r="I65" s="30"/>
      <c r="J65" s="30"/>
      <c r="K65" s="30"/>
      <c r="L65" s="30"/>
      <c r="M65" s="20" t="str">
        <f aca="false">IF(A65="","",IF(V65="",0,IF(W65="",1,IF(X65="",2,IF(Y65="",3,"4+")))))</f>
        <v/>
      </c>
      <c r="N65" s="20" t="str">
        <f aca="false">IF(A65="","",A65&amp;IF(V65="",""," &lt;- "&amp;V65&amp;IF(W65="",""," &lt;- "&amp;W65&amp;IF(X65="",""," &lt;- "&amp;X65&amp;IF(Y65="",""," &lt;- "&amp;Y65))))&amp;IF(ISNUMBER(FIND(",",D65))," (+ other parents)",""))</f>
        <v/>
      </c>
      <c r="O65" s="20" t="str">
        <f aca="false">IF(A65="","",COUNTIF(Fields!$D:$D,A65))</f>
        <v/>
      </c>
      <c r="P65" s="20" t="str">
        <f aca="false">IF(A65="","",SUMIF(Fields!$D:$D,A65,Fields!$O:$O))</f>
        <v/>
      </c>
      <c r="Q65" s="30"/>
      <c r="R65" s="30"/>
      <c r="S65" s="30"/>
      <c r="T65" s="30"/>
      <c r="U65" s="30"/>
      <c r="V65" s="34" t="str">
        <f aca="false">IF(A65="","",IF(IFERROR(INDEX($D:$D,MATCH(A65,$A:$A,0)),"")="","",TRIM(IF(ISNUMBER(FIND(",",IFERROR(INDEX($D:$D,MATCH(A65,$A:$A,0)),""))),LEFT(IFERROR(INDEX($D:$D,MATCH(A65,$A:$A,0)),""),FIND(",",IFERROR(INDEX($D:$D,MATCH(A65,$A:$A,0)),""))-1),IFERROR(INDEX($D:$D,MATCH(A65,$A:$A,0)),"")))))</f>
        <v/>
      </c>
      <c r="W65" s="34" t="str">
        <f aca="false">IF(V65="","",IF(IFERROR(INDEX($D:$D,MATCH(V65,$A:$A,0)),"")="","",TRIM(IF(ISNUMBER(FIND(",",IFERROR(INDEX($D:$D,MATCH(V65,$A:$A,0)),""))),LEFT(IFERROR(INDEX($D:$D,MATCH(V65,$A:$A,0)),""),FIND(",",IFERROR(INDEX($D:$D,MATCH(V65,$A:$A,0)),""))-1),IFERROR(INDEX($D:$D,MATCH(V65,$A:$A,0)),"")))))</f>
        <v/>
      </c>
      <c r="X65" s="34" t="str">
        <f aca="false">IF(W65="","",IF(IFERROR(INDEX($D:$D,MATCH(W65,$A:$A,0)),"")="","",TRIM(IF(ISNUMBER(FIND(",",IFERROR(INDEX($D:$D,MATCH(W65,$A:$A,0)),""))),LEFT(IFERROR(INDEX($D:$D,MATCH(W65,$A:$A,0)),""),FIND(",",IFERROR(INDEX($D:$D,MATCH(W65,$A:$A,0)),""))-1),IFERROR(INDEX($D:$D,MATCH(W65,$A:$A,0)),"")))))</f>
        <v/>
      </c>
      <c r="Y65" s="34" t="str">
        <f aca="false">IF(X65="","",IF(IFERROR(INDEX($D:$D,MATCH(X65,$A:$A,0)),"")="","",TRIM(IF(ISNUMBER(FIND(",",IFERROR(INDEX($D:$D,MATCH(X65,$A:$A,0)),""))),LEFT(IFERROR(INDEX($D:$D,MATCH(X65,$A:$A,0)),""),FIND(",",IFERROR(INDEX($D:$D,MATCH(X65,$A:$A,0)),""))-1),IFERROR(INDEX($D:$D,MATCH(X65,$A:$A,0)),"")))))</f>
        <v/>
      </c>
      <c r="Z65" s="34" t="str">
        <f aca="false">IF(AND(A65&lt;&gt;"",L65="Retire"),COUNTIF($L$5:L65,"Retire"),"")</f>
        <v/>
      </c>
      <c r="AA65" s="34" t="str">
        <f aca="false">IF(AND(A65&lt;&gt;"",L65="Build"),COUNTIF($L$5:L65,"Build"),"")</f>
        <v/>
      </c>
      <c r="AB65" s="34" t="str">
        <f aca="false">IF(AND(A65&lt;&gt;"",OR(M65="4+",AND(ISNUMBER(M65),M65&gt;=2))),SUMPRODUCT(($A$5:A65&lt;&gt;"")*(($M$5:M65="4+")+(ISNUMBER($M$5:M65)*($M$5:M65&gt;=2)))),"")</f>
        <v/>
      </c>
      <c r="AC65" s="34" t="str">
        <f aca="false">IF(AND(A65&lt;&gt;"",OR(L65="",L65="Undecided",K65="")),SUMPRODUCT(($A$5:A65&lt;&gt;"")*(($L$5:L65="")+($L$5:L65="Undecided")+($K$5:K65=""))&gt;0*1),"")</f>
        <v/>
      </c>
    </row>
    <row r="66" customFormat="false" ht="15" hidden="false" customHeight="false" outlineLevel="0" collapsed="false">
      <c r="A66" s="29"/>
      <c r="B66" s="30"/>
      <c r="C66" s="30"/>
      <c r="D66" s="30"/>
      <c r="E66" s="30"/>
      <c r="F66" s="30"/>
      <c r="G66" s="30"/>
      <c r="H66" s="30"/>
      <c r="I66" s="30"/>
      <c r="J66" s="30"/>
      <c r="K66" s="30"/>
      <c r="L66" s="30"/>
      <c r="M66" s="20" t="str">
        <f aca="false">IF(A66="","",IF(V66="",0,IF(W66="",1,IF(X66="",2,IF(Y66="",3,"4+")))))</f>
        <v/>
      </c>
      <c r="N66" s="20" t="str">
        <f aca="false">IF(A66="","",A66&amp;IF(V66="",""," &lt;- "&amp;V66&amp;IF(W66="",""," &lt;- "&amp;W66&amp;IF(X66="",""," &lt;- "&amp;X66&amp;IF(Y66="",""," &lt;- "&amp;Y66))))&amp;IF(ISNUMBER(FIND(",",D66))," (+ other parents)",""))</f>
        <v/>
      </c>
      <c r="O66" s="20" t="str">
        <f aca="false">IF(A66="","",COUNTIF(Fields!$D:$D,A66))</f>
        <v/>
      </c>
      <c r="P66" s="20" t="str">
        <f aca="false">IF(A66="","",SUMIF(Fields!$D:$D,A66,Fields!$O:$O))</f>
        <v/>
      </c>
      <c r="Q66" s="30"/>
      <c r="R66" s="30"/>
      <c r="S66" s="30"/>
      <c r="T66" s="30"/>
      <c r="U66" s="30"/>
      <c r="V66" s="34" t="str">
        <f aca="false">IF(A66="","",IF(IFERROR(INDEX($D:$D,MATCH(A66,$A:$A,0)),"")="","",TRIM(IF(ISNUMBER(FIND(",",IFERROR(INDEX($D:$D,MATCH(A66,$A:$A,0)),""))),LEFT(IFERROR(INDEX($D:$D,MATCH(A66,$A:$A,0)),""),FIND(",",IFERROR(INDEX($D:$D,MATCH(A66,$A:$A,0)),""))-1),IFERROR(INDEX($D:$D,MATCH(A66,$A:$A,0)),"")))))</f>
        <v/>
      </c>
      <c r="W66" s="34" t="str">
        <f aca="false">IF(V66="","",IF(IFERROR(INDEX($D:$D,MATCH(V66,$A:$A,0)),"")="","",TRIM(IF(ISNUMBER(FIND(",",IFERROR(INDEX($D:$D,MATCH(V66,$A:$A,0)),""))),LEFT(IFERROR(INDEX($D:$D,MATCH(V66,$A:$A,0)),""),FIND(",",IFERROR(INDEX($D:$D,MATCH(V66,$A:$A,0)),""))-1),IFERROR(INDEX($D:$D,MATCH(V66,$A:$A,0)),"")))))</f>
        <v/>
      </c>
      <c r="X66" s="34" t="str">
        <f aca="false">IF(W66="","",IF(IFERROR(INDEX($D:$D,MATCH(W66,$A:$A,0)),"")="","",TRIM(IF(ISNUMBER(FIND(",",IFERROR(INDEX($D:$D,MATCH(W66,$A:$A,0)),""))),LEFT(IFERROR(INDEX($D:$D,MATCH(W66,$A:$A,0)),""),FIND(",",IFERROR(INDEX($D:$D,MATCH(W66,$A:$A,0)),""))-1),IFERROR(INDEX($D:$D,MATCH(W66,$A:$A,0)),"")))))</f>
        <v/>
      </c>
      <c r="Y66" s="34" t="str">
        <f aca="false">IF(X66="","",IF(IFERROR(INDEX($D:$D,MATCH(X66,$A:$A,0)),"")="","",TRIM(IF(ISNUMBER(FIND(",",IFERROR(INDEX($D:$D,MATCH(X66,$A:$A,0)),""))),LEFT(IFERROR(INDEX($D:$D,MATCH(X66,$A:$A,0)),""),FIND(",",IFERROR(INDEX($D:$D,MATCH(X66,$A:$A,0)),""))-1),IFERROR(INDEX($D:$D,MATCH(X66,$A:$A,0)),"")))))</f>
        <v/>
      </c>
      <c r="Z66" s="34" t="str">
        <f aca="false">IF(AND(A66&lt;&gt;"",L66="Retire"),COUNTIF($L$5:L66,"Retire"),"")</f>
        <v/>
      </c>
      <c r="AA66" s="34" t="str">
        <f aca="false">IF(AND(A66&lt;&gt;"",L66="Build"),COUNTIF($L$5:L66,"Build"),"")</f>
        <v/>
      </c>
      <c r="AB66" s="34" t="str">
        <f aca="false">IF(AND(A66&lt;&gt;"",OR(M66="4+",AND(ISNUMBER(M66),M66&gt;=2))),SUMPRODUCT(($A$5:A66&lt;&gt;"")*(($M$5:M66="4+")+(ISNUMBER($M$5:M66)*($M$5:M66&gt;=2)))),"")</f>
        <v/>
      </c>
      <c r="AC66" s="34" t="str">
        <f aca="false">IF(AND(A66&lt;&gt;"",OR(L66="",L66="Undecided",K66="")),SUMPRODUCT(($A$5:A66&lt;&gt;"")*(($L$5:L66="")+($L$5:L66="Undecided")+($K$5:K66=""))&gt;0*1),"")</f>
        <v/>
      </c>
    </row>
    <row r="67" customFormat="false" ht="15" hidden="false" customHeight="false" outlineLevel="0" collapsed="false">
      <c r="A67" s="29"/>
      <c r="B67" s="30"/>
      <c r="C67" s="30"/>
      <c r="D67" s="30"/>
      <c r="E67" s="30"/>
      <c r="F67" s="30"/>
      <c r="G67" s="30"/>
      <c r="H67" s="30"/>
      <c r="I67" s="30"/>
      <c r="J67" s="30"/>
      <c r="K67" s="30"/>
      <c r="L67" s="30"/>
      <c r="M67" s="20" t="str">
        <f aca="false">IF(A67="","",IF(V67="",0,IF(W67="",1,IF(X67="",2,IF(Y67="",3,"4+")))))</f>
        <v/>
      </c>
      <c r="N67" s="20" t="str">
        <f aca="false">IF(A67="","",A67&amp;IF(V67="",""," &lt;- "&amp;V67&amp;IF(W67="",""," &lt;- "&amp;W67&amp;IF(X67="",""," &lt;- "&amp;X67&amp;IF(Y67="",""," &lt;- "&amp;Y67))))&amp;IF(ISNUMBER(FIND(",",D67))," (+ other parents)",""))</f>
        <v/>
      </c>
      <c r="O67" s="20" t="str">
        <f aca="false">IF(A67="","",COUNTIF(Fields!$D:$D,A67))</f>
        <v/>
      </c>
      <c r="P67" s="20" t="str">
        <f aca="false">IF(A67="","",SUMIF(Fields!$D:$D,A67,Fields!$O:$O))</f>
        <v/>
      </c>
      <c r="Q67" s="30"/>
      <c r="R67" s="30"/>
      <c r="S67" s="30"/>
      <c r="T67" s="30"/>
      <c r="U67" s="30"/>
      <c r="V67" s="34" t="str">
        <f aca="false">IF(A67="","",IF(IFERROR(INDEX($D:$D,MATCH(A67,$A:$A,0)),"")="","",TRIM(IF(ISNUMBER(FIND(",",IFERROR(INDEX($D:$D,MATCH(A67,$A:$A,0)),""))),LEFT(IFERROR(INDEX($D:$D,MATCH(A67,$A:$A,0)),""),FIND(",",IFERROR(INDEX($D:$D,MATCH(A67,$A:$A,0)),""))-1),IFERROR(INDEX($D:$D,MATCH(A67,$A:$A,0)),"")))))</f>
        <v/>
      </c>
      <c r="W67" s="34" t="str">
        <f aca="false">IF(V67="","",IF(IFERROR(INDEX($D:$D,MATCH(V67,$A:$A,0)),"")="","",TRIM(IF(ISNUMBER(FIND(",",IFERROR(INDEX($D:$D,MATCH(V67,$A:$A,0)),""))),LEFT(IFERROR(INDEX($D:$D,MATCH(V67,$A:$A,0)),""),FIND(",",IFERROR(INDEX($D:$D,MATCH(V67,$A:$A,0)),""))-1),IFERROR(INDEX($D:$D,MATCH(V67,$A:$A,0)),"")))))</f>
        <v/>
      </c>
      <c r="X67" s="34" t="str">
        <f aca="false">IF(W67="","",IF(IFERROR(INDEX($D:$D,MATCH(W67,$A:$A,0)),"")="","",TRIM(IF(ISNUMBER(FIND(",",IFERROR(INDEX($D:$D,MATCH(W67,$A:$A,0)),""))),LEFT(IFERROR(INDEX($D:$D,MATCH(W67,$A:$A,0)),""),FIND(",",IFERROR(INDEX($D:$D,MATCH(W67,$A:$A,0)),""))-1),IFERROR(INDEX($D:$D,MATCH(W67,$A:$A,0)),"")))))</f>
        <v/>
      </c>
      <c r="Y67" s="34" t="str">
        <f aca="false">IF(X67="","",IF(IFERROR(INDEX($D:$D,MATCH(X67,$A:$A,0)),"")="","",TRIM(IF(ISNUMBER(FIND(",",IFERROR(INDEX($D:$D,MATCH(X67,$A:$A,0)),""))),LEFT(IFERROR(INDEX($D:$D,MATCH(X67,$A:$A,0)),""),FIND(",",IFERROR(INDEX($D:$D,MATCH(X67,$A:$A,0)),""))-1),IFERROR(INDEX($D:$D,MATCH(X67,$A:$A,0)),"")))))</f>
        <v/>
      </c>
      <c r="Z67" s="34" t="str">
        <f aca="false">IF(AND(A67&lt;&gt;"",L67="Retire"),COUNTIF($L$5:L67,"Retire"),"")</f>
        <v/>
      </c>
      <c r="AA67" s="34" t="str">
        <f aca="false">IF(AND(A67&lt;&gt;"",L67="Build"),COUNTIF($L$5:L67,"Build"),"")</f>
        <v/>
      </c>
      <c r="AB67" s="34" t="str">
        <f aca="false">IF(AND(A67&lt;&gt;"",OR(M67="4+",AND(ISNUMBER(M67),M67&gt;=2))),SUMPRODUCT(($A$5:A67&lt;&gt;"")*(($M$5:M67="4+")+(ISNUMBER($M$5:M67)*($M$5:M67&gt;=2)))),"")</f>
        <v/>
      </c>
      <c r="AC67" s="34" t="str">
        <f aca="false">IF(AND(A67&lt;&gt;"",OR(L67="",L67="Undecided",K67="")),SUMPRODUCT(($A$5:A67&lt;&gt;"")*(($L$5:L67="")+($L$5:L67="Undecided")+($K$5:K67=""))&gt;0*1),"")</f>
        <v/>
      </c>
    </row>
    <row r="68" customFormat="false" ht="15" hidden="false" customHeight="false" outlineLevel="0" collapsed="false">
      <c r="A68" s="29"/>
      <c r="B68" s="30"/>
      <c r="C68" s="30"/>
      <c r="D68" s="30"/>
      <c r="E68" s="30"/>
      <c r="F68" s="30"/>
      <c r="G68" s="30"/>
      <c r="H68" s="30"/>
      <c r="I68" s="30"/>
      <c r="J68" s="30"/>
      <c r="K68" s="30"/>
      <c r="L68" s="30"/>
      <c r="M68" s="20" t="str">
        <f aca="false">IF(A68="","",IF(V68="",0,IF(W68="",1,IF(X68="",2,IF(Y68="",3,"4+")))))</f>
        <v/>
      </c>
      <c r="N68" s="20" t="str">
        <f aca="false">IF(A68="","",A68&amp;IF(V68="",""," &lt;- "&amp;V68&amp;IF(W68="",""," &lt;- "&amp;W68&amp;IF(X68="",""," &lt;- "&amp;X68&amp;IF(Y68="",""," &lt;- "&amp;Y68))))&amp;IF(ISNUMBER(FIND(",",D68))," (+ other parents)",""))</f>
        <v/>
      </c>
      <c r="O68" s="20" t="str">
        <f aca="false">IF(A68="","",COUNTIF(Fields!$D:$D,A68))</f>
        <v/>
      </c>
      <c r="P68" s="20" t="str">
        <f aca="false">IF(A68="","",SUMIF(Fields!$D:$D,A68,Fields!$O:$O))</f>
        <v/>
      </c>
      <c r="Q68" s="30"/>
      <c r="R68" s="30"/>
      <c r="S68" s="30"/>
      <c r="T68" s="30"/>
      <c r="U68" s="30"/>
      <c r="V68" s="34" t="str">
        <f aca="false">IF(A68="","",IF(IFERROR(INDEX($D:$D,MATCH(A68,$A:$A,0)),"")="","",TRIM(IF(ISNUMBER(FIND(",",IFERROR(INDEX($D:$D,MATCH(A68,$A:$A,0)),""))),LEFT(IFERROR(INDEX($D:$D,MATCH(A68,$A:$A,0)),""),FIND(",",IFERROR(INDEX($D:$D,MATCH(A68,$A:$A,0)),""))-1),IFERROR(INDEX($D:$D,MATCH(A68,$A:$A,0)),"")))))</f>
        <v/>
      </c>
      <c r="W68" s="34" t="str">
        <f aca="false">IF(V68="","",IF(IFERROR(INDEX($D:$D,MATCH(V68,$A:$A,0)),"")="","",TRIM(IF(ISNUMBER(FIND(",",IFERROR(INDEX($D:$D,MATCH(V68,$A:$A,0)),""))),LEFT(IFERROR(INDEX($D:$D,MATCH(V68,$A:$A,0)),""),FIND(",",IFERROR(INDEX($D:$D,MATCH(V68,$A:$A,0)),""))-1),IFERROR(INDEX($D:$D,MATCH(V68,$A:$A,0)),"")))))</f>
        <v/>
      </c>
      <c r="X68" s="34" t="str">
        <f aca="false">IF(W68="","",IF(IFERROR(INDEX($D:$D,MATCH(W68,$A:$A,0)),"")="","",TRIM(IF(ISNUMBER(FIND(",",IFERROR(INDEX($D:$D,MATCH(W68,$A:$A,0)),""))),LEFT(IFERROR(INDEX($D:$D,MATCH(W68,$A:$A,0)),""),FIND(",",IFERROR(INDEX($D:$D,MATCH(W68,$A:$A,0)),""))-1),IFERROR(INDEX($D:$D,MATCH(W68,$A:$A,0)),"")))))</f>
        <v/>
      </c>
      <c r="Y68" s="34" t="str">
        <f aca="false">IF(X68="","",IF(IFERROR(INDEX($D:$D,MATCH(X68,$A:$A,0)),"")="","",TRIM(IF(ISNUMBER(FIND(",",IFERROR(INDEX($D:$D,MATCH(X68,$A:$A,0)),""))),LEFT(IFERROR(INDEX($D:$D,MATCH(X68,$A:$A,0)),""),FIND(",",IFERROR(INDEX($D:$D,MATCH(X68,$A:$A,0)),""))-1),IFERROR(INDEX($D:$D,MATCH(X68,$A:$A,0)),"")))))</f>
        <v/>
      </c>
      <c r="Z68" s="34" t="str">
        <f aca="false">IF(AND(A68&lt;&gt;"",L68="Retire"),COUNTIF($L$5:L68,"Retire"),"")</f>
        <v/>
      </c>
      <c r="AA68" s="34" t="str">
        <f aca="false">IF(AND(A68&lt;&gt;"",L68="Build"),COUNTIF($L$5:L68,"Build"),"")</f>
        <v/>
      </c>
      <c r="AB68" s="34" t="str">
        <f aca="false">IF(AND(A68&lt;&gt;"",OR(M68="4+",AND(ISNUMBER(M68),M68&gt;=2))),SUMPRODUCT(($A$5:A68&lt;&gt;"")*(($M$5:M68="4+")+(ISNUMBER($M$5:M68)*($M$5:M68&gt;=2)))),"")</f>
        <v/>
      </c>
      <c r="AC68" s="34" t="str">
        <f aca="false">IF(AND(A68&lt;&gt;"",OR(L68="",L68="Undecided",K68="")),SUMPRODUCT(($A$5:A68&lt;&gt;"")*(($L$5:L68="")+($L$5:L68="Undecided")+($K$5:K68=""))&gt;0*1),"")</f>
        <v/>
      </c>
    </row>
    <row r="69" customFormat="false" ht="15" hidden="false" customHeight="false" outlineLevel="0" collapsed="false">
      <c r="A69" s="29"/>
      <c r="B69" s="30"/>
      <c r="C69" s="30"/>
      <c r="D69" s="30"/>
      <c r="E69" s="30"/>
      <c r="F69" s="30"/>
      <c r="G69" s="30"/>
      <c r="H69" s="30"/>
      <c r="I69" s="30"/>
      <c r="J69" s="30"/>
      <c r="K69" s="30"/>
      <c r="L69" s="30"/>
      <c r="M69" s="20" t="str">
        <f aca="false">IF(A69="","",IF(V69="",0,IF(W69="",1,IF(X69="",2,IF(Y69="",3,"4+")))))</f>
        <v/>
      </c>
      <c r="N69" s="20" t="str">
        <f aca="false">IF(A69="","",A69&amp;IF(V69="",""," &lt;- "&amp;V69&amp;IF(W69="",""," &lt;- "&amp;W69&amp;IF(X69="",""," &lt;- "&amp;X69&amp;IF(Y69="",""," &lt;- "&amp;Y69))))&amp;IF(ISNUMBER(FIND(",",D69))," (+ other parents)",""))</f>
        <v/>
      </c>
      <c r="O69" s="20" t="str">
        <f aca="false">IF(A69="","",COUNTIF(Fields!$D:$D,A69))</f>
        <v/>
      </c>
      <c r="P69" s="20" t="str">
        <f aca="false">IF(A69="","",SUMIF(Fields!$D:$D,A69,Fields!$O:$O))</f>
        <v/>
      </c>
      <c r="Q69" s="30"/>
      <c r="R69" s="30"/>
      <c r="S69" s="30"/>
      <c r="T69" s="30"/>
      <c r="U69" s="30"/>
      <c r="V69" s="34" t="str">
        <f aca="false">IF(A69="","",IF(IFERROR(INDEX($D:$D,MATCH(A69,$A:$A,0)),"")="","",TRIM(IF(ISNUMBER(FIND(",",IFERROR(INDEX($D:$D,MATCH(A69,$A:$A,0)),""))),LEFT(IFERROR(INDEX($D:$D,MATCH(A69,$A:$A,0)),""),FIND(",",IFERROR(INDEX($D:$D,MATCH(A69,$A:$A,0)),""))-1),IFERROR(INDEX($D:$D,MATCH(A69,$A:$A,0)),"")))))</f>
        <v/>
      </c>
      <c r="W69" s="34" t="str">
        <f aca="false">IF(V69="","",IF(IFERROR(INDEX($D:$D,MATCH(V69,$A:$A,0)),"")="","",TRIM(IF(ISNUMBER(FIND(",",IFERROR(INDEX($D:$D,MATCH(V69,$A:$A,0)),""))),LEFT(IFERROR(INDEX($D:$D,MATCH(V69,$A:$A,0)),""),FIND(",",IFERROR(INDEX($D:$D,MATCH(V69,$A:$A,0)),""))-1),IFERROR(INDEX($D:$D,MATCH(V69,$A:$A,0)),"")))))</f>
        <v/>
      </c>
      <c r="X69" s="34" t="str">
        <f aca="false">IF(W69="","",IF(IFERROR(INDEX($D:$D,MATCH(W69,$A:$A,0)),"")="","",TRIM(IF(ISNUMBER(FIND(",",IFERROR(INDEX($D:$D,MATCH(W69,$A:$A,0)),""))),LEFT(IFERROR(INDEX($D:$D,MATCH(W69,$A:$A,0)),""),FIND(",",IFERROR(INDEX($D:$D,MATCH(W69,$A:$A,0)),""))-1),IFERROR(INDEX($D:$D,MATCH(W69,$A:$A,0)),"")))))</f>
        <v/>
      </c>
      <c r="Y69" s="34" t="str">
        <f aca="false">IF(X69="","",IF(IFERROR(INDEX($D:$D,MATCH(X69,$A:$A,0)),"")="","",TRIM(IF(ISNUMBER(FIND(",",IFERROR(INDEX($D:$D,MATCH(X69,$A:$A,0)),""))),LEFT(IFERROR(INDEX($D:$D,MATCH(X69,$A:$A,0)),""),FIND(",",IFERROR(INDEX($D:$D,MATCH(X69,$A:$A,0)),""))-1),IFERROR(INDEX($D:$D,MATCH(X69,$A:$A,0)),"")))))</f>
        <v/>
      </c>
      <c r="Z69" s="34" t="str">
        <f aca="false">IF(AND(A69&lt;&gt;"",L69="Retire"),COUNTIF($L$5:L69,"Retire"),"")</f>
        <v/>
      </c>
      <c r="AA69" s="34" t="str">
        <f aca="false">IF(AND(A69&lt;&gt;"",L69="Build"),COUNTIF($L$5:L69,"Build"),"")</f>
        <v/>
      </c>
      <c r="AB69" s="34" t="str">
        <f aca="false">IF(AND(A69&lt;&gt;"",OR(M69="4+",AND(ISNUMBER(M69),M69&gt;=2))),SUMPRODUCT(($A$5:A69&lt;&gt;"")*(($M$5:M69="4+")+(ISNUMBER($M$5:M69)*($M$5:M69&gt;=2)))),"")</f>
        <v/>
      </c>
      <c r="AC69" s="34" t="str">
        <f aca="false">IF(AND(A69&lt;&gt;"",OR(L69="",L69="Undecided",K69="")),SUMPRODUCT(($A$5:A69&lt;&gt;"")*(($L$5:L69="")+($L$5:L69="Undecided")+($K$5:K69=""))&gt;0*1),"")</f>
        <v/>
      </c>
    </row>
    <row r="70" customFormat="false" ht="15" hidden="false" customHeight="false" outlineLevel="0" collapsed="false">
      <c r="A70" s="29"/>
      <c r="B70" s="30"/>
      <c r="C70" s="30"/>
      <c r="D70" s="30"/>
      <c r="E70" s="30"/>
      <c r="F70" s="30"/>
      <c r="G70" s="30"/>
      <c r="H70" s="30"/>
      <c r="I70" s="30"/>
      <c r="J70" s="30"/>
      <c r="K70" s="30"/>
      <c r="L70" s="30"/>
      <c r="M70" s="20" t="str">
        <f aca="false">IF(A70="","",IF(V70="",0,IF(W70="",1,IF(X70="",2,IF(Y70="",3,"4+")))))</f>
        <v/>
      </c>
      <c r="N70" s="20" t="str">
        <f aca="false">IF(A70="","",A70&amp;IF(V70="",""," &lt;- "&amp;V70&amp;IF(W70="",""," &lt;- "&amp;W70&amp;IF(X70="",""," &lt;- "&amp;X70&amp;IF(Y70="",""," &lt;- "&amp;Y70))))&amp;IF(ISNUMBER(FIND(",",D70))," (+ other parents)",""))</f>
        <v/>
      </c>
      <c r="O70" s="20" t="str">
        <f aca="false">IF(A70="","",COUNTIF(Fields!$D:$D,A70))</f>
        <v/>
      </c>
      <c r="P70" s="20" t="str">
        <f aca="false">IF(A70="","",SUMIF(Fields!$D:$D,A70,Fields!$O:$O))</f>
        <v/>
      </c>
      <c r="Q70" s="30"/>
      <c r="R70" s="30"/>
      <c r="S70" s="30"/>
      <c r="T70" s="30"/>
      <c r="U70" s="30"/>
      <c r="V70" s="34" t="str">
        <f aca="false">IF(A70="","",IF(IFERROR(INDEX($D:$D,MATCH(A70,$A:$A,0)),"")="","",TRIM(IF(ISNUMBER(FIND(",",IFERROR(INDEX($D:$D,MATCH(A70,$A:$A,0)),""))),LEFT(IFERROR(INDEX($D:$D,MATCH(A70,$A:$A,0)),""),FIND(",",IFERROR(INDEX($D:$D,MATCH(A70,$A:$A,0)),""))-1),IFERROR(INDEX($D:$D,MATCH(A70,$A:$A,0)),"")))))</f>
        <v/>
      </c>
      <c r="W70" s="34" t="str">
        <f aca="false">IF(V70="","",IF(IFERROR(INDEX($D:$D,MATCH(V70,$A:$A,0)),"")="","",TRIM(IF(ISNUMBER(FIND(",",IFERROR(INDEX($D:$D,MATCH(V70,$A:$A,0)),""))),LEFT(IFERROR(INDEX($D:$D,MATCH(V70,$A:$A,0)),""),FIND(",",IFERROR(INDEX($D:$D,MATCH(V70,$A:$A,0)),""))-1),IFERROR(INDEX($D:$D,MATCH(V70,$A:$A,0)),"")))))</f>
        <v/>
      </c>
      <c r="X70" s="34" t="str">
        <f aca="false">IF(W70="","",IF(IFERROR(INDEX($D:$D,MATCH(W70,$A:$A,0)),"")="","",TRIM(IF(ISNUMBER(FIND(",",IFERROR(INDEX($D:$D,MATCH(W70,$A:$A,0)),""))),LEFT(IFERROR(INDEX($D:$D,MATCH(W70,$A:$A,0)),""),FIND(",",IFERROR(INDEX($D:$D,MATCH(W70,$A:$A,0)),""))-1),IFERROR(INDEX($D:$D,MATCH(W70,$A:$A,0)),"")))))</f>
        <v/>
      </c>
      <c r="Y70" s="34" t="str">
        <f aca="false">IF(X70="","",IF(IFERROR(INDEX($D:$D,MATCH(X70,$A:$A,0)),"")="","",TRIM(IF(ISNUMBER(FIND(",",IFERROR(INDEX($D:$D,MATCH(X70,$A:$A,0)),""))),LEFT(IFERROR(INDEX($D:$D,MATCH(X70,$A:$A,0)),""),FIND(",",IFERROR(INDEX($D:$D,MATCH(X70,$A:$A,0)),""))-1),IFERROR(INDEX($D:$D,MATCH(X70,$A:$A,0)),"")))))</f>
        <v/>
      </c>
      <c r="Z70" s="34" t="str">
        <f aca="false">IF(AND(A70&lt;&gt;"",L70="Retire"),COUNTIF($L$5:L70,"Retire"),"")</f>
        <v/>
      </c>
      <c r="AA70" s="34" t="str">
        <f aca="false">IF(AND(A70&lt;&gt;"",L70="Build"),COUNTIF($L$5:L70,"Build"),"")</f>
        <v/>
      </c>
      <c r="AB70" s="34" t="str">
        <f aca="false">IF(AND(A70&lt;&gt;"",OR(M70="4+",AND(ISNUMBER(M70),M70&gt;=2))),SUMPRODUCT(($A$5:A70&lt;&gt;"")*(($M$5:M70="4+")+(ISNUMBER($M$5:M70)*($M$5:M70&gt;=2)))),"")</f>
        <v/>
      </c>
      <c r="AC70" s="34" t="str">
        <f aca="false">IF(AND(A70&lt;&gt;"",OR(L70="",L70="Undecided",K70="")),SUMPRODUCT(($A$5:A70&lt;&gt;"")*(($L$5:L70="")+($L$5:L70="Undecided")+($K$5:K70=""))&gt;0*1),"")</f>
        <v/>
      </c>
    </row>
    <row r="71" customFormat="false" ht="15" hidden="false" customHeight="false" outlineLevel="0" collapsed="false">
      <c r="A71" s="29"/>
      <c r="B71" s="30"/>
      <c r="C71" s="30"/>
      <c r="D71" s="30"/>
      <c r="E71" s="30"/>
      <c r="F71" s="30"/>
      <c r="G71" s="30"/>
      <c r="H71" s="30"/>
      <c r="I71" s="30"/>
      <c r="J71" s="30"/>
      <c r="K71" s="30"/>
      <c r="L71" s="30"/>
      <c r="M71" s="20" t="str">
        <f aca="false">IF(A71="","",IF(V71="",0,IF(W71="",1,IF(X71="",2,IF(Y71="",3,"4+")))))</f>
        <v/>
      </c>
      <c r="N71" s="20" t="str">
        <f aca="false">IF(A71="","",A71&amp;IF(V71="",""," &lt;- "&amp;V71&amp;IF(W71="",""," &lt;- "&amp;W71&amp;IF(X71="",""," &lt;- "&amp;X71&amp;IF(Y71="",""," &lt;- "&amp;Y71))))&amp;IF(ISNUMBER(FIND(",",D71))," (+ other parents)",""))</f>
        <v/>
      </c>
      <c r="O71" s="20" t="str">
        <f aca="false">IF(A71="","",COUNTIF(Fields!$D:$D,A71))</f>
        <v/>
      </c>
      <c r="P71" s="20" t="str">
        <f aca="false">IF(A71="","",SUMIF(Fields!$D:$D,A71,Fields!$O:$O))</f>
        <v/>
      </c>
      <c r="Q71" s="30"/>
      <c r="R71" s="30"/>
      <c r="S71" s="30"/>
      <c r="T71" s="30"/>
      <c r="U71" s="30"/>
      <c r="V71" s="34" t="str">
        <f aca="false">IF(A71="","",IF(IFERROR(INDEX($D:$D,MATCH(A71,$A:$A,0)),"")="","",TRIM(IF(ISNUMBER(FIND(",",IFERROR(INDEX($D:$D,MATCH(A71,$A:$A,0)),""))),LEFT(IFERROR(INDEX($D:$D,MATCH(A71,$A:$A,0)),""),FIND(",",IFERROR(INDEX($D:$D,MATCH(A71,$A:$A,0)),""))-1),IFERROR(INDEX($D:$D,MATCH(A71,$A:$A,0)),"")))))</f>
        <v/>
      </c>
      <c r="W71" s="34" t="str">
        <f aca="false">IF(V71="","",IF(IFERROR(INDEX($D:$D,MATCH(V71,$A:$A,0)),"")="","",TRIM(IF(ISNUMBER(FIND(",",IFERROR(INDEX($D:$D,MATCH(V71,$A:$A,0)),""))),LEFT(IFERROR(INDEX($D:$D,MATCH(V71,$A:$A,0)),""),FIND(",",IFERROR(INDEX($D:$D,MATCH(V71,$A:$A,0)),""))-1),IFERROR(INDEX($D:$D,MATCH(V71,$A:$A,0)),"")))))</f>
        <v/>
      </c>
      <c r="X71" s="34" t="str">
        <f aca="false">IF(W71="","",IF(IFERROR(INDEX($D:$D,MATCH(W71,$A:$A,0)),"")="","",TRIM(IF(ISNUMBER(FIND(",",IFERROR(INDEX($D:$D,MATCH(W71,$A:$A,0)),""))),LEFT(IFERROR(INDEX($D:$D,MATCH(W71,$A:$A,0)),""),FIND(",",IFERROR(INDEX($D:$D,MATCH(W71,$A:$A,0)),""))-1),IFERROR(INDEX($D:$D,MATCH(W71,$A:$A,0)),"")))))</f>
        <v/>
      </c>
      <c r="Y71" s="34" t="str">
        <f aca="false">IF(X71="","",IF(IFERROR(INDEX($D:$D,MATCH(X71,$A:$A,0)),"")="","",TRIM(IF(ISNUMBER(FIND(",",IFERROR(INDEX($D:$D,MATCH(X71,$A:$A,0)),""))),LEFT(IFERROR(INDEX($D:$D,MATCH(X71,$A:$A,0)),""),FIND(",",IFERROR(INDEX($D:$D,MATCH(X71,$A:$A,0)),""))-1),IFERROR(INDEX($D:$D,MATCH(X71,$A:$A,0)),"")))))</f>
        <v/>
      </c>
      <c r="Z71" s="34" t="str">
        <f aca="false">IF(AND(A71&lt;&gt;"",L71="Retire"),COUNTIF($L$5:L71,"Retire"),"")</f>
        <v/>
      </c>
      <c r="AA71" s="34" t="str">
        <f aca="false">IF(AND(A71&lt;&gt;"",L71="Build"),COUNTIF($L$5:L71,"Build"),"")</f>
        <v/>
      </c>
      <c r="AB71" s="34" t="str">
        <f aca="false">IF(AND(A71&lt;&gt;"",OR(M71="4+",AND(ISNUMBER(M71),M71&gt;=2))),SUMPRODUCT(($A$5:A71&lt;&gt;"")*(($M$5:M71="4+")+(ISNUMBER($M$5:M71)*($M$5:M71&gt;=2)))),"")</f>
        <v/>
      </c>
      <c r="AC71" s="34" t="str">
        <f aca="false">IF(AND(A71&lt;&gt;"",OR(L71="",L71="Undecided",K71="")),SUMPRODUCT(($A$5:A71&lt;&gt;"")*(($L$5:L71="")+($L$5:L71="Undecided")+($K$5:K71=""))&gt;0*1),"")</f>
        <v/>
      </c>
    </row>
    <row r="72" customFormat="false" ht="15" hidden="false" customHeight="false" outlineLevel="0" collapsed="false">
      <c r="A72" s="29"/>
      <c r="B72" s="30"/>
      <c r="C72" s="30"/>
      <c r="D72" s="30"/>
      <c r="E72" s="30"/>
      <c r="F72" s="30"/>
      <c r="G72" s="30"/>
      <c r="H72" s="30"/>
      <c r="I72" s="30"/>
      <c r="J72" s="30"/>
      <c r="K72" s="30"/>
      <c r="L72" s="30"/>
      <c r="M72" s="20" t="str">
        <f aca="false">IF(A72="","",IF(V72="",0,IF(W72="",1,IF(X72="",2,IF(Y72="",3,"4+")))))</f>
        <v/>
      </c>
      <c r="N72" s="20" t="str">
        <f aca="false">IF(A72="","",A72&amp;IF(V72="",""," &lt;- "&amp;V72&amp;IF(W72="",""," &lt;- "&amp;W72&amp;IF(X72="",""," &lt;- "&amp;X72&amp;IF(Y72="",""," &lt;- "&amp;Y72))))&amp;IF(ISNUMBER(FIND(",",D72))," (+ other parents)",""))</f>
        <v/>
      </c>
      <c r="O72" s="20" t="str">
        <f aca="false">IF(A72="","",COUNTIF(Fields!$D:$D,A72))</f>
        <v/>
      </c>
      <c r="P72" s="20" t="str">
        <f aca="false">IF(A72="","",SUMIF(Fields!$D:$D,A72,Fields!$O:$O))</f>
        <v/>
      </c>
      <c r="Q72" s="30"/>
      <c r="R72" s="30"/>
      <c r="S72" s="30"/>
      <c r="T72" s="30"/>
      <c r="U72" s="30"/>
      <c r="V72" s="34" t="str">
        <f aca="false">IF(A72="","",IF(IFERROR(INDEX($D:$D,MATCH(A72,$A:$A,0)),"")="","",TRIM(IF(ISNUMBER(FIND(",",IFERROR(INDEX($D:$D,MATCH(A72,$A:$A,0)),""))),LEFT(IFERROR(INDEX($D:$D,MATCH(A72,$A:$A,0)),""),FIND(",",IFERROR(INDEX($D:$D,MATCH(A72,$A:$A,0)),""))-1),IFERROR(INDEX($D:$D,MATCH(A72,$A:$A,0)),"")))))</f>
        <v/>
      </c>
      <c r="W72" s="34" t="str">
        <f aca="false">IF(V72="","",IF(IFERROR(INDEX($D:$D,MATCH(V72,$A:$A,0)),"")="","",TRIM(IF(ISNUMBER(FIND(",",IFERROR(INDEX($D:$D,MATCH(V72,$A:$A,0)),""))),LEFT(IFERROR(INDEX($D:$D,MATCH(V72,$A:$A,0)),""),FIND(",",IFERROR(INDEX($D:$D,MATCH(V72,$A:$A,0)),""))-1),IFERROR(INDEX($D:$D,MATCH(V72,$A:$A,0)),"")))))</f>
        <v/>
      </c>
      <c r="X72" s="34" t="str">
        <f aca="false">IF(W72="","",IF(IFERROR(INDEX($D:$D,MATCH(W72,$A:$A,0)),"")="","",TRIM(IF(ISNUMBER(FIND(",",IFERROR(INDEX($D:$D,MATCH(W72,$A:$A,0)),""))),LEFT(IFERROR(INDEX($D:$D,MATCH(W72,$A:$A,0)),""),FIND(",",IFERROR(INDEX($D:$D,MATCH(W72,$A:$A,0)),""))-1),IFERROR(INDEX($D:$D,MATCH(W72,$A:$A,0)),"")))))</f>
        <v/>
      </c>
      <c r="Y72" s="34" t="str">
        <f aca="false">IF(X72="","",IF(IFERROR(INDEX($D:$D,MATCH(X72,$A:$A,0)),"")="","",TRIM(IF(ISNUMBER(FIND(",",IFERROR(INDEX($D:$D,MATCH(X72,$A:$A,0)),""))),LEFT(IFERROR(INDEX($D:$D,MATCH(X72,$A:$A,0)),""),FIND(",",IFERROR(INDEX($D:$D,MATCH(X72,$A:$A,0)),""))-1),IFERROR(INDEX($D:$D,MATCH(X72,$A:$A,0)),"")))))</f>
        <v/>
      </c>
      <c r="Z72" s="34" t="str">
        <f aca="false">IF(AND(A72&lt;&gt;"",L72="Retire"),COUNTIF($L$5:L72,"Retire"),"")</f>
        <v/>
      </c>
      <c r="AA72" s="34" t="str">
        <f aca="false">IF(AND(A72&lt;&gt;"",L72="Build"),COUNTIF($L$5:L72,"Build"),"")</f>
        <v/>
      </c>
      <c r="AB72" s="34" t="str">
        <f aca="false">IF(AND(A72&lt;&gt;"",OR(M72="4+",AND(ISNUMBER(M72),M72&gt;=2))),SUMPRODUCT(($A$5:A72&lt;&gt;"")*(($M$5:M72="4+")+(ISNUMBER($M$5:M72)*($M$5:M72&gt;=2)))),"")</f>
        <v/>
      </c>
      <c r="AC72" s="34" t="str">
        <f aca="false">IF(AND(A72&lt;&gt;"",OR(L72="",L72="Undecided",K72="")),SUMPRODUCT(($A$5:A72&lt;&gt;"")*(($L$5:L72="")+($L$5:L72="Undecided")+($K$5:K72=""))&gt;0*1),"")</f>
        <v/>
      </c>
    </row>
    <row r="73" customFormat="false" ht="15" hidden="false" customHeight="false" outlineLevel="0" collapsed="false">
      <c r="A73" s="29"/>
      <c r="B73" s="30"/>
      <c r="C73" s="30"/>
      <c r="D73" s="30"/>
      <c r="E73" s="30"/>
      <c r="F73" s="30"/>
      <c r="G73" s="30"/>
      <c r="H73" s="30"/>
      <c r="I73" s="30"/>
      <c r="J73" s="30"/>
      <c r="K73" s="30"/>
      <c r="L73" s="30"/>
      <c r="M73" s="20" t="str">
        <f aca="false">IF(A73="","",IF(V73="",0,IF(W73="",1,IF(X73="",2,IF(Y73="",3,"4+")))))</f>
        <v/>
      </c>
      <c r="N73" s="20" t="str">
        <f aca="false">IF(A73="","",A73&amp;IF(V73="",""," &lt;- "&amp;V73&amp;IF(W73="",""," &lt;- "&amp;W73&amp;IF(X73="",""," &lt;- "&amp;X73&amp;IF(Y73="",""," &lt;- "&amp;Y73))))&amp;IF(ISNUMBER(FIND(",",D73))," (+ other parents)",""))</f>
        <v/>
      </c>
      <c r="O73" s="20" t="str">
        <f aca="false">IF(A73="","",COUNTIF(Fields!$D:$D,A73))</f>
        <v/>
      </c>
      <c r="P73" s="20" t="str">
        <f aca="false">IF(A73="","",SUMIF(Fields!$D:$D,A73,Fields!$O:$O))</f>
        <v/>
      </c>
      <c r="Q73" s="30"/>
      <c r="R73" s="30"/>
      <c r="S73" s="30"/>
      <c r="T73" s="30"/>
      <c r="U73" s="30"/>
      <c r="V73" s="34" t="str">
        <f aca="false">IF(A73="","",IF(IFERROR(INDEX($D:$D,MATCH(A73,$A:$A,0)),"")="","",TRIM(IF(ISNUMBER(FIND(",",IFERROR(INDEX($D:$D,MATCH(A73,$A:$A,0)),""))),LEFT(IFERROR(INDEX($D:$D,MATCH(A73,$A:$A,0)),""),FIND(",",IFERROR(INDEX($D:$D,MATCH(A73,$A:$A,0)),""))-1),IFERROR(INDEX($D:$D,MATCH(A73,$A:$A,0)),"")))))</f>
        <v/>
      </c>
      <c r="W73" s="34" t="str">
        <f aca="false">IF(V73="","",IF(IFERROR(INDEX($D:$D,MATCH(V73,$A:$A,0)),"")="","",TRIM(IF(ISNUMBER(FIND(",",IFERROR(INDEX($D:$D,MATCH(V73,$A:$A,0)),""))),LEFT(IFERROR(INDEX($D:$D,MATCH(V73,$A:$A,0)),""),FIND(",",IFERROR(INDEX($D:$D,MATCH(V73,$A:$A,0)),""))-1),IFERROR(INDEX($D:$D,MATCH(V73,$A:$A,0)),"")))))</f>
        <v/>
      </c>
      <c r="X73" s="34" t="str">
        <f aca="false">IF(W73="","",IF(IFERROR(INDEX($D:$D,MATCH(W73,$A:$A,0)),"")="","",TRIM(IF(ISNUMBER(FIND(",",IFERROR(INDEX($D:$D,MATCH(W73,$A:$A,0)),""))),LEFT(IFERROR(INDEX($D:$D,MATCH(W73,$A:$A,0)),""),FIND(",",IFERROR(INDEX($D:$D,MATCH(W73,$A:$A,0)),""))-1),IFERROR(INDEX($D:$D,MATCH(W73,$A:$A,0)),"")))))</f>
        <v/>
      </c>
      <c r="Y73" s="34" t="str">
        <f aca="false">IF(X73="","",IF(IFERROR(INDEX($D:$D,MATCH(X73,$A:$A,0)),"")="","",TRIM(IF(ISNUMBER(FIND(",",IFERROR(INDEX($D:$D,MATCH(X73,$A:$A,0)),""))),LEFT(IFERROR(INDEX($D:$D,MATCH(X73,$A:$A,0)),""),FIND(",",IFERROR(INDEX($D:$D,MATCH(X73,$A:$A,0)),""))-1),IFERROR(INDEX($D:$D,MATCH(X73,$A:$A,0)),"")))))</f>
        <v/>
      </c>
      <c r="Z73" s="34" t="str">
        <f aca="false">IF(AND(A73&lt;&gt;"",L73="Retire"),COUNTIF($L$5:L73,"Retire"),"")</f>
        <v/>
      </c>
      <c r="AA73" s="34" t="str">
        <f aca="false">IF(AND(A73&lt;&gt;"",L73="Build"),COUNTIF($L$5:L73,"Build"),"")</f>
        <v/>
      </c>
      <c r="AB73" s="34" t="str">
        <f aca="false">IF(AND(A73&lt;&gt;"",OR(M73="4+",AND(ISNUMBER(M73),M73&gt;=2))),SUMPRODUCT(($A$5:A73&lt;&gt;"")*(($M$5:M73="4+")+(ISNUMBER($M$5:M73)*($M$5:M73&gt;=2)))),"")</f>
        <v/>
      </c>
      <c r="AC73" s="34" t="str">
        <f aca="false">IF(AND(A73&lt;&gt;"",OR(L73="",L73="Undecided",K73="")),SUMPRODUCT(($A$5:A73&lt;&gt;"")*(($L$5:L73="")+($L$5:L73="Undecided")+($K$5:K73=""))&gt;0*1),"")</f>
        <v/>
      </c>
    </row>
    <row r="74" customFormat="false" ht="15" hidden="false" customHeight="false" outlineLevel="0" collapsed="false">
      <c r="A74" s="29"/>
      <c r="B74" s="30"/>
      <c r="C74" s="30"/>
      <c r="D74" s="30"/>
      <c r="E74" s="30"/>
      <c r="F74" s="30"/>
      <c r="G74" s="30"/>
      <c r="H74" s="30"/>
      <c r="I74" s="30"/>
      <c r="J74" s="30"/>
      <c r="K74" s="30"/>
      <c r="L74" s="30"/>
      <c r="M74" s="20" t="str">
        <f aca="false">IF(A74="","",IF(V74="",0,IF(W74="",1,IF(X74="",2,IF(Y74="",3,"4+")))))</f>
        <v/>
      </c>
      <c r="N74" s="20" t="str">
        <f aca="false">IF(A74="","",A74&amp;IF(V74="",""," &lt;- "&amp;V74&amp;IF(W74="",""," &lt;- "&amp;W74&amp;IF(X74="",""," &lt;- "&amp;X74&amp;IF(Y74="",""," &lt;- "&amp;Y74))))&amp;IF(ISNUMBER(FIND(",",D74))," (+ other parents)",""))</f>
        <v/>
      </c>
      <c r="O74" s="20" t="str">
        <f aca="false">IF(A74="","",COUNTIF(Fields!$D:$D,A74))</f>
        <v/>
      </c>
      <c r="P74" s="20" t="str">
        <f aca="false">IF(A74="","",SUMIF(Fields!$D:$D,A74,Fields!$O:$O))</f>
        <v/>
      </c>
      <c r="Q74" s="30"/>
      <c r="R74" s="30"/>
      <c r="S74" s="30"/>
      <c r="T74" s="30"/>
      <c r="U74" s="30"/>
      <c r="V74" s="34" t="str">
        <f aca="false">IF(A74="","",IF(IFERROR(INDEX($D:$D,MATCH(A74,$A:$A,0)),"")="","",TRIM(IF(ISNUMBER(FIND(",",IFERROR(INDEX($D:$D,MATCH(A74,$A:$A,0)),""))),LEFT(IFERROR(INDEX($D:$D,MATCH(A74,$A:$A,0)),""),FIND(",",IFERROR(INDEX($D:$D,MATCH(A74,$A:$A,0)),""))-1),IFERROR(INDEX($D:$D,MATCH(A74,$A:$A,0)),"")))))</f>
        <v/>
      </c>
      <c r="W74" s="34" t="str">
        <f aca="false">IF(V74="","",IF(IFERROR(INDEX($D:$D,MATCH(V74,$A:$A,0)),"")="","",TRIM(IF(ISNUMBER(FIND(",",IFERROR(INDEX($D:$D,MATCH(V74,$A:$A,0)),""))),LEFT(IFERROR(INDEX($D:$D,MATCH(V74,$A:$A,0)),""),FIND(",",IFERROR(INDEX($D:$D,MATCH(V74,$A:$A,0)),""))-1),IFERROR(INDEX($D:$D,MATCH(V74,$A:$A,0)),"")))))</f>
        <v/>
      </c>
      <c r="X74" s="34" t="str">
        <f aca="false">IF(W74="","",IF(IFERROR(INDEX($D:$D,MATCH(W74,$A:$A,0)),"")="","",TRIM(IF(ISNUMBER(FIND(",",IFERROR(INDEX($D:$D,MATCH(W74,$A:$A,0)),""))),LEFT(IFERROR(INDEX($D:$D,MATCH(W74,$A:$A,0)),""),FIND(",",IFERROR(INDEX($D:$D,MATCH(W74,$A:$A,0)),""))-1),IFERROR(INDEX($D:$D,MATCH(W74,$A:$A,0)),"")))))</f>
        <v/>
      </c>
      <c r="Y74" s="34" t="str">
        <f aca="false">IF(X74="","",IF(IFERROR(INDEX($D:$D,MATCH(X74,$A:$A,0)),"")="","",TRIM(IF(ISNUMBER(FIND(",",IFERROR(INDEX($D:$D,MATCH(X74,$A:$A,0)),""))),LEFT(IFERROR(INDEX($D:$D,MATCH(X74,$A:$A,0)),""),FIND(",",IFERROR(INDEX($D:$D,MATCH(X74,$A:$A,0)),""))-1),IFERROR(INDEX($D:$D,MATCH(X74,$A:$A,0)),"")))))</f>
        <v/>
      </c>
      <c r="Z74" s="34" t="str">
        <f aca="false">IF(AND(A74&lt;&gt;"",L74="Retire"),COUNTIF($L$5:L74,"Retire"),"")</f>
        <v/>
      </c>
      <c r="AA74" s="34" t="str">
        <f aca="false">IF(AND(A74&lt;&gt;"",L74="Build"),COUNTIF($L$5:L74,"Build"),"")</f>
        <v/>
      </c>
      <c r="AB74" s="34" t="str">
        <f aca="false">IF(AND(A74&lt;&gt;"",OR(M74="4+",AND(ISNUMBER(M74),M74&gt;=2))),SUMPRODUCT(($A$5:A74&lt;&gt;"")*(($M$5:M74="4+")+(ISNUMBER($M$5:M74)*($M$5:M74&gt;=2)))),"")</f>
        <v/>
      </c>
      <c r="AC74" s="34" t="str">
        <f aca="false">IF(AND(A74&lt;&gt;"",OR(L74="",L74="Undecided",K74="")),SUMPRODUCT(($A$5:A74&lt;&gt;"")*(($L$5:L74="")+($L$5:L74="Undecided")+($K$5:K74=""))&gt;0*1),"")</f>
        <v/>
      </c>
    </row>
    <row r="75" customFormat="false" ht="15" hidden="false" customHeight="false" outlineLevel="0" collapsed="false">
      <c r="A75" s="29"/>
      <c r="B75" s="30"/>
      <c r="C75" s="30"/>
      <c r="D75" s="30"/>
      <c r="E75" s="30"/>
      <c r="F75" s="30"/>
      <c r="G75" s="30"/>
      <c r="H75" s="30"/>
      <c r="I75" s="30"/>
      <c r="J75" s="30"/>
      <c r="K75" s="30"/>
      <c r="L75" s="30"/>
      <c r="M75" s="20" t="str">
        <f aca="false">IF(A75="","",IF(V75="",0,IF(W75="",1,IF(X75="",2,IF(Y75="",3,"4+")))))</f>
        <v/>
      </c>
      <c r="N75" s="20" t="str">
        <f aca="false">IF(A75="","",A75&amp;IF(V75="",""," &lt;- "&amp;V75&amp;IF(W75="",""," &lt;- "&amp;W75&amp;IF(X75="",""," &lt;- "&amp;X75&amp;IF(Y75="",""," &lt;- "&amp;Y75))))&amp;IF(ISNUMBER(FIND(",",D75))," (+ other parents)",""))</f>
        <v/>
      </c>
      <c r="O75" s="20" t="str">
        <f aca="false">IF(A75="","",COUNTIF(Fields!$D:$D,A75))</f>
        <v/>
      </c>
      <c r="P75" s="20" t="str">
        <f aca="false">IF(A75="","",SUMIF(Fields!$D:$D,A75,Fields!$O:$O))</f>
        <v/>
      </c>
      <c r="Q75" s="30"/>
      <c r="R75" s="30"/>
      <c r="S75" s="30"/>
      <c r="T75" s="30"/>
      <c r="U75" s="30"/>
      <c r="V75" s="34" t="str">
        <f aca="false">IF(A75="","",IF(IFERROR(INDEX($D:$D,MATCH(A75,$A:$A,0)),"")="","",TRIM(IF(ISNUMBER(FIND(",",IFERROR(INDEX($D:$D,MATCH(A75,$A:$A,0)),""))),LEFT(IFERROR(INDEX($D:$D,MATCH(A75,$A:$A,0)),""),FIND(",",IFERROR(INDEX($D:$D,MATCH(A75,$A:$A,0)),""))-1),IFERROR(INDEX($D:$D,MATCH(A75,$A:$A,0)),"")))))</f>
        <v/>
      </c>
      <c r="W75" s="34" t="str">
        <f aca="false">IF(V75="","",IF(IFERROR(INDEX($D:$D,MATCH(V75,$A:$A,0)),"")="","",TRIM(IF(ISNUMBER(FIND(",",IFERROR(INDEX($D:$D,MATCH(V75,$A:$A,0)),""))),LEFT(IFERROR(INDEX($D:$D,MATCH(V75,$A:$A,0)),""),FIND(",",IFERROR(INDEX($D:$D,MATCH(V75,$A:$A,0)),""))-1),IFERROR(INDEX($D:$D,MATCH(V75,$A:$A,0)),"")))))</f>
        <v/>
      </c>
      <c r="X75" s="34" t="str">
        <f aca="false">IF(W75="","",IF(IFERROR(INDEX($D:$D,MATCH(W75,$A:$A,0)),"")="","",TRIM(IF(ISNUMBER(FIND(",",IFERROR(INDEX($D:$D,MATCH(W75,$A:$A,0)),""))),LEFT(IFERROR(INDEX($D:$D,MATCH(W75,$A:$A,0)),""),FIND(",",IFERROR(INDEX($D:$D,MATCH(W75,$A:$A,0)),""))-1),IFERROR(INDEX($D:$D,MATCH(W75,$A:$A,0)),"")))))</f>
        <v/>
      </c>
      <c r="Y75" s="34" t="str">
        <f aca="false">IF(X75="","",IF(IFERROR(INDEX($D:$D,MATCH(X75,$A:$A,0)),"")="","",TRIM(IF(ISNUMBER(FIND(",",IFERROR(INDEX($D:$D,MATCH(X75,$A:$A,0)),""))),LEFT(IFERROR(INDEX($D:$D,MATCH(X75,$A:$A,0)),""),FIND(",",IFERROR(INDEX($D:$D,MATCH(X75,$A:$A,0)),""))-1),IFERROR(INDEX($D:$D,MATCH(X75,$A:$A,0)),"")))))</f>
        <v/>
      </c>
      <c r="Z75" s="34" t="str">
        <f aca="false">IF(AND(A75&lt;&gt;"",L75="Retire"),COUNTIF($L$5:L75,"Retire"),"")</f>
        <v/>
      </c>
      <c r="AA75" s="34" t="str">
        <f aca="false">IF(AND(A75&lt;&gt;"",L75="Build"),COUNTIF($L$5:L75,"Build"),"")</f>
        <v/>
      </c>
      <c r="AB75" s="34" t="str">
        <f aca="false">IF(AND(A75&lt;&gt;"",OR(M75="4+",AND(ISNUMBER(M75),M75&gt;=2))),SUMPRODUCT(($A$5:A75&lt;&gt;"")*(($M$5:M75="4+")+(ISNUMBER($M$5:M75)*($M$5:M75&gt;=2)))),"")</f>
        <v/>
      </c>
      <c r="AC75" s="34" t="str">
        <f aca="false">IF(AND(A75&lt;&gt;"",OR(L75="",L75="Undecided",K75="")),SUMPRODUCT(($A$5:A75&lt;&gt;"")*(($L$5:L75="")+($L$5:L75="Undecided")+($K$5:K75=""))&gt;0*1),"")</f>
        <v/>
      </c>
    </row>
    <row r="76" customFormat="false" ht="15" hidden="false" customHeight="false" outlineLevel="0" collapsed="false">
      <c r="A76" s="29"/>
      <c r="B76" s="30"/>
      <c r="C76" s="30"/>
      <c r="D76" s="30"/>
      <c r="E76" s="30"/>
      <c r="F76" s="30"/>
      <c r="G76" s="30"/>
      <c r="H76" s="30"/>
      <c r="I76" s="30"/>
      <c r="J76" s="30"/>
      <c r="K76" s="30"/>
      <c r="L76" s="30"/>
      <c r="M76" s="20" t="str">
        <f aca="false">IF(A76="","",IF(V76="",0,IF(W76="",1,IF(X76="",2,IF(Y76="",3,"4+")))))</f>
        <v/>
      </c>
      <c r="N76" s="20" t="str">
        <f aca="false">IF(A76="","",A76&amp;IF(V76="",""," &lt;- "&amp;V76&amp;IF(W76="",""," &lt;- "&amp;W76&amp;IF(X76="",""," &lt;- "&amp;X76&amp;IF(Y76="",""," &lt;- "&amp;Y76))))&amp;IF(ISNUMBER(FIND(",",D76))," (+ other parents)",""))</f>
        <v/>
      </c>
      <c r="O76" s="20" t="str">
        <f aca="false">IF(A76="","",COUNTIF(Fields!$D:$D,A76))</f>
        <v/>
      </c>
      <c r="P76" s="20" t="str">
        <f aca="false">IF(A76="","",SUMIF(Fields!$D:$D,A76,Fields!$O:$O))</f>
        <v/>
      </c>
      <c r="Q76" s="30"/>
      <c r="R76" s="30"/>
      <c r="S76" s="30"/>
      <c r="T76" s="30"/>
      <c r="U76" s="30"/>
      <c r="V76" s="34" t="str">
        <f aca="false">IF(A76="","",IF(IFERROR(INDEX($D:$D,MATCH(A76,$A:$A,0)),"")="","",TRIM(IF(ISNUMBER(FIND(",",IFERROR(INDEX($D:$D,MATCH(A76,$A:$A,0)),""))),LEFT(IFERROR(INDEX($D:$D,MATCH(A76,$A:$A,0)),""),FIND(",",IFERROR(INDEX($D:$D,MATCH(A76,$A:$A,0)),""))-1),IFERROR(INDEX($D:$D,MATCH(A76,$A:$A,0)),"")))))</f>
        <v/>
      </c>
      <c r="W76" s="34" t="str">
        <f aca="false">IF(V76="","",IF(IFERROR(INDEX($D:$D,MATCH(V76,$A:$A,0)),"")="","",TRIM(IF(ISNUMBER(FIND(",",IFERROR(INDEX($D:$D,MATCH(V76,$A:$A,0)),""))),LEFT(IFERROR(INDEX($D:$D,MATCH(V76,$A:$A,0)),""),FIND(",",IFERROR(INDEX($D:$D,MATCH(V76,$A:$A,0)),""))-1),IFERROR(INDEX($D:$D,MATCH(V76,$A:$A,0)),"")))))</f>
        <v/>
      </c>
      <c r="X76" s="34" t="str">
        <f aca="false">IF(W76="","",IF(IFERROR(INDEX($D:$D,MATCH(W76,$A:$A,0)),"")="","",TRIM(IF(ISNUMBER(FIND(",",IFERROR(INDEX($D:$D,MATCH(W76,$A:$A,0)),""))),LEFT(IFERROR(INDEX($D:$D,MATCH(W76,$A:$A,0)),""),FIND(",",IFERROR(INDEX($D:$D,MATCH(W76,$A:$A,0)),""))-1),IFERROR(INDEX($D:$D,MATCH(W76,$A:$A,0)),"")))))</f>
        <v/>
      </c>
      <c r="Y76" s="34" t="str">
        <f aca="false">IF(X76="","",IF(IFERROR(INDEX($D:$D,MATCH(X76,$A:$A,0)),"")="","",TRIM(IF(ISNUMBER(FIND(",",IFERROR(INDEX($D:$D,MATCH(X76,$A:$A,0)),""))),LEFT(IFERROR(INDEX($D:$D,MATCH(X76,$A:$A,0)),""),FIND(",",IFERROR(INDEX($D:$D,MATCH(X76,$A:$A,0)),""))-1),IFERROR(INDEX($D:$D,MATCH(X76,$A:$A,0)),"")))))</f>
        <v/>
      </c>
      <c r="Z76" s="34" t="str">
        <f aca="false">IF(AND(A76&lt;&gt;"",L76="Retire"),COUNTIF($L$5:L76,"Retire"),"")</f>
        <v/>
      </c>
      <c r="AA76" s="34" t="str">
        <f aca="false">IF(AND(A76&lt;&gt;"",L76="Build"),COUNTIF($L$5:L76,"Build"),"")</f>
        <v/>
      </c>
      <c r="AB76" s="34" t="str">
        <f aca="false">IF(AND(A76&lt;&gt;"",OR(M76="4+",AND(ISNUMBER(M76),M76&gt;=2))),SUMPRODUCT(($A$5:A76&lt;&gt;"")*(($M$5:M76="4+")+(ISNUMBER($M$5:M76)*($M$5:M76&gt;=2)))),"")</f>
        <v/>
      </c>
      <c r="AC76" s="34" t="str">
        <f aca="false">IF(AND(A76&lt;&gt;"",OR(L76="",L76="Undecided",K76="")),SUMPRODUCT(($A$5:A76&lt;&gt;"")*(($L$5:L76="")+($L$5:L76="Undecided")+($K$5:K76=""))&gt;0*1),"")</f>
        <v/>
      </c>
    </row>
    <row r="77" customFormat="false" ht="15" hidden="false" customHeight="false" outlineLevel="0" collapsed="false">
      <c r="A77" s="29"/>
      <c r="B77" s="30"/>
      <c r="C77" s="30"/>
      <c r="D77" s="30"/>
      <c r="E77" s="30"/>
      <c r="F77" s="30"/>
      <c r="G77" s="30"/>
      <c r="H77" s="30"/>
      <c r="I77" s="30"/>
      <c r="J77" s="30"/>
      <c r="K77" s="30"/>
      <c r="L77" s="30"/>
      <c r="M77" s="20" t="str">
        <f aca="false">IF(A77="","",IF(V77="",0,IF(W77="",1,IF(X77="",2,IF(Y77="",3,"4+")))))</f>
        <v/>
      </c>
      <c r="N77" s="20" t="str">
        <f aca="false">IF(A77="","",A77&amp;IF(V77="",""," &lt;- "&amp;V77&amp;IF(W77="",""," &lt;- "&amp;W77&amp;IF(X77="",""," &lt;- "&amp;X77&amp;IF(Y77="",""," &lt;- "&amp;Y77))))&amp;IF(ISNUMBER(FIND(",",D77))," (+ other parents)",""))</f>
        <v/>
      </c>
      <c r="O77" s="20" t="str">
        <f aca="false">IF(A77="","",COUNTIF(Fields!$D:$D,A77))</f>
        <v/>
      </c>
      <c r="P77" s="20" t="str">
        <f aca="false">IF(A77="","",SUMIF(Fields!$D:$D,A77,Fields!$O:$O))</f>
        <v/>
      </c>
      <c r="Q77" s="30"/>
      <c r="R77" s="30"/>
      <c r="S77" s="30"/>
      <c r="T77" s="30"/>
      <c r="U77" s="30"/>
      <c r="V77" s="34" t="str">
        <f aca="false">IF(A77="","",IF(IFERROR(INDEX($D:$D,MATCH(A77,$A:$A,0)),"")="","",TRIM(IF(ISNUMBER(FIND(",",IFERROR(INDEX($D:$D,MATCH(A77,$A:$A,0)),""))),LEFT(IFERROR(INDEX($D:$D,MATCH(A77,$A:$A,0)),""),FIND(",",IFERROR(INDEX($D:$D,MATCH(A77,$A:$A,0)),""))-1),IFERROR(INDEX($D:$D,MATCH(A77,$A:$A,0)),"")))))</f>
        <v/>
      </c>
      <c r="W77" s="34" t="str">
        <f aca="false">IF(V77="","",IF(IFERROR(INDEX($D:$D,MATCH(V77,$A:$A,0)),"")="","",TRIM(IF(ISNUMBER(FIND(",",IFERROR(INDEX($D:$D,MATCH(V77,$A:$A,0)),""))),LEFT(IFERROR(INDEX($D:$D,MATCH(V77,$A:$A,0)),""),FIND(",",IFERROR(INDEX($D:$D,MATCH(V77,$A:$A,0)),""))-1),IFERROR(INDEX($D:$D,MATCH(V77,$A:$A,0)),"")))))</f>
        <v/>
      </c>
      <c r="X77" s="34" t="str">
        <f aca="false">IF(W77="","",IF(IFERROR(INDEX($D:$D,MATCH(W77,$A:$A,0)),"")="","",TRIM(IF(ISNUMBER(FIND(",",IFERROR(INDEX($D:$D,MATCH(W77,$A:$A,0)),""))),LEFT(IFERROR(INDEX($D:$D,MATCH(W77,$A:$A,0)),""),FIND(",",IFERROR(INDEX($D:$D,MATCH(W77,$A:$A,0)),""))-1),IFERROR(INDEX($D:$D,MATCH(W77,$A:$A,0)),"")))))</f>
        <v/>
      </c>
      <c r="Y77" s="34" t="str">
        <f aca="false">IF(X77="","",IF(IFERROR(INDEX($D:$D,MATCH(X77,$A:$A,0)),"")="","",TRIM(IF(ISNUMBER(FIND(",",IFERROR(INDEX($D:$D,MATCH(X77,$A:$A,0)),""))),LEFT(IFERROR(INDEX($D:$D,MATCH(X77,$A:$A,0)),""),FIND(",",IFERROR(INDEX($D:$D,MATCH(X77,$A:$A,0)),""))-1),IFERROR(INDEX($D:$D,MATCH(X77,$A:$A,0)),"")))))</f>
        <v/>
      </c>
      <c r="Z77" s="34" t="str">
        <f aca="false">IF(AND(A77&lt;&gt;"",L77="Retire"),COUNTIF($L$5:L77,"Retire"),"")</f>
        <v/>
      </c>
      <c r="AA77" s="34" t="str">
        <f aca="false">IF(AND(A77&lt;&gt;"",L77="Build"),COUNTIF($L$5:L77,"Build"),"")</f>
        <v/>
      </c>
      <c r="AB77" s="34" t="str">
        <f aca="false">IF(AND(A77&lt;&gt;"",OR(M77="4+",AND(ISNUMBER(M77),M77&gt;=2))),SUMPRODUCT(($A$5:A77&lt;&gt;"")*(($M$5:M77="4+")+(ISNUMBER($M$5:M77)*($M$5:M77&gt;=2)))),"")</f>
        <v/>
      </c>
      <c r="AC77" s="34" t="str">
        <f aca="false">IF(AND(A77&lt;&gt;"",OR(L77="",L77="Undecided",K77="")),SUMPRODUCT(($A$5:A77&lt;&gt;"")*(($L$5:L77="")+($L$5:L77="Undecided")+($K$5:K77=""))&gt;0*1),"")</f>
        <v/>
      </c>
    </row>
    <row r="78" customFormat="false" ht="15" hidden="false" customHeight="false" outlineLevel="0" collapsed="false">
      <c r="A78" s="29"/>
      <c r="B78" s="30"/>
      <c r="C78" s="30"/>
      <c r="D78" s="30"/>
      <c r="E78" s="30"/>
      <c r="F78" s="30"/>
      <c r="G78" s="30"/>
      <c r="H78" s="30"/>
      <c r="I78" s="30"/>
      <c r="J78" s="30"/>
      <c r="K78" s="30"/>
      <c r="L78" s="30"/>
      <c r="M78" s="20" t="str">
        <f aca="false">IF(A78="","",IF(V78="",0,IF(W78="",1,IF(X78="",2,IF(Y78="",3,"4+")))))</f>
        <v/>
      </c>
      <c r="N78" s="20" t="str">
        <f aca="false">IF(A78="","",A78&amp;IF(V78="",""," &lt;- "&amp;V78&amp;IF(W78="",""," &lt;- "&amp;W78&amp;IF(X78="",""," &lt;- "&amp;X78&amp;IF(Y78="",""," &lt;- "&amp;Y78))))&amp;IF(ISNUMBER(FIND(",",D78))," (+ other parents)",""))</f>
        <v/>
      </c>
      <c r="O78" s="20" t="str">
        <f aca="false">IF(A78="","",COUNTIF(Fields!$D:$D,A78))</f>
        <v/>
      </c>
      <c r="P78" s="20" t="str">
        <f aca="false">IF(A78="","",SUMIF(Fields!$D:$D,A78,Fields!$O:$O))</f>
        <v/>
      </c>
      <c r="Q78" s="30"/>
      <c r="R78" s="30"/>
      <c r="S78" s="30"/>
      <c r="T78" s="30"/>
      <c r="U78" s="30"/>
      <c r="V78" s="34" t="str">
        <f aca="false">IF(A78="","",IF(IFERROR(INDEX($D:$D,MATCH(A78,$A:$A,0)),"")="","",TRIM(IF(ISNUMBER(FIND(",",IFERROR(INDEX($D:$D,MATCH(A78,$A:$A,0)),""))),LEFT(IFERROR(INDEX($D:$D,MATCH(A78,$A:$A,0)),""),FIND(",",IFERROR(INDEX($D:$D,MATCH(A78,$A:$A,0)),""))-1),IFERROR(INDEX($D:$D,MATCH(A78,$A:$A,0)),"")))))</f>
        <v/>
      </c>
      <c r="W78" s="34" t="str">
        <f aca="false">IF(V78="","",IF(IFERROR(INDEX($D:$D,MATCH(V78,$A:$A,0)),"")="","",TRIM(IF(ISNUMBER(FIND(",",IFERROR(INDEX($D:$D,MATCH(V78,$A:$A,0)),""))),LEFT(IFERROR(INDEX($D:$D,MATCH(V78,$A:$A,0)),""),FIND(",",IFERROR(INDEX($D:$D,MATCH(V78,$A:$A,0)),""))-1),IFERROR(INDEX($D:$D,MATCH(V78,$A:$A,0)),"")))))</f>
        <v/>
      </c>
      <c r="X78" s="34" t="str">
        <f aca="false">IF(W78="","",IF(IFERROR(INDEX($D:$D,MATCH(W78,$A:$A,0)),"")="","",TRIM(IF(ISNUMBER(FIND(",",IFERROR(INDEX($D:$D,MATCH(W78,$A:$A,0)),""))),LEFT(IFERROR(INDEX($D:$D,MATCH(W78,$A:$A,0)),""),FIND(",",IFERROR(INDEX($D:$D,MATCH(W78,$A:$A,0)),""))-1),IFERROR(INDEX($D:$D,MATCH(W78,$A:$A,0)),"")))))</f>
        <v/>
      </c>
      <c r="Y78" s="34" t="str">
        <f aca="false">IF(X78="","",IF(IFERROR(INDEX($D:$D,MATCH(X78,$A:$A,0)),"")="","",TRIM(IF(ISNUMBER(FIND(",",IFERROR(INDEX($D:$D,MATCH(X78,$A:$A,0)),""))),LEFT(IFERROR(INDEX($D:$D,MATCH(X78,$A:$A,0)),""),FIND(",",IFERROR(INDEX($D:$D,MATCH(X78,$A:$A,0)),""))-1),IFERROR(INDEX($D:$D,MATCH(X78,$A:$A,0)),"")))))</f>
        <v/>
      </c>
      <c r="Z78" s="34" t="str">
        <f aca="false">IF(AND(A78&lt;&gt;"",L78="Retire"),COUNTIF($L$5:L78,"Retire"),"")</f>
        <v/>
      </c>
      <c r="AA78" s="34" t="str">
        <f aca="false">IF(AND(A78&lt;&gt;"",L78="Build"),COUNTIF($L$5:L78,"Build"),"")</f>
        <v/>
      </c>
      <c r="AB78" s="34" t="str">
        <f aca="false">IF(AND(A78&lt;&gt;"",OR(M78="4+",AND(ISNUMBER(M78),M78&gt;=2))),SUMPRODUCT(($A$5:A78&lt;&gt;"")*(($M$5:M78="4+")+(ISNUMBER($M$5:M78)*($M$5:M78&gt;=2)))),"")</f>
        <v/>
      </c>
      <c r="AC78" s="34" t="str">
        <f aca="false">IF(AND(A78&lt;&gt;"",OR(L78="",L78="Undecided",K78="")),SUMPRODUCT(($A$5:A78&lt;&gt;"")*(($L$5:L78="")+($L$5:L78="Undecided")+($K$5:K78=""))&gt;0*1),"")</f>
        <v/>
      </c>
    </row>
    <row r="79" customFormat="false" ht="15" hidden="false" customHeight="false" outlineLevel="0" collapsed="false">
      <c r="A79" s="29"/>
      <c r="B79" s="30"/>
      <c r="C79" s="30"/>
      <c r="D79" s="30"/>
      <c r="E79" s="30"/>
      <c r="F79" s="30"/>
      <c r="G79" s="30"/>
      <c r="H79" s="30"/>
      <c r="I79" s="30"/>
      <c r="J79" s="30"/>
      <c r="K79" s="30"/>
      <c r="L79" s="30"/>
      <c r="M79" s="20" t="str">
        <f aca="false">IF(A79="","",IF(V79="",0,IF(W79="",1,IF(X79="",2,IF(Y79="",3,"4+")))))</f>
        <v/>
      </c>
      <c r="N79" s="20" t="str">
        <f aca="false">IF(A79="","",A79&amp;IF(V79="",""," &lt;- "&amp;V79&amp;IF(W79="",""," &lt;- "&amp;W79&amp;IF(X79="",""," &lt;- "&amp;X79&amp;IF(Y79="",""," &lt;- "&amp;Y79))))&amp;IF(ISNUMBER(FIND(",",D79))," (+ other parents)",""))</f>
        <v/>
      </c>
      <c r="O79" s="20" t="str">
        <f aca="false">IF(A79="","",COUNTIF(Fields!$D:$D,A79))</f>
        <v/>
      </c>
      <c r="P79" s="20" t="str">
        <f aca="false">IF(A79="","",SUMIF(Fields!$D:$D,A79,Fields!$O:$O))</f>
        <v/>
      </c>
      <c r="Q79" s="30"/>
      <c r="R79" s="30"/>
      <c r="S79" s="30"/>
      <c r="T79" s="30"/>
      <c r="U79" s="30"/>
      <c r="V79" s="34" t="str">
        <f aca="false">IF(A79="","",IF(IFERROR(INDEX($D:$D,MATCH(A79,$A:$A,0)),"")="","",TRIM(IF(ISNUMBER(FIND(",",IFERROR(INDEX($D:$D,MATCH(A79,$A:$A,0)),""))),LEFT(IFERROR(INDEX($D:$D,MATCH(A79,$A:$A,0)),""),FIND(",",IFERROR(INDEX($D:$D,MATCH(A79,$A:$A,0)),""))-1),IFERROR(INDEX($D:$D,MATCH(A79,$A:$A,0)),"")))))</f>
        <v/>
      </c>
      <c r="W79" s="34" t="str">
        <f aca="false">IF(V79="","",IF(IFERROR(INDEX($D:$D,MATCH(V79,$A:$A,0)),"")="","",TRIM(IF(ISNUMBER(FIND(",",IFERROR(INDEX($D:$D,MATCH(V79,$A:$A,0)),""))),LEFT(IFERROR(INDEX($D:$D,MATCH(V79,$A:$A,0)),""),FIND(",",IFERROR(INDEX($D:$D,MATCH(V79,$A:$A,0)),""))-1),IFERROR(INDEX($D:$D,MATCH(V79,$A:$A,0)),"")))))</f>
        <v/>
      </c>
      <c r="X79" s="34" t="str">
        <f aca="false">IF(W79="","",IF(IFERROR(INDEX($D:$D,MATCH(W79,$A:$A,0)),"")="","",TRIM(IF(ISNUMBER(FIND(",",IFERROR(INDEX($D:$D,MATCH(W79,$A:$A,0)),""))),LEFT(IFERROR(INDEX($D:$D,MATCH(W79,$A:$A,0)),""),FIND(",",IFERROR(INDEX($D:$D,MATCH(W79,$A:$A,0)),""))-1),IFERROR(INDEX($D:$D,MATCH(W79,$A:$A,0)),"")))))</f>
        <v/>
      </c>
      <c r="Y79" s="34" t="str">
        <f aca="false">IF(X79="","",IF(IFERROR(INDEX($D:$D,MATCH(X79,$A:$A,0)),"")="","",TRIM(IF(ISNUMBER(FIND(",",IFERROR(INDEX($D:$D,MATCH(X79,$A:$A,0)),""))),LEFT(IFERROR(INDEX($D:$D,MATCH(X79,$A:$A,0)),""),FIND(",",IFERROR(INDEX($D:$D,MATCH(X79,$A:$A,0)),""))-1),IFERROR(INDEX($D:$D,MATCH(X79,$A:$A,0)),"")))))</f>
        <v/>
      </c>
      <c r="Z79" s="34" t="str">
        <f aca="false">IF(AND(A79&lt;&gt;"",L79="Retire"),COUNTIF($L$5:L79,"Retire"),"")</f>
        <v/>
      </c>
      <c r="AA79" s="34" t="str">
        <f aca="false">IF(AND(A79&lt;&gt;"",L79="Build"),COUNTIF($L$5:L79,"Build"),"")</f>
        <v/>
      </c>
      <c r="AB79" s="34" t="str">
        <f aca="false">IF(AND(A79&lt;&gt;"",OR(M79="4+",AND(ISNUMBER(M79),M79&gt;=2))),SUMPRODUCT(($A$5:A79&lt;&gt;"")*(($M$5:M79="4+")+(ISNUMBER($M$5:M79)*($M$5:M79&gt;=2)))),"")</f>
        <v/>
      </c>
      <c r="AC79" s="34" t="str">
        <f aca="false">IF(AND(A79&lt;&gt;"",OR(L79="",L79="Undecided",K79="")),SUMPRODUCT(($A$5:A79&lt;&gt;"")*(($L$5:L79="")+($L$5:L79="Undecided")+($K$5:K79=""))&gt;0*1),"")</f>
        <v/>
      </c>
    </row>
    <row r="80" customFormat="false" ht="15" hidden="false" customHeight="false" outlineLevel="0" collapsed="false">
      <c r="A80" s="29"/>
      <c r="B80" s="30"/>
      <c r="C80" s="30"/>
      <c r="D80" s="30"/>
      <c r="E80" s="30"/>
      <c r="F80" s="30"/>
      <c r="G80" s="30"/>
      <c r="H80" s="30"/>
      <c r="I80" s="30"/>
      <c r="J80" s="30"/>
      <c r="K80" s="30"/>
      <c r="L80" s="30"/>
      <c r="M80" s="20" t="str">
        <f aca="false">IF(A80="","",IF(V80="",0,IF(W80="",1,IF(X80="",2,IF(Y80="",3,"4+")))))</f>
        <v/>
      </c>
      <c r="N80" s="20" t="str">
        <f aca="false">IF(A80="","",A80&amp;IF(V80="",""," &lt;- "&amp;V80&amp;IF(W80="",""," &lt;- "&amp;W80&amp;IF(X80="",""," &lt;- "&amp;X80&amp;IF(Y80="",""," &lt;- "&amp;Y80))))&amp;IF(ISNUMBER(FIND(",",D80))," (+ other parents)",""))</f>
        <v/>
      </c>
      <c r="O80" s="20" t="str">
        <f aca="false">IF(A80="","",COUNTIF(Fields!$D:$D,A80))</f>
        <v/>
      </c>
      <c r="P80" s="20" t="str">
        <f aca="false">IF(A80="","",SUMIF(Fields!$D:$D,A80,Fields!$O:$O))</f>
        <v/>
      </c>
      <c r="Q80" s="30"/>
      <c r="R80" s="30"/>
      <c r="S80" s="30"/>
      <c r="T80" s="30"/>
      <c r="U80" s="30"/>
      <c r="V80" s="34" t="str">
        <f aca="false">IF(A80="","",IF(IFERROR(INDEX($D:$D,MATCH(A80,$A:$A,0)),"")="","",TRIM(IF(ISNUMBER(FIND(",",IFERROR(INDEX($D:$D,MATCH(A80,$A:$A,0)),""))),LEFT(IFERROR(INDEX($D:$D,MATCH(A80,$A:$A,0)),""),FIND(",",IFERROR(INDEX($D:$D,MATCH(A80,$A:$A,0)),""))-1),IFERROR(INDEX($D:$D,MATCH(A80,$A:$A,0)),"")))))</f>
        <v/>
      </c>
      <c r="W80" s="34" t="str">
        <f aca="false">IF(V80="","",IF(IFERROR(INDEX($D:$D,MATCH(V80,$A:$A,0)),"")="","",TRIM(IF(ISNUMBER(FIND(",",IFERROR(INDEX($D:$D,MATCH(V80,$A:$A,0)),""))),LEFT(IFERROR(INDEX($D:$D,MATCH(V80,$A:$A,0)),""),FIND(",",IFERROR(INDEX($D:$D,MATCH(V80,$A:$A,0)),""))-1),IFERROR(INDEX($D:$D,MATCH(V80,$A:$A,0)),"")))))</f>
        <v/>
      </c>
      <c r="X80" s="34" t="str">
        <f aca="false">IF(W80="","",IF(IFERROR(INDEX($D:$D,MATCH(W80,$A:$A,0)),"")="","",TRIM(IF(ISNUMBER(FIND(",",IFERROR(INDEX($D:$D,MATCH(W80,$A:$A,0)),""))),LEFT(IFERROR(INDEX($D:$D,MATCH(W80,$A:$A,0)),""),FIND(",",IFERROR(INDEX($D:$D,MATCH(W80,$A:$A,0)),""))-1),IFERROR(INDEX($D:$D,MATCH(W80,$A:$A,0)),"")))))</f>
        <v/>
      </c>
      <c r="Y80" s="34" t="str">
        <f aca="false">IF(X80="","",IF(IFERROR(INDEX($D:$D,MATCH(X80,$A:$A,0)),"")="","",TRIM(IF(ISNUMBER(FIND(",",IFERROR(INDEX($D:$D,MATCH(X80,$A:$A,0)),""))),LEFT(IFERROR(INDEX($D:$D,MATCH(X80,$A:$A,0)),""),FIND(",",IFERROR(INDEX($D:$D,MATCH(X80,$A:$A,0)),""))-1),IFERROR(INDEX($D:$D,MATCH(X80,$A:$A,0)),"")))))</f>
        <v/>
      </c>
      <c r="Z80" s="34" t="str">
        <f aca="false">IF(AND(A80&lt;&gt;"",L80="Retire"),COUNTIF($L$5:L80,"Retire"),"")</f>
        <v/>
      </c>
      <c r="AA80" s="34" t="str">
        <f aca="false">IF(AND(A80&lt;&gt;"",L80="Build"),COUNTIF($L$5:L80,"Build"),"")</f>
        <v/>
      </c>
      <c r="AB80" s="34" t="str">
        <f aca="false">IF(AND(A80&lt;&gt;"",OR(M80="4+",AND(ISNUMBER(M80),M80&gt;=2))),SUMPRODUCT(($A$5:A80&lt;&gt;"")*(($M$5:M80="4+")+(ISNUMBER($M$5:M80)*($M$5:M80&gt;=2)))),"")</f>
        <v/>
      </c>
      <c r="AC80" s="34" t="str">
        <f aca="false">IF(AND(A80&lt;&gt;"",OR(L80="",L80="Undecided",K80="")),SUMPRODUCT(($A$5:A80&lt;&gt;"")*(($L$5:L80="")+($L$5:L80="Undecided")+($K$5:K80=""))&gt;0*1),"")</f>
        <v/>
      </c>
    </row>
    <row r="81" customFormat="false" ht="15" hidden="false" customHeight="false" outlineLevel="0" collapsed="false">
      <c r="A81" s="29"/>
      <c r="B81" s="30"/>
      <c r="C81" s="30"/>
      <c r="D81" s="30"/>
      <c r="E81" s="30"/>
      <c r="F81" s="30"/>
      <c r="G81" s="30"/>
      <c r="H81" s="30"/>
      <c r="I81" s="30"/>
      <c r="J81" s="30"/>
      <c r="K81" s="30"/>
      <c r="L81" s="30"/>
      <c r="M81" s="20" t="str">
        <f aca="false">IF(A81="","",IF(V81="",0,IF(W81="",1,IF(X81="",2,IF(Y81="",3,"4+")))))</f>
        <v/>
      </c>
      <c r="N81" s="20" t="str">
        <f aca="false">IF(A81="","",A81&amp;IF(V81="",""," &lt;- "&amp;V81&amp;IF(W81="",""," &lt;- "&amp;W81&amp;IF(X81="",""," &lt;- "&amp;X81&amp;IF(Y81="",""," &lt;- "&amp;Y81))))&amp;IF(ISNUMBER(FIND(",",D81))," (+ other parents)",""))</f>
        <v/>
      </c>
      <c r="O81" s="20" t="str">
        <f aca="false">IF(A81="","",COUNTIF(Fields!$D:$D,A81))</f>
        <v/>
      </c>
      <c r="P81" s="20" t="str">
        <f aca="false">IF(A81="","",SUMIF(Fields!$D:$D,A81,Fields!$O:$O))</f>
        <v/>
      </c>
      <c r="Q81" s="30"/>
      <c r="R81" s="30"/>
      <c r="S81" s="30"/>
      <c r="T81" s="30"/>
      <c r="U81" s="30"/>
      <c r="V81" s="34" t="str">
        <f aca="false">IF(A81="","",IF(IFERROR(INDEX($D:$D,MATCH(A81,$A:$A,0)),"")="","",TRIM(IF(ISNUMBER(FIND(",",IFERROR(INDEX($D:$D,MATCH(A81,$A:$A,0)),""))),LEFT(IFERROR(INDEX($D:$D,MATCH(A81,$A:$A,0)),""),FIND(",",IFERROR(INDEX($D:$D,MATCH(A81,$A:$A,0)),""))-1),IFERROR(INDEX($D:$D,MATCH(A81,$A:$A,0)),"")))))</f>
        <v/>
      </c>
      <c r="W81" s="34" t="str">
        <f aca="false">IF(V81="","",IF(IFERROR(INDEX($D:$D,MATCH(V81,$A:$A,0)),"")="","",TRIM(IF(ISNUMBER(FIND(",",IFERROR(INDEX($D:$D,MATCH(V81,$A:$A,0)),""))),LEFT(IFERROR(INDEX($D:$D,MATCH(V81,$A:$A,0)),""),FIND(",",IFERROR(INDEX($D:$D,MATCH(V81,$A:$A,0)),""))-1),IFERROR(INDEX($D:$D,MATCH(V81,$A:$A,0)),"")))))</f>
        <v/>
      </c>
      <c r="X81" s="34" t="str">
        <f aca="false">IF(W81="","",IF(IFERROR(INDEX($D:$D,MATCH(W81,$A:$A,0)),"")="","",TRIM(IF(ISNUMBER(FIND(",",IFERROR(INDEX($D:$D,MATCH(W81,$A:$A,0)),""))),LEFT(IFERROR(INDEX($D:$D,MATCH(W81,$A:$A,0)),""),FIND(",",IFERROR(INDEX($D:$D,MATCH(W81,$A:$A,0)),""))-1),IFERROR(INDEX($D:$D,MATCH(W81,$A:$A,0)),"")))))</f>
        <v/>
      </c>
      <c r="Y81" s="34" t="str">
        <f aca="false">IF(X81="","",IF(IFERROR(INDEX($D:$D,MATCH(X81,$A:$A,0)),"")="","",TRIM(IF(ISNUMBER(FIND(",",IFERROR(INDEX($D:$D,MATCH(X81,$A:$A,0)),""))),LEFT(IFERROR(INDEX($D:$D,MATCH(X81,$A:$A,0)),""),FIND(",",IFERROR(INDEX($D:$D,MATCH(X81,$A:$A,0)),""))-1),IFERROR(INDEX($D:$D,MATCH(X81,$A:$A,0)),"")))))</f>
        <v/>
      </c>
      <c r="Z81" s="34" t="str">
        <f aca="false">IF(AND(A81&lt;&gt;"",L81="Retire"),COUNTIF($L$5:L81,"Retire"),"")</f>
        <v/>
      </c>
      <c r="AA81" s="34" t="str">
        <f aca="false">IF(AND(A81&lt;&gt;"",L81="Build"),COUNTIF($L$5:L81,"Build"),"")</f>
        <v/>
      </c>
      <c r="AB81" s="34" t="str">
        <f aca="false">IF(AND(A81&lt;&gt;"",OR(M81="4+",AND(ISNUMBER(M81),M81&gt;=2))),SUMPRODUCT(($A$5:A81&lt;&gt;"")*(($M$5:M81="4+")+(ISNUMBER($M$5:M81)*($M$5:M81&gt;=2)))),"")</f>
        <v/>
      </c>
      <c r="AC81" s="34" t="str">
        <f aca="false">IF(AND(A81&lt;&gt;"",OR(L81="",L81="Undecided",K81="")),SUMPRODUCT(($A$5:A81&lt;&gt;"")*(($L$5:L81="")+($L$5:L81="Undecided")+($K$5:K81=""))&gt;0*1),"")</f>
        <v/>
      </c>
    </row>
    <row r="82" customFormat="false" ht="15" hidden="false" customHeight="false" outlineLevel="0" collapsed="false">
      <c r="A82" s="29"/>
      <c r="B82" s="30"/>
      <c r="C82" s="30"/>
      <c r="D82" s="30"/>
      <c r="E82" s="30"/>
      <c r="F82" s="30"/>
      <c r="G82" s="30"/>
      <c r="H82" s="30"/>
      <c r="I82" s="30"/>
      <c r="J82" s="30"/>
      <c r="K82" s="30"/>
      <c r="L82" s="30"/>
      <c r="M82" s="20" t="str">
        <f aca="false">IF(A82="","",IF(V82="",0,IF(W82="",1,IF(X82="",2,IF(Y82="",3,"4+")))))</f>
        <v/>
      </c>
      <c r="N82" s="20" t="str">
        <f aca="false">IF(A82="","",A82&amp;IF(V82="",""," &lt;- "&amp;V82&amp;IF(W82="",""," &lt;- "&amp;W82&amp;IF(X82="",""," &lt;- "&amp;X82&amp;IF(Y82="",""," &lt;- "&amp;Y82))))&amp;IF(ISNUMBER(FIND(",",D82))," (+ other parents)",""))</f>
        <v/>
      </c>
      <c r="O82" s="20" t="str">
        <f aca="false">IF(A82="","",COUNTIF(Fields!$D:$D,A82))</f>
        <v/>
      </c>
      <c r="P82" s="20" t="str">
        <f aca="false">IF(A82="","",SUMIF(Fields!$D:$D,A82,Fields!$O:$O))</f>
        <v/>
      </c>
      <c r="Q82" s="30"/>
      <c r="R82" s="30"/>
      <c r="S82" s="30"/>
      <c r="T82" s="30"/>
      <c r="U82" s="30"/>
      <c r="V82" s="34" t="str">
        <f aca="false">IF(A82="","",IF(IFERROR(INDEX($D:$D,MATCH(A82,$A:$A,0)),"")="","",TRIM(IF(ISNUMBER(FIND(",",IFERROR(INDEX($D:$D,MATCH(A82,$A:$A,0)),""))),LEFT(IFERROR(INDEX($D:$D,MATCH(A82,$A:$A,0)),""),FIND(",",IFERROR(INDEX($D:$D,MATCH(A82,$A:$A,0)),""))-1),IFERROR(INDEX($D:$D,MATCH(A82,$A:$A,0)),"")))))</f>
        <v/>
      </c>
      <c r="W82" s="34" t="str">
        <f aca="false">IF(V82="","",IF(IFERROR(INDEX($D:$D,MATCH(V82,$A:$A,0)),"")="","",TRIM(IF(ISNUMBER(FIND(",",IFERROR(INDEX($D:$D,MATCH(V82,$A:$A,0)),""))),LEFT(IFERROR(INDEX($D:$D,MATCH(V82,$A:$A,0)),""),FIND(",",IFERROR(INDEX($D:$D,MATCH(V82,$A:$A,0)),""))-1),IFERROR(INDEX($D:$D,MATCH(V82,$A:$A,0)),"")))))</f>
        <v/>
      </c>
      <c r="X82" s="34" t="str">
        <f aca="false">IF(W82="","",IF(IFERROR(INDEX($D:$D,MATCH(W82,$A:$A,0)),"")="","",TRIM(IF(ISNUMBER(FIND(",",IFERROR(INDEX($D:$D,MATCH(W82,$A:$A,0)),""))),LEFT(IFERROR(INDEX($D:$D,MATCH(W82,$A:$A,0)),""),FIND(",",IFERROR(INDEX($D:$D,MATCH(W82,$A:$A,0)),""))-1),IFERROR(INDEX($D:$D,MATCH(W82,$A:$A,0)),"")))))</f>
        <v/>
      </c>
      <c r="Y82" s="34" t="str">
        <f aca="false">IF(X82="","",IF(IFERROR(INDEX($D:$D,MATCH(X82,$A:$A,0)),"")="","",TRIM(IF(ISNUMBER(FIND(",",IFERROR(INDEX($D:$D,MATCH(X82,$A:$A,0)),""))),LEFT(IFERROR(INDEX($D:$D,MATCH(X82,$A:$A,0)),""),FIND(",",IFERROR(INDEX($D:$D,MATCH(X82,$A:$A,0)),""))-1),IFERROR(INDEX($D:$D,MATCH(X82,$A:$A,0)),"")))))</f>
        <v/>
      </c>
      <c r="Z82" s="34" t="str">
        <f aca="false">IF(AND(A82&lt;&gt;"",L82="Retire"),COUNTIF($L$5:L82,"Retire"),"")</f>
        <v/>
      </c>
      <c r="AA82" s="34" t="str">
        <f aca="false">IF(AND(A82&lt;&gt;"",L82="Build"),COUNTIF($L$5:L82,"Build"),"")</f>
        <v/>
      </c>
      <c r="AB82" s="34" t="str">
        <f aca="false">IF(AND(A82&lt;&gt;"",OR(M82="4+",AND(ISNUMBER(M82),M82&gt;=2))),SUMPRODUCT(($A$5:A82&lt;&gt;"")*(($M$5:M82="4+")+(ISNUMBER($M$5:M82)*($M$5:M82&gt;=2)))),"")</f>
        <v/>
      </c>
      <c r="AC82" s="34" t="str">
        <f aca="false">IF(AND(A82&lt;&gt;"",OR(L82="",L82="Undecided",K82="")),SUMPRODUCT(($A$5:A82&lt;&gt;"")*(($L$5:L82="")+($L$5:L82="Undecided")+($K$5:K82=""))&gt;0*1),"")</f>
        <v/>
      </c>
    </row>
    <row r="83" customFormat="false" ht="15" hidden="false" customHeight="false" outlineLevel="0" collapsed="false">
      <c r="A83" s="29"/>
      <c r="B83" s="30"/>
      <c r="C83" s="30"/>
      <c r="D83" s="30"/>
      <c r="E83" s="30"/>
      <c r="F83" s="30"/>
      <c r="G83" s="30"/>
      <c r="H83" s="30"/>
      <c r="I83" s="30"/>
      <c r="J83" s="30"/>
      <c r="K83" s="30"/>
      <c r="L83" s="30"/>
      <c r="M83" s="20" t="str">
        <f aca="false">IF(A83="","",IF(V83="",0,IF(W83="",1,IF(X83="",2,IF(Y83="",3,"4+")))))</f>
        <v/>
      </c>
      <c r="N83" s="20" t="str">
        <f aca="false">IF(A83="","",A83&amp;IF(V83="",""," &lt;- "&amp;V83&amp;IF(W83="",""," &lt;- "&amp;W83&amp;IF(X83="",""," &lt;- "&amp;X83&amp;IF(Y83="",""," &lt;- "&amp;Y83))))&amp;IF(ISNUMBER(FIND(",",D83))," (+ other parents)",""))</f>
        <v/>
      </c>
      <c r="O83" s="20" t="str">
        <f aca="false">IF(A83="","",COUNTIF(Fields!$D:$D,A83))</f>
        <v/>
      </c>
      <c r="P83" s="20" t="str">
        <f aca="false">IF(A83="","",SUMIF(Fields!$D:$D,A83,Fields!$O:$O))</f>
        <v/>
      </c>
      <c r="Q83" s="30"/>
      <c r="R83" s="30"/>
      <c r="S83" s="30"/>
      <c r="T83" s="30"/>
      <c r="U83" s="30"/>
      <c r="V83" s="34" t="str">
        <f aca="false">IF(A83="","",IF(IFERROR(INDEX($D:$D,MATCH(A83,$A:$A,0)),"")="","",TRIM(IF(ISNUMBER(FIND(",",IFERROR(INDEX($D:$D,MATCH(A83,$A:$A,0)),""))),LEFT(IFERROR(INDEX($D:$D,MATCH(A83,$A:$A,0)),""),FIND(",",IFERROR(INDEX($D:$D,MATCH(A83,$A:$A,0)),""))-1),IFERROR(INDEX($D:$D,MATCH(A83,$A:$A,0)),"")))))</f>
        <v/>
      </c>
      <c r="W83" s="34" t="str">
        <f aca="false">IF(V83="","",IF(IFERROR(INDEX($D:$D,MATCH(V83,$A:$A,0)),"")="","",TRIM(IF(ISNUMBER(FIND(",",IFERROR(INDEX($D:$D,MATCH(V83,$A:$A,0)),""))),LEFT(IFERROR(INDEX($D:$D,MATCH(V83,$A:$A,0)),""),FIND(",",IFERROR(INDEX($D:$D,MATCH(V83,$A:$A,0)),""))-1),IFERROR(INDEX($D:$D,MATCH(V83,$A:$A,0)),"")))))</f>
        <v/>
      </c>
      <c r="X83" s="34" t="str">
        <f aca="false">IF(W83="","",IF(IFERROR(INDEX($D:$D,MATCH(W83,$A:$A,0)),"")="","",TRIM(IF(ISNUMBER(FIND(",",IFERROR(INDEX($D:$D,MATCH(W83,$A:$A,0)),""))),LEFT(IFERROR(INDEX($D:$D,MATCH(W83,$A:$A,0)),""),FIND(",",IFERROR(INDEX($D:$D,MATCH(W83,$A:$A,0)),""))-1),IFERROR(INDEX($D:$D,MATCH(W83,$A:$A,0)),"")))))</f>
        <v/>
      </c>
      <c r="Y83" s="34" t="str">
        <f aca="false">IF(X83="","",IF(IFERROR(INDEX($D:$D,MATCH(X83,$A:$A,0)),"")="","",TRIM(IF(ISNUMBER(FIND(",",IFERROR(INDEX($D:$D,MATCH(X83,$A:$A,0)),""))),LEFT(IFERROR(INDEX($D:$D,MATCH(X83,$A:$A,0)),""),FIND(",",IFERROR(INDEX($D:$D,MATCH(X83,$A:$A,0)),""))-1),IFERROR(INDEX($D:$D,MATCH(X83,$A:$A,0)),"")))))</f>
        <v/>
      </c>
      <c r="Z83" s="34" t="str">
        <f aca="false">IF(AND(A83&lt;&gt;"",L83="Retire"),COUNTIF($L$5:L83,"Retire"),"")</f>
        <v/>
      </c>
      <c r="AA83" s="34" t="str">
        <f aca="false">IF(AND(A83&lt;&gt;"",L83="Build"),COUNTIF($L$5:L83,"Build"),"")</f>
        <v/>
      </c>
      <c r="AB83" s="34" t="str">
        <f aca="false">IF(AND(A83&lt;&gt;"",OR(M83="4+",AND(ISNUMBER(M83),M83&gt;=2))),SUMPRODUCT(($A$5:A83&lt;&gt;"")*(($M$5:M83="4+")+(ISNUMBER($M$5:M83)*($M$5:M83&gt;=2)))),"")</f>
        <v/>
      </c>
      <c r="AC83" s="34" t="str">
        <f aca="false">IF(AND(A83&lt;&gt;"",OR(L83="",L83="Undecided",K83="")),SUMPRODUCT(($A$5:A83&lt;&gt;"")*(($L$5:L83="")+($L$5:L83="Undecided")+($K$5:K83=""))&gt;0*1),"")</f>
        <v/>
      </c>
    </row>
    <row r="84" customFormat="false" ht="15" hidden="false" customHeight="false" outlineLevel="0" collapsed="false">
      <c r="A84" s="29"/>
      <c r="B84" s="30"/>
      <c r="C84" s="30"/>
      <c r="D84" s="30"/>
      <c r="E84" s="30"/>
      <c r="F84" s="30"/>
      <c r="G84" s="30"/>
      <c r="H84" s="30"/>
      <c r="I84" s="30"/>
      <c r="J84" s="30"/>
      <c r="K84" s="30"/>
      <c r="L84" s="30"/>
      <c r="M84" s="20" t="str">
        <f aca="false">IF(A84="","",IF(V84="",0,IF(W84="",1,IF(X84="",2,IF(Y84="",3,"4+")))))</f>
        <v/>
      </c>
      <c r="N84" s="20" t="str">
        <f aca="false">IF(A84="","",A84&amp;IF(V84="",""," &lt;- "&amp;V84&amp;IF(W84="",""," &lt;- "&amp;W84&amp;IF(X84="",""," &lt;- "&amp;X84&amp;IF(Y84="",""," &lt;- "&amp;Y84))))&amp;IF(ISNUMBER(FIND(",",D84))," (+ other parents)",""))</f>
        <v/>
      </c>
      <c r="O84" s="20" t="str">
        <f aca="false">IF(A84="","",COUNTIF(Fields!$D:$D,A84))</f>
        <v/>
      </c>
      <c r="P84" s="20" t="str">
        <f aca="false">IF(A84="","",SUMIF(Fields!$D:$D,A84,Fields!$O:$O))</f>
        <v/>
      </c>
      <c r="Q84" s="30"/>
      <c r="R84" s="30"/>
      <c r="S84" s="30"/>
      <c r="T84" s="30"/>
      <c r="U84" s="30"/>
      <c r="V84" s="34" t="str">
        <f aca="false">IF(A84="","",IF(IFERROR(INDEX($D:$D,MATCH(A84,$A:$A,0)),"")="","",TRIM(IF(ISNUMBER(FIND(",",IFERROR(INDEX($D:$D,MATCH(A84,$A:$A,0)),""))),LEFT(IFERROR(INDEX($D:$D,MATCH(A84,$A:$A,0)),""),FIND(",",IFERROR(INDEX($D:$D,MATCH(A84,$A:$A,0)),""))-1),IFERROR(INDEX($D:$D,MATCH(A84,$A:$A,0)),"")))))</f>
        <v/>
      </c>
      <c r="W84" s="34" t="str">
        <f aca="false">IF(V84="","",IF(IFERROR(INDEX($D:$D,MATCH(V84,$A:$A,0)),"")="","",TRIM(IF(ISNUMBER(FIND(",",IFERROR(INDEX($D:$D,MATCH(V84,$A:$A,0)),""))),LEFT(IFERROR(INDEX($D:$D,MATCH(V84,$A:$A,0)),""),FIND(",",IFERROR(INDEX($D:$D,MATCH(V84,$A:$A,0)),""))-1),IFERROR(INDEX($D:$D,MATCH(V84,$A:$A,0)),"")))))</f>
        <v/>
      </c>
      <c r="X84" s="34" t="str">
        <f aca="false">IF(W84="","",IF(IFERROR(INDEX($D:$D,MATCH(W84,$A:$A,0)),"")="","",TRIM(IF(ISNUMBER(FIND(",",IFERROR(INDEX($D:$D,MATCH(W84,$A:$A,0)),""))),LEFT(IFERROR(INDEX($D:$D,MATCH(W84,$A:$A,0)),""),FIND(",",IFERROR(INDEX($D:$D,MATCH(W84,$A:$A,0)),""))-1),IFERROR(INDEX($D:$D,MATCH(W84,$A:$A,0)),"")))))</f>
        <v/>
      </c>
      <c r="Y84" s="34" t="str">
        <f aca="false">IF(X84="","",IF(IFERROR(INDEX($D:$D,MATCH(X84,$A:$A,0)),"")="","",TRIM(IF(ISNUMBER(FIND(",",IFERROR(INDEX($D:$D,MATCH(X84,$A:$A,0)),""))),LEFT(IFERROR(INDEX($D:$D,MATCH(X84,$A:$A,0)),""),FIND(",",IFERROR(INDEX($D:$D,MATCH(X84,$A:$A,0)),""))-1),IFERROR(INDEX($D:$D,MATCH(X84,$A:$A,0)),"")))))</f>
        <v/>
      </c>
      <c r="Z84" s="34" t="str">
        <f aca="false">IF(AND(A84&lt;&gt;"",L84="Retire"),COUNTIF($L$5:L84,"Retire"),"")</f>
        <v/>
      </c>
      <c r="AA84" s="34" t="str">
        <f aca="false">IF(AND(A84&lt;&gt;"",L84="Build"),COUNTIF($L$5:L84,"Build"),"")</f>
        <v/>
      </c>
      <c r="AB84" s="34" t="str">
        <f aca="false">IF(AND(A84&lt;&gt;"",OR(M84="4+",AND(ISNUMBER(M84),M84&gt;=2))),SUMPRODUCT(($A$5:A84&lt;&gt;"")*(($M$5:M84="4+")+(ISNUMBER($M$5:M84)*($M$5:M84&gt;=2)))),"")</f>
        <v/>
      </c>
      <c r="AC84" s="34" t="str">
        <f aca="false">IF(AND(A84&lt;&gt;"",OR(L84="",L84="Undecided",K84="")),SUMPRODUCT(($A$5:A84&lt;&gt;"")*(($L$5:L84="")+($L$5:L84="Undecided")+($K$5:K84=""))&gt;0*1),"")</f>
        <v/>
      </c>
    </row>
    <row r="85" customFormat="false" ht="15" hidden="false" customHeight="false" outlineLevel="0" collapsed="false">
      <c r="A85" s="29"/>
      <c r="B85" s="30"/>
      <c r="C85" s="30"/>
      <c r="D85" s="30"/>
      <c r="E85" s="30"/>
      <c r="F85" s="30"/>
      <c r="G85" s="30"/>
      <c r="H85" s="30"/>
      <c r="I85" s="30"/>
      <c r="J85" s="30"/>
      <c r="K85" s="30"/>
      <c r="L85" s="30"/>
      <c r="M85" s="20" t="str">
        <f aca="false">IF(A85="","",IF(V85="",0,IF(W85="",1,IF(X85="",2,IF(Y85="",3,"4+")))))</f>
        <v/>
      </c>
      <c r="N85" s="20" t="str">
        <f aca="false">IF(A85="","",A85&amp;IF(V85="",""," &lt;- "&amp;V85&amp;IF(W85="",""," &lt;- "&amp;W85&amp;IF(X85="",""," &lt;- "&amp;X85&amp;IF(Y85="",""," &lt;- "&amp;Y85))))&amp;IF(ISNUMBER(FIND(",",D85))," (+ other parents)",""))</f>
        <v/>
      </c>
      <c r="O85" s="20" t="str">
        <f aca="false">IF(A85="","",COUNTIF(Fields!$D:$D,A85))</f>
        <v/>
      </c>
      <c r="P85" s="20" t="str">
        <f aca="false">IF(A85="","",SUMIF(Fields!$D:$D,A85,Fields!$O:$O))</f>
        <v/>
      </c>
      <c r="Q85" s="30"/>
      <c r="R85" s="30"/>
      <c r="S85" s="30"/>
      <c r="T85" s="30"/>
      <c r="U85" s="30"/>
      <c r="V85" s="34" t="str">
        <f aca="false">IF(A85="","",IF(IFERROR(INDEX($D:$D,MATCH(A85,$A:$A,0)),"")="","",TRIM(IF(ISNUMBER(FIND(",",IFERROR(INDEX($D:$D,MATCH(A85,$A:$A,0)),""))),LEFT(IFERROR(INDEX($D:$D,MATCH(A85,$A:$A,0)),""),FIND(",",IFERROR(INDEX($D:$D,MATCH(A85,$A:$A,0)),""))-1),IFERROR(INDEX($D:$D,MATCH(A85,$A:$A,0)),"")))))</f>
        <v/>
      </c>
      <c r="W85" s="34" t="str">
        <f aca="false">IF(V85="","",IF(IFERROR(INDEX($D:$D,MATCH(V85,$A:$A,0)),"")="","",TRIM(IF(ISNUMBER(FIND(",",IFERROR(INDEX($D:$D,MATCH(V85,$A:$A,0)),""))),LEFT(IFERROR(INDEX($D:$D,MATCH(V85,$A:$A,0)),""),FIND(",",IFERROR(INDEX($D:$D,MATCH(V85,$A:$A,0)),""))-1),IFERROR(INDEX($D:$D,MATCH(V85,$A:$A,0)),"")))))</f>
        <v/>
      </c>
      <c r="X85" s="34" t="str">
        <f aca="false">IF(W85="","",IF(IFERROR(INDEX($D:$D,MATCH(W85,$A:$A,0)),"")="","",TRIM(IF(ISNUMBER(FIND(",",IFERROR(INDEX($D:$D,MATCH(W85,$A:$A,0)),""))),LEFT(IFERROR(INDEX($D:$D,MATCH(W85,$A:$A,0)),""),FIND(",",IFERROR(INDEX($D:$D,MATCH(W85,$A:$A,0)),""))-1),IFERROR(INDEX($D:$D,MATCH(W85,$A:$A,0)),"")))))</f>
        <v/>
      </c>
      <c r="Y85" s="34" t="str">
        <f aca="false">IF(X85="","",IF(IFERROR(INDEX($D:$D,MATCH(X85,$A:$A,0)),"")="","",TRIM(IF(ISNUMBER(FIND(",",IFERROR(INDEX($D:$D,MATCH(X85,$A:$A,0)),""))),LEFT(IFERROR(INDEX($D:$D,MATCH(X85,$A:$A,0)),""),FIND(",",IFERROR(INDEX($D:$D,MATCH(X85,$A:$A,0)),""))-1),IFERROR(INDEX($D:$D,MATCH(X85,$A:$A,0)),"")))))</f>
        <v/>
      </c>
      <c r="Z85" s="34" t="str">
        <f aca="false">IF(AND(A85&lt;&gt;"",L85="Retire"),COUNTIF($L$5:L85,"Retire"),"")</f>
        <v/>
      </c>
      <c r="AA85" s="34" t="str">
        <f aca="false">IF(AND(A85&lt;&gt;"",L85="Build"),COUNTIF($L$5:L85,"Build"),"")</f>
        <v/>
      </c>
      <c r="AB85" s="34" t="str">
        <f aca="false">IF(AND(A85&lt;&gt;"",OR(M85="4+",AND(ISNUMBER(M85),M85&gt;=2))),SUMPRODUCT(($A$5:A85&lt;&gt;"")*(($M$5:M85="4+")+(ISNUMBER($M$5:M85)*($M$5:M85&gt;=2)))),"")</f>
        <v/>
      </c>
      <c r="AC85" s="34" t="str">
        <f aca="false">IF(AND(A85&lt;&gt;"",OR(L85="",L85="Undecided",K85="")),SUMPRODUCT(($A$5:A85&lt;&gt;"")*(($L$5:L85="")+($L$5:L85="Undecided")+($K$5:K85=""))&gt;0*1),"")</f>
        <v/>
      </c>
    </row>
    <row r="86" customFormat="false" ht="15" hidden="false" customHeight="false" outlineLevel="0" collapsed="false">
      <c r="A86" s="29"/>
      <c r="B86" s="30"/>
      <c r="C86" s="30"/>
      <c r="D86" s="30"/>
      <c r="E86" s="30"/>
      <c r="F86" s="30"/>
      <c r="G86" s="30"/>
      <c r="H86" s="30"/>
      <c r="I86" s="30"/>
      <c r="J86" s="30"/>
      <c r="K86" s="30"/>
      <c r="L86" s="30"/>
      <c r="M86" s="20" t="str">
        <f aca="false">IF(A86="","",IF(V86="",0,IF(W86="",1,IF(X86="",2,IF(Y86="",3,"4+")))))</f>
        <v/>
      </c>
      <c r="N86" s="20" t="str">
        <f aca="false">IF(A86="","",A86&amp;IF(V86="",""," &lt;- "&amp;V86&amp;IF(W86="",""," &lt;- "&amp;W86&amp;IF(X86="",""," &lt;- "&amp;X86&amp;IF(Y86="",""," &lt;- "&amp;Y86))))&amp;IF(ISNUMBER(FIND(",",D86))," (+ other parents)",""))</f>
        <v/>
      </c>
      <c r="O86" s="20" t="str">
        <f aca="false">IF(A86="","",COUNTIF(Fields!$D:$D,A86))</f>
        <v/>
      </c>
      <c r="P86" s="20" t="str">
        <f aca="false">IF(A86="","",SUMIF(Fields!$D:$D,A86,Fields!$O:$O))</f>
        <v/>
      </c>
      <c r="Q86" s="30"/>
      <c r="R86" s="30"/>
      <c r="S86" s="30"/>
      <c r="T86" s="30"/>
      <c r="U86" s="30"/>
      <c r="V86" s="34" t="str">
        <f aca="false">IF(A86="","",IF(IFERROR(INDEX($D:$D,MATCH(A86,$A:$A,0)),"")="","",TRIM(IF(ISNUMBER(FIND(",",IFERROR(INDEX($D:$D,MATCH(A86,$A:$A,0)),""))),LEFT(IFERROR(INDEX($D:$D,MATCH(A86,$A:$A,0)),""),FIND(",",IFERROR(INDEX($D:$D,MATCH(A86,$A:$A,0)),""))-1),IFERROR(INDEX($D:$D,MATCH(A86,$A:$A,0)),"")))))</f>
        <v/>
      </c>
      <c r="W86" s="34" t="str">
        <f aca="false">IF(V86="","",IF(IFERROR(INDEX($D:$D,MATCH(V86,$A:$A,0)),"")="","",TRIM(IF(ISNUMBER(FIND(",",IFERROR(INDEX($D:$D,MATCH(V86,$A:$A,0)),""))),LEFT(IFERROR(INDEX($D:$D,MATCH(V86,$A:$A,0)),""),FIND(",",IFERROR(INDEX($D:$D,MATCH(V86,$A:$A,0)),""))-1),IFERROR(INDEX($D:$D,MATCH(V86,$A:$A,0)),"")))))</f>
        <v/>
      </c>
      <c r="X86" s="34" t="str">
        <f aca="false">IF(W86="","",IF(IFERROR(INDEX($D:$D,MATCH(W86,$A:$A,0)),"")="","",TRIM(IF(ISNUMBER(FIND(",",IFERROR(INDEX($D:$D,MATCH(W86,$A:$A,0)),""))),LEFT(IFERROR(INDEX($D:$D,MATCH(W86,$A:$A,0)),""),FIND(",",IFERROR(INDEX($D:$D,MATCH(W86,$A:$A,0)),""))-1),IFERROR(INDEX($D:$D,MATCH(W86,$A:$A,0)),"")))))</f>
        <v/>
      </c>
      <c r="Y86" s="34" t="str">
        <f aca="false">IF(X86="","",IF(IFERROR(INDEX($D:$D,MATCH(X86,$A:$A,0)),"")="","",TRIM(IF(ISNUMBER(FIND(",",IFERROR(INDEX($D:$D,MATCH(X86,$A:$A,0)),""))),LEFT(IFERROR(INDEX($D:$D,MATCH(X86,$A:$A,0)),""),FIND(",",IFERROR(INDEX($D:$D,MATCH(X86,$A:$A,0)),""))-1),IFERROR(INDEX($D:$D,MATCH(X86,$A:$A,0)),"")))))</f>
        <v/>
      </c>
      <c r="Z86" s="34" t="str">
        <f aca="false">IF(AND(A86&lt;&gt;"",L86="Retire"),COUNTIF($L$5:L86,"Retire"),"")</f>
        <v/>
      </c>
      <c r="AA86" s="34" t="str">
        <f aca="false">IF(AND(A86&lt;&gt;"",L86="Build"),COUNTIF($L$5:L86,"Build"),"")</f>
        <v/>
      </c>
      <c r="AB86" s="34" t="str">
        <f aca="false">IF(AND(A86&lt;&gt;"",OR(M86="4+",AND(ISNUMBER(M86),M86&gt;=2))),SUMPRODUCT(($A$5:A86&lt;&gt;"")*(($M$5:M86="4+")+(ISNUMBER($M$5:M86)*($M$5:M86&gt;=2)))),"")</f>
        <v/>
      </c>
      <c r="AC86" s="34" t="str">
        <f aca="false">IF(AND(A86&lt;&gt;"",OR(L86="",L86="Undecided",K86="")),SUMPRODUCT(($A$5:A86&lt;&gt;"")*(($L$5:L86="")+($L$5:L86="Undecided")+($K$5:K86=""))&gt;0*1),"")</f>
        <v/>
      </c>
    </row>
    <row r="87" customFormat="false" ht="15" hidden="false" customHeight="false" outlineLevel="0" collapsed="false">
      <c r="A87" s="29"/>
      <c r="B87" s="30"/>
      <c r="C87" s="30"/>
      <c r="D87" s="30"/>
      <c r="E87" s="30"/>
      <c r="F87" s="30"/>
      <c r="G87" s="30"/>
      <c r="H87" s="30"/>
      <c r="I87" s="30"/>
      <c r="J87" s="30"/>
      <c r="K87" s="30"/>
      <c r="L87" s="30"/>
      <c r="M87" s="20" t="str">
        <f aca="false">IF(A87="","",IF(V87="",0,IF(W87="",1,IF(X87="",2,IF(Y87="",3,"4+")))))</f>
        <v/>
      </c>
      <c r="N87" s="20" t="str">
        <f aca="false">IF(A87="","",A87&amp;IF(V87="",""," &lt;- "&amp;V87&amp;IF(W87="",""," &lt;- "&amp;W87&amp;IF(X87="",""," &lt;- "&amp;X87&amp;IF(Y87="",""," &lt;- "&amp;Y87))))&amp;IF(ISNUMBER(FIND(",",D87))," (+ other parents)",""))</f>
        <v/>
      </c>
      <c r="O87" s="20" t="str">
        <f aca="false">IF(A87="","",COUNTIF(Fields!$D:$D,A87))</f>
        <v/>
      </c>
      <c r="P87" s="20" t="str">
        <f aca="false">IF(A87="","",SUMIF(Fields!$D:$D,A87,Fields!$O:$O))</f>
        <v/>
      </c>
      <c r="Q87" s="30"/>
      <c r="R87" s="30"/>
      <c r="S87" s="30"/>
      <c r="T87" s="30"/>
      <c r="U87" s="30"/>
      <c r="V87" s="34" t="str">
        <f aca="false">IF(A87="","",IF(IFERROR(INDEX($D:$D,MATCH(A87,$A:$A,0)),"")="","",TRIM(IF(ISNUMBER(FIND(",",IFERROR(INDEX($D:$D,MATCH(A87,$A:$A,0)),""))),LEFT(IFERROR(INDEX($D:$D,MATCH(A87,$A:$A,0)),""),FIND(",",IFERROR(INDEX($D:$D,MATCH(A87,$A:$A,0)),""))-1),IFERROR(INDEX($D:$D,MATCH(A87,$A:$A,0)),"")))))</f>
        <v/>
      </c>
      <c r="W87" s="34" t="str">
        <f aca="false">IF(V87="","",IF(IFERROR(INDEX($D:$D,MATCH(V87,$A:$A,0)),"")="","",TRIM(IF(ISNUMBER(FIND(",",IFERROR(INDEX($D:$D,MATCH(V87,$A:$A,0)),""))),LEFT(IFERROR(INDEX($D:$D,MATCH(V87,$A:$A,0)),""),FIND(",",IFERROR(INDEX($D:$D,MATCH(V87,$A:$A,0)),""))-1),IFERROR(INDEX($D:$D,MATCH(V87,$A:$A,0)),"")))))</f>
        <v/>
      </c>
      <c r="X87" s="34" t="str">
        <f aca="false">IF(W87="","",IF(IFERROR(INDEX($D:$D,MATCH(W87,$A:$A,0)),"")="","",TRIM(IF(ISNUMBER(FIND(",",IFERROR(INDEX($D:$D,MATCH(W87,$A:$A,0)),""))),LEFT(IFERROR(INDEX($D:$D,MATCH(W87,$A:$A,0)),""),FIND(",",IFERROR(INDEX($D:$D,MATCH(W87,$A:$A,0)),""))-1),IFERROR(INDEX($D:$D,MATCH(W87,$A:$A,0)),"")))))</f>
        <v/>
      </c>
      <c r="Y87" s="34" t="str">
        <f aca="false">IF(X87="","",IF(IFERROR(INDEX($D:$D,MATCH(X87,$A:$A,0)),"")="","",TRIM(IF(ISNUMBER(FIND(",",IFERROR(INDEX($D:$D,MATCH(X87,$A:$A,0)),""))),LEFT(IFERROR(INDEX($D:$D,MATCH(X87,$A:$A,0)),""),FIND(",",IFERROR(INDEX($D:$D,MATCH(X87,$A:$A,0)),""))-1),IFERROR(INDEX($D:$D,MATCH(X87,$A:$A,0)),"")))))</f>
        <v/>
      </c>
      <c r="Z87" s="34" t="str">
        <f aca="false">IF(AND(A87&lt;&gt;"",L87="Retire"),COUNTIF($L$5:L87,"Retire"),"")</f>
        <v/>
      </c>
      <c r="AA87" s="34" t="str">
        <f aca="false">IF(AND(A87&lt;&gt;"",L87="Build"),COUNTIF($L$5:L87,"Build"),"")</f>
        <v/>
      </c>
      <c r="AB87" s="34" t="str">
        <f aca="false">IF(AND(A87&lt;&gt;"",OR(M87="4+",AND(ISNUMBER(M87),M87&gt;=2))),SUMPRODUCT(($A$5:A87&lt;&gt;"")*(($M$5:M87="4+")+(ISNUMBER($M$5:M87)*($M$5:M87&gt;=2)))),"")</f>
        <v/>
      </c>
      <c r="AC87" s="34" t="str">
        <f aca="false">IF(AND(A87&lt;&gt;"",OR(L87="",L87="Undecided",K87="")),SUMPRODUCT(($A$5:A87&lt;&gt;"")*(($L$5:L87="")+($L$5:L87="Undecided")+($K$5:K87=""))&gt;0*1),"")</f>
        <v/>
      </c>
    </row>
    <row r="88" customFormat="false" ht="15" hidden="false" customHeight="false" outlineLevel="0" collapsed="false">
      <c r="A88" s="29"/>
      <c r="B88" s="30"/>
      <c r="C88" s="30"/>
      <c r="D88" s="30"/>
      <c r="E88" s="30"/>
      <c r="F88" s="30"/>
      <c r="G88" s="30"/>
      <c r="H88" s="30"/>
      <c r="I88" s="30"/>
      <c r="J88" s="30"/>
      <c r="K88" s="30"/>
      <c r="L88" s="30"/>
      <c r="M88" s="20" t="str">
        <f aca="false">IF(A88="","",IF(V88="",0,IF(W88="",1,IF(X88="",2,IF(Y88="",3,"4+")))))</f>
        <v/>
      </c>
      <c r="N88" s="20" t="str">
        <f aca="false">IF(A88="","",A88&amp;IF(V88="",""," &lt;- "&amp;V88&amp;IF(W88="",""," &lt;- "&amp;W88&amp;IF(X88="",""," &lt;- "&amp;X88&amp;IF(Y88="",""," &lt;- "&amp;Y88))))&amp;IF(ISNUMBER(FIND(",",D88))," (+ other parents)",""))</f>
        <v/>
      </c>
      <c r="O88" s="20" t="str">
        <f aca="false">IF(A88="","",COUNTIF(Fields!$D:$D,A88))</f>
        <v/>
      </c>
      <c r="P88" s="20" t="str">
        <f aca="false">IF(A88="","",SUMIF(Fields!$D:$D,A88,Fields!$O:$O))</f>
        <v/>
      </c>
      <c r="Q88" s="30"/>
      <c r="R88" s="30"/>
      <c r="S88" s="30"/>
      <c r="T88" s="30"/>
      <c r="U88" s="30"/>
      <c r="V88" s="34" t="str">
        <f aca="false">IF(A88="","",IF(IFERROR(INDEX($D:$D,MATCH(A88,$A:$A,0)),"")="","",TRIM(IF(ISNUMBER(FIND(",",IFERROR(INDEX($D:$D,MATCH(A88,$A:$A,0)),""))),LEFT(IFERROR(INDEX($D:$D,MATCH(A88,$A:$A,0)),""),FIND(",",IFERROR(INDEX($D:$D,MATCH(A88,$A:$A,0)),""))-1),IFERROR(INDEX($D:$D,MATCH(A88,$A:$A,0)),"")))))</f>
        <v/>
      </c>
      <c r="W88" s="34" t="str">
        <f aca="false">IF(V88="","",IF(IFERROR(INDEX($D:$D,MATCH(V88,$A:$A,0)),"")="","",TRIM(IF(ISNUMBER(FIND(",",IFERROR(INDEX($D:$D,MATCH(V88,$A:$A,0)),""))),LEFT(IFERROR(INDEX($D:$D,MATCH(V88,$A:$A,0)),""),FIND(",",IFERROR(INDEX($D:$D,MATCH(V88,$A:$A,0)),""))-1),IFERROR(INDEX($D:$D,MATCH(V88,$A:$A,0)),"")))))</f>
        <v/>
      </c>
      <c r="X88" s="34" t="str">
        <f aca="false">IF(W88="","",IF(IFERROR(INDEX($D:$D,MATCH(W88,$A:$A,0)),"")="","",TRIM(IF(ISNUMBER(FIND(",",IFERROR(INDEX($D:$D,MATCH(W88,$A:$A,0)),""))),LEFT(IFERROR(INDEX($D:$D,MATCH(W88,$A:$A,0)),""),FIND(",",IFERROR(INDEX($D:$D,MATCH(W88,$A:$A,0)),""))-1),IFERROR(INDEX($D:$D,MATCH(W88,$A:$A,0)),"")))))</f>
        <v/>
      </c>
      <c r="Y88" s="34" t="str">
        <f aca="false">IF(X88="","",IF(IFERROR(INDEX($D:$D,MATCH(X88,$A:$A,0)),"")="","",TRIM(IF(ISNUMBER(FIND(",",IFERROR(INDEX($D:$D,MATCH(X88,$A:$A,0)),""))),LEFT(IFERROR(INDEX($D:$D,MATCH(X88,$A:$A,0)),""),FIND(",",IFERROR(INDEX($D:$D,MATCH(X88,$A:$A,0)),""))-1),IFERROR(INDEX($D:$D,MATCH(X88,$A:$A,0)),"")))))</f>
        <v/>
      </c>
      <c r="Z88" s="34" t="str">
        <f aca="false">IF(AND(A88&lt;&gt;"",L88="Retire"),COUNTIF($L$5:L88,"Retire"),"")</f>
        <v/>
      </c>
      <c r="AA88" s="34" t="str">
        <f aca="false">IF(AND(A88&lt;&gt;"",L88="Build"),COUNTIF($L$5:L88,"Build"),"")</f>
        <v/>
      </c>
      <c r="AB88" s="34" t="str">
        <f aca="false">IF(AND(A88&lt;&gt;"",OR(M88="4+",AND(ISNUMBER(M88),M88&gt;=2))),SUMPRODUCT(($A$5:A88&lt;&gt;"")*(($M$5:M88="4+")+(ISNUMBER($M$5:M88)*($M$5:M88&gt;=2)))),"")</f>
        <v/>
      </c>
      <c r="AC88" s="34" t="str">
        <f aca="false">IF(AND(A88&lt;&gt;"",OR(L88="",L88="Undecided",K88="")),SUMPRODUCT(($A$5:A88&lt;&gt;"")*(($L$5:L88="")+($L$5:L88="Undecided")+($K$5:K88=""))&gt;0*1),"")</f>
        <v/>
      </c>
    </row>
    <row r="89" customFormat="false" ht="15" hidden="false" customHeight="false" outlineLevel="0" collapsed="false">
      <c r="A89" s="29"/>
      <c r="B89" s="30"/>
      <c r="C89" s="30"/>
      <c r="D89" s="30"/>
      <c r="E89" s="30"/>
      <c r="F89" s="30"/>
      <c r="G89" s="30"/>
      <c r="H89" s="30"/>
      <c r="I89" s="30"/>
      <c r="J89" s="30"/>
      <c r="K89" s="30"/>
      <c r="L89" s="30"/>
      <c r="M89" s="20" t="str">
        <f aca="false">IF(A89="","",IF(V89="",0,IF(W89="",1,IF(X89="",2,IF(Y89="",3,"4+")))))</f>
        <v/>
      </c>
      <c r="N89" s="20" t="str">
        <f aca="false">IF(A89="","",A89&amp;IF(V89="",""," &lt;- "&amp;V89&amp;IF(W89="",""," &lt;- "&amp;W89&amp;IF(X89="",""," &lt;- "&amp;X89&amp;IF(Y89="",""," &lt;- "&amp;Y89))))&amp;IF(ISNUMBER(FIND(",",D89))," (+ other parents)",""))</f>
        <v/>
      </c>
      <c r="O89" s="20" t="str">
        <f aca="false">IF(A89="","",COUNTIF(Fields!$D:$D,A89))</f>
        <v/>
      </c>
      <c r="P89" s="20" t="str">
        <f aca="false">IF(A89="","",SUMIF(Fields!$D:$D,A89,Fields!$O:$O))</f>
        <v/>
      </c>
      <c r="Q89" s="30"/>
      <c r="R89" s="30"/>
      <c r="S89" s="30"/>
      <c r="T89" s="30"/>
      <c r="U89" s="30"/>
      <c r="V89" s="34" t="str">
        <f aca="false">IF(A89="","",IF(IFERROR(INDEX($D:$D,MATCH(A89,$A:$A,0)),"")="","",TRIM(IF(ISNUMBER(FIND(",",IFERROR(INDEX($D:$D,MATCH(A89,$A:$A,0)),""))),LEFT(IFERROR(INDEX($D:$D,MATCH(A89,$A:$A,0)),""),FIND(",",IFERROR(INDEX($D:$D,MATCH(A89,$A:$A,0)),""))-1),IFERROR(INDEX($D:$D,MATCH(A89,$A:$A,0)),"")))))</f>
        <v/>
      </c>
      <c r="W89" s="34" t="str">
        <f aca="false">IF(V89="","",IF(IFERROR(INDEX($D:$D,MATCH(V89,$A:$A,0)),"")="","",TRIM(IF(ISNUMBER(FIND(",",IFERROR(INDEX($D:$D,MATCH(V89,$A:$A,0)),""))),LEFT(IFERROR(INDEX($D:$D,MATCH(V89,$A:$A,0)),""),FIND(",",IFERROR(INDEX($D:$D,MATCH(V89,$A:$A,0)),""))-1),IFERROR(INDEX($D:$D,MATCH(V89,$A:$A,0)),"")))))</f>
        <v/>
      </c>
      <c r="X89" s="34" t="str">
        <f aca="false">IF(W89="","",IF(IFERROR(INDEX($D:$D,MATCH(W89,$A:$A,0)),"")="","",TRIM(IF(ISNUMBER(FIND(",",IFERROR(INDEX($D:$D,MATCH(W89,$A:$A,0)),""))),LEFT(IFERROR(INDEX($D:$D,MATCH(W89,$A:$A,0)),""),FIND(",",IFERROR(INDEX($D:$D,MATCH(W89,$A:$A,0)),""))-1),IFERROR(INDEX($D:$D,MATCH(W89,$A:$A,0)),"")))))</f>
        <v/>
      </c>
      <c r="Y89" s="34" t="str">
        <f aca="false">IF(X89="","",IF(IFERROR(INDEX($D:$D,MATCH(X89,$A:$A,0)),"")="","",TRIM(IF(ISNUMBER(FIND(",",IFERROR(INDEX($D:$D,MATCH(X89,$A:$A,0)),""))),LEFT(IFERROR(INDEX($D:$D,MATCH(X89,$A:$A,0)),""),FIND(",",IFERROR(INDEX($D:$D,MATCH(X89,$A:$A,0)),""))-1),IFERROR(INDEX($D:$D,MATCH(X89,$A:$A,0)),"")))))</f>
        <v/>
      </c>
      <c r="Z89" s="34" t="str">
        <f aca="false">IF(AND(A89&lt;&gt;"",L89="Retire"),COUNTIF($L$5:L89,"Retire"),"")</f>
        <v/>
      </c>
      <c r="AA89" s="34" t="str">
        <f aca="false">IF(AND(A89&lt;&gt;"",L89="Build"),COUNTIF($L$5:L89,"Build"),"")</f>
        <v/>
      </c>
      <c r="AB89" s="34" t="str">
        <f aca="false">IF(AND(A89&lt;&gt;"",OR(M89="4+",AND(ISNUMBER(M89),M89&gt;=2))),SUMPRODUCT(($A$5:A89&lt;&gt;"")*(($M$5:M89="4+")+(ISNUMBER($M$5:M89)*($M$5:M89&gt;=2)))),"")</f>
        <v/>
      </c>
      <c r="AC89" s="34" t="str">
        <f aca="false">IF(AND(A89&lt;&gt;"",OR(L89="",L89="Undecided",K89="")),SUMPRODUCT(($A$5:A89&lt;&gt;"")*(($L$5:L89="")+($L$5:L89="Undecided")+($K$5:K89=""))&gt;0*1),"")</f>
        <v/>
      </c>
    </row>
    <row r="90" customFormat="false" ht="15" hidden="false" customHeight="false" outlineLevel="0" collapsed="false">
      <c r="A90" s="29"/>
      <c r="B90" s="30"/>
      <c r="C90" s="30"/>
      <c r="D90" s="30"/>
      <c r="E90" s="30"/>
      <c r="F90" s="30"/>
      <c r="G90" s="30"/>
      <c r="H90" s="30"/>
      <c r="I90" s="30"/>
      <c r="J90" s="30"/>
      <c r="K90" s="30"/>
      <c r="L90" s="30"/>
      <c r="M90" s="20" t="str">
        <f aca="false">IF(A90="","",IF(V90="",0,IF(W90="",1,IF(X90="",2,IF(Y90="",3,"4+")))))</f>
        <v/>
      </c>
      <c r="N90" s="20" t="str">
        <f aca="false">IF(A90="","",A90&amp;IF(V90="",""," &lt;- "&amp;V90&amp;IF(W90="",""," &lt;- "&amp;W90&amp;IF(X90="",""," &lt;- "&amp;X90&amp;IF(Y90="",""," &lt;- "&amp;Y90))))&amp;IF(ISNUMBER(FIND(",",D90))," (+ other parents)",""))</f>
        <v/>
      </c>
      <c r="O90" s="20" t="str">
        <f aca="false">IF(A90="","",COUNTIF(Fields!$D:$D,A90))</f>
        <v/>
      </c>
      <c r="P90" s="20" t="str">
        <f aca="false">IF(A90="","",SUMIF(Fields!$D:$D,A90,Fields!$O:$O))</f>
        <v/>
      </c>
      <c r="Q90" s="30"/>
      <c r="R90" s="30"/>
      <c r="S90" s="30"/>
      <c r="T90" s="30"/>
      <c r="U90" s="30"/>
      <c r="V90" s="34" t="str">
        <f aca="false">IF(A90="","",IF(IFERROR(INDEX($D:$D,MATCH(A90,$A:$A,0)),"")="","",TRIM(IF(ISNUMBER(FIND(",",IFERROR(INDEX($D:$D,MATCH(A90,$A:$A,0)),""))),LEFT(IFERROR(INDEX($D:$D,MATCH(A90,$A:$A,0)),""),FIND(",",IFERROR(INDEX($D:$D,MATCH(A90,$A:$A,0)),""))-1),IFERROR(INDEX($D:$D,MATCH(A90,$A:$A,0)),"")))))</f>
        <v/>
      </c>
      <c r="W90" s="34" t="str">
        <f aca="false">IF(V90="","",IF(IFERROR(INDEX($D:$D,MATCH(V90,$A:$A,0)),"")="","",TRIM(IF(ISNUMBER(FIND(",",IFERROR(INDEX($D:$D,MATCH(V90,$A:$A,0)),""))),LEFT(IFERROR(INDEX($D:$D,MATCH(V90,$A:$A,0)),""),FIND(",",IFERROR(INDEX($D:$D,MATCH(V90,$A:$A,0)),""))-1),IFERROR(INDEX($D:$D,MATCH(V90,$A:$A,0)),"")))))</f>
        <v/>
      </c>
      <c r="X90" s="34" t="str">
        <f aca="false">IF(W90="","",IF(IFERROR(INDEX($D:$D,MATCH(W90,$A:$A,0)),"")="","",TRIM(IF(ISNUMBER(FIND(",",IFERROR(INDEX($D:$D,MATCH(W90,$A:$A,0)),""))),LEFT(IFERROR(INDEX($D:$D,MATCH(W90,$A:$A,0)),""),FIND(",",IFERROR(INDEX($D:$D,MATCH(W90,$A:$A,0)),""))-1),IFERROR(INDEX($D:$D,MATCH(W90,$A:$A,0)),"")))))</f>
        <v/>
      </c>
      <c r="Y90" s="34" t="str">
        <f aca="false">IF(X90="","",IF(IFERROR(INDEX($D:$D,MATCH(X90,$A:$A,0)),"")="","",TRIM(IF(ISNUMBER(FIND(",",IFERROR(INDEX($D:$D,MATCH(X90,$A:$A,0)),""))),LEFT(IFERROR(INDEX($D:$D,MATCH(X90,$A:$A,0)),""),FIND(",",IFERROR(INDEX($D:$D,MATCH(X90,$A:$A,0)),""))-1),IFERROR(INDEX($D:$D,MATCH(X90,$A:$A,0)),"")))))</f>
        <v/>
      </c>
      <c r="Z90" s="34" t="str">
        <f aca="false">IF(AND(A90&lt;&gt;"",L90="Retire"),COUNTIF($L$5:L90,"Retire"),"")</f>
        <v/>
      </c>
      <c r="AA90" s="34" t="str">
        <f aca="false">IF(AND(A90&lt;&gt;"",L90="Build"),COUNTIF($L$5:L90,"Build"),"")</f>
        <v/>
      </c>
      <c r="AB90" s="34" t="str">
        <f aca="false">IF(AND(A90&lt;&gt;"",OR(M90="4+",AND(ISNUMBER(M90),M90&gt;=2))),SUMPRODUCT(($A$5:A90&lt;&gt;"")*(($M$5:M90="4+")+(ISNUMBER($M$5:M90)*($M$5:M90&gt;=2)))),"")</f>
        <v/>
      </c>
      <c r="AC90" s="34" t="str">
        <f aca="false">IF(AND(A90&lt;&gt;"",OR(L90="",L90="Undecided",K90="")),SUMPRODUCT(($A$5:A90&lt;&gt;"")*(($L$5:L90="")+($L$5:L90="Undecided")+($K$5:K90=""))&gt;0*1),"")</f>
        <v/>
      </c>
    </row>
    <row r="91" customFormat="false" ht="15" hidden="false" customHeight="false" outlineLevel="0" collapsed="false">
      <c r="A91" s="29"/>
      <c r="B91" s="30"/>
      <c r="C91" s="30"/>
      <c r="D91" s="30"/>
      <c r="E91" s="30"/>
      <c r="F91" s="30"/>
      <c r="G91" s="30"/>
      <c r="H91" s="30"/>
      <c r="I91" s="30"/>
      <c r="J91" s="30"/>
      <c r="K91" s="30"/>
      <c r="L91" s="30"/>
      <c r="M91" s="20" t="str">
        <f aca="false">IF(A91="","",IF(V91="",0,IF(W91="",1,IF(X91="",2,IF(Y91="",3,"4+")))))</f>
        <v/>
      </c>
      <c r="N91" s="20" t="str">
        <f aca="false">IF(A91="","",A91&amp;IF(V91="",""," &lt;- "&amp;V91&amp;IF(W91="",""," &lt;- "&amp;W91&amp;IF(X91="",""," &lt;- "&amp;X91&amp;IF(Y91="",""," &lt;- "&amp;Y91))))&amp;IF(ISNUMBER(FIND(",",D91))," (+ other parents)",""))</f>
        <v/>
      </c>
      <c r="O91" s="20" t="str">
        <f aca="false">IF(A91="","",COUNTIF(Fields!$D:$D,A91))</f>
        <v/>
      </c>
      <c r="P91" s="20" t="str">
        <f aca="false">IF(A91="","",SUMIF(Fields!$D:$D,A91,Fields!$O:$O))</f>
        <v/>
      </c>
      <c r="Q91" s="30"/>
      <c r="R91" s="30"/>
      <c r="S91" s="30"/>
      <c r="T91" s="30"/>
      <c r="U91" s="30"/>
      <c r="V91" s="34" t="str">
        <f aca="false">IF(A91="","",IF(IFERROR(INDEX($D:$D,MATCH(A91,$A:$A,0)),"")="","",TRIM(IF(ISNUMBER(FIND(",",IFERROR(INDEX($D:$D,MATCH(A91,$A:$A,0)),""))),LEFT(IFERROR(INDEX($D:$D,MATCH(A91,$A:$A,0)),""),FIND(",",IFERROR(INDEX($D:$D,MATCH(A91,$A:$A,0)),""))-1),IFERROR(INDEX($D:$D,MATCH(A91,$A:$A,0)),"")))))</f>
        <v/>
      </c>
      <c r="W91" s="34" t="str">
        <f aca="false">IF(V91="","",IF(IFERROR(INDEX($D:$D,MATCH(V91,$A:$A,0)),"")="","",TRIM(IF(ISNUMBER(FIND(",",IFERROR(INDEX($D:$D,MATCH(V91,$A:$A,0)),""))),LEFT(IFERROR(INDEX($D:$D,MATCH(V91,$A:$A,0)),""),FIND(",",IFERROR(INDEX($D:$D,MATCH(V91,$A:$A,0)),""))-1),IFERROR(INDEX($D:$D,MATCH(V91,$A:$A,0)),"")))))</f>
        <v/>
      </c>
      <c r="X91" s="34" t="str">
        <f aca="false">IF(W91="","",IF(IFERROR(INDEX($D:$D,MATCH(W91,$A:$A,0)),"")="","",TRIM(IF(ISNUMBER(FIND(",",IFERROR(INDEX($D:$D,MATCH(W91,$A:$A,0)),""))),LEFT(IFERROR(INDEX($D:$D,MATCH(W91,$A:$A,0)),""),FIND(",",IFERROR(INDEX($D:$D,MATCH(W91,$A:$A,0)),""))-1),IFERROR(INDEX($D:$D,MATCH(W91,$A:$A,0)),"")))))</f>
        <v/>
      </c>
      <c r="Y91" s="34" t="str">
        <f aca="false">IF(X91="","",IF(IFERROR(INDEX($D:$D,MATCH(X91,$A:$A,0)),"")="","",TRIM(IF(ISNUMBER(FIND(",",IFERROR(INDEX($D:$D,MATCH(X91,$A:$A,0)),""))),LEFT(IFERROR(INDEX($D:$D,MATCH(X91,$A:$A,0)),""),FIND(",",IFERROR(INDEX($D:$D,MATCH(X91,$A:$A,0)),""))-1),IFERROR(INDEX($D:$D,MATCH(X91,$A:$A,0)),"")))))</f>
        <v/>
      </c>
      <c r="Z91" s="34" t="str">
        <f aca="false">IF(AND(A91&lt;&gt;"",L91="Retire"),COUNTIF($L$5:L91,"Retire"),"")</f>
        <v/>
      </c>
      <c r="AA91" s="34" t="str">
        <f aca="false">IF(AND(A91&lt;&gt;"",L91="Build"),COUNTIF($L$5:L91,"Build"),"")</f>
        <v/>
      </c>
      <c r="AB91" s="34" t="str">
        <f aca="false">IF(AND(A91&lt;&gt;"",OR(M91="4+",AND(ISNUMBER(M91),M91&gt;=2))),SUMPRODUCT(($A$5:A91&lt;&gt;"")*(($M$5:M91="4+")+(ISNUMBER($M$5:M91)*($M$5:M91&gt;=2)))),"")</f>
        <v/>
      </c>
      <c r="AC91" s="34" t="str">
        <f aca="false">IF(AND(A91&lt;&gt;"",OR(L91="",L91="Undecided",K91="")),SUMPRODUCT(($A$5:A91&lt;&gt;"")*(($L$5:L91="")+($L$5:L91="Undecided")+($K$5:K91=""))&gt;0*1),"")</f>
        <v/>
      </c>
    </row>
    <row r="92" customFormat="false" ht="15" hidden="false" customHeight="false" outlineLevel="0" collapsed="false">
      <c r="A92" s="29"/>
      <c r="B92" s="30"/>
      <c r="C92" s="30"/>
      <c r="D92" s="30"/>
      <c r="E92" s="30"/>
      <c r="F92" s="30"/>
      <c r="G92" s="30"/>
      <c r="H92" s="30"/>
      <c r="I92" s="30"/>
      <c r="J92" s="30"/>
      <c r="K92" s="30"/>
      <c r="L92" s="30"/>
      <c r="M92" s="20" t="str">
        <f aca="false">IF(A92="","",IF(V92="",0,IF(W92="",1,IF(X92="",2,IF(Y92="",3,"4+")))))</f>
        <v/>
      </c>
      <c r="N92" s="20" t="str">
        <f aca="false">IF(A92="","",A92&amp;IF(V92="",""," &lt;- "&amp;V92&amp;IF(W92="",""," &lt;- "&amp;W92&amp;IF(X92="",""," &lt;- "&amp;X92&amp;IF(Y92="",""," &lt;- "&amp;Y92))))&amp;IF(ISNUMBER(FIND(",",D92))," (+ other parents)",""))</f>
        <v/>
      </c>
      <c r="O92" s="20" t="str">
        <f aca="false">IF(A92="","",COUNTIF(Fields!$D:$D,A92))</f>
        <v/>
      </c>
      <c r="P92" s="20" t="str">
        <f aca="false">IF(A92="","",SUMIF(Fields!$D:$D,A92,Fields!$O:$O))</f>
        <v/>
      </c>
      <c r="Q92" s="30"/>
      <c r="R92" s="30"/>
      <c r="S92" s="30"/>
      <c r="T92" s="30"/>
      <c r="U92" s="30"/>
      <c r="V92" s="34" t="str">
        <f aca="false">IF(A92="","",IF(IFERROR(INDEX($D:$D,MATCH(A92,$A:$A,0)),"")="","",TRIM(IF(ISNUMBER(FIND(",",IFERROR(INDEX($D:$D,MATCH(A92,$A:$A,0)),""))),LEFT(IFERROR(INDEX($D:$D,MATCH(A92,$A:$A,0)),""),FIND(",",IFERROR(INDEX($D:$D,MATCH(A92,$A:$A,0)),""))-1),IFERROR(INDEX($D:$D,MATCH(A92,$A:$A,0)),"")))))</f>
        <v/>
      </c>
      <c r="W92" s="34" t="str">
        <f aca="false">IF(V92="","",IF(IFERROR(INDEX($D:$D,MATCH(V92,$A:$A,0)),"")="","",TRIM(IF(ISNUMBER(FIND(",",IFERROR(INDEX($D:$D,MATCH(V92,$A:$A,0)),""))),LEFT(IFERROR(INDEX($D:$D,MATCH(V92,$A:$A,0)),""),FIND(",",IFERROR(INDEX($D:$D,MATCH(V92,$A:$A,0)),""))-1),IFERROR(INDEX($D:$D,MATCH(V92,$A:$A,0)),"")))))</f>
        <v/>
      </c>
      <c r="X92" s="34" t="str">
        <f aca="false">IF(W92="","",IF(IFERROR(INDEX($D:$D,MATCH(W92,$A:$A,0)),"")="","",TRIM(IF(ISNUMBER(FIND(",",IFERROR(INDEX($D:$D,MATCH(W92,$A:$A,0)),""))),LEFT(IFERROR(INDEX($D:$D,MATCH(W92,$A:$A,0)),""),FIND(",",IFERROR(INDEX($D:$D,MATCH(W92,$A:$A,0)),""))-1),IFERROR(INDEX($D:$D,MATCH(W92,$A:$A,0)),"")))))</f>
        <v/>
      </c>
      <c r="Y92" s="34" t="str">
        <f aca="false">IF(X92="","",IF(IFERROR(INDEX($D:$D,MATCH(X92,$A:$A,0)),"")="","",TRIM(IF(ISNUMBER(FIND(",",IFERROR(INDEX($D:$D,MATCH(X92,$A:$A,0)),""))),LEFT(IFERROR(INDEX($D:$D,MATCH(X92,$A:$A,0)),""),FIND(",",IFERROR(INDEX($D:$D,MATCH(X92,$A:$A,0)),""))-1),IFERROR(INDEX($D:$D,MATCH(X92,$A:$A,0)),"")))))</f>
        <v/>
      </c>
      <c r="Z92" s="34" t="str">
        <f aca="false">IF(AND(A92&lt;&gt;"",L92="Retire"),COUNTIF($L$5:L92,"Retire"),"")</f>
        <v/>
      </c>
      <c r="AA92" s="34" t="str">
        <f aca="false">IF(AND(A92&lt;&gt;"",L92="Build"),COUNTIF($L$5:L92,"Build"),"")</f>
        <v/>
      </c>
      <c r="AB92" s="34" t="str">
        <f aca="false">IF(AND(A92&lt;&gt;"",OR(M92="4+",AND(ISNUMBER(M92),M92&gt;=2))),SUMPRODUCT(($A$5:A92&lt;&gt;"")*(($M$5:M92="4+")+(ISNUMBER($M$5:M92)*($M$5:M92&gt;=2)))),"")</f>
        <v/>
      </c>
      <c r="AC92" s="34" t="str">
        <f aca="false">IF(AND(A92&lt;&gt;"",OR(L92="",L92="Undecided",K92="")),SUMPRODUCT(($A$5:A92&lt;&gt;"")*(($L$5:L92="")+($L$5:L92="Undecided")+($K$5:K92=""))&gt;0*1),"")</f>
        <v/>
      </c>
    </row>
    <row r="93" customFormat="false" ht="15" hidden="false" customHeight="false" outlineLevel="0" collapsed="false">
      <c r="A93" s="29"/>
      <c r="B93" s="30"/>
      <c r="C93" s="30"/>
      <c r="D93" s="30"/>
      <c r="E93" s="30"/>
      <c r="F93" s="30"/>
      <c r="G93" s="30"/>
      <c r="H93" s="30"/>
      <c r="I93" s="30"/>
      <c r="J93" s="30"/>
      <c r="K93" s="30"/>
      <c r="L93" s="30"/>
      <c r="M93" s="20" t="str">
        <f aca="false">IF(A93="","",IF(V93="",0,IF(W93="",1,IF(X93="",2,IF(Y93="",3,"4+")))))</f>
        <v/>
      </c>
      <c r="N93" s="20" t="str">
        <f aca="false">IF(A93="","",A93&amp;IF(V93="",""," &lt;- "&amp;V93&amp;IF(W93="",""," &lt;- "&amp;W93&amp;IF(X93="",""," &lt;- "&amp;X93&amp;IF(Y93="",""," &lt;- "&amp;Y93))))&amp;IF(ISNUMBER(FIND(",",D93))," (+ other parents)",""))</f>
        <v/>
      </c>
      <c r="O93" s="20" t="str">
        <f aca="false">IF(A93="","",COUNTIF(Fields!$D:$D,A93))</f>
        <v/>
      </c>
      <c r="P93" s="20" t="str">
        <f aca="false">IF(A93="","",SUMIF(Fields!$D:$D,A93,Fields!$O:$O))</f>
        <v/>
      </c>
      <c r="Q93" s="30"/>
      <c r="R93" s="30"/>
      <c r="S93" s="30"/>
      <c r="T93" s="30"/>
      <c r="U93" s="30"/>
      <c r="V93" s="34" t="str">
        <f aca="false">IF(A93="","",IF(IFERROR(INDEX($D:$D,MATCH(A93,$A:$A,0)),"")="","",TRIM(IF(ISNUMBER(FIND(",",IFERROR(INDEX($D:$D,MATCH(A93,$A:$A,0)),""))),LEFT(IFERROR(INDEX($D:$D,MATCH(A93,$A:$A,0)),""),FIND(",",IFERROR(INDEX($D:$D,MATCH(A93,$A:$A,0)),""))-1),IFERROR(INDEX($D:$D,MATCH(A93,$A:$A,0)),"")))))</f>
        <v/>
      </c>
      <c r="W93" s="34" t="str">
        <f aca="false">IF(V93="","",IF(IFERROR(INDEX($D:$D,MATCH(V93,$A:$A,0)),"")="","",TRIM(IF(ISNUMBER(FIND(",",IFERROR(INDEX($D:$D,MATCH(V93,$A:$A,0)),""))),LEFT(IFERROR(INDEX($D:$D,MATCH(V93,$A:$A,0)),""),FIND(",",IFERROR(INDEX($D:$D,MATCH(V93,$A:$A,0)),""))-1),IFERROR(INDEX($D:$D,MATCH(V93,$A:$A,0)),"")))))</f>
        <v/>
      </c>
      <c r="X93" s="34" t="str">
        <f aca="false">IF(W93="","",IF(IFERROR(INDEX($D:$D,MATCH(W93,$A:$A,0)),"")="","",TRIM(IF(ISNUMBER(FIND(",",IFERROR(INDEX($D:$D,MATCH(W93,$A:$A,0)),""))),LEFT(IFERROR(INDEX($D:$D,MATCH(W93,$A:$A,0)),""),FIND(",",IFERROR(INDEX($D:$D,MATCH(W93,$A:$A,0)),""))-1),IFERROR(INDEX($D:$D,MATCH(W93,$A:$A,0)),"")))))</f>
        <v/>
      </c>
      <c r="Y93" s="34" t="str">
        <f aca="false">IF(X93="","",IF(IFERROR(INDEX($D:$D,MATCH(X93,$A:$A,0)),"")="","",TRIM(IF(ISNUMBER(FIND(",",IFERROR(INDEX($D:$D,MATCH(X93,$A:$A,0)),""))),LEFT(IFERROR(INDEX($D:$D,MATCH(X93,$A:$A,0)),""),FIND(",",IFERROR(INDEX($D:$D,MATCH(X93,$A:$A,0)),""))-1),IFERROR(INDEX($D:$D,MATCH(X93,$A:$A,0)),"")))))</f>
        <v/>
      </c>
      <c r="Z93" s="34" t="str">
        <f aca="false">IF(AND(A93&lt;&gt;"",L93="Retire"),COUNTIF($L$5:L93,"Retire"),"")</f>
        <v/>
      </c>
      <c r="AA93" s="34" t="str">
        <f aca="false">IF(AND(A93&lt;&gt;"",L93="Build"),COUNTIF($L$5:L93,"Build"),"")</f>
        <v/>
      </c>
      <c r="AB93" s="34" t="str">
        <f aca="false">IF(AND(A93&lt;&gt;"",OR(M93="4+",AND(ISNUMBER(M93),M93&gt;=2))),SUMPRODUCT(($A$5:A93&lt;&gt;"")*(($M$5:M93="4+")+(ISNUMBER($M$5:M93)*($M$5:M93&gt;=2)))),"")</f>
        <v/>
      </c>
      <c r="AC93" s="34" t="str">
        <f aca="false">IF(AND(A93&lt;&gt;"",OR(L93="",L93="Undecided",K93="")),SUMPRODUCT(($A$5:A93&lt;&gt;"")*(($L$5:L93="")+($L$5:L93="Undecided")+($K$5:K93=""))&gt;0*1),"")</f>
        <v/>
      </c>
    </row>
    <row r="94" customFormat="false" ht="15" hidden="false" customHeight="false" outlineLevel="0" collapsed="false">
      <c r="A94" s="29"/>
      <c r="B94" s="30"/>
      <c r="C94" s="30"/>
      <c r="D94" s="30"/>
      <c r="E94" s="30"/>
      <c r="F94" s="30"/>
      <c r="G94" s="30"/>
      <c r="H94" s="30"/>
      <c r="I94" s="30"/>
      <c r="J94" s="30"/>
      <c r="K94" s="30"/>
      <c r="L94" s="30"/>
      <c r="M94" s="20" t="str">
        <f aca="false">IF(A94="","",IF(V94="",0,IF(W94="",1,IF(X94="",2,IF(Y94="",3,"4+")))))</f>
        <v/>
      </c>
      <c r="N94" s="20" t="str">
        <f aca="false">IF(A94="","",A94&amp;IF(V94="",""," &lt;- "&amp;V94&amp;IF(W94="",""," &lt;- "&amp;W94&amp;IF(X94="",""," &lt;- "&amp;X94&amp;IF(Y94="",""," &lt;- "&amp;Y94))))&amp;IF(ISNUMBER(FIND(",",D94))," (+ other parents)",""))</f>
        <v/>
      </c>
      <c r="O94" s="20" t="str">
        <f aca="false">IF(A94="","",COUNTIF(Fields!$D:$D,A94))</f>
        <v/>
      </c>
      <c r="P94" s="20" t="str">
        <f aca="false">IF(A94="","",SUMIF(Fields!$D:$D,A94,Fields!$O:$O))</f>
        <v/>
      </c>
      <c r="Q94" s="30"/>
      <c r="R94" s="30"/>
      <c r="S94" s="30"/>
      <c r="T94" s="30"/>
      <c r="U94" s="30"/>
      <c r="V94" s="34" t="str">
        <f aca="false">IF(A94="","",IF(IFERROR(INDEX($D:$D,MATCH(A94,$A:$A,0)),"")="","",TRIM(IF(ISNUMBER(FIND(",",IFERROR(INDEX($D:$D,MATCH(A94,$A:$A,0)),""))),LEFT(IFERROR(INDEX($D:$D,MATCH(A94,$A:$A,0)),""),FIND(",",IFERROR(INDEX($D:$D,MATCH(A94,$A:$A,0)),""))-1),IFERROR(INDEX($D:$D,MATCH(A94,$A:$A,0)),"")))))</f>
        <v/>
      </c>
      <c r="W94" s="34" t="str">
        <f aca="false">IF(V94="","",IF(IFERROR(INDEX($D:$D,MATCH(V94,$A:$A,0)),"")="","",TRIM(IF(ISNUMBER(FIND(",",IFERROR(INDEX($D:$D,MATCH(V94,$A:$A,0)),""))),LEFT(IFERROR(INDEX($D:$D,MATCH(V94,$A:$A,0)),""),FIND(",",IFERROR(INDEX($D:$D,MATCH(V94,$A:$A,0)),""))-1),IFERROR(INDEX($D:$D,MATCH(V94,$A:$A,0)),"")))))</f>
        <v/>
      </c>
      <c r="X94" s="34" t="str">
        <f aca="false">IF(W94="","",IF(IFERROR(INDEX($D:$D,MATCH(W94,$A:$A,0)),"")="","",TRIM(IF(ISNUMBER(FIND(",",IFERROR(INDEX($D:$D,MATCH(W94,$A:$A,0)),""))),LEFT(IFERROR(INDEX($D:$D,MATCH(W94,$A:$A,0)),""),FIND(",",IFERROR(INDEX($D:$D,MATCH(W94,$A:$A,0)),""))-1),IFERROR(INDEX($D:$D,MATCH(W94,$A:$A,0)),"")))))</f>
        <v/>
      </c>
      <c r="Y94" s="34" t="str">
        <f aca="false">IF(X94="","",IF(IFERROR(INDEX($D:$D,MATCH(X94,$A:$A,0)),"")="","",TRIM(IF(ISNUMBER(FIND(",",IFERROR(INDEX($D:$D,MATCH(X94,$A:$A,0)),""))),LEFT(IFERROR(INDEX($D:$D,MATCH(X94,$A:$A,0)),""),FIND(",",IFERROR(INDEX($D:$D,MATCH(X94,$A:$A,0)),""))-1),IFERROR(INDEX($D:$D,MATCH(X94,$A:$A,0)),"")))))</f>
        <v/>
      </c>
      <c r="Z94" s="34" t="str">
        <f aca="false">IF(AND(A94&lt;&gt;"",L94="Retire"),COUNTIF($L$5:L94,"Retire"),"")</f>
        <v/>
      </c>
      <c r="AA94" s="34" t="str">
        <f aca="false">IF(AND(A94&lt;&gt;"",L94="Build"),COUNTIF($L$5:L94,"Build"),"")</f>
        <v/>
      </c>
      <c r="AB94" s="34" t="str">
        <f aca="false">IF(AND(A94&lt;&gt;"",OR(M94="4+",AND(ISNUMBER(M94),M94&gt;=2))),SUMPRODUCT(($A$5:A94&lt;&gt;"")*(($M$5:M94="4+")+(ISNUMBER($M$5:M94)*($M$5:M94&gt;=2)))),"")</f>
        <v/>
      </c>
      <c r="AC94" s="34" t="str">
        <f aca="false">IF(AND(A94&lt;&gt;"",OR(L94="",L94="Undecided",K94="")),SUMPRODUCT(($A$5:A94&lt;&gt;"")*(($L$5:L94="")+($L$5:L94="Undecided")+($K$5:K94=""))&gt;0*1),"")</f>
        <v/>
      </c>
    </row>
    <row r="95" customFormat="false" ht="15" hidden="false" customHeight="false" outlineLevel="0" collapsed="false">
      <c r="A95" s="29"/>
      <c r="B95" s="30"/>
      <c r="C95" s="30"/>
      <c r="D95" s="30"/>
      <c r="E95" s="30"/>
      <c r="F95" s="30"/>
      <c r="G95" s="30"/>
      <c r="H95" s="30"/>
      <c r="I95" s="30"/>
      <c r="J95" s="30"/>
      <c r="K95" s="30"/>
      <c r="L95" s="30"/>
      <c r="M95" s="20" t="str">
        <f aca="false">IF(A95="","",IF(V95="",0,IF(W95="",1,IF(X95="",2,IF(Y95="",3,"4+")))))</f>
        <v/>
      </c>
      <c r="N95" s="20" t="str">
        <f aca="false">IF(A95="","",A95&amp;IF(V95="",""," &lt;- "&amp;V95&amp;IF(W95="",""," &lt;- "&amp;W95&amp;IF(X95="",""," &lt;- "&amp;X95&amp;IF(Y95="",""," &lt;- "&amp;Y95))))&amp;IF(ISNUMBER(FIND(",",D95))," (+ other parents)",""))</f>
        <v/>
      </c>
      <c r="O95" s="20" t="str">
        <f aca="false">IF(A95="","",COUNTIF(Fields!$D:$D,A95))</f>
        <v/>
      </c>
      <c r="P95" s="20" t="str">
        <f aca="false">IF(A95="","",SUMIF(Fields!$D:$D,A95,Fields!$O:$O))</f>
        <v/>
      </c>
      <c r="Q95" s="30"/>
      <c r="R95" s="30"/>
      <c r="S95" s="30"/>
      <c r="T95" s="30"/>
      <c r="U95" s="30"/>
      <c r="V95" s="34" t="str">
        <f aca="false">IF(A95="","",IF(IFERROR(INDEX($D:$D,MATCH(A95,$A:$A,0)),"")="","",TRIM(IF(ISNUMBER(FIND(",",IFERROR(INDEX($D:$D,MATCH(A95,$A:$A,0)),""))),LEFT(IFERROR(INDEX($D:$D,MATCH(A95,$A:$A,0)),""),FIND(",",IFERROR(INDEX($D:$D,MATCH(A95,$A:$A,0)),""))-1),IFERROR(INDEX($D:$D,MATCH(A95,$A:$A,0)),"")))))</f>
        <v/>
      </c>
      <c r="W95" s="34" t="str">
        <f aca="false">IF(V95="","",IF(IFERROR(INDEX($D:$D,MATCH(V95,$A:$A,0)),"")="","",TRIM(IF(ISNUMBER(FIND(",",IFERROR(INDEX($D:$D,MATCH(V95,$A:$A,0)),""))),LEFT(IFERROR(INDEX($D:$D,MATCH(V95,$A:$A,0)),""),FIND(",",IFERROR(INDEX($D:$D,MATCH(V95,$A:$A,0)),""))-1),IFERROR(INDEX($D:$D,MATCH(V95,$A:$A,0)),"")))))</f>
        <v/>
      </c>
      <c r="X95" s="34" t="str">
        <f aca="false">IF(W95="","",IF(IFERROR(INDEX($D:$D,MATCH(W95,$A:$A,0)),"")="","",TRIM(IF(ISNUMBER(FIND(",",IFERROR(INDEX($D:$D,MATCH(W95,$A:$A,0)),""))),LEFT(IFERROR(INDEX($D:$D,MATCH(W95,$A:$A,0)),""),FIND(",",IFERROR(INDEX($D:$D,MATCH(W95,$A:$A,0)),""))-1),IFERROR(INDEX($D:$D,MATCH(W95,$A:$A,0)),"")))))</f>
        <v/>
      </c>
      <c r="Y95" s="34" t="str">
        <f aca="false">IF(X95="","",IF(IFERROR(INDEX($D:$D,MATCH(X95,$A:$A,0)),"")="","",TRIM(IF(ISNUMBER(FIND(",",IFERROR(INDEX($D:$D,MATCH(X95,$A:$A,0)),""))),LEFT(IFERROR(INDEX($D:$D,MATCH(X95,$A:$A,0)),""),FIND(",",IFERROR(INDEX($D:$D,MATCH(X95,$A:$A,0)),""))-1),IFERROR(INDEX($D:$D,MATCH(X95,$A:$A,0)),"")))))</f>
        <v/>
      </c>
      <c r="Z95" s="34" t="str">
        <f aca="false">IF(AND(A95&lt;&gt;"",L95="Retire"),COUNTIF($L$5:L95,"Retire"),"")</f>
        <v/>
      </c>
      <c r="AA95" s="34" t="str">
        <f aca="false">IF(AND(A95&lt;&gt;"",L95="Build"),COUNTIF($L$5:L95,"Build"),"")</f>
        <v/>
      </c>
      <c r="AB95" s="34" t="str">
        <f aca="false">IF(AND(A95&lt;&gt;"",OR(M95="4+",AND(ISNUMBER(M95),M95&gt;=2))),SUMPRODUCT(($A$5:A95&lt;&gt;"")*(($M$5:M95="4+")+(ISNUMBER($M$5:M95)*($M$5:M95&gt;=2)))),"")</f>
        <v/>
      </c>
      <c r="AC95" s="34" t="str">
        <f aca="false">IF(AND(A95&lt;&gt;"",OR(L95="",L95="Undecided",K95="")),SUMPRODUCT(($A$5:A95&lt;&gt;"")*(($L$5:L95="")+($L$5:L95="Undecided")+($K$5:K95=""))&gt;0*1),"")</f>
        <v/>
      </c>
    </row>
    <row r="96" customFormat="false" ht="15" hidden="false" customHeight="false" outlineLevel="0" collapsed="false">
      <c r="A96" s="29"/>
      <c r="B96" s="30"/>
      <c r="C96" s="30"/>
      <c r="D96" s="30"/>
      <c r="E96" s="30"/>
      <c r="F96" s="30"/>
      <c r="G96" s="30"/>
      <c r="H96" s="30"/>
      <c r="I96" s="30"/>
      <c r="J96" s="30"/>
      <c r="K96" s="30"/>
      <c r="L96" s="30"/>
      <c r="M96" s="20" t="str">
        <f aca="false">IF(A96="","",IF(V96="",0,IF(W96="",1,IF(X96="",2,IF(Y96="",3,"4+")))))</f>
        <v/>
      </c>
      <c r="N96" s="20" t="str">
        <f aca="false">IF(A96="","",A96&amp;IF(V96="",""," &lt;- "&amp;V96&amp;IF(W96="",""," &lt;- "&amp;W96&amp;IF(X96="",""," &lt;- "&amp;X96&amp;IF(Y96="",""," &lt;- "&amp;Y96))))&amp;IF(ISNUMBER(FIND(",",D96))," (+ other parents)",""))</f>
        <v/>
      </c>
      <c r="O96" s="20" t="str">
        <f aca="false">IF(A96="","",COUNTIF(Fields!$D:$D,A96))</f>
        <v/>
      </c>
      <c r="P96" s="20" t="str">
        <f aca="false">IF(A96="","",SUMIF(Fields!$D:$D,A96,Fields!$O:$O))</f>
        <v/>
      </c>
      <c r="Q96" s="30"/>
      <c r="R96" s="30"/>
      <c r="S96" s="30"/>
      <c r="T96" s="30"/>
      <c r="U96" s="30"/>
      <c r="V96" s="34" t="str">
        <f aca="false">IF(A96="","",IF(IFERROR(INDEX($D:$D,MATCH(A96,$A:$A,0)),"")="","",TRIM(IF(ISNUMBER(FIND(",",IFERROR(INDEX($D:$D,MATCH(A96,$A:$A,0)),""))),LEFT(IFERROR(INDEX($D:$D,MATCH(A96,$A:$A,0)),""),FIND(",",IFERROR(INDEX($D:$D,MATCH(A96,$A:$A,0)),""))-1),IFERROR(INDEX($D:$D,MATCH(A96,$A:$A,0)),"")))))</f>
        <v/>
      </c>
      <c r="W96" s="34" t="str">
        <f aca="false">IF(V96="","",IF(IFERROR(INDEX($D:$D,MATCH(V96,$A:$A,0)),"")="","",TRIM(IF(ISNUMBER(FIND(",",IFERROR(INDEX($D:$D,MATCH(V96,$A:$A,0)),""))),LEFT(IFERROR(INDEX($D:$D,MATCH(V96,$A:$A,0)),""),FIND(",",IFERROR(INDEX($D:$D,MATCH(V96,$A:$A,0)),""))-1),IFERROR(INDEX($D:$D,MATCH(V96,$A:$A,0)),"")))))</f>
        <v/>
      </c>
      <c r="X96" s="34" t="str">
        <f aca="false">IF(W96="","",IF(IFERROR(INDEX($D:$D,MATCH(W96,$A:$A,0)),"")="","",TRIM(IF(ISNUMBER(FIND(",",IFERROR(INDEX($D:$D,MATCH(W96,$A:$A,0)),""))),LEFT(IFERROR(INDEX($D:$D,MATCH(W96,$A:$A,0)),""),FIND(",",IFERROR(INDEX($D:$D,MATCH(W96,$A:$A,0)),""))-1),IFERROR(INDEX($D:$D,MATCH(W96,$A:$A,0)),"")))))</f>
        <v/>
      </c>
      <c r="Y96" s="34" t="str">
        <f aca="false">IF(X96="","",IF(IFERROR(INDEX($D:$D,MATCH(X96,$A:$A,0)),"")="","",TRIM(IF(ISNUMBER(FIND(",",IFERROR(INDEX($D:$D,MATCH(X96,$A:$A,0)),""))),LEFT(IFERROR(INDEX($D:$D,MATCH(X96,$A:$A,0)),""),FIND(",",IFERROR(INDEX($D:$D,MATCH(X96,$A:$A,0)),""))-1),IFERROR(INDEX($D:$D,MATCH(X96,$A:$A,0)),"")))))</f>
        <v/>
      </c>
      <c r="Z96" s="34" t="str">
        <f aca="false">IF(AND(A96&lt;&gt;"",L96="Retire"),COUNTIF($L$5:L96,"Retire"),"")</f>
        <v/>
      </c>
      <c r="AA96" s="34" t="str">
        <f aca="false">IF(AND(A96&lt;&gt;"",L96="Build"),COUNTIF($L$5:L96,"Build"),"")</f>
        <v/>
      </c>
      <c r="AB96" s="34" t="str">
        <f aca="false">IF(AND(A96&lt;&gt;"",OR(M96="4+",AND(ISNUMBER(M96),M96&gt;=2))),SUMPRODUCT(($A$5:A96&lt;&gt;"")*(($M$5:M96="4+")+(ISNUMBER($M$5:M96)*($M$5:M96&gt;=2)))),"")</f>
        <v/>
      </c>
      <c r="AC96" s="34" t="str">
        <f aca="false">IF(AND(A96&lt;&gt;"",OR(L96="",L96="Undecided",K96="")),SUMPRODUCT(($A$5:A96&lt;&gt;"")*(($L$5:L96="")+($L$5:L96="Undecided")+($K$5:K96=""))&gt;0*1),"")</f>
        <v/>
      </c>
    </row>
    <row r="97" customFormat="false" ht="15" hidden="false" customHeight="false" outlineLevel="0" collapsed="false">
      <c r="A97" s="29"/>
      <c r="B97" s="30"/>
      <c r="C97" s="30"/>
      <c r="D97" s="30"/>
      <c r="E97" s="30"/>
      <c r="F97" s="30"/>
      <c r="G97" s="30"/>
      <c r="H97" s="30"/>
      <c r="I97" s="30"/>
      <c r="J97" s="30"/>
      <c r="K97" s="30"/>
      <c r="L97" s="30"/>
      <c r="M97" s="20" t="str">
        <f aca="false">IF(A97="","",IF(V97="",0,IF(W97="",1,IF(X97="",2,IF(Y97="",3,"4+")))))</f>
        <v/>
      </c>
      <c r="N97" s="20" t="str">
        <f aca="false">IF(A97="","",A97&amp;IF(V97="",""," &lt;- "&amp;V97&amp;IF(W97="",""," &lt;- "&amp;W97&amp;IF(X97="",""," &lt;- "&amp;X97&amp;IF(Y97="",""," &lt;- "&amp;Y97))))&amp;IF(ISNUMBER(FIND(",",D97))," (+ other parents)",""))</f>
        <v/>
      </c>
      <c r="O97" s="20" t="str">
        <f aca="false">IF(A97="","",COUNTIF(Fields!$D:$D,A97))</f>
        <v/>
      </c>
      <c r="P97" s="20" t="str">
        <f aca="false">IF(A97="","",SUMIF(Fields!$D:$D,A97,Fields!$O:$O))</f>
        <v/>
      </c>
      <c r="Q97" s="30"/>
      <c r="R97" s="30"/>
      <c r="S97" s="30"/>
      <c r="T97" s="30"/>
      <c r="U97" s="30"/>
      <c r="V97" s="34" t="str">
        <f aca="false">IF(A97="","",IF(IFERROR(INDEX($D:$D,MATCH(A97,$A:$A,0)),"")="","",TRIM(IF(ISNUMBER(FIND(",",IFERROR(INDEX($D:$D,MATCH(A97,$A:$A,0)),""))),LEFT(IFERROR(INDEX($D:$D,MATCH(A97,$A:$A,0)),""),FIND(",",IFERROR(INDEX($D:$D,MATCH(A97,$A:$A,0)),""))-1),IFERROR(INDEX($D:$D,MATCH(A97,$A:$A,0)),"")))))</f>
        <v/>
      </c>
      <c r="W97" s="34" t="str">
        <f aca="false">IF(V97="","",IF(IFERROR(INDEX($D:$D,MATCH(V97,$A:$A,0)),"")="","",TRIM(IF(ISNUMBER(FIND(",",IFERROR(INDEX($D:$D,MATCH(V97,$A:$A,0)),""))),LEFT(IFERROR(INDEX($D:$D,MATCH(V97,$A:$A,0)),""),FIND(",",IFERROR(INDEX($D:$D,MATCH(V97,$A:$A,0)),""))-1),IFERROR(INDEX($D:$D,MATCH(V97,$A:$A,0)),"")))))</f>
        <v/>
      </c>
      <c r="X97" s="34" t="str">
        <f aca="false">IF(W97="","",IF(IFERROR(INDEX($D:$D,MATCH(W97,$A:$A,0)),"")="","",TRIM(IF(ISNUMBER(FIND(",",IFERROR(INDEX($D:$D,MATCH(W97,$A:$A,0)),""))),LEFT(IFERROR(INDEX($D:$D,MATCH(W97,$A:$A,0)),""),FIND(",",IFERROR(INDEX($D:$D,MATCH(W97,$A:$A,0)),""))-1),IFERROR(INDEX($D:$D,MATCH(W97,$A:$A,0)),"")))))</f>
        <v/>
      </c>
      <c r="Y97" s="34" t="str">
        <f aca="false">IF(X97="","",IF(IFERROR(INDEX($D:$D,MATCH(X97,$A:$A,0)),"")="","",TRIM(IF(ISNUMBER(FIND(",",IFERROR(INDEX($D:$D,MATCH(X97,$A:$A,0)),""))),LEFT(IFERROR(INDEX($D:$D,MATCH(X97,$A:$A,0)),""),FIND(",",IFERROR(INDEX($D:$D,MATCH(X97,$A:$A,0)),""))-1),IFERROR(INDEX($D:$D,MATCH(X97,$A:$A,0)),"")))))</f>
        <v/>
      </c>
      <c r="Z97" s="34" t="str">
        <f aca="false">IF(AND(A97&lt;&gt;"",L97="Retire"),COUNTIF($L$5:L97,"Retire"),"")</f>
        <v/>
      </c>
      <c r="AA97" s="34" t="str">
        <f aca="false">IF(AND(A97&lt;&gt;"",L97="Build"),COUNTIF($L$5:L97,"Build"),"")</f>
        <v/>
      </c>
      <c r="AB97" s="34" t="str">
        <f aca="false">IF(AND(A97&lt;&gt;"",OR(M97="4+",AND(ISNUMBER(M97),M97&gt;=2))),SUMPRODUCT(($A$5:A97&lt;&gt;"")*(($M$5:M97="4+")+(ISNUMBER($M$5:M97)*($M$5:M97&gt;=2)))),"")</f>
        <v/>
      </c>
      <c r="AC97" s="34" t="str">
        <f aca="false">IF(AND(A97&lt;&gt;"",OR(L97="",L97="Undecided",K97="")),SUMPRODUCT(($A$5:A97&lt;&gt;"")*(($L$5:L97="")+($L$5:L97="Undecided")+($K$5:K97=""))&gt;0*1),"")</f>
        <v/>
      </c>
    </row>
    <row r="98" customFormat="false" ht="15" hidden="false" customHeight="false" outlineLevel="0" collapsed="false">
      <c r="A98" s="29"/>
      <c r="B98" s="30"/>
      <c r="C98" s="30"/>
      <c r="D98" s="30"/>
      <c r="E98" s="30"/>
      <c r="F98" s="30"/>
      <c r="G98" s="30"/>
      <c r="H98" s="30"/>
      <c r="I98" s="30"/>
      <c r="J98" s="30"/>
      <c r="K98" s="30"/>
      <c r="L98" s="30"/>
      <c r="M98" s="20" t="str">
        <f aca="false">IF(A98="","",IF(V98="",0,IF(W98="",1,IF(X98="",2,IF(Y98="",3,"4+")))))</f>
        <v/>
      </c>
      <c r="N98" s="20" t="str">
        <f aca="false">IF(A98="","",A98&amp;IF(V98="",""," &lt;- "&amp;V98&amp;IF(W98="",""," &lt;- "&amp;W98&amp;IF(X98="",""," &lt;- "&amp;X98&amp;IF(Y98="",""," &lt;- "&amp;Y98))))&amp;IF(ISNUMBER(FIND(",",D98))," (+ other parents)",""))</f>
        <v/>
      </c>
      <c r="O98" s="20" t="str">
        <f aca="false">IF(A98="","",COUNTIF(Fields!$D:$D,A98))</f>
        <v/>
      </c>
      <c r="P98" s="20" t="str">
        <f aca="false">IF(A98="","",SUMIF(Fields!$D:$D,A98,Fields!$O:$O))</f>
        <v/>
      </c>
      <c r="Q98" s="30"/>
      <c r="R98" s="30"/>
      <c r="S98" s="30"/>
      <c r="T98" s="30"/>
      <c r="U98" s="30"/>
      <c r="V98" s="34" t="str">
        <f aca="false">IF(A98="","",IF(IFERROR(INDEX($D:$D,MATCH(A98,$A:$A,0)),"")="","",TRIM(IF(ISNUMBER(FIND(",",IFERROR(INDEX($D:$D,MATCH(A98,$A:$A,0)),""))),LEFT(IFERROR(INDEX($D:$D,MATCH(A98,$A:$A,0)),""),FIND(",",IFERROR(INDEX($D:$D,MATCH(A98,$A:$A,0)),""))-1),IFERROR(INDEX($D:$D,MATCH(A98,$A:$A,0)),"")))))</f>
        <v/>
      </c>
      <c r="W98" s="34" t="str">
        <f aca="false">IF(V98="","",IF(IFERROR(INDEX($D:$D,MATCH(V98,$A:$A,0)),"")="","",TRIM(IF(ISNUMBER(FIND(",",IFERROR(INDEX($D:$D,MATCH(V98,$A:$A,0)),""))),LEFT(IFERROR(INDEX($D:$D,MATCH(V98,$A:$A,0)),""),FIND(",",IFERROR(INDEX($D:$D,MATCH(V98,$A:$A,0)),""))-1),IFERROR(INDEX($D:$D,MATCH(V98,$A:$A,0)),"")))))</f>
        <v/>
      </c>
      <c r="X98" s="34" t="str">
        <f aca="false">IF(W98="","",IF(IFERROR(INDEX($D:$D,MATCH(W98,$A:$A,0)),"")="","",TRIM(IF(ISNUMBER(FIND(",",IFERROR(INDEX($D:$D,MATCH(W98,$A:$A,0)),""))),LEFT(IFERROR(INDEX($D:$D,MATCH(W98,$A:$A,0)),""),FIND(",",IFERROR(INDEX($D:$D,MATCH(W98,$A:$A,0)),""))-1),IFERROR(INDEX($D:$D,MATCH(W98,$A:$A,0)),"")))))</f>
        <v/>
      </c>
      <c r="Y98" s="34" t="str">
        <f aca="false">IF(X98="","",IF(IFERROR(INDEX($D:$D,MATCH(X98,$A:$A,0)),"")="","",TRIM(IF(ISNUMBER(FIND(",",IFERROR(INDEX($D:$D,MATCH(X98,$A:$A,0)),""))),LEFT(IFERROR(INDEX($D:$D,MATCH(X98,$A:$A,0)),""),FIND(",",IFERROR(INDEX($D:$D,MATCH(X98,$A:$A,0)),""))-1),IFERROR(INDEX($D:$D,MATCH(X98,$A:$A,0)),"")))))</f>
        <v/>
      </c>
      <c r="Z98" s="34" t="str">
        <f aca="false">IF(AND(A98&lt;&gt;"",L98="Retire"),COUNTIF($L$5:L98,"Retire"),"")</f>
        <v/>
      </c>
      <c r="AA98" s="34" t="str">
        <f aca="false">IF(AND(A98&lt;&gt;"",L98="Build"),COUNTIF($L$5:L98,"Build"),"")</f>
        <v/>
      </c>
      <c r="AB98" s="34" t="str">
        <f aca="false">IF(AND(A98&lt;&gt;"",OR(M98="4+",AND(ISNUMBER(M98),M98&gt;=2))),SUMPRODUCT(($A$5:A98&lt;&gt;"")*(($M$5:M98="4+")+(ISNUMBER($M$5:M98)*($M$5:M98&gt;=2)))),"")</f>
        <v/>
      </c>
      <c r="AC98" s="34" t="str">
        <f aca="false">IF(AND(A98&lt;&gt;"",OR(L98="",L98="Undecided",K98="")),SUMPRODUCT(($A$5:A98&lt;&gt;"")*(($L$5:L98="")+($L$5:L98="Undecided")+($K$5:K98=""))&gt;0*1),"")</f>
        <v/>
      </c>
    </row>
    <row r="99" customFormat="false" ht="15" hidden="false" customHeight="false" outlineLevel="0" collapsed="false">
      <c r="A99" s="29"/>
      <c r="B99" s="30"/>
      <c r="C99" s="30"/>
      <c r="D99" s="30"/>
      <c r="E99" s="30"/>
      <c r="F99" s="30"/>
      <c r="G99" s="30"/>
      <c r="H99" s="30"/>
      <c r="I99" s="30"/>
      <c r="J99" s="30"/>
      <c r="K99" s="30"/>
      <c r="L99" s="30"/>
      <c r="M99" s="20" t="str">
        <f aca="false">IF(A99="","",IF(V99="",0,IF(W99="",1,IF(X99="",2,IF(Y99="",3,"4+")))))</f>
        <v/>
      </c>
      <c r="N99" s="20" t="str">
        <f aca="false">IF(A99="","",A99&amp;IF(V99="",""," &lt;- "&amp;V99&amp;IF(W99="",""," &lt;- "&amp;W99&amp;IF(X99="",""," &lt;- "&amp;X99&amp;IF(Y99="",""," &lt;- "&amp;Y99))))&amp;IF(ISNUMBER(FIND(",",D99))," (+ other parents)",""))</f>
        <v/>
      </c>
      <c r="O99" s="20" t="str">
        <f aca="false">IF(A99="","",COUNTIF(Fields!$D:$D,A99))</f>
        <v/>
      </c>
      <c r="P99" s="20" t="str">
        <f aca="false">IF(A99="","",SUMIF(Fields!$D:$D,A99,Fields!$O:$O))</f>
        <v/>
      </c>
      <c r="Q99" s="30"/>
      <c r="R99" s="30"/>
      <c r="S99" s="30"/>
      <c r="T99" s="30"/>
      <c r="U99" s="30"/>
      <c r="V99" s="34" t="str">
        <f aca="false">IF(A99="","",IF(IFERROR(INDEX($D:$D,MATCH(A99,$A:$A,0)),"")="","",TRIM(IF(ISNUMBER(FIND(",",IFERROR(INDEX($D:$D,MATCH(A99,$A:$A,0)),""))),LEFT(IFERROR(INDEX($D:$D,MATCH(A99,$A:$A,0)),""),FIND(",",IFERROR(INDEX($D:$D,MATCH(A99,$A:$A,0)),""))-1),IFERROR(INDEX($D:$D,MATCH(A99,$A:$A,0)),"")))))</f>
        <v/>
      </c>
      <c r="W99" s="34" t="str">
        <f aca="false">IF(V99="","",IF(IFERROR(INDEX($D:$D,MATCH(V99,$A:$A,0)),"")="","",TRIM(IF(ISNUMBER(FIND(",",IFERROR(INDEX($D:$D,MATCH(V99,$A:$A,0)),""))),LEFT(IFERROR(INDEX($D:$D,MATCH(V99,$A:$A,0)),""),FIND(",",IFERROR(INDEX($D:$D,MATCH(V99,$A:$A,0)),""))-1),IFERROR(INDEX($D:$D,MATCH(V99,$A:$A,0)),"")))))</f>
        <v/>
      </c>
      <c r="X99" s="34" t="str">
        <f aca="false">IF(W99="","",IF(IFERROR(INDEX($D:$D,MATCH(W99,$A:$A,0)),"")="","",TRIM(IF(ISNUMBER(FIND(",",IFERROR(INDEX($D:$D,MATCH(W99,$A:$A,0)),""))),LEFT(IFERROR(INDEX($D:$D,MATCH(W99,$A:$A,0)),""),FIND(",",IFERROR(INDEX($D:$D,MATCH(W99,$A:$A,0)),""))-1),IFERROR(INDEX($D:$D,MATCH(W99,$A:$A,0)),"")))))</f>
        <v/>
      </c>
      <c r="Y99" s="34" t="str">
        <f aca="false">IF(X99="","",IF(IFERROR(INDEX($D:$D,MATCH(X99,$A:$A,0)),"")="","",TRIM(IF(ISNUMBER(FIND(",",IFERROR(INDEX($D:$D,MATCH(X99,$A:$A,0)),""))),LEFT(IFERROR(INDEX($D:$D,MATCH(X99,$A:$A,0)),""),FIND(",",IFERROR(INDEX($D:$D,MATCH(X99,$A:$A,0)),""))-1),IFERROR(INDEX($D:$D,MATCH(X99,$A:$A,0)),"")))))</f>
        <v/>
      </c>
      <c r="Z99" s="34" t="str">
        <f aca="false">IF(AND(A99&lt;&gt;"",L99="Retire"),COUNTIF($L$5:L99,"Retire"),"")</f>
        <v/>
      </c>
      <c r="AA99" s="34" t="str">
        <f aca="false">IF(AND(A99&lt;&gt;"",L99="Build"),COUNTIF($L$5:L99,"Build"),"")</f>
        <v/>
      </c>
      <c r="AB99" s="34" t="str">
        <f aca="false">IF(AND(A99&lt;&gt;"",OR(M99="4+",AND(ISNUMBER(M99),M99&gt;=2))),SUMPRODUCT(($A$5:A99&lt;&gt;"")*(($M$5:M99="4+")+(ISNUMBER($M$5:M99)*($M$5:M99&gt;=2)))),"")</f>
        <v/>
      </c>
      <c r="AC99" s="34" t="str">
        <f aca="false">IF(AND(A99&lt;&gt;"",OR(L99="",L99="Undecided",K99="")),SUMPRODUCT(($A$5:A99&lt;&gt;"")*(($L$5:L99="")+($L$5:L99="Undecided")+($K$5:K99=""))&gt;0*1),"")</f>
        <v/>
      </c>
    </row>
    <row r="100" customFormat="false" ht="15" hidden="false" customHeight="false" outlineLevel="0" collapsed="false">
      <c r="A100" s="29"/>
      <c r="B100" s="30"/>
      <c r="C100" s="30"/>
      <c r="D100" s="30"/>
      <c r="E100" s="30"/>
      <c r="F100" s="30"/>
      <c r="G100" s="30"/>
      <c r="H100" s="30"/>
      <c r="I100" s="30"/>
      <c r="J100" s="30"/>
      <c r="K100" s="30"/>
      <c r="L100" s="30"/>
      <c r="M100" s="20" t="str">
        <f aca="false">IF(A100="","",IF(V100="",0,IF(W100="",1,IF(X100="",2,IF(Y100="",3,"4+")))))</f>
        <v/>
      </c>
      <c r="N100" s="20" t="str">
        <f aca="false">IF(A100="","",A100&amp;IF(V100="",""," &lt;- "&amp;V100&amp;IF(W100="",""," &lt;- "&amp;W100&amp;IF(X100="",""," &lt;- "&amp;X100&amp;IF(Y100="",""," &lt;- "&amp;Y100))))&amp;IF(ISNUMBER(FIND(",",D100))," (+ other parents)",""))</f>
        <v/>
      </c>
      <c r="O100" s="20" t="str">
        <f aca="false">IF(A100="","",COUNTIF(Fields!$D:$D,A100))</f>
        <v/>
      </c>
      <c r="P100" s="20" t="str">
        <f aca="false">IF(A100="","",SUMIF(Fields!$D:$D,A100,Fields!$O:$O))</f>
        <v/>
      </c>
      <c r="Q100" s="30"/>
      <c r="R100" s="30"/>
      <c r="S100" s="30"/>
      <c r="T100" s="30"/>
      <c r="U100" s="30"/>
      <c r="V100" s="34" t="str">
        <f aca="false">IF(A100="","",IF(IFERROR(INDEX($D:$D,MATCH(A100,$A:$A,0)),"")="","",TRIM(IF(ISNUMBER(FIND(",",IFERROR(INDEX($D:$D,MATCH(A100,$A:$A,0)),""))),LEFT(IFERROR(INDEX($D:$D,MATCH(A100,$A:$A,0)),""),FIND(",",IFERROR(INDEX($D:$D,MATCH(A100,$A:$A,0)),""))-1),IFERROR(INDEX($D:$D,MATCH(A100,$A:$A,0)),"")))))</f>
        <v/>
      </c>
      <c r="W100" s="34" t="str">
        <f aca="false">IF(V100="","",IF(IFERROR(INDEX($D:$D,MATCH(V100,$A:$A,0)),"")="","",TRIM(IF(ISNUMBER(FIND(",",IFERROR(INDEX($D:$D,MATCH(V100,$A:$A,0)),""))),LEFT(IFERROR(INDEX($D:$D,MATCH(V100,$A:$A,0)),""),FIND(",",IFERROR(INDEX($D:$D,MATCH(V100,$A:$A,0)),""))-1),IFERROR(INDEX($D:$D,MATCH(V100,$A:$A,0)),"")))))</f>
        <v/>
      </c>
      <c r="X100" s="34" t="str">
        <f aca="false">IF(W100="","",IF(IFERROR(INDEX($D:$D,MATCH(W100,$A:$A,0)),"")="","",TRIM(IF(ISNUMBER(FIND(",",IFERROR(INDEX($D:$D,MATCH(W100,$A:$A,0)),""))),LEFT(IFERROR(INDEX($D:$D,MATCH(W100,$A:$A,0)),""),FIND(",",IFERROR(INDEX($D:$D,MATCH(W100,$A:$A,0)),""))-1),IFERROR(INDEX($D:$D,MATCH(W100,$A:$A,0)),"")))))</f>
        <v/>
      </c>
      <c r="Y100" s="34" t="str">
        <f aca="false">IF(X100="","",IF(IFERROR(INDEX($D:$D,MATCH(X100,$A:$A,0)),"")="","",TRIM(IF(ISNUMBER(FIND(",",IFERROR(INDEX($D:$D,MATCH(X100,$A:$A,0)),""))),LEFT(IFERROR(INDEX($D:$D,MATCH(X100,$A:$A,0)),""),FIND(",",IFERROR(INDEX($D:$D,MATCH(X100,$A:$A,0)),""))-1),IFERROR(INDEX($D:$D,MATCH(X100,$A:$A,0)),"")))))</f>
        <v/>
      </c>
      <c r="Z100" s="34" t="str">
        <f aca="false">IF(AND(A100&lt;&gt;"",L100="Retire"),COUNTIF($L$5:L100,"Retire"),"")</f>
        <v/>
      </c>
      <c r="AA100" s="34" t="str">
        <f aca="false">IF(AND(A100&lt;&gt;"",L100="Build"),COUNTIF($L$5:L100,"Build"),"")</f>
        <v/>
      </c>
      <c r="AB100" s="34" t="str">
        <f aca="false">IF(AND(A100&lt;&gt;"",OR(M100="4+",AND(ISNUMBER(M100),M100&gt;=2))),SUMPRODUCT(($A$5:A100&lt;&gt;"")*(($M$5:M100="4+")+(ISNUMBER($M$5:M100)*($M$5:M100&gt;=2)))),"")</f>
        <v/>
      </c>
      <c r="AC100" s="34" t="str">
        <f aca="false">IF(AND(A100&lt;&gt;"",OR(L100="",L100="Undecided",K100="")),SUMPRODUCT(($A$5:A100&lt;&gt;"")*(($L$5:L100="")+($L$5:L100="Undecided")+($K$5:K100=""))&gt;0*1),"")</f>
        <v/>
      </c>
    </row>
    <row r="101" customFormat="false" ht="15" hidden="false" customHeight="false" outlineLevel="0" collapsed="false">
      <c r="A101" s="29"/>
      <c r="B101" s="30"/>
      <c r="C101" s="30"/>
      <c r="D101" s="30"/>
      <c r="E101" s="30"/>
      <c r="F101" s="30"/>
      <c r="G101" s="30"/>
      <c r="H101" s="30"/>
      <c r="I101" s="30"/>
      <c r="J101" s="30"/>
      <c r="K101" s="30"/>
      <c r="L101" s="30"/>
      <c r="M101" s="20" t="str">
        <f aca="false">IF(A101="","",IF(V101="",0,IF(W101="",1,IF(X101="",2,IF(Y101="",3,"4+")))))</f>
        <v/>
      </c>
      <c r="N101" s="20" t="str">
        <f aca="false">IF(A101="","",A101&amp;IF(V101="",""," &lt;- "&amp;V101&amp;IF(W101="",""," &lt;- "&amp;W101&amp;IF(X101="",""," &lt;- "&amp;X101&amp;IF(Y101="",""," &lt;- "&amp;Y101))))&amp;IF(ISNUMBER(FIND(",",D101))," (+ other parents)",""))</f>
        <v/>
      </c>
      <c r="O101" s="20" t="str">
        <f aca="false">IF(A101="","",COUNTIF(Fields!$D:$D,A101))</f>
        <v/>
      </c>
      <c r="P101" s="20" t="str">
        <f aca="false">IF(A101="","",SUMIF(Fields!$D:$D,A101,Fields!$O:$O))</f>
        <v/>
      </c>
      <c r="Q101" s="30"/>
      <c r="R101" s="30"/>
      <c r="S101" s="30"/>
      <c r="T101" s="30"/>
      <c r="U101" s="30"/>
      <c r="V101" s="34" t="str">
        <f aca="false">IF(A101="","",IF(IFERROR(INDEX($D:$D,MATCH(A101,$A:$A,0)),"")="","",TRIM(IF(ISNUMBER(FIND(",",IFERROR(INDEX($D:$D,MATCH(A101,$A:$A,0)),""))),LEFT(IFERROR(INDEX($D:$D,MATCH(A101,$A:$A,0)),""),FIND(",",IFERROR(INDEX($D:$D,MATCH(A101,$A:$A,0)),""))-1),IFERROR(INDEX($D:$D,MATCH(A101,$A:$A,0)),"")))))</f>
        <v/>
      </c>
      <c r="W101" s="34" t="str">
        <f aca="false">IF(V101="","",IF(IFERROR(INDEX($D:$D,MATCH(V101,$A:$A,0)),"")="","",TRIM(IF(ISNUMBER(FIND(",",IFERROR(INDEX($D:$D,MATCH(V101,$A:$A,0)),""))),LEFT(IFERROR(INDEX($D:$D,MATCH(V101,$A:$A,0)),""),FIND(",",IFERROR(INDEX($D:$D,MATCH(V101,$A:$A,0)),""))-1),IFERROR(INDEX($D:$D,MATCH(V101,$A:$A,0)),"")))))</f>
        <v/>
      </c>
      <c r="X101" s="34" t="str">
        <f aca="false">IF(W101="","",IF(IFERROR(INDEX($D:$D,MATCH(W101,$A:$A,0)),"")="","",TRIM(IF(ISNUMBER(FIND(",",IFERROR(INDEX($D:$D,MATCH(W101,$A:$A,0)),""))),LEFT(IFERROR(INDEX($D:$D,MATCH(W101,$A:$A,0)),""),FIND(",",IFERROR(INDEX($D:$D,MATCH(W101,$A:$A,0)),""))-1),IFERROR(INDEX($D:$D,MATCH(W101,$A:$A,0)),"")))))</f>
        <v/>
      </c>
      <c r="Y101" s="34" t="str">
        <f aca="false">IF(X101="","",IF(IFERROR(INDEX($D:$D,MATCH(X101,$A:$A,0)),"")="","",TRIM(IF(ISNUMBER(FIND(",",IFERROR(INDEX($D:$D,MATCH(X101,$A:$A,0)),""))),LEFT(IFERROR(INDEX($D:$D,MATCH(X101,$A:$A,0)),""),FIND(",",IFERROR(INDEX($D:$D,MATCH(X101,$A:$A,0)),""))-1),IFERROR(INDEX($D:$D,MATCH(X101,$A:$A,0)),"")))))</f>
        <v/>
      </c>
      <c r="Z101" s="34" t="str">
        <f aca="false">IF(AND(A101&lt;&gt;"",L101="Retire"),COUNTIF($L$5:L101,"Retire"),"")</f>
        <v/>
      </c>
      <c r="AA101" s="34" t="str">
        <f aca="false">IF(AND(A101&lt;&gt;"",L101="Build"),COUNTIF($L$5:L101,"Build"),"")</f>
        <v/>
      </c>
      <c r="AB101" s="34" t="str">
        <f aca="false">IF(AND(A101&lt;&gt;"",OR(M101="4+",AND(ISNUMBER(M101),M101&gt;=2))),SUMPRODUCT(($A$5:A101&lt;&gt;"")*(($M$5:M101="4+")+(ISNUMBER($M$5:M101)*($M$5:M101&gt;=2)))),"")</f>
        <v/>
      </c>
      <c r="AC101" s="34" t="str">
        <f aca="false">IF(AND(A101&lt;&gt;"",OR(L101="",L101="Undecided",K101="")),SUMPRODUCT(($A$5:A101&lt;&gt;"")*(($L$5:L101="")+($L$5:L101="Undecided")+($K$5:K101=""))&gt;0*1),"")</f>
        <v/>
      </c>
    </row>
    <row r="102" customFormat="false" ht="15" hidden="false" customHeight="false" outlineLevel="0" collapsed="false">
      <c r="A102" s="29"/>
      <c r="B102" s="30"/>
      <c r="C102" s="30"/>
      <c r="D102" s="30"/>
      <c r="E102" s="30"/>
      <c r="F102" s="30"/>
      <c r="G102" s="30"/>
      <c r="H102" s="30"/>
      <c r="I102" s="30"/>
      <c r="J102" s="30"/>
      <c r="K102" s="30"/>
      <c r="L102" s="30"/>
      <c r="M102" s="20" t="str">
        <f aca="false">IF(A102="","",IF(V102="",0,IF(W102="",1,IF(X102="",2,IF(Y102="",3,"4+")))))</f>
        <v/>
      </c>
      <c r="N102" s="20" t="str">
        <f aca="false">IF(A102="","",A102&amp;IF(V102="",""," &lt;- "&amp;V102&amp;IF(W102="",""," &lt;- "&amp;W102&amp;IF(X102="",""," &lt;- "&amp;X102&amp;IF(Y102="",""," &lt;- "&amp;Y102))))&amp;IF(ISNUMBER(FIND(",",D102))," (+ other parents)",""))</f>
        <v/>
      </c>
      <c r="O102" s="20" t="str">
        <f aca="false">IF(A102="","",COUNTIF(Fields!$D:$D,A102))</f>
        <v/>
      </c>
      <c r="P102" s="20" t="str">
        <f aca="false">IF(A102="","",SUMIF(Fields!$D:$D,A102,Fields!$O:$O))</f>
        <v/>
      </c>
      <c r="Q102" s="30"/>
      <c r="R102" s="30"/>
      <c r="S102" s="30"/>
      <c r="T102" s="30"/>
      <c r="U102" s="30"/>
      <c r="V102" s="34" t="str">
        <f aca="false">IF(A102="","",IF(IFERROR(INDEX($D:$D,MATCH(A102,$A:$A,0)),"")="","",TRIM(IF(ISNUMBER(FIND(",",IFERROR(INDEX($D:$D,MATCH(A102,$A:$A,0)),""))),LEFT(IFERROR(INDEX($D:$D,MATCH(A102,$A:$A,0)),""),FIND(",",IFERROR(INDEX($D:$D,MATCH(A102,$A:$A,0)),""))-1),IFERROR(INDEX($D:$D,MATCH(A102,$A:$A,0)),"")))))</f>
        <v/>
      </c>
      <c r="W102" s="34" t="str">
        <f aca="false">IF(V102="","",IF(IFERROR(INDEX($D:$D,MATCH(V102,$A:$A,0)),"")="","",TRIM(IF(ISNUMBER(FIND(",",IFERROR(INDEX($D:$D,MATCH(V102,$A:$A,0)),""))),LEFT(IFERROR(INDEX($D:$D,MATCH(V102,$A:$A,0)),""),FIND(",",IFERROR(INDEX($D:$D,MATCH(V102,$A:$A,0)),""))-1),IFERROR(INDEX($D:$D,MATCH(V102,$A:$A,0)),"")))))</f>
        <v/>
      </c>
      <c r="X102" s="34" t="str">
        <f aca="false">IF(W102="","",IF(IFERROR(INDEX($D:$D,MATCH(W102,$A:$A,0)),"")="","",TRIM(IF(ISNUMBER(FIND(",",IFERROR(INDEX($D:$D,MATCH(W102,$A:$A,0)),""))),LEFT(IFERROR(INDEX($D:$D,MATCH(W102,$A:$A,0)),""),FIND(",",IFERROR(INDEX($D:$D,MATCH(W102,$A:$A,0)),""))-1),IFERROR(INDEX($D:$D,MATCH(W102,$A:$A,0)),"")))))</f>
        <v/>
      </c>
      <c r="Y102" s="34" t="str">
        <f aca="false">IF(X102="","",IF(IFERROR(INDEX($D:$D,MATCH(X102,$A:$A,0)),"")="","",TRIM(IF(ISNUMBER(FIND(",",IFERROR(INDEX($D:$D,MATCH(X102,$A:$A,0)),""))),LEFT(IFERROR(INDEX($D:$D,MATCH(X102,$A:$A,0)),""),FIND(",",IFERROR(INDEX($D:$D,MATCH(X102,$A:$A,0)),""))-1),IFERROR(INDEX($D:$D,MATCH(X102,$A:$A,0)),"")))))</f>
        <v/>
      </c>
      <c r="Z102" s="34" t="str">
        <f aca="false">IF(AND(A102&lt;&gt;"",L102="Retire"),COUNTIF($L$5:L102,"Retire"),"")</f>
        <v/>
      </c>
      <c r="AA102" s="34" t="str">
        <f aca="false">IF(AND(A102&lt;&gt;"",L102="Build"),COUNTIF($L$5:L102,"Build"),"")</f>
        <v/>
      </c>
      <c r="AB102" s="34" t="str">
        <f aca="false">IF(AND(A102&lt;&gt;"",OR(M102="4+",AND(ISNUMBER(M102),M102&gt;=2))),SUMPRODUCT(($A$5:A102&lt;&gt;"")*(($M$5:M102="4+")+(ISNUMBER($M$5:M102)*($M$5:M102&gt;=2)))),"")</f>
        <v/>
      </c>
      <c r="AC102" s="34" t="str">
        <f aca="false">IF(AND(A102&lt;&gt;"",OR(L102="",L102="Undecided",K102="")),SUMPRODUCT(($A$5:A102&lt;&gt;"")*(($L$5:L102="")+($L$5:L102="Undecided")+($K$5:K102=""))&gt;0*1),"")</f>
        <v/>
      </c>
    </row>
    <row r="103" customFormat="false" ht="15" hidden="false" customHeight="false" outlineLevel="0" collapsed="false">
      <c r="A103" s="29"/>
      <c r="B103" s="30"/>
      <c r="C103" s="30"/>
      <c r="D103" s="30"/>
      <c r="E103" s="30"/>
      <c r="F103" s="30"/>
      <c r="G103" s="30"/>
      <c r="H103" s="30"/>
      <c r="I103" s="30"/>
      <c r="J103" s="30"/>
      <c r="K103" s="30"/>
      <c r="L103" s="30"/>
      <c r="M103" s="20" t="str">
        <f aca="false">IF(A103="","",IF(V103="",0,IF(W103="",1,IF(X103="",2,IF(Y103="",3,"4+")))))</f>
        <v/>
      </c>
      <c r="N103" s="20" t="str">
        <f aca="false">IF(A103="","",A103&amp;IF(V103="",""," &lt;- "&amp;V103&amp;IF(W103="",""," &lt;- "&amp;W103&amp;IF(X103="",""," &lt;- "&amp;X103&amp;IF(Y103="",""," &lt;- "&amp;Y103))))&amp;IF(ISNUMBER(FIND(",",D103))," (+ other parents)",""))</f>
        <v/>
      </c>
      <c r="O103" s="20" t="str">
        <f aca="false">IF(A103="","",COUNTIF(Fields!$D:$D,A103))</f>
        <v/>
      </c>
      <c r="P103" s="20" t="str">
        <f aca="false">IF(A103="","",SUMIF(Fields!$D:$D,A103,Fields!$O:$O))</f>
        <v/>
      </c>
      <c r="Q103" s="30"/>
      <c r="R103" s="30"/>
      <c r="S103" s="30"/>
      <c r="T103" s="30"/>
      <c r="U103" s="30"/>
      <c r="V103" s="34" t="str">
        <f aca="false">IF(A103="","",IF(IFERROR(INDEX($D:$D,MATCH(A103,$A:$A,0)),"")="","",TRIM(IF(ISNUMBER(FIND(",",IFERROR(INDEX($D:$D,MATCH(A103,$A:$A,0)),""))),LEFT(IFERROR(INDEX($D:$D,MATCH(A103,$A:$A,0)),""),FIND(",",IFERROR(INDEX($D:$D,MATCH(A103,$A:$A,0)),""))-1),IFERROR(INDEX($D:$D,MATCH(A103,$A:$A,0)),"")))))</f>
        <v/>
      </c>
      <c r="W103" s="34" t="str">
        <f aca="false">IF(V103="","",IF(IFERROR(INDEX($D:$D,MATCH(V103,$A:$A,0)),"")="","",TRIM(IF(ISNUMBER(FIND(",",IFERROR(INDEX($D:$D,MATCH(V103,$A:$A,0)),""))),LEFT(IFERROR(INDEX($D:$D,MATCH(V103,$A:$A,0)),""),FIND(",",IFERROR(INDEX($D:$D,MATCH(V103,$A:$A,0)),""))-1),IFERROR(INDEX($D:$D,MATCH(V103,$A:$A,0)),"")))))</f>
        <v/>
      </c>
      <c r="X103" s="34" t="str">
        <f aca="false">IF(W103="","",IF(IFERROR(INDEX($D:$D,MATCH(W103,$A:$A,0)),"")="","",TRIM(IF(ISNUMBER(FIND(",",IFERROR(INDEX($D:$D,MATCH(W103,$A:$A,0)),""))),LEFT(IFERROR(INDEX($D:$D,MATCH(W103,$A:$A,0)),""),FIND(",",IFERROR(INDEX($D:$D,MATCH(W103,$A:$A,0)),""))-1),IFERROR(INDEX($D:$D,MATCH(W103,$A:$A,0)),"")))))</f>
        <v/>
      </c>
      <c r="Y103" s="34" t="str">
        <f aca="false">IF(X103="","",IF(IFERROR(INDEX($D:$D,MATCH(X103,$A:$A,0)),"")="","",TRIM(IF(ISNUMBER(FIND(",",IFERROR(INDEX($D:$D,MATCH(X103,$A:$A,0)),""))),LEFT(IFERROR(INDEX($D:$D,MATCH(X103,$A:$A,0)),""),FIND(",",IFERROR(INDEX($D:$D,MATCH(X103,$A:$A,0)),""))-1),IFERROR(INDEX($D:$D,MATCH(X103,$A:$A,0)),"")))))</f>
        <v/>
      </c>
      <c r="Z103" s="34" t="str">
        <f aca="false">IF(AND(A103&lt;&gt;"",L103="Retire"),COUNTIF($L$5:L103,"Retire"),"")</f>
        <v/>
      </c>
      <c r="AA103" s="34" t="str">
        <f aca="false">IF(AND(A103&lt;&gt;"",L103="Build"),COUNTIF($L$5:L103,"Build"),"")</f>
        <v/>
      </c>
      <c r="AB103" s="34" t="str">
        <f aca="false">IF(AND(A103&lt;&gt;"",OR(M103="4+",AND(ISNUMBER(M103),M103&gt;=2))),SUMPRODUCT(($A$5:A103&lt;&gt;"")*(($M$5:M103="4+")+(ISNUMBER($M$5:M103)*($M$5:M103&gt;=2)))),"")</f>
        <v/>
      </c>
      <c r="AC103" s="34" t="str">
        <f aca="false">IF(AND(A103&lt;&gt;"",OR(L103="",L103="Undecided",K103="")),SUMPRODUCT(($A$5:A103&lt;&gt;"")*(($L$5:L103="")+($L$5:L103="Undecided")+($K$5:K103=""))&gt;0*1),"")</f>
        <v/>
      </c>
    </row>
    <row r="104" customFormat="false" ht="15" hidden="false" customHeight="false" outlineLevel="0" collapsed="false">
      <c r="A104" s="29"/>
      <c r="B104" s="30"/>
      <c r="C104" s="30"/>
      <c r="D104" s="30"/>
      <c r="E104" s="30"/>
      <c r="F104" s="30"/>
      <c r="G104" s="30"/>
      <c r="H104" s="30"/>
      <c r="I104" s="30"/>
      <c r="J104" s="30"/>
      <c r="K104" s="30"/>
      <c r="L104" s="30"/>
      <c r="M104" s="20" t="str">
        <f aca="false">IF(A104="","",IF(V104="",0,IF(W104="",1,IF(X104="",2,IF(Y104="",3,"4+")))))</f>
        <v/>
      </c>
      <c r="N104" s="20" t="str">
        <f aca="false">IF(A104="","",A104&amp;IF(V104="",""," &lt;- "&amp;V104&amp;IF(W104="",""," &lt;- "&amp;W104&amp;IF(X104="",""," &lt;- "&amp;X104&amp;IF(Y104="",""," &lt;- "&amp;Y104))))&amp;IF(ISNUMBER(FIND(",",D104))," (+ other parents)",""))</f>
        <v/>
      </c>
      <c r="O104" s="20" t="str">
        <f aca="false">IF(A104="","",COUNTIF(Fields!$D:$D,A104))</f>
        <v/>
      </c>
      <c r="P104" s="20" t="str">
        <f aca="false">IF(A104="","",SUMIF(Fields!$D:$D,A104,Fields!$O:$O))</f>
        <v/>
      </c>
      <c r="Q104" s="30"/>
      <c r="R104" s="30"/>
      <c r="S104" s="30"/>
      <c r="T104" s="30"/>
      <c r="U104" s="30"/>
      <c r="V104" s="34" t="str">
        <f aca="false">IF(A104="","",IF(IFERROR(INDEX($D:$D,MATCH(A104,$A:$A,0)),"")="","",TRIM(IF(ISNUMBER(FIND(",",IFERROR(INDEX($D:$D,MATCH(A104,$A:$A,0)),""))),LEFT(IFERROR(INDEX($D:$D,MATCH(A104,$A:$A,0)),""),FIND(",",IFERROR(INDEX($D:$D,MATCH(A104,$A:$A,0)),""))-1),IFERROR(INDEX($D:$D,MATCH(A104,$A:$A,0)),"")))))</f>
        <v/>
      </c>
      <c r="W104" s="34" t="str">
        <f aca="false">IF(V104="","",IF(IFERROR(INDEX($D:$D,MATCH(V104,$A:$A,0)),"")="","",TRIM(IF(ISNUMBER(FIND(",",IFERROR(INDEX($D:$D,MATCH(V104,$A:$A,0)),""))),LEFT(IFERROR(INDEX($D:$D,MATCH(V104,$A:$A,0)),""),FIND(",",IFERROR(INDEX($D:$D,MATCH(V104,$A:$A,0)),""))-1),IFERROR(INDEX($D:$D,MATCH(V104,$A:$A,0)),"")))))</f>
        <v/>
      </c>
      <c r="X104" s="34" t="str">
        <f aca="false">IF(W104="","",IF(IFERROR(INDEX($D:$D,MATCH(W104,$A:$A,0)),"")="","",TRIM(IF(ISNUMBER(FIND(",",IFERROR(INDEX($D:$D,MATCH(W104,$A:$A,0)),""))),LEFT(IFERROR(INDEX($D:$D,MATCH(W104,$A:$A,0)),""),FIND(",",IFERROR(INDEX($D:$D,MATCH(W104,$A:$A,0)),""))-1),IFERROR(INDEX($D:$D,MATCH(W104,$A:$A,0)),"")))))</f>
        <v/>
      </c>
      <c r="Y104" s="34" t="str">
        <f aca="false">IF(X104="","",IF(IFERROR(INDEX($D:$D,MATCH(X104,$A:$A,0)),"")="","",TRIM(IF(ISNUMBER(FIND(",",IFERROR(INDEX($D:$D,MATCH(X104,$A:$A,0)),""))),LEFT(IFERROR(INDEX($D:$D,MATCH(X104,$A:$A,0)),""),FIND(",",IFERROR(INDEX($D:$D,MATCH(X104,$A:$A,0)),""))-1),IFERROR(INDEX($D:$D,MATCH(X104,$A:$A,0)),"")))))</f>
        <v/>
      </c>
      <c r="Z104" s="34" t="str">
        <f aca="false">IF(AND(A104&lt;&gt;"",L104="Retire"),COUNTIF($L$5:L104,"Retire"),"")</f>
        <v/>
      </c>
      <c r="AA104" s="34" t="str">
        <f aca="false">IF(AND(A104&lt;&gt;"",L104="Build"),COUNTIF($L$5:L104,"Build"),"")</f>
        <v/>
      </c>
      <c r="AB104" s="34" t="str">
        <f aca="false">IF(AND(A104&lt;&gt;"",OR(M104="4+",AND(ISNUMBER(M104),M104&gt;=2))),SUMPRODUCT(($A$5:A104&lt;&gt;"")*(($M$5:M104="4+")+(ISNUMBER($M$5:M104)*($M$5:M104&gt;=2)))),"")</f>
        <v/>
      </c>
      <c r="AC104" s="34" t="str">
        <f aca="false">IF(AND(A104&lt;&gt;"",OR(L104="",L104="Undecided",K104="")),SUMPRODUCT(($A$5:A104&lt;&gt;"")*(($L$5:L104="")+($L$5:L104="Undecided")+($K$5:K104=""))&gt;0*1),"")</f>
        <v/>
      </c>
    </row>
    <row r="105" customFormat="false" ht="15" hidden="false" customHeight="false" outlineLevel="0" collapsed="false">
      <c r="A105" s="29"/>
      <c r="B105" s="30"/>
      <c r="C105" s="30"/>
      <c r="D105" s="30"/>
      <c r="E105" s="30"/>
      <c r="F105" s="30"/>
      <c r="G105" s="30"/>
      <c r="H105" s="30"/>
      <c r="I105" s="30"/>
      <c r="J105" s="30"/>
      <c r="K105" s="30"/>
      <c r="L105" s="30"/>
      <c r="M105" s="20" t="str">
        <f aca="false">IF(A105="","",IF(V105="",0,IF(W105="",1,IF(X105="",2,IF(Y105="",3,"4+")))))</f>
        <v/>
      </c>
      <c r="N105" s="20" t="str">
        <f aca="false">IF(A105="","",A105&amp;IF(V105="",""," &lt;- "&amp;V105&amp;IF(W105="",""," &lt;- "&amp;W105&amp;IF(X105="",""," &lt;- "&amp;X105&amp;IF(Y105="",""," &lt;- "&amp;Y105))))&amp;IF(ISNUMBER(FIND(",",D105))," (+ other parents)",""))</f>
        <v/>
      </c>
      <c r="O105" s="20" t="str">
        <f aca="false">IF(A105="","",COUNTIF(Fields!$D:$D,A105))</f>
        <v/>
      </c>
      <c r="P105" s="20" t="str">
        <f aca="false">IF(A105="","",SUMIF(Fields!$D:$D,A105,Fields!$O:$O))</f>
        <v/>
      </c>
      <c r="Q105" s="30"/>
      <c r="R105" s="30"/>
      <c r="S105" s="30"/>
      <c r="T105" s="30"/>
      <c r="U105" s="30"/>
      <c r="V105" s="34" t="str">
        <f aca="false">IF(A105="","",IF(IFERROR(INDEX($D:$D,MATCH(A105,$A:$A,0)),"")="","",TRIM(IF(ISNUMBER(FIND(",",IFERROR(INDEX($D:$D,MATCH(A105,$A:$A,0)),""))),LEFT(IFERROR(INDEX($D:$D,MATCH(A105,$A:$A,0)),""),FIND(",",IFERROR(INDEX($D:$D,MATCH(A105,$A:$A,0)),""))-1),IFERROR(INDEX($D:$D,MATCH(A105,$A:$A,0)),"")))))</f>
        <v/>
      </c>
      <c r="W105" s="34" t="str">
        <f aca="false">IF(V105="","",IF(IFERROR(INDEX($D:$D,MATCH(V105,$A:$A,0)),"")="","",TRIM(IF(ISNUMBER(FIND(",",IFERROR(INDEX($D:$D,MATCH(V105,$A:$A,0)),""))),LEFT(IFERROR(INDEX($D:$D,MATCH(V105,$A:$A,0)),""),FIND(",",IFERROR(INDEX($D:$D,MATCH(V105,$A:$A,0)),""))-1),IFERROR(INDEX($D:$D,MATCH(V105,$A:$A,0)),"")))))</f>
        <v/>
      </c>
      <c r="X105" s="34" t="str">
        <f aca="false">IF(W105="","",IF(IFERROR(INDEX($D:$D,MATCH(W105,$A:$A,0)),"")="","",TRIM(IF(ISNUMBER(FIND(",",IFERROR(INDEX($D:$D,MATCH(W105,$A:$A,0)),""))),LEFT(IFERROR(INDEX($D:$D,MATCH(W105,$A:$A,0)),""),FIND(",",IFERROR(INDEX($D:$D,MATCH(W105,$A:$A,0)),""))-1),IFERROR(INDEX($D:$D,MATCH(W105,$A:$A,0)),"")))))</f>
        <v/>
      </c>
      <c r="Y105" s="34" t="str">
        <f aca="false">IF(X105="","",IF(IFERROR(INDEX($D:$D,MATCH(X105,$A:$A,0)),"")="","",TRIM(IF(ISNUMBER(FIND(",",IFERROR(INDEX($D:$D,MATCH(X105,$A:$A,0)),""))),LEFT(IFERROR(INDEX($D:$D,MATCH(X105,$A:$A,0)),""),FIND(",",IFERROR(INDEX($D:$D,MATCH(X105,$A:$A,0)),""))-1),IFERROR(INDEX($D:$D,MATCH(X105,$A:$A,0)),"")))))</f>
        <v/>
      </c>
      <c r="Z105" s="34" t="str">
        <f aca="false">IF(AND(A105&lt;&gt;"",L105="Retire"),COUNTIF($L$5:L105,"Retire"),"")</f>
        <v/>
      </c>
      <c r="AA105" s="34" t="str">
        <f aca="false">IF(AND(A105&lt;&gt;"",L105="Build"),COUNTIF($L$5:L105,"Build"),"")</f>
        <v/>
      </c>
      <c r="AB105" s="34" t="str">
        <f aca="false">IF(AND(A105&lt;&gt;"",OR(M105="4+",AND(ISNUMBER(M105),M105&gt;=2))),SUMPRODUCT(($A$5:A105&lt;&gt;"")*(($M$5:M105="4+")+(ISNUMBER($M$5:M105)*($M$5:M105&gt;=2)))),"")</f>
        <v/>
      </c>
      <c r="AC105" s="34" t="str">
        <f aca="false">IF(AND(A105&lt;&gt;"",OR(L105="",L105="Undecided",K105="")),SUMPRODUCT(($A$5:A105&lt;&gt;"")*(($L$5:L105="")+($L$5:L105="Undecided")+($K$5:K105=""))&gt;0*1),"")</f>
        <v/>
      </c>
    </row>
    <row r="106" customFormat="false" ht="15" hidden="false" customHeight="false" outlineLevel="0" collapsed="false">
      <c r="A106" s="29"/>
      <c r="B106" s="30"/>
      <c r="C106" s="30"/>
      <c r="D106" s="30"/>
      <c r="E106" s="30"/>
      <c r="F106" s="30"/>
      <c r="G106" s="30"/>
      <c r="H106" s="30"/>
      <c r="I106" s="30"/>
      <c r="J106" s="30"/>
      <c r="K106" s="30"/>
      <c r="L106" s="30"/>
      <c r="M106" s="20" t="str">
        <f aca="false">IF(A106="","",IF(V106="",0,IF(W106="",1,IF(X106="",2,IF(Y106="",3,"4+")))))</f>
        <v/>
      </c>
      <c r="N106" s="20" t="str">
        <f aca="false">IF(A106="","",A106&amp;IF(V106="",""," &lt;- "&amp;V106&amp;IF(W106="",""," &lt;- "&amp;W106&amp;IF(X106="",""," &lt;- "&amp;X106&amp;IF(Y106="",""," &lt;- "&amp;Y106))))&amp;IF(ISNUMBER(FIND(",",D106))," (+ other parents)",""))</f>
        <v/>
      </c>
      <c r="O106" s="20" t="str">
        <f aca="false">IF(A106="","",COUNTIF(Fields!$D:$D,A106))</f>
        <v/>
      </c>
      <c r="P106" s="20" t="str">
        <f aca="false">IF(A106="","",SUMIF(Fields!$D:$D,A106,Fields!$O:$O))</f>
        <v/>
      </c>
      <c r="Q106" s="30"/>
      <c r="R106" s="30"/>
      <c r="S106" s="30"/>
      <c r="T106" s="30"/>
      <c r="U106" s="30"/>
      <c r="V106" s="34" t="str">
        <f aca="false">IF(A106="","",IF(IFERROR(INDEX($D:$D,MATCH(A106,$A:$A,0)),"")="","",TRIM(IF(ISNUMBER(FIND(",",IFERROR(INDEX($D:$D,MATCH(A106,$A:$A,0)),""))),LEFT(IFERROR(INDEX($D:$D,MATCH(A106,$A:$A,0)),""),FIND(",",IFERROR(INDEX($D:$D,MATCH(A106,$A:$A,0)),""))-1),IFERROR(INDEX($D:$D,MATCH(A106,$A:$A,0)),"")))))</f>
        <v/>
      </c>
      <c r="W106" s="34" t="str">
        <f aca="false">IF(V106="","",IF(IFERROR(INDEX($D:$D,MATCH(V106,$A:$A,0)),"")="","",TRIM(IF(ISNUMBER(FIND(",",IFERROR(INDEX($D:$D,MATCH(V106,$A:$A,0)),""))),LEFT(IFERROR(INDEX($D:$D,MATCH(V106,$A:$A,0)),""),FIND(",",IFERROR(INDEX($D:$D,MATCH(V106,$A:$A,0)),""))-1),IFERROR(INDEX($D:$D,MATCH(V106,$A:$A,0)),"")))))</f>
        <v/>
      </c>
      <c r="X106" s="34" t="str">
        <f aca="false">IF(W106="","",IF(IFERROR(INDEX($D:$D,MATCH(W106,$A:$A,0)),"")="","",TRIM(IF(ISNUMBER(FIND(",",IFERROR(INDEX($D:$D,MATCH(W106,$A:$A,0)),""))),LEFT(IFERROR(INDEX($D:$D,MATCH(W106,$A:$A,0)),""),FIND(",",IFERROR(INDEX($D:$D,MATCH(W106,$A:$A,0)),""))-1),IFERROR(INDEX($D:$D,MATCH(W106,$A:$A,0)),"")))))</f>
        <v/>
      </c>
      <c r="Y106" s="34" t="str">
        <f aca="false">IF(X106="","",IF(IFERROR(INDEX($D:$D,MATCH(X106,$A:$A,0)),"")="","",TRIM(IF(ISNUMBER(FIND(",",IFERROR(INDEX($D:$D,MATCH(X106,$A:$A,0)),""))),LEFT(IFERROR(INDEX($D:$D,MATCH(X106,$A:$A,0)),""),FIND(",",IFERROR(INDEX($D:$D,MATCH(X106,$A:$A,0)),""))-1),IFERROR(INDEX($D:$D,MATCH(X106,$A:$A,0)),"")))))</f>
        <v/>
      </c>
      <c r="Z106" s="34" t="str">
        <f aca="false">IF(AND(A106&lt;&gt;"",L106="Retire"),COUNTIF($L$5:L106,"Retire"),"")</f>
        <v/>
      </c>
      <c r="AA106" s="34" t="str">
        <f aca="false">IF(AND(A106&lt;&gt;"",L106="Build"),COUNTIF($L$5:L106,"Build"),"")</f>
        <v/>
      </c>
      <c r="AB106" s="34" t="str">
        <f aca="false">IF(AND(A106&lt;&gt;"",OR(M106="4+",AND(ISNUMBER(M106),M106&gt;=2))),SUMPRODUCT(($A$5:A106&lt;&gt;"")*(($M$5:M106="4+")+(ISNUMBER($M$5:M106)*($M$5:M106&gt;=2)))),"")</f>
        <v/>
      </c>
      <c r="AC106" s="34" t="str">
        <f aca="false">IF(AND(A106&lt;&gt;"",OR(L106="",L106="Undecided",K106="")),SUMPRODUCT(($A$5:A106&lt;&gt;"")*(($L$5:L106="")+($L$5:L106="Undecided")+($K$5:K106=""))&gt;0*1),"")</f>
        <v/>
      </c>
    </row>
    <row r="107" customFormat="false" ht="15" hidden="false" customHeight="false" outlineLevel="0" collapsed="false">
      <c r="A107" s="29"/>
      <c r="B107" s="30"/>
      <c r="C107" s="30"/>
      <c r="D107" s="30"/>
      <c r="E107" s="30"/>
      <c r="F107" s="30"/>
      <c r="G107" s="30"/>
      <c r="H107" s="30"/>
      <c r="I107" s="30"/>
      <c r="J107" s="30"/>
      <c r="K107" s="30"/>
      <c r="L107" s="30"/>
      <c r="M107" s="20" t="str">
        <f aca="false">IF(A107="","",IF(V107="",0,IF(W107="",1,IF(X107="",2,IF(Y107="",3,"4+")))))</f>
        <v/>
      </c>
      <c r="N107" s="20" t="str">
        <f aca="false">IF(A107="","",A107&amp;IF(V107="",""," &lt;- "&amp;V107&amp;IF(W107="",""," &lt;- "&amp;W107&amp;IF(X107="",""," &lt;- "&amp;X107&amp;IF(Y107="",""," &lt;- "&amp;Y107))))&amp;IF(ISNUMBER(FIND(",",D107))," (+ other parents)",""))</f>
        <v/>
      </c>
      <c r="O107" s="20" t="str">
        <f aca="false">IF(A107="","",COUNTIF(Fields!$D:$D,A107))</f>
        <v/>
      </c>
      <c r="P107" s="20" t="str">
        <f aca="false">IF(A107="","",SUMIF(Fields!$D:$D,A107,Fields!$O:$O))</f>
        <v/>
      </c>
      <c r="Q107" s="30"/>
      <c r="R107" s="30"/>
      <c r="S107" s="30"/>
      <c r="T107" s="30"/>
      <c r="U107" s="30"/>
      <c r="V107" s="34" t="str">
        <f aca="false">IF(A107="","",IF(IFERROR(INDEX($D:$D,MATCH(A107,$A:$A,0)),"")="","",TRIM(IF(ISNUMBER(FIND(",",IFERROR(INDEX($D:$D,MATCH(A107,$A:$A,0)),""))),LEFT(IFERROR(INDEX($D:$D,MATCH(A107,$A:$A,0)),""),FIND(",",IFERROR(INDEX($D:$D,MATCH(A107,$A:$A,0)),""))-1),IFERROR(INDEX($D:$D,MATCH(A107,$A:$A,0)),"")))))</f>
        <v/>
      </c>
      <c r="W107" s="34" t="str">
        <f aca="false">IF(V107="","",IF(IFERROR(INDEX($D:$D,MATCH(V107,$A:$A,0)),"")="","",TRIM(IF(ISNUMBER(FIND(",",IFERROR(INDEX($D:$D,MATCH(V107,$A:$A,0)),""))),LEFT(IFERROR(INDEX($D:$D,MATCH(V107,$A:$A,0)),""),FIND(",",IFERROR(INDEX($D:$D,MATCH(V107,$A:$A,0)),""))-1),IFERROR(INDEX($D:$D,MATCH(V107,$A:$A,0)),"")))))</f>
        <v/>
      </c>
      <c r="X107" s="34" t="str">
        <f aca="false">IF(W107="","",IF(IFERROR(INDEX($D:$D,MATCH(W107,$A:$A,0)),"")="","",TRIM(IF(ISNUMBER(FIND(",",IFERROR(INDEX($D:$D,MATCH(W107,$A:$A,0)),""))),LEFT(IFERROR(INDEX($D:$D,MATCH(W107,$A:$A,0)),""),FIND(",",IFERROR(INDEX($D:$D,MATCH(W107,$A:$A,0)),""))-1),IFERROR(INDEX($D:$D,MATCH(W107,$A:$A,0)),"")))))</f>
        <v/>
      </c>
      <c r="Y107" s="34" t="str">
        <f aca="false">IF(X107="","",IF(IFERROR(INDEX($D:$D,MATCH(X107,$A:$A,0)),"")="","",TRIM(IF(ISNUMBER(FIND(",",IFERROR(INDEX($D:$D,MATCH(X107,$A:$A,0)),""))),LEFT(IFERROR(INDEX($D:$D,MATCH(X107,$A:$A,0)),""),FIND(",",IFERROR(INDEX($D:$D,MATCH(X107,$A:$A,0)),""))-1),IFERROR(INDEX($D:$D,MATCH(X107,$A:$A,0)),"")))))</f>
        <v/>
      </c>
      <c r="Z107" s="34" t="str">
        <f aca="false">IF(AND(A107&lt;&gt;"",L107="Retire"),COUNTIF($L$5:L107,"Retire"),"")</f>
        <v/>
      </c>
      <c r="AA107" s="34" t="str">
        <f aca="false">IF(AND(A107&lt;&gt;"",L107="Build"),COUNTIF($L$5:L107,"Build"),"")</f>
        <v/>
      </c>
      <c r="AB107" s="34" t="str">
        <f aca="false">IF(AND(A107&lt;&gt;"",OR(M107="4+",AND(ISNUMBER(M107),M107&gt;=2))),SUMPRODUCT(($A$5:A107&lt;&gt;"")*(($M$5:M107="4+")+(ISNUMBER($M$5:M107)*($M$5:M107&gt;=2)))),"")</f>
        <v/>
      </c>
      <c r="AC107" s="34" t="str">
        <f aca="false">IF(AND(A107&lt;&gt;"",OR(L107="",L107="Undecided",K107="")),SUMPRODUCT(($A$5:A107&lt;&gt;"")*(($L$5:L107="")+($L$5:L107="Undecided")+($K$5:K107=""))&gt;0*1),"")</f>
        <v/>
      </c>
    </row>
    <row r="108" customFormat="false" ht="15" hidden="false" customHeight="false" outlineLevel="0" collapsed="false">
      <c r="A108" s="29"/>
      <c r="B108" s="30"/>
      <c r="C108" s="30"/>
      <c r="D108" s="30"/>
      <c r="E108" s="30"/>
      <c r="F108" s="30"/>
      <c r="G108" s="30"/>
      <c r="H108" s="30"/>
      <c r="I108" s="30"/>
      <c r="J108" s="30"/>
      <c r="K108" s="30"/>
      <c r="L108" s="30"/>
      <c r="M108" s="20" t="str">
        <f aca="false">IF(A108="","",IF(V108="",0,IF(W108="",1,IF(X108="",2,IF(Y108="",3,"4+")))))</f>
        <v/>
      </c>
      <c r="N108" s="20" t="str">
        <f aca="false">IF(A108="","",A108&amp;IF(V108="",""," &lt;- "&amp;V108&amp;IF(W108="",""," &lt;- "&amp;W108&amp;IF(X108="",""," &lt;- "&amp;X108&amp;IF(Y108="",""," &lt;- "&amp;Y108))))&amp;IF(ISNUMBER(FIND(",",D108))," (+ other parents)",""))</f>
        <v/>
      </c>
      <c r="O108" s="20" t="str">
        <f aca="false">IF(A108="","",COUNTIF(Fields!$D:$D,A108))</f>
        <v/>
      </c>
      <c r="P108" s="20" t="str">
        <f aca="false">IF(A108="","",SUMIF(Fields!$D:$D,A108,Fields!$O:$O))</f>
        <v/>
      </c>
      <c r="Q108" s="30"/>
      <c r="R108" s="30"/>
      <c r="S108" s="30"/>
      <c r="T108" s="30"/>
      <c r="U108" s="30"/>
      <c r="V108" s="34" t="str">
        <f aca="false">IF(A108="","",IF(IFERROR(INDEX($D:$D,MATCH(A108,$A:$A,0)),"")="","",TRIM(IF(ISNUMBER(FIND(",",IFERROR(INDEX($D:$D,MATCH(A108,$A:$A,0)),""))),LEFT(IFERROR(INDEX($D:$D,MATCH(A108,$A:$A,0)),""),FIND(",",IFERROR(INDEX($D:$D,MATCH(A108,$A:$A,0)),""))-1),IFERROR(INDEX($D:$D,MATCH(A108,$A:$A,0)),"")))))</f>
        <v/>
      </c>
      <c r="W108" s="34" t="str">
        <f aca="false">IF(V108="","",IF(IFERROR(INDEX($D:$D,MATCH(V108,$A:$A,0)),"")="","",TRIM(IF(ISNUMBER(FIND(",",IFERROR(INDEX($D:$D,MATCH(V108,$A:$A,0)),""))),LEFT(IFERROR(INDEX($D:$D,MATCH(V108,$A:$A,0)),""),FIND(",",IFERROR(INDEX($D:$D,MATCH(V108,$A:$A,0)),""))-1),IFERROR(INDEX($D:$D,MATCH(V108,$A:$A,0)),"")))))</f>
        <v/>
      </c>
      <c r="X108" s="34" t="str">
        <f aca="false">IF(W108="","",IF(IFERROR(INDEX($D:$D,MATCH(W108,$A:$A,0)),"")="","",TRIM(IF(ISNUMBER(FIND(",",IFERROR(INDEX($D:$D,MATCH(W108,$A:$A,0)),""))),LEFT(IFERROR(INDEX($D:$D,MATCH(W108,$A:$A,0)),""),FIND(",",IFERROR(INDEX($D:$D,MATCH(W108,$A:$A,0)),""))-1),IFERROR(INDEX($D:$D,MATCH(W108,$A:$A,0)),"")))))</f>
        <v/>
      </c>
      <c r="Y108" s="34" t="str">
        <f aca="false">IF(X108="","",IF(IFERROR(INDEX($D:$D,MATCH(X108,$A:$A,0)),"")="","",TRIM(IF(ISNUMBER(FIND(",",IFERROR(INDEX($D:$D,MATCH(X108,$A:$A,0)),""))),LEFT(IFERROR(INDEX($D:$D,MATCH(X108,$A:$A,0)),""),FIND(",",IFERROR(INDEX($D:$D,MATCH(X108,$A:$A,0)),""))-1),IFERROR(INDEX($D:$D,MATCH(X108,$A:$A,0)),"")))))</f>
        <v/>
      </c>
      <c r="Z108" s="34" t="str">
        <f aca="false">IF(AND(A108&lt;&gt;"",L108="Retire"),COUNTIF($L$5:L108,"Retire"),"")</f>
        <v/>
      </c>
      <c r="AA108" s="34" t="str">
        <f aca="false">IF(AND(A108&lt;&gt;"",L108="Build"),COUNTIF($L$5:L108,"Build"),"")</f>
        <v/>
      </c>
      <c r="AB108" s="34" t="str">
        <f aca="false">IF(AND(A108&lt;&gt;"",OR(M108="4+",AND(ISNUMBER(M108),M108&gt;=2))),SUMPRODUCT(($A$5:A108&lt;&gt;"")*(($M$5:M108="4+")+(ISNUMBER($M$5:M108)*($M$5:M108&gt;=2)))),"")</f>
        <v/>
      </c>
      <c r="AC108" s="34" t="str">
        <f aca="false">IF(AND(A108&lt;&gt;"",OR(L108="",L108="Undecided",K108="")),SUMPRODUCT(($A$5:A108&lt;&gt;"")*(($L$5:L108="")+($L$5:L108="Undecided")+($K$5:K108=""))&gt;0*1),"")</f>
        <v/>
      </c>
    </row>
    <row r="109" customFormat="false" ht="15" hidden="false" customHeight="false" outlineLevel="0" collapsed="false">
      <c r="A109" s="29"/>
      <c r="B109" s="30"/>
      <c r="C109" s="30"/>
      <c r="D109" s="30"/>
      <c r="E109" s="30"/>
      <c r="F109" s="30"/>
      <c r="G109" s="30"/>
      <c r="H109" s="30"/>
      <c r="I109" s="30"/>
      <c r="J109" s="30"/>
      <c r="K109" s="30"/>
      <c r="L109" s="30"/>
      <c r="M109" s="20" t="str">
        <f aca="false">IF(A109="","",IF(V109="",0,IF(W109="",1,IF(X109="",2,IF(Y109="",3,"4+")))))</f>
        <v/>
      </c>
      <c r="N109" s="20" t="str">
        <f aca="false">IF(A109="","",A109&amp;IF(V109="",""," &lt;- "&amp;V109&amp;IF(W109="",""," &lt;- "&amp;W109&amp;IF(X109="",""," &lt;- "&amp;X109&amp;IF(Y109="",""," &lt;- "&amp;Y109))))&amp;IF(ISNUMBER(FIND(",",D109))," (+ other parents)",""))</f>
        <v/>
      </c>
      <c r="O109" s="20" t="str">
        <f aca="false">IF(A109="","",COUNTIF(Fields!$D:$D,A109))</f>
        <v/>
      </c>
      <c r="P109" s="20" t="str">
        <f aca="false">IF(A109="","",SUMIF(Fields!$D:$D,A109,Fields!$O:$O))</f>
        <v/>
      </c>
      <c r="Q109" s="30"/>
      <c r="R109" s="30"/>
      <c r="S109" s="30"/>
      <c r="T109" s="30"/>
      <c r="U109" s="30"/>
      <c r="V109" s="34" t="str">
        <f aca="false">IF(A109="","",IF(IFERROR(INDEX($D:$D,MATCH(A109,$A:$A,0)),"")="","",TRIM(IF(ISNUMBER(FIND(",",IFERROR(INDEX($D:$D,MATCH(A109,$A:$A,0)),""))),LEFT(IFERROR(INDEX($D:$D,MATCH(A109,$A:$A,0)),""),FIND(",",IFERROR(INDEX($D:$D,MATCH(A109,$A:$A,0)),""))-1),IFERROR(INDEX($D:$D,MATCH(A109,$A:$A,0)),"")))))</f>
        <v/>
      </c>
      <c r="W109" s="34" t="str">
        <f aca="false">IF(V109="","",IF(IFERROR(INDEX($D:$D,MATCH(V109,$A:$A,0)),"")="","",TRIM(IF(ISNUMBER(FIND(",",IFERROR(INDEX($D:$D,MATCH(V109,$A:$A,0)),""))),LEFT(IFERROR(INDEX($D:$D,MATCH(V109,$A:$A,0)),""),FIND(",",IFERROR(INDEX($D:$D,MATCH(V109,$A:$A,0)),""))-1),IFERROR(INDEX($D:$D,MATCH(V109,$A:$A,0)),"")))))</f>
        <v/>
      </c>
      <c r="X109" s="34" t="str">
        <f aca="false">IF(W109="","",IF(IFERROR(INDEX($D:$D,MATCH(W109,$A:$A,0)),"")="","",TRIM(IF(ISNUMBER(FIND(",",IFERROR(INDEX($D:$D,MATCH(W109,$A:$A,0)),""))),LEFT(IFERROR(INDEX($D:$D,MATCH(W109,$A:$A,0)),""),FIND(",",IFERROR(INDEX($D:$D,MATCH(W109,$A:$A,0)),""))-1),IFERROR(INDEX($D:$D,MATCH(W109,$A:$A,0)),"")))))</f>
        <v/>
      </c>
      <c r="Y109" s="34" t="str">
        <f aca="false">IF(X109="","",IF(IFERROR(INDEX($D:$D,MATCH(X109,$A:$A,0)),"")="","",TRIM(IF(ISNUMBER(FIND(",",IFERROR(INDEX($D:$D,MATCH(X109,$A:$A,0)),""))),LEFT(IFERROR(INDEX($D:$D,MATCH(X109,$A:$A,0)),""),FIND(",",IFERROR(INDEX($D:$D,MATCH(X109,$A:$A,0)),""))-1),IFERROR(INDEX($D:$D,MATCH(X109,$A:$A,0)),"")))))</f>
        <v/>
      </c>
      <c r="Z109" s="34" t="str">
        <f aca="false">IF(AND(A109&lt;&gt;"",L109="Retire"),COUNTIF($L$5:L109,"Retire"),"")</f>
        <v/>
      </c>
      <c r="AA109" s="34" t="str">
        <f aca="false">IF(AND(A109&lt;&gt;"",L109="Build"),COUNTIF($L$5:L109,"Build"),"")</f>
        <v/>
      </c>
      <c r="AB109" s="34" t="str">
        <f aca="false">IF(AND(A109&lt;&gt;"",OR(M109="4+",AND(ISNUMBER(M109),M109&gt;=2))),SUMPRODUCT(($A$5:A109&lt;&gt;"")*(($M$5:M109="4+")+(ISNUMBER($M$5:M109)*($M$5:M109&gt;=2)))),"")</f>
        <v/>
      </c>
      <c r="AC109" s="34" t="str">
        <f aca="false">IF(AND(A109&lt;&gt;"",OR(L109="",L109="Undecided",K109="")),SUMPRODUCT(($A$5:A109&lt;&gt;"")*(($L$5:L109="")+($L$5:L109="Undecided")+($K$5:K109=""))&gt;0*1),"")</f>
        <v/>
      </c>
    </row>
    <row r="110" customFormat="false" ht="15" hidden="false" customHeight="false" outlineLevel="0" collapsed="false">
      <c r="A110" s="29"/>
      <c r="B110" s="30"/>
      <c r="C110" s="30"/>
      <c r="D110" s="30"/>
      <c r="E110" s="30"/>
      <c r="F110" s="30"/>
      <c r="G110" s="30"/>
      <c r="H110" s="30"/>
      <c r="I110" s="30"/>
      <c r="J110" s="30"/>
      <c r="K110" s="30"/>
      <c r="L110" s="30"/>
      <c r="M110" s="20" t="str">
        <f aca="false">IF(A110="","",IF(V110="",0,IF(W110="",1,IF(X110="",2,IF(Y110="",3,"4+")))))</f>
        <v/>
      </c>
      <c r="N110" s="20" t="str">
        <f aca="false">IF(A110="","",A110&amp;IF(V110="",""," &lt;- "&amp;V110&amp;IF(W110="",""," &lt;- "&amp;W110&amp;IF(X110="",""," &lt;- "&amp;X110&amp;IF(Y110="",""," &lt;- "&amp;Y110))))&amp;IF(ISNUMBER(FIND(",",D110))," (+ other parents)",""))</f>
        <v/>
      </c>
      <c r="O110" s="20" t="str">
        <f aca="false">IF(A110="","",COUNTIF(Fields!$D:$D,A110))</f>
        <v/>
      </c>
      <c r="P110" s="20" t="str">
        <f aca="false">IF(A110="","",SUMIF(Fields!$D:$D,A110,Fields!$O:$O))</f>
        <v/>
      </c>
      <c r="Q110" s="30"/>
      <c r="R110" s="30"/>
      <c r="S110" s="30"/>
      <c r="T110" s="30"/>
      <c r="U110" s="30"/>
      <c r="V110" s="34" t="str">
        <f aca="false">IF(A110="","",IF(IFERROR(INDEX($D:$D,MATCH(A110,$A:$A,0)),"")="","",TRIM(IF(ISNUMBER(FIND(",",IFERROR(INDEX($D:$D,MATCH(A110,$A:$A,0)),""))),LEFT(IFERROR(INDEX($D:$D,MATCH(A110,$A:$A,0)),""),FIND(",",IFERROR(INDEX($D:$D,MATCH(A110,$A:$A,0)),""))-1),IFERROR(INDEX($D:$D,MATCH(A110,$A:$A,0)),"")))))</f>
        <v/>
      </c>
      <c r="W110" s="34" t="str">
        <f aca="false">IF(V110="","",IF(IFERROR(INDEX($D:$D,MATCH(V110,$A:$A,0)),"")="","",TRIM(IF(ISNUMBER(FIND(",",IFERROR(INDEX($D:$D,MATCH(V110,$A:$A,0)),""))),LEFT(IFERROR(INDEX($D:$D,MATCH(V110,$A:$A,0)),""),FIND(",",IFERROR(INDEX($D:$D,MATCH(V110,$A:$A,0)),""))-1),IFERROR(INDEX($D:$D,MATCH(V110,$A:$A,0)),"")))))</f>
        <v/>
      </c>
      <c r="X110" s="34" t="str">
        <f aca="false">IF(W110="","",IF(IFERROR(INDEX($D:$D,MATCH(W110,$A:$A,0)),"")="","",TRIM(IF(ISNUMBER(FIND(",",IFERROR(INDEX($D:$D,MATCH(W110,$A:$A,0)),""))),LEFT(IFERROR(INDEX($D:$D,MATCH(W110,$A:$A,0)),""),FIND(",",IFERROR(INDEX($D:$D,MATCH(W110,$A:$A,0)),""))-1),IFERROR(INDEX($D:$D,MATCH(W110,$A:$A,0)),"")))))</f>
        <v/>
      </c>
      <c r="Y110" s="34" t="str">
        <f aca="false">IF(X110="","",IF(IFERROR(INDEX($D:$D,MATCH(X110,$A:$A,0)),"")="","",TRIM(IF(ISNUMBER(FIND(",",IFERROR(INDEX($D:$D,MATCH(X110,$A:$A,0)),""))),LEFT(IFERROR(INDEX($D:$D,MATCH(X110,$A:$A,0)),""),FIND(",",IFERROR(INDEX($D:$D,MATCH(X110,$A:$A,0)),""))-1),IFERROR(INDEX($D:$D,MATCH(X110,$A:$A,0)),"")))))</f>
        <v/>
      </c>
      <c r="Z110" s="34" t="str">
        <f aca="false">IF(AND(A110&lt;&gt;"",L110="Retire"),COUNTIF($L$5:L110,"Retire"),"")</f>
        <v/>
      </c>
      <c r="AA110" s="34" t="str">
        <f aca="false">IF(AND(A110&lt;&gt;"",L110="Build"),COUNTIF($L$5:L110,"Build"),"")</f>
        <v/>
      </c>
      <c r="AB110" s="34" t="str">
        <f aca="false">IF(AND(A110&lt;&gt;"",OR(M110="4+",AND(ISNUMBER(M110),M110&gt;=2))),SUMPRODUCT(($A$5:A110&lt;&gt;"")*(($M$5:M110="4+")+(ISNUMBER($M$5:M110)*($M$5:M110&gt;=2)))),"")</f>
        <v/>
      </c>
      <c r="AC110" s="34" t="str">
        <f aca="false">IF(AND(A110&lt;&gt;"",OR(L110="",L110="Undecided",K110="")),SUMPRODUCT(($A$5:A110&lt;&gt;"")*(($L$5:L110="")+($L$5:L110="Undecided")+($K$5:K110=""))&gt;0*1),"")</f>
        <v/>
      </c>
    </row>
    <row r="111" customFormat="false" ht="15" hidden="false" customHeight="false" outlineLevel="0" collapsed="false">
      <c r="A111" s="29"/>
      <c r="B111" s="30"/>
      <c r="C111" s="30"/>
      <c r="D111" s="30"/>
      <c r="E111" s="30"/>
      <c r="F111" s="30"/>
      <c r="G111" s="30"/>
      <c r="H111" s="30"/>
      <c r="I111" s="30"/>
      <c r="J111" s="30"/>
      <c r="K111" s="30"/>
      <c r="L111" s="30"/>
      <c r="M111" s="20" t="str">
        <f aca="false">IF(A111="","",IF(V111="",0,IF(W111="",1,IF(X111="",2,IF(Y111="",3,"4+")))))</f>
        <v/>
      </c>
      <c r="N111" s="20" t="str">
        <f aca="false">IF(A111="","",A111&amp;IF(V111="",""," &lt;- "&amp;V111&amp;IF(W111="",""," &lt;- "&amp;W111&amp;IF(X111="",""," &lt;- "&amp;X111&amp;IF(Y111="",""," &lt;- "&amp;Y111))))&amp;IF(ISNUMBER(FIND(",",D111))," (+ other parents)",""))</f>
        <v/>
      </c>
      <c r="O111" s="20" t="str">
        <f aca="false">IF(A111="","",COUNTIF(Fields!$D:$D,A111))</f>
        <v/>
      </c>
      <c r="P111" s="20" t="str">
        <f aca="false">IF(A111="","",SUMIF(Fields!$D:$D,A111,Fields!$O:$O))</f>
        <v/>
      </c>
      <c r="Q111" s="30"/>
      <c r="R111" s="30"/>
      <c r="S111" s="30"/>
      <c r="T111" s="30"/>
      <c r="U111" s="30"/>
      <c r="V111" s="34" t="str">
        <f aca="false">IF(A111="","",IF(IFERROR(INDEX($D:$D,MATCH(A111,$A:$A,0)),"")="","",TRIM(IF(ISNUMBER(FIND(",",IFERROR(INDEX($D:$D,MATCH(A111,$A:$A,0)),""))),LEFT(IFERROR(INDEX($D:$D,MATCH(A111,$A:$A,0)),""),FIND(",",IFERROR(INDEX($D:$D,MATCH(A111,$A:$A,0)),""))-1),IFERROR(INDEX($D:$D,MATCH(A111,$A:$A,0)),"")))))</f>
        <v/>
      </c>
      <c r="W111" s="34" t="str">
        <f aca="false">IF(V111="","",IF(IFERROR(INDEX($D:$D,MATCH(V111,$A:$A,0)),"")="","",TRIM(IF(ISNUMBER(FIND(",",IFERROR(INDEX($D:$D,MATCH(V111,$A:$A,0)),""))),LEFT(IFERROR(INDEX($D:$D,MATCH(V111,$A:$A,0)),""),FIND(",",IFERROR(INDEX($D:$D,MATCH(V111,$A:$A,0)),""))-1),IFERROR(INDEX($D:$D,MATCH(V111,$A:$A,0)),"")))))</f>
        <v/>
      </c>
      <c r="X111" s="34" t="str">
        <f aca="false">IF(W111="","",IF(IFERROR(INDEX($D:$D,MATCH(W111,$A:$A,0)),"")="","",TRIM(IF(ISNUMBER(FIND(",",IFERROR(INDEX($D:$D,MATCH(W111,$A:$A,0)),""))),LEFT(IFERROR(INDEX($D:$D,MATCH(W111,$A:$A,0)),""),FIND(",",IFERROR(INDEX($D:$D,MATCH(W111,$A:$A,0)),""))-1),IFERROR(INDEX($D:$D,MATCH(W111,$A:$A,0)),"")))))</f>
        <v/>
      </c>
      <c r="Y111" s="34" t="str">
        <f aca="false">IF(X111="","",IF(IFERROR(INDEX($D:$D,MATCH(X111,$A:$A,0)),"")="","",TRIM(IF(ISNUMBER(FIND(",",IFERROR(INDEX($D:$D,MATCH(X111,$A:$A,0)),""))),LEFT(IFERROR(INDEX($D:$D,MATCH(X111,$A:$A,0)),""),FIND(",",IFERROR(INDEX($D:$D,MATCH(X111,$A:$A,0)),""))-1),IFERROR(INDEX($D:$D,MATCH(X111,$A:$A,0)),"")))))</f>
        <v/>
      </c>
      <c r="Z111" s="34" t="str">
        <f aca="false">IF(AND(A111&lt;&gt;"",L111="Retire"),COUNTIF($L$5:L111,"Retire"),"")</f>
        <v/>
      </c>
      <c r="AA111" s="34" t="str">
        <f aca="false">IF(AND(A111&lt;&gt;"",L111="Build"),COUNTIF($L$5:L111,"Build"),"")</f>
        <v/>
      </c>
      <c r="AB111" s="34" t="str">
        <f aca="false">IF(AND(A111&lt;&gt;"",OR(M111="4+",AND(ISNUMBER(M111),M111&gt;=2))),SUMPRODUCT(($A$5:A111&lt;&gt;"")*(($M$5:M111="4+")+(ISNUMBER($M$5:M111)*($M$5:M111&gt;=2)))),"")</f>
        <v/>
      </c>
      <c r="AC111" s="34" t="str">
        <f aca="false">IF(AND(A111&lt;&gt;"",OR(L111="",L111="Undecided",K111="")),SUMPRODUCT(($A$5:A111&lt;&gt;"")*(($L$5:L111="")+($L$5:L111="Undecided")+($K$5:K111=""))&gt;0*1),"")</f>
        <v/>
      </c>
    </row>
    <row r="112" customFormat="false" ht="15" hidden="false" customHeight="false" outlineLevel="0" collapsed="false">
      <c r="A112" s="29"/>
      <c r="B112" s="30"/>
      <c r="C112" s="30"/>
      <c r="D112" s="30"/>
      <c r="E112" s="30"/>
      <c r="F112" s="30"/>
      <c r="G112" s="30"/>
      <c r="H112" s="30"/>
      <c r="I112" s="30"/>
      <c r="J112" s="30"/>
      <c r="K112" s="30"/>
      <c r="L112" s="30"/>
      <c r="M112" s="20" t="str">
        <f aca="false">IF(A112="","",IF(V112="",0,IF(W112="",1,IF(X112="",2,IF(Y112="",3,"4+")))))</f>
        <v/>
      </c>
      <c r="N112" s="20" t="str">
        <f aca="false">IF(A112="","",A112&amp;IF(V112="",""," &lt;- "&amp;V112&amp;IF(W112="",""," &lt;- "&amp;W112&amp;IF(X112="",""," &lt;- "&amp;X112&amp;IF(Y112="",""," &lt;- "&amp;Y112))))&amp;IF(ISNUMBER(FIND(",",D112))," (+ other parents)",""))</f>
        <v/>
      </c>
      <c r="O112" s="20" t="str">
        <f aca="false">IF(A112="","",COUNTIF(Fields!$D:$D,A112))</f>
        <v/>
      </c>
      <c r="P112" s="20" t="str">
        <f aca="false">IF(A112="","",SUMIF(Fields!$D:$D,A112,Fields!$O:$O))</f>
        <v/>
      </c>
      <c r="Q112" s="30"/>
      <c r="R112" s="30"/>
      <c r="S112" s="30"/>
      <c r="T112" s="30"/>
      <c r="U112" s="30"/>
      <c r="V112" s="34" t="str">
        <f aca="false">IF(A112="","",IF(IFERROR(INDEX($D:$D,MATCH(A112,$A:$A,0)),"")="","",TRIM(IF(ISNUMBER(FIND(",",IFERROR(INDEX($D:$D,MATCH(A112,$A:$A,0)),""))),LEFT(IFERROR(INDEX($D:$D,MATCH(A112,$A:$A,0)),""),FIND(",",IFERROR(INDEX($D:$D,MATCH(A112,$A:$A,0)),""))-1),IFERROR(INDEX($D:$D,MATCH(A112,$A:$A,0)),"")))))</f>
        <v/>
      </c>
      <c r="W112" s="34" t="str">
        <f aca="false">IF(V112="","",IF(IFERROR(INDEX($D:$D,MATCH(V112,$A:$A,0)),"")="","",TRIM(IF(ISNUMBER(FIND(",",IFERROR(INDEX($D:$D,MATCH(V112,$A:$A,0)),""))),LEFT(IFERROR(INDEX($D:$D,MATCH(V112,$A:$A,0)),""),FIND(",",IFERROR(INDEX($D:$D,MATCH(V112,$A:$A,0)),""))-1),IFERROR(INDEX($D:$D,MATCH(V112,$A:$A,0)),"")))))</f>
        <v/>
      </c>
      <c r="X112" s="34" t="str">
        <f aca="false">IF(W112="","",IF(IFERROR(INDEX($D:$D,MATCH(W112,$A:$A,0)),"")="","",TRIM(IF(ISNUMBER(FIND(",",IFERROR(INDEX($D:$D,MATCH(W112,$A:$A,0)),""))),LEFT(IFERROR(INDEX($D:$D,MATCH(W112,$A:$A,0)),""),FIND(",",IFERROR(INDEX($D:$D,MATCH(W112,$A:$A,0)),""))-1),IFERROR(INDEX($D:$D,MATCH(W112,$A:$A,0)),"")))))</f>
        <v/>
      </c>
      <c r="Y112" s="34" t="str">
        <f aca="false">IF(X112="","",IF(IFERROR(INDEX($D:$D,MATCH(X112,$A:$A,0)),"")="","",TRIM(IF(ISNUMBER(FIND(",",IFERROR(INDEX($D:$D,MATCH(X112,$A:$A,0)),""))),LEFT(IFERROR(INDEX($D:$D,MATCH(X112,$A:$A,0)),""),FIND(",",IFERROR(INDEX($D:$D,MATCH(X112,$A:$A,0)),""))-1),IFERROR(INDEX($D:$D,MATCH(X112,$A:$A,0)),"")))))</f>
        <v/>
      </c>
      <c r="Z112" s="34" t="str">
        <f aca="false">IF(AND(A112&lt;&gt;"",L112="Retire"),COUNTIF($L$5:L112,"Retire"),"")</f>
        <v/>
      </c>
      <c r="AA112" s="34" t="str">
        <f aca="false">IF(AND(A112&lt;&gt;"",L112="Build"),COUNTIF($L$5:L112,"Build"),"")</f>
        <v/>
      </c>
      <c r="AB112" s="34" t="str">
        <f aca="false">IF(AND(A112&lt;&gt;"",OR(M112="4+",AND(ISNUMBER(M112),M112&gt;=2))),SUMPRODUCT(($A$5:A112&lt;&gt;"")*(($M$5:M112="4+")+(ISNUMBER($M$5:M112)*($M$5:M112&gt;=2)))),"")</f>
        <v/>
      </c>
      <c r="AC112" s="34" t="str">
        <f aca="false">IF(AND(A112&lt;&gt;"",OR(L112="",L112="Undecided",K112="")),SUMPRODUCT(($A$5:A112&lt;&gt;"")*(($L$5:L112="")+($L$5:L112="Undecided")+($K$5:K112=""))&gt;0*1),"")</f>
        <v/>
      </c>
    </row>
    <row r="113" customFormat="false" ht="15" hidden="false" customHeight="false" outlineLevel="0" collapsed="false">
      <c r="A113" s="29"/>
      <c r="B113" s="30"/>
      <c r="C113" s="30"/>
      <c r="D113" s="30"/>
      <c r="E113" s="30"/>
      <c r="F113" s="30"/>
      <c r="G113" s="30"/>
      <c r="H113" s="30"/>
      <c r="I113" s="30"/>
      <c r="J113" s="30"/>
      <c r="K113" s="30"/>
      <c r="L113" s="30"/>
      <c r="M113" s="20" t="str">
        <f aca="false">IF(A113="","",IF(V113="",0,IF(W113="",1,IF(X113="",2,IF(Y113="",3,"4+")))))</f>
        <v/>
      </c>
      <c r="N113" s="20" t="str">
        <f aca="false">IF(A113="","",A113&amp;IF(V113="",""," &lt;- "&amp;V113&amp;IF(W113="",""," &lt;- "&amp;W113&amp;IF(X113="",""," &lt;- "&amp;X113&amp;IF(Y113="",""," &lt;- "&amp;Y113))))&amp;IF(ISNUMBER(FIND(",",D113))," (+ other parents)",""))</f>
        <v/>
      </c>
      <c r="O113" s="20" t="str">
        <f aca="false">IF(A113="","",COUNTIF(Fields!$D:$D,A113))</f>
        <v/>
      </c>
      <c r="P113" s="20" t="str">
        <f aca="false">IF(A113="","",SUMIF(Fields!$D:$D,A113,Fields!$O:$O))</f>
        <v/>
      </c>
      <c r="Q113" s="30"/>
      <c r="R113" s="30"/>
      <c r="S113" s="30"/>
      <c r="T113" s="30"/>
      <c r="U113" s="30"/>
      <c r="V113" s="34" t="str">
        <f aca="false">IF(A113="","",IF(IFERROR(INDEX($D:$D,MATCH(A113,$A:$A,0)),"")="","",TRIM(IF(ISNUMBER(FIND(",",IFERROR(INDEX($D:$D,MATCH(A113,$A:$A,0)),""))),LEFT(IFERROR(INDEX($D:$D,MATCH(A113,$A:$A,0)),""),FIND(",",IFERROR(INDEX($D:$D,MATCH(A113,$A:$A,0)),""))-1),IFERROR(INDEX($D:$D,MATCH(A113,$A:$A,0)),"")))))</f>
        <v/>
      </c>
      <c r="W113" s="34" t="str">
        <f aca="false">IF(V113="","",IF(IFERROR(INDEX($D:$D,MATCH(V113,$A:$A,0)),"")="","",TRIM(IF(ISNUMBER(FIND(",",IFERROR(INDEX($D:$D,MATCH(V113,$A:$A,0)),""))),LEFT(IFERROR(INDEX($D:$D,MATCH(V113,$A:$A,0)),""),FIND(",",IFERROR(INDEX($D:$D,MATCH(V113,$A:$A,0)),""))-1),IFERROR(INDEX($D:$D,MATCH(V113,$A:$A,0)),"")))))</f>
        <v/>
      </c>
      <c r="X113" s="34" t="str">
        <f aca="false">IF(W113="","",IF(IFERROR(INDEX($D:$D,MATCH(W113,$A:$A,0)),"")="","",TRIM(IF(ISNUMBER(FIND(",",IFERROR(INDEX($D:$D,MATCH(W113,$A:$A,0)),""))),LEFT(IFERROR(INDEX($D:$D,MATCH(W113,$A:$A,0)),""),FIND(",",IFERROR(INDEX($D:$D,MATCH(W113,$A:$A,0)),""))-1),IFERROR(INDEX($D:$D,MATCH(W113,$A:$A,0)),"")))))</f>
        <v/>
      </c>
      <c r="Y113" s="34" t="str">
        <f aca="false">IF(X113="","",IF(IFERROR(INDEX($D:$D,MATCH(X113,$A:$A,0)),"")="","",TRIM(IF(ISNUMBER(FIND(",",IFERROR(INDEX($D:$D,MATCH(X113,$A:$A,0)),""))),LEFT(IFERROR(INDEX($D:$D,MATCH(X113,$A:$A,0)),""),FIND(",",IFERROR(INDEX($D:$D,MATCH(X113,$A:$A,0)),""))-1),IFERROR(INDEX($D:$D,MATCH(X113,$A:$A,0)),"")))))</f>
        <v/>
      </c>
      <c r="Z113" s="34" t="str">
        <f aca="false">IF(AND(A113&lt;&gt;"",L113="Retire"),COUNTIF($L$5:L113,"Retire"),"")</f>
        <v/>
      </c>
      <c r="AA113" s="34" t="str">
        <f aca="false">IF(AND(A113&lt;&gt;"",L113="Build"),COUNTIF($L$5:L113,"Build"),"")</f>
        <v/>
      </c>
      <c r="AB113" s="34" t="str">
        <f aca="false">IF(AND(A113&lt;&gt;"",OR(M113="4+",AND(ISNUMBER(M113),M113&gt;=2))),SUMPRODUCT(($A$5:A113&lt;&gt;"")*(($M$5:M113="4+")+(ISNUMBER($M$5:M113)*($M$5:M113&gt;=2)))),"")</f>
        <v/>
      </c>
      <c r="AC113" s="34" t="str">
        <f aca="false">IF(AND(A113&lt;&gt;"",OR(L113="",L113="Undecided",K113="")),SUMPRODUCT(($A$5:A113&lt;&gt;"")*(($L$5:L113="")+($L$5:L113="Undecided")+($K$5:K113=""))&gt;0*1),"")</f>
        <v/>
      </c>
    </row>
    <row r="114" customFormat="false" ht="15" hidden="false" customHeight="false" outlineLevel="0" collapsed="false">
      <c r="A114" s="29"/>
      <c r="B114" s="30"/>
      <c r="C114" s="30"/>
      <c r="D114" s="30"/>
      <c r="E114" s="30"/>
      <c r="F114" s="30"/>
      <c r="G114" s="30"/>
      <c r="H114" s="30"/>
      <c r="I114" s="30"/>
      <c r="J114" s="30"/>
      <c r="K114" s="30"/>
      <c r="L114" s="30"/>
      <c r="M114" s="20" t="str">
        <f aca="false">IF(A114="","",IF(V114="",0,IF(W114="",1,IF(X114="",2,IF(Y114="",3,"4+")))))</f>
        <v/>
      </c>
      <c r="N114" s="20" t="str">
        <f aca="false">IF(A114="","",A114&amp;IF(V114="",""," &lt;- "&amp;V114&amp;IF(W114="",""," &lt;- "&amp;W114&amp;IF(X114="",""," &lt;- "&amp;X114&amp;IF(Y114="",""," &lt;- "&amp;Y114))))&amp;IF(ISNUMBER(FIND(",",D114))," (+ other parents)",""))</f>
        <v/>
      </c>
      <c r="O114" s="20" t="str">
        <f aca="false">IF(A114="","",COUNTIF(Fields!$D:$D,A114))</f>
        <v/>
      </c>
      <c r="P114" s="20" t="str">
        <f aca="false">IF(A114="","",SUMIF(Fields!$D:$D,A114,Fields!$O:$O))</f>
        <v/>
      </c>
      <c r="Q114" s="30"/>
      <c r="R114" s="30"/>
      <c r="S114" s="30"/>
      <c r="T114" s="30"/>
      <c r="U114" s="30"/>
      <c r="V114" s="34" t="str">
        <f aca="false">IF(A114="","",IF(IFERROR(INDEX($D:$D,MATCH(A114,$A:$A,0)),"")="","",TRIM(IF(ISNUMBER(FIND(",",IFERROR(INDEX($D:$D,MATCH(A114,$A:$A,0)),""))),LEFT(IFERROR(INDEX($D:$D,MATCH(A114,$A:$A,0)),""),FIND(",",IFERROR(INDEX($D:$D,MATCH(A114,$A:$A,0)),""))-1),IFERROR(INDEX($D:$D,MATCH(A114,$A:$A,0)),"")))))</f>
        <v/>
      </c>
      <c r="W114" s="34" t="str">
        <f aca="false">IF(V114="","",IF(IFERROR(INDEX($D:$D,MATCH(V114,$A:$A,0)),"")="","",TRIM(IF(ISNUMBER(FIND(",",IFERROR(INDEX($D:$D,MATCH(V114,$A:$A,0)),""))),LEFT(IFERROR(INDEX($D:$D,MATCH(V114,$A:$A,0)),""),FIND(",",IFERROR(INDEX($D:$D,MATCH(V114,$A:$A,0)),""))-1),IFERROR(INDEX($D:$D,MATCH(V114,$A:$A,0)),"")))))</f>
        <v/>
      </c>
      <c r="X114" s="34" t="str">
        <f aca="false">IF(W114="","",IF(IFERROR(INDEX($D:$D,MATCH(W114,$A:$A,0)),"")="","",TRIM(IF(ISNUMBER(FIND(",",IFERROR(INDEX($D:$D,MATCH(W114,$A:$A,0)),""))),LEFT(IFERROR(INDEX($D:$D,MATCH(W114,$A:$A,0)),""),FIND(",",IFERROR(INDEX($D:$D,MATCH(W114,$A:$A,0)),""))-1),IFERROR(INDEX($D:$D,MATCH(W114,$A:$A,0)),"")))))</f>
        <v/>
      </c>
      <c r="Y114" s="34" t="str">
        <f aca="false">IF(X114="","",IF(IFERROR(INDEX($D:$D,MATCH(X114,$A:$A,0)),"")="","",TRIM(IF(ISNUMBER(FIND(",",IFERROR(INDEX($D:$D,MATCH(X114,$A:$A,0)),""))),LEFT(IFERROR(INDEX($D:$D,MATCH(X114,$A:$A,0)),""),FIND(",",IFERROR(INDEX($D:$D,MATCH(X114,$A:$A,0)),""))-1),IFERROR(INDEX($D:$D,MATCH(X114,$A:$A,0)),"")))))</f>
        <v/>
      </c>
      <c r="Z114" s="34" t="str">
        <f aca="false">IF(AND(A114&lt;&gt;"",L114="Retire"),COUNTIF($L$5:L114,"Retire"),"")</f>
        <v/>
      </c>
      <c r="AA114" s="34" t="str">
        <f aca="false">IF(AND(A114&lt;&gt;"",L114="Build"),COUNTIF($L$5:L114,"Build"),"")</f>
        <v/>
      </c>
      <c r="AB114" s="34" t="str">
        <f aca="false">IF(AND(A114&lt;&gt;"",OR(M114="4+",AND(ISNUMBER(M114),M114&gt;=2))),SUMPRODUCT(($A$5:A114&lt;&gt;"")*(($M$5:M114="4+")+(ISNUMBER($M$5:M114)*($M$5:M114&gt;=2)))),"")</f>
        <v/>
      </c>
      <c r="AC114" s="34" t="str">
        <f aca="false">IF(AND(A114&lt;&gt;"",OR(L114="",L114="Undecided",K114="")),SUMPRODUCT(($A$5:A114&lt;&gt;"")*(($L$5:L114="")+($L$5:L114="Undecided")+($K$5:K114=""))&gt;0*1),"")</f>
        <v/>
      </c>
    </row>
    <row r="115" customFormat="false" ht="15" hidden="false" customHeight="false" outlineLevel="0" collapsed="false">
      <c r="A115" s="29"/>
      <c r="B115" s="30"/>
      <c r="C115" s="30"/>
      <c r="D115" s="30"/>
      <c r="E115" s="30"/>
      <c r="F115" s="30"/>
      <c r="G115" s="30"/>
      <c r="H115" s="30"/>
      <c r="I115" s="30"/>
      <c r="J115" s="30"/>
      <c r="K115" s="30"/>
      <c r="L115" s="30"/>
      <c r="M115" s="20" t="str">
        <f aca="false">IF(A115="","",IF(V115="",0,IF(W115="",1,IF(X115="",2,IF(Y115="",3,"4+")))))</f>
        <v/>
      </c>
      <c r="N115" s="20" t="str">
        <f aca="false">IF(A115="","",A115&amp;IF(V115="",""," &lt;- "&amp;V115&amp;IF(W115="",""," &lt;- "&amp;W115&amp;IF(X115="",""," &lt;- "&amp;X115&amp;IF(Y115="",""," &lt;- "&amp;Y115))))&amp;IF(ISNUMBER(FIND(",",D115))," (+ other parents)",""))</f>
        <v/>
      </c>
      <c r="O115" s="20" t="str">
        <f aca="false">IF(A115="","",COUNTIF(Fields!$D:$D,A115))</f>
        <v/>
      </c>
      <c r="P115" s="20" t="str">
        <f aca="false">IF(A115="","",SUMIF(Fields!$D:$D,A115,Fields!$O:$O))</f>
        <v/>
      </c>
      <c r="Q115" s="30"/>
      <c r="R115" s="30"/>
      <c r="S115" s="30"/>
      <c r="T115" s="30"/>
      <c r="U115" s="30"/>
      <c r="V115" s="34" t="str">
        <f aca="false">IF(A115="","",IF(IFERROR(INDEX($D:$D,MATCH(A115,$A:$A,0)),"")="","",TRIM(IF(ISNUMBER(FIND(",",IFERROR(INDEX($D:$D,MATCH(A115,$A:$A,0)),""))),LEFT(IFERROR(INDEX($D:$D,MATCH(A115,$A:$A,0)),""),FIND(",",IFERROR(INDEX($D:$D,MATCH(A115,$A:$A,0)),""))-1),IFERROR(INDEX($D:$D,MATCH(A115,$A:$A,0)),"")))))</f>
        <v/>
      </c>
      <c r="W115" s="34" t="str">
        <f aca="false">IF(V115="","",IF(IFERROR(INDEX($D:$D,MATCH(V115,$A:$A,0)),"")="","",TRIM(IF(ISNUMBER(FIND(",",IFERROR(INDEX($D:$D,MATCH(V115,$A:$A,0)),""))),LEFT(IFERROR(INDEX($D:$D,MATCH(V115,$A:$A,0)),""),FIND(",",IFERROR(INDEX($D:$D,MATCH(V115,$A:$A,0)),""))-1),IFERROR(INDEX($D:$D,MATCH(V115,$A:$A,0)),"")))))</f>
        <v/>
      </c>
      <c r="X115" s="34" t="str">
        <f aca="false">IF(W115="","",IF(IFERROR(INDEX($D:$D,MATCH(W115,$A:$A,0)),"")="","",TRIM(IF(ISNUMBER(FIND(",",IFERROR(INDEX($D:$D,MATCH(W115,$A:$A,0)),""))),LEFT(IFERROR(INDEX($D:$D,MATCH(W115,$A:$A,0)),""),FIND(",",IFERROR(INDEX($D:$D,MATCH(W115,$A:$A,0)),""))-1),IFERROR(INDEX($D:$D,MATCH(W115,$A:$A,0)),"")))))</f>
        <v/>
      </c>
      <c r="Y115" s="34" t="str">
        <f aca="false">IF(X115="","",IF(IFERROR(INDEX($D:$D,MATCH(X115,$A:$A,0)),"")="","",TRIM(IF(ISNUMBER(FIND(",",IFERROR(INDEX($D:$D,MATCH(X115,$A:$A,0)),""))),LEFT(IFERROR(INDEX($D:$D,MATCH(X115,$A:$A,0)),""),FIND(",",IFERROR(INDEX($D:$D,MATCH(X115,$A:$A,0)),""))-1),IFERROR(INDEX($D:$D,MATCH(X115,$A:$A,0)),"")))))</f>
        <v/>
      </c>
      <c r="Z115" s="34" t="str">
        <f aca="false">IF(AND(A115&lt;&gt;"",L115="Retire"),COUNTIF($L$5:L115,"Retire"),"")</f>
        <v/>
      </c>
      <c r="AA115" s="34" t="str">
        <f aca="false">IF(AND(A115&lt;&gt;"",L115="Build"),COUNTIF($L$5:L115,"Build"),"")</f>
        <v/>
      </c>
      <c r="AB115" s="34" t="str">
        <f aca="false">IF(AND(A115&lt;&gt;"",OR(M115="4+",AND(ISNUMBER(M115),M115&gt;=2))),SUMPRODUCT(($A$5:A115&lt;&gt;"")*(($M$5:M115="4+")+(ISNUMBER($M$5:M115)*($M$5:M115&gt;=2)))),"")</f>
        <v/>
      </c>
      <c r="AC115" s="34" t="str">
        <f aca="false">IF(AND(A115&lt;&gt;"",OR(L115="",L115="Undecided",K115="")),SUMPRODUCT(($A$5:A115&lt;&gt;"")*(($L$5:L115="")+($L$5:L115="Undecided")+($K$5:K115=""))&gt;0*1),"")</f>
        <v/>
      </c>
    </row>
    <row r="116" customFormat="false" ht="15" hidden="false" customHeight="false" outlineLevel="0" collapsed="false">
      <c r="A116" s="29"/>
      <c r="B116" s="30"/>
      <c r="C116" s="30"/>
      <c r="D116" s="30"/>
      <c r="E116" s="30"/>
      <c r="F116" s="30"/>
      <c r="G116" s="30"/>
      <c r="H116" s="30"/>
      <c r="I116" s="30"/>
      <c r="J116" s="30"/>
      <c r="K116" s="30"/>
      <c r="L116" s="30"/>
      <c r="M116" s="20" t="str">
        <f aca="false">IF(A116="","",IF(V116="",0,IF(W116="",1,IF(X116="",2,IF(Y116="",3,"4+")))))</f>
        <v/>
      </c>
      <c r="N116" s="20" t="str">
        <f aca="false">IF(A116="","",A116&amp;IF(V116="",""," &lt;- "&amp;V116&amp;IF(W116="",""," &lt;- "&amp;W116&amp;IF(X116="",""," &lt;- "&amp;X116&amp;IF(Y116="",""," &lt;- "&amp;Y116))))&amp;IF(ISNUMBER(FIND(",",D116))," (+ other parents)",""))</f>
        <v/>
      </c>
      <c r="O116" s="20" t="str">
        <f aca="false">IF(A116="","",COUNTIF(Fields!$D:$D,A116))</f>
        <v/>
      </c>
      <c r="P116" s="20" t="str">
        <f aca="false">IF(A116="","",SUMIF(Fields!$D:$D,A116,Fields!$O:$O))</f>
        <v/>
      </c>
      <c r="Q116" s="30"/>
      <c r="R116" s="30"/>
      <c r="S116" s="30"/>
      <c r="T116" s="30"/>
      <c r="U116" s="30"/>
      <c r="V116" s="34" t="str">
        <f aca="false">IF(A116="","",IF(IFERROR(INDEX($D:$D,MATCH(A116,$A:$A,0)),"")="","",TRIM(IF(ISNUMBER(FIND(",",IFERROR(INDEX($D:$D,MATCH(A116,$A:$A,0)),""))),LEFT(IFERROR(INDEX($D:$D,MATCH(A116,$A:$A,0)),""),FIND(",",IFERROR(INDEX($D:$D,MATCH(A116,$A:$A,0)),""))-1),IFERROR(INDEX($D:$D,MATCH(A116,$A:$A,0)),"")))))</f>
        <v/>
      </c>
      <c r="W116" s="34" t="str">
        <f aca="false">IF(V116="","",IF(IFERROR(INDEX($D:$D,MATCH(V116,$A:$A,0)),"")="","",TRIM(IF(ISNUMBER(FIND(",",IFERROR(INDEX($D:$D,MATCH(V116,$A:$A,0)),""))),LEFT(IFERROR(INDEX($D:$D,MATCH(V116,$A:$A,0)),""),FIND(",",IFERROR(INDEX($D:$D,MATCH(V116,$A:$A,0)),""))-1),IFERROR(INDEX($D:$D,MATCH(V116,$A:$A,0)),"")))))</f>
        <v/>
      </c>
      <c r="X116" s="34" t="str">
        <f aca="false">IF(W116="","",IF(IFERROR(INDEX($D:$D,MATCH(W116,$A:$A,0)),"")="","",TRIM(IF(ISNUMBER(FIND(",",IFERROR(INDEX($D:$D,MATCH(W116,$A:$A,0)),""))),LEFT(IFERROR(INDEX($D:$D,MATCH(W116,$A:$A,0)),""),FIND(",",IFERROR(INDEX($D:$D,MATCH(W116,$A:$A,0)),""))-1),IFERROR(INDEX($D:$D,MATCH(W116,$A:$A,0)),"")))))</f>
        <v/>
      </c>
      <c r="Y116" s="34" t="str">
        <f aca="false">IF(X116="","",IF(IFERROR(INDEX($D:$D,MATCH(X116,$A:$A,0)),"")="","",TRIM(IF(ISNUMBER(FIND(",",IFERROR(INDEX($D:$D,MATCH(X116,$A:$A,0)),""))),LEFT(IFERROR(INDEX($D:$D,MATCH(X116,$A:$A,0)),""),FIND(",",IFERROR(INDEX($D:$D,MATCH(X116,$A:$A,0)),""))-1),IFERROR(INDEX($D:$D,MATCH(X116,$A:$A,0)),"")))))</f>
        <v/>
      </c>
      <c r="Z116" s="34" t="str">
        <f aca="false">IF(AND(A116&lt;&gt;"",L116="Retire"),COUNTIF($L$5:L116,"Retire"),"")</f>
        <v/>
      </c>
      <c r="AA116" s="34" t="str">
        <f aca="false">IF(AND(A116&lt;&gt;"",L116="Build"),COUNTIF($L$5:L116,"Build"),"")</f>
        <v/>
      </c>
      <c r="AB116" s="34" t="str">
        <f aca="false">IF(AND(A116&lt;&gt;"",OR(M116="4+",AND(ISNUMBER(M116),M116&gt;=2))),SUMPRODUCT(($A$5:A116&lt;&gt;"")*(($M$5:M116="4+")+(ISNUMBER($M$5:M116)*($M$5:M116&gt;=2)))),"")</f>
        <v/>
      </c>
      <c r="AC116" s="34" t="str">
        <f aca="false">IF(AND(A116&lt;&gt;"",OR(L116="",L116="Undecided",K116="")),SUMPRODUCT(($A$5:A116&lt;&gt;"")*(($L$5:L116="")+($L$5:L116="Undecided")+($K$5:K116=""))&gt;0*1),"")</f>
        <v/>
      </c>
    </row>
    <row r="117" customFormat="false" ht="15" hidden="false" customHeight="false" outlineLevel="0" collapsed="false">
      <c r="A117" s="29"/>
      <c r="B117" s="30"/>
      <c r="C117" s="30"/>
      <c r="D117" s="30"/>
      <c r="E117" s="30"/>
      <c r="F117" s="30"/>
      <c r="G117" s="30"/>
      <c r="H117" s="30"/>
      <c r="I117" s="30"/>
      <c r="J117" s="30"/>
      <c r="K117" s="30"/>
      <c r="L117" s="30"/>
      <c r="M117" s="20" t="str">
        <f aca="false">IF(A117="","",IF(V117="",0,IF(W117="",1,IF(X117="",2,IF(Y117="",3,"4+")))))</f>
        <v/>
      </c>
      <c r="N117" s="20" t="str">
        <f aca="false">IF(A117="","",A117&amp;IF(V117="",""," &lt;- "&amp;V117&amp;IF(W117="",""," &lt;- "&amp;W117&amp;IF(X117="",""," &lt;- "&amp;X117&amp;IF(Y117="",""," &lt;- "&amp;Y117))))&amp;IF(ISNUMBER(FIND(",",D117))," (+ other parents)",""))</f>
        <v/>
      </c>
      <c r="O117" s="20" t="str">
        <f aca="false">IF(A117="","",COUNTIF(Fields!$D:$D,A117))</f>
        <v/>
      </c>
      <c r="P117" s="20" t="str">
        <f aca="false">IF(A117="","",SUMIF(Fields!$D:$D,A117,Fields!$O:$O))</f>
        <v/>
      </c>
      <c r="Q117" s="30"/>
      <c r="R117" s="30"/>
      <c r="S117" s="30"/>
      <c r="T117" s="30"/>
      <c r="U117" s="30"/>
      <c r="V117" s="34" t="str">
        <f aca="false">IF(A117="","",IF(IFERROR(INDEX($D:$D,MATCH(A117,$A:$A,0)),"")="","",TRIM(IF(ISNUMBER(FIND(",",IFERROR(INDEX($D:$D,MATCH(A117,$A:$A,0)),""))),LEFT(IFERROR(INDEX($D:$D,MATCH(A117,$A:$A,0)),""),FIND(",",IFERROR(INDEX($D:$D,MATCH(A117,$A:$A,0)),""))-1),IFERROR(INDEX($D:$D,MATCH(A117,$A:$A,0)),"")))))</f>
        <v/>
      </c>
      <c r="W117" s="34" t="str">
        <f aca="false">IF(V117="","",IF(IFERROR(INDEX($D:$D,MATCH(V117,$A:$A,0)),"")="","",TRIM(IF(ISNUMBER(FIND(",",IFERROR(INDEX($D:$D,MATCH(V117,$A:$A,0)),""))),LEFT(IFERROR(INDEX($D:$D,MATCH(V117,$A:$A,0)),""),FIND(",",IFERROR(INDEX($D:$D,MATCH(V117,$A:$A,0)),""))-1),IFERROR(INDEX($D:$D,MATCH(V117,$A:$A,0)),"")))))</f>
        <v/>
      </c>
      <c r="X117" s="34" t="str">
        <f aca="false">IF(W117="","",IF(IFERROR(INDEX($D:$D,MATCH(W117,$A:$A,0)),"")="","",TRIM(IF(ISNUMBER(FIND(",",IFERROR(INDEX($D:$D,MATCH(W117,$A:$A,0)),""))),LEFT(IFERROR(INDEX($D:$D,MATCH(W117,$A:$A,0)),""),FIND(",",IFERROR(INDEX($D:$D,MATCH(W117,$A:$A,0)),""))-1),IFERROR(INDEX($D:$D,MATCH(W117,$A:$A,0)),"")))))</f>
        <v/>
      </c>
      <c r="Y117" s="34" t="str">
        <f aca="false">IF(X117="","",IF(IFERROR(INDEX($D:$D,MATCH(X117,$A:$A,0)),"")="","",TRIM(IF(ISNUMBER(FIND(",",IFERROR(INDEX($D:$D,MATCH(X117,$A:$A,0)),""))),LEFT(IFERROR(INDEX($D:$D,MATCH(X117,$A:$A,0)),""),FIND(",",IFERROR(INDEX($D:$D,MATCH(X117,$A:$A,0)),""))-1),IFERROR(INDEX($D:$D,MATCH(X117,$A:$A,0)),"")))))</f>
        <v/>
      </c>
      <c r="Z117" s="34" t="str">
        <f aca="false">IF(AND(A117&lt;&gt;"",L117="Retire"),COUNTIF($L$5:L117,"Retire"),"")</f>
        <v/>
      </c>
      <c r="AA117" s="34" t="str">
        <f aca="false">IF(AND(A117&lt;&gt;"",L117="Build"),COUNTIF($L$5:L117,"Build"),"")</f>
        <v/>
      </c>
      <c r="AB117" s="34" t="str">
        <f aca="false">IF(AND(A117&lt;&gt;"",OR(M117="4+",AND(ISNUMBER(M117),M117&gt;=2))),SUMPRODUCT(($A$5:A117&lt;&gt;"")*(($M$5:M117="4+")+(ISNUMBER($M$5:M117)*($M$5:M117&gt;=2)))),"")</f>
        <v/>
      </c>
      <c r="AC117" s="34" t="str">
        <f aca="false">IF(AND(A117&lt;&gt;"",OR(L117="",L117="Undecided",K117="")),SUMPRODUCT(($A$5:A117&lt;&gt;"")*(($L$5:L117="")+($L$5:L117="Undecided")+($K$5:K117=""))&gt;0*1),"")</f>
        <v/>
      </c>
    </row>
    <row r="118" customFormat="false" ht="15" hidden="false" customHeight="false" outlineLevel="0" collapsed="false">
      <c r="A118" s="29"/>
      <c r="B118" s="30"/>
      <c r="C118" s="30"/>
      <c r="D118" s="30"/>
      <c r="E118" s="30"/>
      <c r="F118" s="30"/>
      <c r="G118" s="30"/>
      <c r="H118" s="30"/>
      <c r="I118" s="30"/>
      <c r="J118" s="30"/>
      <c r="K118" s="30"/>
      <c r="L118" s="30"/>
      <c r="M118" s="20" t="str">
        <f aca="false">IF(A118="","",IF(V118="",0,IF(W118="",1,IF(X118="",2,IF(Y118="",3,"4+")))))</f>
        <v/>
      </c>
      <c r="N118" s="20" t="str">
        <f aca="false">IF(A118="","",A118&amp;IF(V118="",""," &lt;- "&amp;V118&amp;IF(W118="",""," &lt;- "&amp;W118&amp;IF(X118="",""," &lt;- "&amp;X118&amp;IF(Y118="",""," &lt;- "&amp;Y118))))&amp;IF(ISNUMBER(FIND(",",D118))," (+ other parents)",""))</f>
        <v/>
      </c>
      <c r="O118" s="20" t="str">
        <f aca="false">IF(A118="","",COUNTIF(Fields!$D:$D,A118))</f>
        <v/>
      </c>
      <c r="P118" s="20" t="str">
        <f aca="false">IF(A118="","",SUMIF(Fields!$D:$D,A118,Fields!$O:$O))</f>
        <v/>
      </c>
      <c r="Q118" s="30"/>
      <c r="R118" s="30"/>
      <c r="S118" s="30"/>
      <c r="T118" s="30"/>
      <c r="U118" s="30"/>
      <c r="V118" s="34" t="str">
        <f aca="false">IF(A118="","",IF(IFERROR(INDEX($D:$D,MATCH(A118,$A:$A,0)),"")="","",TRIM(IF(ISNUMBER(FIND(",",IFERROR(INDEX($D:$D,MATCH(A118,$A:$A,0)),""))),LEFT(IFERROR(INDEX($D:$D,MATCH(A118,$A:$A,0)),""),FIND(",",IFERROR(INDEX($D:$D,MATCH(A118,$A:$A,0)),""))-1),IFERROR(INDEX($D:$D,MATCH(A118,$A:$A,0)),"")))))</f>
        <v/>
      </c>
      <c r="W118" s="34" t="str">
        <f aca="false">IF(V118="","",IF(IFERROR(INDEX($D:$D,MATCH(V118,$A:$A,0)),"")="","",TRIM(IF(ISNUMBER(FIND(",",IFERROR(INDEX($D:$D,MATCH(V118,$A:$A,0)),""))),LEFT(IFERROR(INDEX($D:$D,MATCH(V118,$A:$A,0)),""),FIND(",",IFERROR(INDEX($D:$D,MATCH(V118,$A:$A,0)),""))-1),IFERROR(INDEX($D:$D,MATCH(V118,$A:$A,0)),"")))))</f>
        <v/>
      </c>
      <c r="X118" s="34" t="str">
        <f aca="false">IF(W118="","",IF(IFERROR(INDEX($D:$D,MATCH(W118,$A:$A,0)),"")="","",TRIM(IF(ISNUMBER(FIND(",",IFERROR(INDEX($D:$D,MATCH(W118,$A:$A,0)),""))),LEFT(IFERROR(INDEX($D:$D,MATCH(W118,$A:$A,0)),""),FIND(",",IFERROR(INDEX($D:$D,MATCH(W118,$A:$A,0)),""))-1),IFERROR(INDEX($D:$D,MATCH(W118,$A:$A,0)),"")))))</f>
        <v/>
      </c>
      <c r="Y118" s="34" t="str">
        <f aca="false">IF(X118="","",IF(IFERROR(INDEX($D:$D,MATCH(X118,$A:$A,0)),"")="","",TRIM(IF(ISNUMBER(FIND(",",IFERROR(INDEX($D:$D,MATCH(X118,$A:$A,0)),""))),LEFT(IFERROR(INDEX($D:$D,MATCH(X118,$A:$A,0)),""),FIND(",",IFERROR(INDEX($D:$D,MATCH(X118,$A:$A,0)),""))-1),IFERROR(INDEX($D:$D,MATCH(X118,$A:$A,0)),"")))))</f>
        <v/>
      </c>
      <c r="Z118" s="34" t="str">
        <f aca="false">IF(AND(A118&lt;&gt;"",L118="Retire"),COUNTIF($L$5:L118,"Retire"),"")</f>
        <v/>
      </c>
      <c r="AA118" s="34" t="str">
        <f aca="false">IF(AND(A118&lt;&gt;"",L118="Build"),COUNTIF($L$5:L118,"Build"),"")</f>
        <v/>
      </c>
      <c r="AB118" s="34" t="str">
        <f aca="false">IF(AND(A118&lt;&gt;"",OR(M118="4+",AND(ISNUMBER(M118),M118&gt;=2))),SUMPRODUCT(($A$5:A118&lt;&gt;"")*(($M$5:M118="4+")+(ISNUMBER($M$5:M118)*($M$5:M118&gt;=2)))),"")</f>
        <v/>
      </c>
      <c r="AC118" s="34" t="str">
        <f aca="false">IF(AND(A118&lt;&gt;"",OR(L118="",L118="Undecided",K118="")),SUMPRODUCT(($A$5:A118&lt;&gt;"")*(($L$5:L118="")+($L$5:L118="Undecided")+($K$5:K118=""))&gt;0*1),"")</f>
        <v/>
      </c>
    </row>
    <row r="119" customFormat="false" ht="15" hidden="false" customHeight="false" outlineLevel="0" collapsed="false">
      <c r="A119" s="29"/>
      <c r="B119" s="30"/>
      <c r="C119" s="30"/>
      <c r="D119" s="30"/>
      <c r="E119" s="30"/>
      <c r="F119" s="30"/>
      <c r="G119" s="30"/>
      <c r="H119" s="30"/>
      <c r="I119" s="30"/>
      <c r="J119" s="30"/>
      <c r="K119" s="30"/>
      <c r="L119" s="30"/>
      <c r="M119" s="20" t="str">
        <f aca="false">IF(A119="","",IF(V119="",0,IF(W119="",1,IF(X119="",2,IF(Y119="",3,"4+")))))</f>
        <v/>
      </c>
      <c r="N119" s="20" t="str">
        <f aca="false">IF(A119="","",A119&amp;IF(V119="",""," &lt;- "&amp;V119&amp;IF(W119="",""," &lt;- "&amp;W119&amp;IF(X119="",""," &lt;- "&amp;X119&amp;IF(Y119="",""," &lt;- "&amp;Y119))))&amp;IF(ISNUMBER(FIND(",",D119))," (+ other parents)",""))</f>
        <v/>
      </c>
      <c r="O119" s="20" t="str">
        <f aca="false">IF(A119="","",COUNTIF(Fields!$D:$D,A119))</f>
        <v/>
      </c>
      <c r="P119" s="20" t="str">
        <f aca="false">IF(A119="","",SUMIF(Fields!$D:$D,A119,Fields!$O:$O))</f>
        <v/>
      </c>
      <c r="Q119" s="30"/>
      <c r="R119" s="30"/>
      <c r="S119" s="30"/>
      <c r="T119" s="30"/>
      <c r="U119" s="30"/>
      <c r="V119" s="34" t="str">
        <f aca="false">IF(A119="","",IF(IFERROR(INDEX($D:$D,MATCH(A119,$A:$A,0)),"")="","",TRIM(IF(ISNUMBER(FIND(",",IFERROR(INDEX($D:$D,MATCH(A119,$A:$A,0)),""))),LEFT(IFERROR(INDEX($D:$D,MATCH(A119,$A:$A,0)),""),FIND(",",IFERROR(INDEX($D:$D,MATCH(A119,$A:$A,0)),""))-1),IFERROR(INDEX($D:$D,MATCH(A119,$A:$A,0)),"")))))</f>
        <v/>
      </c>
      <c r="W119" s="34" t="str">
        <f aca="false">IF(V119="","",IF(IFERROR(INDEX($D:$D,MATCH(V119,$A:$A,0)),"")="","",TRIM(IF(ISNUMBER(FIND(",",IFERROR(INDEX($D:$D,MATCH(V119,$A:$A,0)),""))),LEFT(IFERROR(INDEX($D:$D,MATCH(V119,$A:$A,0)),""),FIND(",",IFERROR(INDEX($D:$D,MATCH(V119,$A:$A,0)),""))-1),IFERROR(INDEX($D:$D,MATCH(V119,$A:$A,0)),"")))))</f>
        <v/>
      </c>
      <c r="X119" s="34" t="str">
        <f aca="false">IF(W119="","",IF(IFERROR(INDEX($D:$D,MATCH(W119,$A:$A,0)),"")="","",TRIM(IF(ISNUMBER(FIND(",",IFERROR(INDEX($D:$D,MATCH(W119,$A:$A,0)),""))),LEFT(IFERROR(INDEX($D:$D,MATCH(W119,$A:$A,0)),""),FIND(",",IFERROR(INDEX($D:$D,MATCH(W119,$A:$A,0)),""))-1),IFERROR(INDEX($D:$D,MATCH(W119,$A:$A,0)),"")))))</f>
        <v/>
      </c>
      <c r="Y119" s="34" t="str">
        <f aca="false">IF(X119="","",IF(IFERROR(INDEX($D:$D,MATCH(X119,$A:$A,0)),"")="","",TRIM(IF(ISNUMBER(FIND(",",IFERROR(INDEX($D:$D,MATCH(X119,$A:$A,0)),""))),LEFT(IFERROR(INDEX($D:$D,MATCH(X119,$A:$A,0)),""),FIND(",",IFERROR(INDEX($D:$D,MATCH(X119,$A:$A,0)),""))-1),IFERROR(INDEX($D:$D,MATCH(X119,$A:$A,0)),"")))))</f>
        <v/>
      </c>
      <c r="Z119" s="34" t="str">
        <f aca="false">IF(AND(A119&lt;&gt;"",L119="Retire"),COUNTIF($L$5:L119,"Retire"),"")</f>
        <v/>
      </c>
      <c r="AA119" s="34" t="str">
        <f aca="false">IF(AND(A119&lt;&gt;"",L119="Build"),COUNTIF($L$5:L119,"Build"),"")</f>
        <v/>
      </c>
      <c r="AB119" s="34" t="str">
        <f aca="false">IF(AND(A119&lt;&gt;"",OR(M119="4+",AND(ISNUMBER(M119),M119&gt;=2))),SUMPRODUCT(($A$5:A119&lt;&gt;"")*(($M$5:M119="4+")+(ISNUMBER($M$5:M119)*($M$5:M119&gt;=2)))),"")</f>
        <v/>
      </c>
      <c r="AC119" s="34" t="str">
        <f aca="false">IF(AND(A119&lt;&gt;"",OR(L119="",L119="Undecided",K119="")),SUMPRODUCT(($A$5:A119&lt;&gt;"")*(($L$5:L119="")+($L$5:L119="Undecided")+($K$5:K119=""))&gt;0*1),"")</f>
        <v/>
      </c>
    </row>
    <row r="120" customFormat="false" ht="15" hidden="false" customHeight="false" outlineLevel="0" collapsed="false">
      <c r="A120" s="29"/>
      <c r="B120" s="30"/>
      <c r="C120" s="30"/>
      <c r="D120" s="30"/>
      <c r="E120" s="30"/>
      <c r="F120" s="30"/>
      <c r="G120" s="30"/>
      <c r="H120" s="30"/>
      <c r="I120" s="30"/>
      <c r="J120" s="30"/>
      <c r="K120" s="30"/>
      <c r="L120" s="30"/>
      <c r="M120" s="20" t="str">
        <f aca="false">IF(A120="","",IF(V120="",0,IF(W120="",1,IF(X120="",2,IF(Y120="",3,"4+")))))</f>
        <v/>
      </c>
      <c r="N120" s="20" t="str">
        <f aca="false">IF(A120="","",A120&amp;IF(V120="",""," &lt;- "&amp;V120&amp;IF(W120="",""," &lt;- "&amp;W120&amp;IF(X120="",""," &lt;- "&amp;X120&amp;IF(Y120="",""," &lt;- "&amp;Y120))))&amp;IF(ISNUMBER(FIND(",",D120))," (+ other parents)",""))</f>
        <v/>
      </c>
      <c r="O120" s="20" t="str">
        <f aca="false">IF(A120="","",COUNTIF(Fields!$D:$D,A120))</f>
        <v/>
      </c>
      <c r="P120" s="20" t="str">
        <f aca="false">IF(A120="","",SUMIF(Fields!$D:$D,A120,Fields!$O:$O))</f>
        <v/>
      </c>
      <c r="Q120" s="30"/>
      <c r="R120" s="30"/>
      <c r="S120" s="30"/>
      <c r="T120" s="30"/>
      <c r="U120" s="30"/>
      <c r="V120" s="34" t="str">
        <f aca="false">IF(A120="","",IF(IFERROR(INDEX($D:$D,MATCH(A120,$A:$A,0)),"")="","",TRIM(IF(ISNUMBER(FIND(",",IFERROR(INDEX($D:$D,MATCH(A120,$A:$A,0)),""))),LEFT(IFERROR(INDEX($D:$D,MATCH(A120,$A:$A,0)),""),FIND(",",IFERROR(INDEX($D:$D,MATCH(A120,$A:$A,0)),""))-1),IFERROR(INDEX($D:$D,MATCH(A120,$A:$A,0)),"")))))</f>
        <v/>
      </c>
      <c r="W120" s="34" t="str">
        <f aca="false">IF(V120="","",IF(IFERROR(INDEX($D:$D,MATCH(V120,$A:$A,0)),"")="","",TRIM(IF(ISNUMBER(FIND(",",IFERROR(INDEX($D:$D,MATCH(V120,$A:$A,0)),""))),LEFT(IFERROR(INDEX($D:$D,MATCH(V120,$A:$A,0)),""),FIND(",",IFERROR(INDEX($D:$D,MATCH(V120,$A:$A,0)),""))-1),IFERROR(INDEX($D:$D,MATCH(V120,$A:$A,0)),"")))))</f>
        <v/>
      </c>
      <c r="X120" s="34" t="str">
        <f aca="false">IF(W120="","",IF(IFERROR(INDEX($D:$D,MATCH(W120,$A:$A,0)),"")="","",TRIM(IF(ISNUMBER(FIND(",",IFERROR(INDEX($D:$D,MATCH(W120,$A:$A,0)),""))),LEFT(IFERROR(INDEX($D:$D,MATCH(W120,$A:$A,0)),""),FIND(",",IFERROR(INDEX($D:$D,MATCH(W120,$A:$A,0)),""))-1),IFERROR(INDEX($D:$D,MATCH(W120,$A:$A,0)),"")))))</f>
        <v/>
      </c>
      <c r="Y120" s="34" t="str">
        <f aca="false">IF(X120="","",IF(IFERROR(INDEX($D:$D,MATCH(X120,$A:$A,0)),"")="","",TRIM(IF(ISNUMBER(FIND(",",IFERROR(INDEX($D:$D,MATCH(X120,$A:$A,0)),""))),LEFT(IFERROR(INDEX($D:$D,MATCH(X120,$A:$A,0)),""),FIND(",",IFERROR(INDEX($D:$D,MATCH(X120,$A:$A,0)),""))-1),IFERROR(INDEX($D:$D,MATCH(X120,$A:$A,0)),"")))))</f>
        <v/>
      </c>
      <c r="Z120" s="34" t="str">
        <f aca="false">IF(AND(A120&lt;&gt;"",L120="Retire"),COUNTIF($L$5:L120,"Retire"),"")</f>
        <v/>
      </c>
      <c r="AA120" s="34" t="str">
        <f aca="false">IF(AND(A120&lt;&gt;"",L120="Build"),COUNTIF($L$5:L120,"Build"),"")</f>
        <v/>
      </c>
      <c r="AB120" s="34" t="str">
        <f aca="false">IF(AND(A120&lt;&gt;"",OR(M120="4+",AND(ISNUMBER(M120),M120&gt;=2))),SUMPRODUCT(($A$5:A120&lt;&gt;"")*(($M$5:M120="4+")+(ISNUMBER($M$5:M120)*($M$5:M120&gt;=2)))),"")</f>
        <v/>
      </c>
      <c r="AC120" s="34" t="str">
        <f aca="false">IF(AND(A120&lt;&gt;"",OR(L120="",L120="Undecided",K120="")),SUMPRODUCT(($A$5:A120&lt;&gt;"")*(($L$5:L120="")+($L$5:L120="Undecided")+($K$5:K120=""))&gt;0*1),"")</f>
        <v/>
      </c>
    </row>
    <row r="121" customFormat="false" ht="15" hidden="false" customHeight="false" outlineLevel="0" collapsed="false">
      <c r="A121" s="29"/>
      <c r="B121" s="30"/>
      <c r="C121" s="30"/>
      <c r="D121" s="30"/>
      <c r="E121" s="30"/>
      <c r="F121" s="30"/>
      <c r="G121" s="30"/>
      <c r="H121" s="30"/>
      <c r="I121" s="30"/>
      <c r="J121" s="30"/>
      <c r="K121" s="30"/>
      <c r="L121" s="30"/>
      <c r="M121" s="20" t="str">
        <f aca="false">IF(A121="","",IF(V121="",0,IF(W121="",1,IF(X121="",2,IF(Y121="",3,"4+")))))</f>
        <v/>
      </c>
      <c r="N121" s="20" t="str">
        <f aca="false">IF(A121="","",A121&amp;IF(V121="",""," &lt;- "&amp;V121&amp;IF(W121="",""," &lt;- "&amp;W121&amp;IF(X121="",""," &lt;- "&amp;X121&amp;IF(Y121="",""," &lt;- "&amp;Y121))))&amp;IF(ISNUMBER(FIND(",",D121))," (+ other parents)",""))</f>
        <v/>
      </c>
      <c r="O121" s="20" t="str">
        <f aca="false">IF(A121="","",COUNTIF(Fields!$D:$D,A121))</f>
        <v/>
      </c>
      <c r="P121" s="20" t="str">
        <f aca="false">IF(A121="","",SUMIF(Fields!$D:$D,A121,Fields!$O:$O))</f>
        <v/>
      </c>
      <c r="Q121" s="30"/>
      <c r="R121" s="30"/>
      <c r="S121" s="30"/>
      <c r="T121" s="30"/>
      <c r="U121" s="30"/>
      <c r="V121" s="34" t="str">
        <f aca="false">IF(A121="","",IF(IFERROR(INDEX($D:$D,MATCH(A121,$A:$A,0)),"")="","",TRIM(IF(ISNUMBER(FIND(",",IFERROR(INDEX($D:$D,MATCH(A121,$A:$A,0)),""))),LEFT(IFERROR(INDEX($D:$D,MATCH(A121,$A:$A,0)),""),FIND(",",IFERROR(INDEX($D:$D,MATCH(A121,$A:$A,0)),""))-1),IFERROR(INDEX($D:$D,MATCH(A121,$A:$A,0)),"")))))</f>
        <v/>
      </c>
      <c r="W121" s="34" t="str">
        <f aca="false">IF(V121="","",IF(IFERROR(INDEX($D:$D,MATCH(V121,$A:$A,0)),"")="","",TRIM(IF(ISNUMBER(FIND(",",IFERROR(INDEX($D:$D,MATCH(V121,$A:$A,0)),""))),LEFT(IFERROR(INDEX($D:$D,MATCH(V121,$A:$A,0)),""),FIND(",",IFERROR(INDEX($D:$D,MATCH(V121,$A:$A,0)),""))-1),IFERROR(INDEX($D:$D,MATCH(V121,$A:$A,0)),"")))))</f>
        <v/>
      </c>
      <c r="X121" s="34" t="str">
        <f aca="false">IF(W121="","",IF(IFERROR(INDEX($D:$D,MATCH(W121,$A:$A,0)),"")="","",TRIM(IF(ISNUMBER(FIND(",",IFERROR(INDEX($D:$D,MATCH(W121,$A:$A,0)),""))),LEFT(IFERROR(INDEX($D:$D,MATCH(W121,$A:$A,0)),""),FIND(",",IFERROR(INDEX($D:$D,MATCH(W121,$A:$A,0)),""))-1),IFERROR(INDEX($D:$D,MATCH(W121,$A:$A,0)),"")))))</f>
        <v/>
      </c>
      <c r="Y121" s="34" t="str">
        <f aca="false">IF(X121="","",IF(IFERROR(INDEX($D:$D,MATCH(X121,$A:$A,0)),"")="","",TRIM(IF(ISNUMBER(FIND(",",IFERROR(INDEX($D:$D,MATCH(X121,$A:$A,0)),""))),LEFT(IFERROR(INDEX($D:$D,MATCH(X121,$A:$A,0)),""),FIND(",",IFERROR(INDEX($D:$D,MATCH(X121,$A:$A,0)),""))-1),IFERROR(INDEX($D:$D,MATCH(X121,$A:$A,0)),"")))))</f>
        <v/>
      </c>
      <c r="Z121" s="34" t="str">
        <f aca="false">IF(AND(A121&lt;&gt;"",L121="Retire"),COUNTIF($L$5:L121,"Retire"),"")</f>
        <v/>
      </c>
      <c r="AA121" s="34" t="str">
        <f aca="false">IF(AND(A121&lt;&gt;"",L121="Build"),COUNTIF($L$5:L121,"Build"),"")</f>
        <v/>
      </c>
      <c r="AB121" s="34" t="str">
        <f aca="false">IF(AND(A121&lt;&gt;"",OR(M121="4+",AND(ISNUMBER(M121),M121&gt;=2))),SUMPRODUCT(($A$5:A121&lt;&gt;"")*(($M$5:M121="4+")+(ISNUMBER($M$5:M121)*($M$5:M121&gt;=2)))),"")</f>
        <v/>
      </c>
      <c r="AC121" s="34" t="str">
        <f aca="false">IF(AND(A121&lt;&gt;"",OR(L121="",L121="Undecided",K121="")),SUMPRODUCT(($A$5:A121&lt;&gt;"")*(($L$5:L121="")+($L$5:L121="Undecided")+($K$5:K121=""))&gt;0*1),"")</f>
        <v/>
      </c>
    </row>
    <row r="122" customFormat="false" ht="15" hidden="false" customHeight="false" outlineLevel="0" collapsed="false">
      <c r="A122" s="29"/>
      <c r="B122" s="30"/>
      <c r="C122" s="30"/>
      <c r="D122" s="30"/>
      <c r="E122" s="30"/>
      <c r="F122" s="30"/>
      <c r="G122" s="30"/>
      <c r="H122" s="30"/>
      <c r="I122" s="30"/>
      <c r="J122" s="30"/>
      <c r="K122" s="30"/>
      <c r="L122" s="30"/>
      <c r="M122" s="20" t="str">
        <f aca="false">IF(A122="","",IF(V122="",0,IF(W122="",1,IF(X122="",2,IF(Y122="",3,"4+")))))</f>
        <v/>
      </c>
      <c r="N122" s="20" t="str">
        <f aca="false">IF(A122="","",A122&amp;IF(V122="",""," &lt;- "&amp;V122&amp;IF(W122="",""," &lt;- "&amp;W122&amp;IF(X122="",""," &lt;- "&amp;X122&amp;IF(Y122="",""," &lt;- "&amp;Y122))))&amp;IF(ISNUMBER(FIND(",",D122))," (+ other parents)",""))</f>
        <v/>
      </c>
      <c r="O122" s="20" t="str">
        <f aca="false">IF(A122="","",COUNTIF(Fields!$D:$D,A122))</f>
        <v/>
      </c>
      <c r="P122" s="20" t="str">
        <f aca="false">IF(A122="","",SUMIF(Fields!$D:$D,A122,Fields!$O:$O))</f>
        <v/>
      </c>
      <c r="Q122" s="30"/>
      <c r="R122" s="30"/>
      <c r="S122" s="30"/>
      <c r="T122" s="30"/>
      <c r="U122" s="30"/>
      <c r="V122" s="34" t="str">
        <f aca="false">IF(A122="","",IF(IFERROR(INDEX($D:$D,MATCH(A122,$A:$A,0)),"")="","",TRIM(IF(ISNUMBER(FIND(",",IFERROR(INDEX($D:$D,MATCH(A122,$A:$A,0)),""))),LEFT(IFERROR(INDEX($D:$D,MATCH(A122,$A:$A,0)),""),FIND(",",IFERROR(INDEX($D:$D,MATCH(A122,$A:$A,0)),""))-1),IFERROR(INDEX($D:$D,MATCH(A122,$A:$A,0)),"")))))</f>
        <v/>
      </c>
      <c r="W122" s="34" t="str">
        <f aca="false">IF(V122="","",IF(IFERROR(INDEX($D:$D,MATCH(V122,$A:$A,0)),"")="","",TRIM(IF(ISNUMBER(FIND(",",IFERROR(INDEX($D:$D,MATCH(V122,$A:$A,0)),""))),LEFT(IFERROR(INDEX($D:$D,MATCH(V122,$A:$A,0)),""),FIND(",",IFERROR(INDEX($D:$D,MATCH(V122,$A:$A,0)),""))-1),IFERROR(INDEX($D:$D,MATCH(V122,$A:$A,0)),"")))))</f>
        <v/>
      </c>
      <c r="X122" s="34" t="str">
        <f aca="false">IF(W122="","",IF(IFERROR(INDEX($D:$D,MATCH(W122,$A:$A,0)),"")="","",TRIM(IF(ISNUMBER(FIND(",",IFERROR(INDEX($D:$D,MATCH(W122,$A:$A,0)),""))),LEFT(IFERROR(INDEX($D:$D,MATCH(W122,$A:$A,0)),""),FIND(",",IFERROR(INDEX($D:$D,MATCH(W122,$A:$A,0)),""))-1),IFERROR(INDEX($D:$D,MATCH(W122,$A:$A,0)),"")))))</f>
        <v/>
      </c>
      <c r="Y122" s="34" t="str">
        <f aca="false">IF(X122="","",IF(IFERROR(INDEX($D:$D,MATCH(X122,$A:$A,0)),"")="","",TRIM(IF(ISNUMBER(FIND(",",IFERROR(INDEX($D:$D,MATCH(X122,$A:$A,0)),""))),LEFT(IFERROR(INDEX($D:$D,MATCH(X122,$A:$A,0)),""),FIND(",",IFERROR(INDEX($D:$D,MATCH(X122,$A:$A,0)),""))-1),IFERROR(INDEX($D:$D,MATCH(X122,$A:$A,0)),"")))))</f>
        <v/>
      </c>
      <c r="Z122" s="34" t="str">
        <f aca="false">IF(AND(A122&lt;&gt;"",L122="Retire"),COUNTIF($L$5:L122,"Retire"),"")</f>
        <v/>
      </c>
      <c r="AA122" s="34" t="str">
        <f aca="false">IF(AND(A122&lt;&gt;"",L122="Build"),COUNTIF($L$5:L122,"Build"),"")</f>
        <v/>
      </c>
      <c r="AB122" s="34" t="str">
        <f aca="false">IF(AND(A122&lt;&gt;"",OR(M122="4+",AND(ISNUMBER(M122),M122&gt;=2))),SUMPRODUCT(($A$5:A122&lt;&gt;"")*(($M$5:M122="4+")+(ISNUMBER($M$5:M122)*($M$5:M122&gt;=2)))),"")</f>
        <v/>
      </c>
      <c r="AC122" s="34" t="str">
        <f aca="false">IF(AND(A122&lt;&gt;"",OR(L122="",L122="Undecided",K122="")),SUMPRODUCT(($A$5:A122&lt;&gt;"")*(($L$5:L122="")+($L$5:L122="Undecided")+($K$5:K122=""))&gt;0*1),"")</f>
        <v/>
      </c>
    </row>
    <row r="123" customFormat="false" ht="15" hidden="false" customHeight="false" outlineLevel="0" collapsed="false">
      <c r="A123" s="29"/>
      <c r="B123" s="30"/>
      <c r="C123" s="30"/>
      <c r="D123" s="30"/>
      <c r="E123" s="30"/>
      <c r="F123" s="30"/>
      <c r="G123" s="30"/>
      <c r="H123" s="30"/>
      <c r="I123" s="30"/>
      <c r="J123" s="30"/>
      <c r="K123" s="30"/>
      <c r="L123" s="30"/>
      <c r="M123" s="20" t="str">
        <f aca="false">IF(A123="","",IF(V123="",0,IF(W123="",1,IF(X123="",2,IF(Y123="",3,"4+")))))</f>
        <v/>
      </c>
      <c r="N123" s="20" t="str">
        <f aca="false">IF(A123="","",A123&amp;IF(V123="",""," &lt;- "&amp;V123&amp;IF(W123="",""," &lt;- "&amp;W123&amp;IF(X123="",""," &lt;- "&amp;X123&amp;IF(Y123="",""," &lt;- "&amp;Y123))))&amp;IF(ISNUMBER(FIND(",",D123))," (+ other parents)",""))</f>
        <v/>
      </c>
      <c r="O123" s="20" t="str">
        <f aca="false">IF(A123="","",COUNTIF(Fields!$D:$D,A123))</f>
        <v/>
      </c>
      <c r="P123" s="20" t="str">
        <f aca="false">IF(A123="","",SUMIF(Fields!$D:$D,A123,Fields!$O:$O))</f>
        <v/>
      </c>
      <c r="Q123" s="30"/>
      <c r="R123" s="30"/>
      <c r="S123" s="30"/>
      <c r="T123" s="30"/>
      <c r="U123" s="30"/>
      <c r="V123" s="34" t="str">
        <f aca="false">IF(A123="","",IF(IFERROR(INDEX($D:$D,MATCH(A123,$A:$A,0)),"")="","",TRIM(IF(ISNUMBER(FIND(",",IFERROR(INDEX($D:$D,MATCH(A123,$A:$A,0)),""))),LEFT(IFERROR(INDEX($D:$D,MATCH(A123,$A:$A,0)),""),FIND(",",IFERROR(INDEX($D:$D,MATCH(A123,$A:$A,0)),""))-1),IFERROR(INDEX($D:$D,MATCH(A123,$A:$A,0)),"")))))</f>
        <v/>
      </c>
      <c r="W123" s="34" t="str">
        <f aca="false">IF(V123="","",IF(IFERROR(INDEX($D:$D,MATCH(V123,$A:$A,0)),"")="","",TRIM(IF(ISNUMBER(FIND(",",IFERROR(INDEX($D:$D,MATCH(V123,$A:$A,0)),""))),LEFT(IFERROR(INDEX($D:$D,MATCH(V123,$A:$A,0)),""),FIND(",",IFERROR(INDEX($D:$D,MATCH(V123,$A:$A,0)),""))-1),IFERROR(INDEX($D:$D,MATCH(V123,$A:$A,0)),"")))))</f>
        <v/>
      </c>
      <c r="X123" s="34" t="str">
        <f aca="false">IF(W123="","",IF(IFERROR(INDEX($D:$D,MATCH(W123,$A:$A,0)),"")="","",TRIM(IF(ISNUMBER(FIND(",",IFERROR(INDEX($D:$D,MATCH(W123,$A:$A,0)),""))),LEFT(IFERROR(INDEX($D:$D,MATCH(W123,$A:$A,0)),""),FIND(",",IFERROR(INDEX($D:$D,MATCH(W123,$A:$A,0)),""))-1),IFERROR(INDEX($D:$D,MATCH(W123,$A:$A,0)),"")))))</f>
        <v/>
      </c>
      <c r="Y123" s="34" t="str">
        <f aca="false">IF(X123="","",IF(IFERROR(INDEX($D:$D,MATCH(X123,$A:$A,0)),"")="","",TRIM(IF(ISNUMBER(FIND(",",IFERROR(INDEX($D:$D,MATCH(X123,$A:$A,0)),""))),LEFT(IFERROR(INDEX($D:$D,MATCH(X123,$A:$A,0)),""),FIND(",",IFERROR(INDEX($D:$D,MATCH(X123,$A:$A,0)),""))-1),IFERROR(INDEX($D:$D,MATCH(X123,$A:$A,0)),"")))))</f>
        <v/>
      </c>
      <c r="Z123" s="34" t="str">
        <f aca="false">IF(AND(A123&lt;&gt;"",L123="Retire"),COUNTIF($L$5:L123,"Retire"),"")</f>
        <v/>
      </c>
      <c r="AA123" s="34" t="str">
        <f aca="false">IF(AND(A123&lt;&gt;"",L123="Build"),COUNTIF($L$5:L123,"Build"),"")</f>
        <v/>
      </c>
      <c r="AB123" s="34" t="str">
        <f aca="false">IF(AND(A123&lt;&gt;"",OR(M123="4+",AND(ISNUMBER(M123),M123&gt;=2))),SUMPRODUCT(($A$5:A123&lt;&gt;"")*(($M$5:M123="4+")+(ISNUMBER($M$5:M123)*($M$5:M123&gt;=2)))),"")</f>
        <v/>
      </c>
      <c r="AC123" s="34" t="str">
        <f aca="false">IF(AND(A123&lt;&gt;"",OR(L123="",L123="Undecided",K123="")),SUMPRODUCT(($A$5:A123&lt;&gt;"")*(($L$5:L123="")+($L$5:L123="Undecided")+($K$5:K123=""))&gt;0*1),"")</f>
        <v/>
      </c>
    </row>
    <row r="124" customFormat="false" ht="15" hidden="false" customHeight="false" outlineLevel="0" collapsed="false">
      <c r="A124" s="29"/>
      <c r="B124" s="30"/>
      <c r="C124" s="30"/>
      <c r="D124" s="30"/>
      <c r="E124" s="30"/>
      <c r="F124" s="30"/>
      <c r="G124" s="30"/>
      <c r="H124" s="30"/>
      <c r="I124" s="30"/>
      <c r="J124" s="30"/>
      <c r="K124" s="30"/>
      <c r="L124" s="30"/>
      <c r="M124" s="20" t="str">
        <f aca="false">IF(A124="","",IF(V124="",0,IF(W124="",1,IF(X124="",2,IF(Y124="",3,"4+")))))</f>
        <v/>
      </c>
      <c r="N124" s="20" t="str">
        <f aca="false">IF(A124="","",A124&amp;IF(V124="",""," &lt;- "&amp;V124&amp;IF(W124="",""," &lt;- "&amp;W124&amp;IF(X124="",""," &lt;- "&amp;X124&amp;IF(Y124="",""," &lt;- "&amp;Y124))))&amp;IF(ISNUMBER(FIND(",",D124))," (+ other parents)",""))</f>
        <v/>
      </c>
      <c r="O124" s="20" t="str">
        <f aca="false">IF(A124="","",COUNTIF(Fields!$D:$D,A124))</f>
        <v/>
      </c>
      <c r="P124" s="20" t="str">
        <f aca="false">IF(A124="","",SUMIF(Fields!$D:$D,A124,Fields!$O:$O))</f>
        <v/>
      </c>
      <c r="Q124" s="30"/>
      <c r="R124" s="30"/>
      <c r="S124" s="30"/>
      <c r="T124" s="30"/>
      <c r="U124" s="30"/>
      <c r="V124" s="34" t="str">
        <f aca="false">IF(A124="","",IF(IFERROR(INDEX($D:$D,MATCH(A124,$A:$A,0)),"")="","",TRIM(IF(ISNUMBER(FIND(",",IFERROR(INDEX($D:$D,MATCH(A124,$A:$A,0)),""))),LEFT(IFERROR(INDEX($D:$D,MATCH(A124,$A:$A,0)),""),FIND(",",IFERROR(INDEX($D:$D,MATCH(A124,$A:$A,0)),""))-1),IFERROR(INDEX($D:$D,MATCH(A124,$A:$A,0)),"")))))</f>
        <v/>
      </c>
      <c r="W124" s="34" t="str">
        <f aca="false">IF(V124="","",IF(IFERROR(INDEX($D:$D,MATCH(V124,$A:$A,0)),"")="","",TRIM(IF(ISNUMBER(FIND(",",IFERROR(INDEX($D:$D,MATCH(V124,$A:$A,0)),""))),LEFT(IFERROR(INDEX($D:$D,MATCH(V124,$A:$A,0)),""),FIND(",",IFERROR(INDEX($D:$D,MATCH(V124,$A:$A,0)),""))-1),IFERROR(INDEX($D:$D,MATCH(V124,$A:$A,0)),"")))))</f>
        <v/>
      </c>
      <c r="X124" s="34" t="str">
        <f aca="false">IF(W124="","",IF(IFERROR(INDEX($D:$D,MATCH(W124,$A:$A,0)),"")="","",TRIM(IF(ISNUMBER(FIND(",",IFERROR(INDEX($D:$D,MATCH(W124,$A:$A,0)),""))),LEFT(IFERROR(INDEX($D:$D,MATCH(W124,$A:$A,0)),""),FIND(",",IFERROR(INDEX($D:$D,MATCH(W124,$A:$A,0)),""))-1),IFERROR(INDEX($D:$D,MATCH(W124,$A:$A,0)),"")))))</f>
        <v/>
      </c>
      <c r="Y124" s="34" t="str">
        <f aca="false">IF(X124="","",IF(IFERROR(INDEX($D:$D,MATCH(X124,$A:$A,0)),"")="","",TRIM(IF(ISNUMBER(FIND(",",IFERROR(INDEX($D:$D,MATCH(X124,$A:$A,0)),""))),LEFT(IFERROR(INDEX($D:$D,MATCH(X124,$A:$A,0)),""),FIND(",",IFERROR(INDEX($D:$D,MATCH(X124,$A:$A,0)),""))-1),IFERROR(INDEX($D:$D,MATCH(X124,$A:$A,0)),"")))))</f>
        <v/>
      </c>
      <c r="Z124" s="34" t="str">
        <f aca="false">IF(AND(A124&lt;&gt;"",L124="Retire"),COUNTIF($L$5:L124,"Retire"),"")</f>
        <v/>
      </c>
      <c r="AA124" s="34" t="str">
        <f aca="false">IF(AND(A124&lt;&gt;"",L124="Build"),COUNTIF($L$5:L124,"Build"),"")</f>
        <v/>
      </c>
      <c r="AB124" s="34" t="str">
        <f aca="false">IF(AND(A124&lt;&gt;"",OR(M124="4+",AND(ISNUMBER(M124),M124&gt;=2))),SUMPRODUCT(($A$5:A124&lt;&gt;"")*(($M$5:M124="4+")+(ISNUMBER($M$5:M124)*($M$5:M124&gt;=2)))),"")</f>
        <v/>
      </c>
      <c r="AC124" s="34" t="str">
        <f aca="false">IF(AND(A124&lt;&gt;"",OR(L124="",L124="Undecided",K124="")),SUMPRODUCT(($A$5:A124&lt;&gt;"")*(($L$5:L124="")+($L$5:L124="Undecided")+($K$5:K124=""))&gt;0*1),"")</f>
        <v/>
      </c>
    </row>
    <row r="125" customFormat="false" ht="15" hidden="false" customHeight="false" outlineLevel="0" collapsed="false">
      <c r="A125" s="29"/>
      <c r="B125" s="30"/>
      <c r="C125" s="30"/>
      <c r="D125" s="30"/>
      <c r="E125" s="30"/>
      <c r="F125" s="30"/>
      <c r="G125" s="30"/>
      <c r="H125" s="30"/>
      <c r="I125" s="30"/>
      <c r="J125" s="30"/>
      <c r="K125" s="30"/>
      <c r="L125" s="30"/>
      <c r="M125" s="20" t="str">
        <f aca="false">IF(A125="","",IF(V125="",0,IF(W125="",1,IF(X125="",2,IF(Y125="",3,"4+")))))</f>
        <v/>
      </c>
      <c r="N125" s="20" t="str">
        <f aca="false">IF(A125="","",A125&amp;IF(V125="",""," &lt;- "&amp;V125&amp;IF(W125="",""," &lt;- "&amp;W125&amp;IF(X125="",""," &lt;- "&amp;X125&amp;IF(Y125="",""," &lt;- "&amp;Y125))))&amp;IF(ISNUMBER(FIND(",",D125))," (+ other parents)",""))</f>
        <v/>
      </c>
      <c r="O125" s="20" t="str">
        <f aca="false">IF(A125="","",COUNTIF(Fields!$D:$D,A125))</f>
        <v/>
      </c>
      <c r="P125" s="20" t="str">
        <f aca="false">IF(A125="","",SUMIF(Fields!$D:$D,A125,Fields!$O:$O))</f>
        <v/>
      </c>
      <c r="Q125" s="30"/>
      <c r="R125" s="30"/>
      <c r="S125" s="30"/>
      <c r="T125" s="30"/>
      <c r="U125" s="30"/>
      <c r="V125" s="34" t="str">
        <f aca="false">IF(A125="","",IF(IFERROR(INDEX($D:$D,MATCH(A125,$A:$A,0)),"")="","",TRIM(IF(ISNUMBER(FIND(",",IFERROR(INDEX($D:$D,MATCH(A125,$A:$A,0)),""))),LEFT(IFERROR(INDEX($D:$D,MATCH(A125,$A:$A,0)),""),FIND(",",IFERROR(INDEX($D:$D,MATCH(A125,$A:$A,0)),""))-1),IFERROR(INDEX($D:$D,MATCH(A125,$A:$A,0)),"")))))</f>
        <v/>
      </c>
      <c r="W125" s="34" t="str">
        <f aca="false">IF(V125="","",IF(IFERROR(INDEX($D:$D,MATCH(V125,$A:$A,0)),"")="","",TRIM(IF(ISNUMBER(FIND(",",IFERROR(INDEX($D:$D,MATCH(V125,$A:$A,0)),""))),LEFT(IFERROR(INDEX($D:$D,MATCH(V125,$A:$A,0)),""),FIND(",",IFERROR(INDEX($D:$D,MATCH(V125,$A:$A,0)),""))-1),IFERROR(INDEX($D:$D,MATCH(V125,$A:$A,0)),"")))))</f>
        <v/>
      </c>
      <c r="X125" s="34" t="str">
        <f aca="false">IF(W125="","",IF(IFERROR(INDEX($D:$D,MATCH(W125,$A:$A,0)),"")="","",TRIM(IF(ISNUMBER(FIND(",",IFERROR(INDEX($D:$D,MATCH(W125,$A:$A,0)),""))),LEFT(IFERROR(INDEX($D:$D,MATCH(W125,$A:$A,0)),""),FIND(",",IFERROR(INDEX($D:$D,MATCH(W125,$A:$A,0)),""))-1),IFERROR(INDEX($D:$D,MATCH(W125,$A:$A,0)),"")))))</f>
        <v/>
      </c>
      <c r="Y125" s="34" t="str">
        <f aca="false">IF(X125="","",IF(IFERROR(INDEX($D:$D,MATCH(X125,$A:$A,0)),"")="","",TRIM(IF(ISNUMBER(FIND(",",IFERROR(INDEX($D:$D,MATCH(X125,$A:$A,0)),""))),LEFT(IFERROR(INDEX($D:$D,MATCH(X125,$A:$A,0)),""),FIND(",",IFERROR(INDEX($D:$D,MATCH(X125,$A:$A,0)),""))-1),IFERROR(INDEX($D:$D,MATCH(X125,$A:$A,0)),"")))))</f>
        <v/>
      </c>
      <c r="Z125" s="34" t="str">
        <f aca="false">IF(AND(A125&lt;&gt;"",L125="Retire"),COUNTIF($L$5:L125,"Retire"),"")</f>
        <v/>
      </c>
      <c r="AA125" s="34" t="str">
        <f aca="false">IF(AND(A125&lt;&gt;"",L125="Build"),COUNTIF($L$5:L125,"Build"),"")</f>
        <v/>
      </c>
      <c r="AB125" s="34" t="str">
        <f aca="false">IF(AND(A125&lt;&gt;"",OR(M125="4+",AND(ISNUMBER(M125),M125&gt;=2))),SUMPRODUCT(($A$5:A125&lt;&gt;"")*(($M$5:M125="4+")+(ISNUMBER($M$5:M125)*($M$5:M125&gt;=2)))),"")</f>
        <v/>
      </c>
      <c r="AC125" s="34" t="str">
        <f aca="false">IF(AND(A125&lt;&gt;"",OR(L125="",L125="Undecided",K125="")),SUMPRODUCT(($A$5:A125&lt;&gt;"")*(($L$5:L125="")+($L$5:L125="Undecided")+($K$5:K125=""))&gt;0*1),"")</f>
        <v/>
      </c>
    </row>
    <row r="126" customFormat="false" ht="15" hidden="false" customHeight="false" outlineLevel="0" collapsed="false">
      <c r="A126" s="29"/>
      <c r="B126" s="30"/>
      <c r="C126" s="30"/>
      <c r="D126" s="30"/>
      <c r="E126" s="30"/>
      <c r="F126" s="30"/>
      <c r="G126" s="30"/>
      <c r="H126" s="30"/>
      <c r="I126" s="30"/>
      <c r="J126" s="30"/>
      <c r="K126" s="30"/>
      <c r="L126" s="30"/>
      <c r="M126" s="20" t="str">
        <f aca="false">IF(A126="","",IF(V126="",0,IF(W126="",1,IF(X126="",2,IF(Y126="",3,"4+")))))</f>
        <v/>
      </c>
      <c r="N126" s="20" t="str">
        <f aca="false">IF(A126="","",A126&amp;IF(V126="",""," &lt;- "&amp;V126&amp;IF(W126="",""," &lt;- "&amp;W126&amp;IF(X126="",""," &lt;- "&amp;X126&amp;IF(Y126="",""," &lt;- "&amp;Y126))))&amp;IF(ISNUMBER(FIND(",",D126))," (+ other parents)",""))</f>
        <v/>
      </c>
      <c r="O126" s="20" t="str">
        <f aca="false">IF(A126="","",COUNTIF(Fields!$D:$D,A126))</f>
        <v/>
      </c>
      <c r="P126" s="20" t="str">
        <f aca="false">IF(A126="","",SUMIF(Fields!$D:$D,A126,Fields!$O:$O))</f>
        <v/>
      </c>
      <c r="Q126" s="30"/>
      <c r="R126" s="30"/>
      <c r="S126" s="30"/>
      <c r="T126" s="30"/>
      <c r="U126" s="30"/>
      <c r="V126" s="34" t="str">
        <f aca="false">IF(A126="","",IF(IFERROR(INDEX($D:$D,MATCH(A126,$A:$A,0)),"")="","",TRIM(IF(ISNUMBER(FIND(",",IFERROR(INDEX($D:$D,MATCH(A126,$A:$A,0)),""))),LEFT(IFERROR(INDEX($D:$D,MATCH(A126,$A:$A,0)),""),FIND(",",IFERROR(INDEX($D:$D,MATCH(A126,$A:$A,0)),""))-1),IFERROR(INDEX($D:$D,MATCH(A126,$A:$A,0)),"")))))</f>
        <v/>
      </c>
      <c r="W126" s="34" t="str">
        <f aca="false">IF(V126="","",IF(IFERROR(INDEX($D:$D,MATCH(V126,$A:$A,0)),"")="","",TRIM(IF(ISNUMBER(FIND(",",IFERROR(INDEX($D:$D,MATCH(V126,$A:$A,0)),""))),LEFT(IFERROR(INDEX($D:$D,MATCH(V126,$A:$A,0)),""),FIND(",",IFERROR(INDEX($D:$D,MATCH(V126,$A:$A,0)),""))-1),IFERROR(INDEX($D:$D,MATCH(V126,$A:$A,0)),"")))))</f>
        <v/>
      </c>
      <c r="X126" s="34" t="str">
        <f aca="false">IF(W126="","",IF(IFERROR(INDEX($D:$D,MATCH(W126,$A:$A,0)),"")="","",TRIM(IF(ISNUMBER(FIND(",",IFERROR(INDEX($D:$D,MATCH(W126,$A:$A,0)),""))),LEFT(IFERROR(INDEX($D:$D,MATCH(W126,$A:$A,0)),""),FIND(",",IFERROR(INDEX($D:$D,MATCH(W126,$A:$A,0)),""))-1),IFERROR(INDEX($D:$D,MATCH(W126,$A:$A,0)),"")))))</f>
        <v/>
      </c>
      <c r="Y126" s="34" t="str">
        <f aca="false">IF(X126="","",IF(IFERROR(INDEX($D:$D,MATCH(X126,$A:$A,0)),"")="","",TRIM(IF(ISNUMBER(FIND(",",IFERROR(INDEX($D:$D,MATCH(X126,$A:$A,0)),""))),LEFT(IFERROR(INDEX($D:$D,MATCH(X126,$A:$A,0)),""),FIND(",",IFERROR(INDEX($D:$D,MATCH(X126,$A:$A,0)),""))-1),IFERROR(INDEX($D:$D,MATCH(X126,$A:$A,0)),"")))))</f>
        <v/>
      </c>
      <c r="Z126" s="34" t="str">
        <f aca="false">IF(AND(A126&lt;&gt;"",L126="Retire"),COUNTIF($L$5:L126,"Retire"),"")</f>
        <v/>
      </c>
      <c r="AA126" s="34" t="str">
        <f aca="false">IF(AND(A126&lt;&gt;"",L126="Build"),COUNTIF($L$5:L126,"Build"),"")</f>
        <v/>
      </c>
      <c r="AB126" s="34" t="str">
        <f aca="false">IF(AND(A126&lt;&gt;"",OR(M126="4+",AND(ISNUMBER(M126),M126&gt;=2))),SUMPRODUCT(($A$5:A126&lt;&gt;"")*(($M$5:M126="4+")+(ISNUMBER($M$5:M126)*($M$5:M126&gt;=2)))),"")</f>
        <v/>
      </c>
      <c r="AC126" s="34" t="str">
        <f aca="false">IF(AND(A126&lt;&gt;"",OR(L126="",L126="Undecided",K126="")),SUMPRODUCT(($A$5:A126&lt;&gt;"")*(($L$5:L126="")+($L$5:L126="Undecided")+($K$5:K126=""))&gt;0*1),"")</f>
        <v/>
      </c>
    </row>
    <row r="127" customFormat="false" ht="15" hidden="false" customHeight="false" outlineLevel="0" collapsed="false">
      <c r="A127" s="29"/>
      <c r="B127" s="30"/>
      <c r="C127" s="30"/>
      <c r="D127" s="30"/>
      <c r="E127" s="30"/>
      <c r="F127" s="30"/>
      <c r="G127" s="30"/>
      <c r="H127" s="30"/>
      <c r="I127" s="30"/>
      <c r="J127" s="30"/>
      <c r="K127" s="30"/>
      <c r="L127" s="30"/>
      <c r="M127" s="20" t="str">
        <f aca="false">IF(A127="","",IF(V127="",0,IF(W127="",1,IF(X127="",2,IF(Y127="",3,"4+")))))</f>
        <v/>
      </c>
      <c r="N127" s="20" t="str">
        <f aca="false">IF(A127="","",A127&amp;IF(V127="",""," &lt;- "&amp;V127&amp;IF(W127="",""," &lt;- "&amp;W127&amp;IF(X127="",""," &lt;- "&amp;X127&amp;IF(Y127="",""," &lt;- "&amp;Y127))))&amp;IF(ISNUMBER(FIND(",",D127))," (+ other parents)",""))</f>
        <v/>
      </c>
      <c r="O127" s="20" t="str">
        <f aca="false">IF(A127="","",COUNTIF(Fields!$D:$D,A127))</f>
        <v/>
      </c>
      <c r="P127" s="20" t="str">
        <f aca="false">IF(A127="","",SUMIF(Fields!$D:$D,A127,Fields!$O:$O))</f>
        <v/>
      </c>
      <c r="Q127" s="30"/>
      <c r="R127" s="30"/>
      <c r="S127" s="30"/>
      <c r="T127" s="30"/>
      <c r="U127" s="30"/>
      <c r="V127" s="34" t="str">
        <f aca="false">IF(A127="","",IF(IFERROR(INDEX($D:$D,MATCH(A127,$A:$A,0)),"")="","",TRIM(IF(ISNUMBER(FIND(",",IFERROR(INDEX($D:$D,MATCH(A127,$A:$A,0)),""))),LEFT(IFERROR(INDEX($D:$D,MATCH(A127,$A:$A,0)),""),FIND(",",IFERROR(INDEX($D:$D,MATCH(A127,$A:$A,0)),""))-1),IFERROR(INDEX($D:$D,MATCH(A127,$A:$A,0)),"")))))</f>
        <v/>
      </c>
      <c r="W127" s="34" t="str">
        <f aca="false">IF(V127="","",IF(IFERROR(INDEX($D:$D,MATCH(V127,$A:$A,0)),"")="","",TRIM(IF(ISNUMBER(FIND(",",IFERROR(INDEX($D:$D,MATCH(V127,$A:$A,0)),""))),LEFT(IFERROR(INDEX($D:$D,MATCH(V127,$A:$A,0)),""),FIND(",",IFERROR(INDEX($D:$D,MATCH(V127,$A:$A,0)),""))-1),IFERROR(INDEX($D:$D,MATCH(V127,$A:$A,0)),"")))))</f>
        <v/>
      </c>
      <c r="X127" s="34" t="str">
        <f aca="false">IF(W127="","",IF(IFERROR(INDEX($D:$D,MATCH(W127,$A:$A,0)),"")="","",TRIM(IF(ISNUMBER(FIND(",",IFERROR(INDEX($D:$D,MATCH(W127,$A:$A,0)),""))),LEFT(IFERROR(INDEX($D:$D,MATCH(W127,$A:$A,0)),""),FIND(",",IFERROR(INDEX($D:$D,MATCH(W127,$A:$A,0)),""))-1),IFERROR(INDEX($D:$D,MATCH(W127,$A:$A,0)),"")))))</f>
        <v/>
      </c>
      <c r="Y127" s="34" t="str">
        <f aca="false">IF(X127="","",IF(IFERROR(INDEX($D:$D,MATCH(X127,$A:$A,0)),"")="","",TRIM(IF(ISNUMBER(FIND(",",IFERROR(INDEX($D:$D,MATCH(X127,$A:$A,0)),""))),LEFT(IFERROR(INDEX($D:$D,MATCH(X127,$A:$A,0)),""),FIND(",",IFERROR(INDEX($D:$D,MATCH(X127,$A:$A,0)),""))-1),IFERROR(INDEX($D:$D,MATCH(X127,$A:$A,0)),"")))))</f>
        <v/>
      </c>
      <c r="Z127" s="34" t="str">
        <f aca="false">IF(AND(A127&lt;&gt;"",L127="Retire"),COUNTIF($L$5:L127,"Retire"),"")</f>
        <v/>
      </c>
      <c r="AA127" s="34" t="str">
        <f aca="false">IF(AND(A127&lt;&gt;"",L127="Build"),COUNTIF($L$5:L127,"Build"),"")</f>
        <v/>
      </c>
      <c r="AB127" s="34" t="str">
        <f aca="false">IF(AND(A127&lt;&gt;"",OR(M127="4+",AND(ISNUMBER(M127),M127&gt;=2))),SUMPRODUCT(($A$5:A127&lt;&gt;"")*(($M$5:M127="4+")+(ISNUMBER($M$5:M127)*($M$5:M127&gt;=2)))),"")</f>
        <v/>
      </c>
      <c r="AC127" s="34" t="str">
        <f aca="false">IF(AND(A127&lt;&gt;"",OR(L127="",L127="Undecided",K127="")),SUMPRODUCT(($A$5:A127&lt;&gt;"")*(($L$5:L127="")+($L$5:L127="Undecided")+($K$5:K127=""))&gt;0*1),"")</f>
        <v/>
      </c>
    </row>
    <row r="128" customFormat="false" ht="15" hidden="false" customHeight="false" outlineLevel="0" collapsed="false">
      <c r="A128" s="29"/>
      <c r="B128" s="30"/>
      <c r="C128" s="30"/>
      <c r="D128" s="30"/>
      <c r="E128" s="30"/>
      <c r="F128" s="30"/>
      <c r="G128" s="30"/>
      <c r="H128" s="30"/>
      <c r="I128" s="30"/>
      <c r="J128" s="30"/>
      <c r="K128" s="30"/>
      <c r="L128" s="30"/>
      <c r="M128" s="20" t="str">
        <f aca="false">IF(A128="","",IF(V128="",0,IF(W128="",1,IF(X128="",2,IF(Y128="",3,"4+")))))</f>
        <v/>
      </c>
      <c r="N128" s="20" t="str">
        <f aca="false">IF(A128="","",A128&amp;IF(V128="",""," &lt;- "&amp;V128&amp;IF(W128="",""," &lt;- "&amp;W128&amp;IF(X128="",""," &lt;- "&amp;X128&amp;IF(Y128="",""," &lt;- "&amp;Y128))))&amp;IF(ISNUMBER(FIND(",",D128))," (+ other parents)",""))</f>
        <v/>
      </c>
      <c r="O128" s="20" t="str">
        <f aca="false">IF(A128="","",COUNTIF(Fields!$D:$D,A128))</f>
        <v/>
      </c>
      <c r="P128" s="20" t="str">
        <f aca="false">IF(A128="","",SUMIF(Fields!$D:$D,A128,Fields!$O:$O))</f>
        <v/>
      </c>
      <c r="Q128" s="30"/>
      <c r="R128" s="30"/>
      <c r="S128" s="30"/>
      <c r="T128" s="30"/>
      <c r="U128" s="30"/>
      <c r="V128" s="34" t="str">
        <f aca="false">IF(A128="","",IF(IFERROR(INDEX($D:$D,MATCH(A128,$A:$A,0)),"")="","",TRIM(IF(ISNUMBER(FIND(",",IFERROR(INDEX($D:$D,MATCH(A128,$A:$A,0)),""))),LEFT(IFERROR(INDEX($D:$D,MATCH(A128,$A:$A,0)),""),FIND(",",IFERROR(INDEX($D:$D,MATCH(A128,$A:$A,0)),""))-1),IFERROR(INDEX($D:$D,MATCH(A128,$A:$A,0)),"")))))</f>
        <v/>
      </c>
      <c r="W128" s="34" t="str">
        <f aca="false">IF(V128="","",IF(IFERROR(INDEX($D:$D,MATCH(V128,$A:$A,0)),"")="","",TRIM(IF(ISNUMBER(FIND(",",IFERROR(INDEX($D:$D,MATCH(V128,$A:$A,0)),""))),LEFT(IFERROR(INDEX($D:$D,MATCH(V128,$A:$A,0)),""),FIND(",",IFERROR(INDEX($D:$D,MATCH(V128,$A:$A,0)),""))-1),IFERROR(INDEX($D:$D,MATCH(V128,$A:$A,0)),"")))))</f>
        <v/>
      </c>
      <c r="X128" s="34" t="str">
        <f aca="false">IF(W128="","",IF(IFERROR(INDEX($D:$D,MATCH(W128,$A:$A,0)),"")="","",TRIM(IF(ISNUMBER(FIND(",",IFERROR(INDEX($D:$D,MATCH(W128,$A:$A,0)),""))),LEFT(IFERROR(INDEX($D:$D,MATCH(W128,$A:$A,0)),""),FIND(",",IFERROR(INDEX($D:$D,MATCH(W128,$A:$A,0)),""))-1),IFERROR(INDEX($D:$D,MATCH(W128,$A:$A,0)),"")))))</f>
        <v/>
      </c>
      <c r="Y128" s="34" t="str">
        <f aca="false">IF(X128="","",IF(IFERROR(INDEX($D:$D,MATCH(X128,$A:$A,0)),"")="","",TRIM(IF(ISNUMBER(FIND(",",IFERROR(INDEX($D:$D,MATCH(X128,$A:$A,0)),""))),LEFT(IFERROR(INDEX($D:$D,MATCH(X128,$A:$A,0)),""),FIND(",",IFERROR(INDEX($D:$D,MATCH(X128,$A:$A,0)),""))-1),IFERROR(INDEX($D:$D,MATCH(X128,$A:$A,0)),"")))))</f>
        <v/>
      </c>
      <c r="Z128" s="34" t="str">
        <f aca="false">IF(AND(A128&lt;&gt;"",L128="Retire"),COUNTIF($L$5:L128,"Retire"),"")</f>
        <v/>
      </c>
      <c r="AA128" s="34" t="str">
        <f aca="false">IF(AND(A128&lt;&gt;"",L128="Build"),COUNTIF($L$5:L128,"Build"),"")</f>
        <v/>
      </c>
      <c r="AB128" s="34" t="str">
        <f aca="false">IF(AND(A128&lt;&gt;"",OR(M128="4+",AND(ISNUMBER(M128),M128&gt;=2))),SUMPRODUCT(($A$5:A128&lt;&gt;"")*(($M$5:M128="4+")+(ISNUMBER($M$5:M128)*($M$5:M128&gt;=2)))),"")</f>
        <v/>
      </c>
      <c r="AC128" s="34" t="str">
        <f aca="false">IF(AND(A128&lt;&gt;"",OR(L128="",L128="Undecided",K128="")),SUMPRODUCT(($A$5:A128&lt;&gt;"")*(($L$5:L128="")+($L$5:L128="Undecided")+($K$5:K128=""))&gt;0*1),"")</f>
        <v/>
      </c>
    </row>
    <row r="129" customFormat="false" ht="15" hidden="false" customHeight="false" outlineLevel="0" collapsed="false">
      <c r="A129" s="29"/>
      <c r="B129" s="30"/>
      <c r="C129" s="30"/>
      <c r="D129" s="30"/>
      <c r="E129" s="30"/>
      <c r="F129" s="30"/>
      <c r="G129" s="30"/>
      <c r="H129" s="30"/>
      <c r="I129" s="30"/>
      <c r="J129" s="30"/>
      <c r="K129" s="30"/>
      <c r="L129" s="30"/>
      <c r="M129" s="20" t="str">
        <f aca="false">IF(A129="","",IF(V129="",0,IF(W129="",1,IF(X129="",2,IF(Y129="",3,"4+")))))</f>
        <v/>
      </c>
      <c r="N129" s="20" t="str">
        <f aca="false">IF(A129="","",A129&amp;IF(V129="",""," &lt;- "&amp;V129&amp;IF(W129="",""," &lt;- "&amp;W129&amp;IF(X129="",""," &lt;- "&amp;X129&amp;IF(Y129="",""," &lt;- "&amp;Y129))))&amp;IF(ISNUMBER(FIND(",",D129))," (+ other parents)",""))</f>
        <v/>
      </c>
      <c r="O129" s="20" t="str">
        <f aca="false">IF(A129="","",COUNTIF(Fields!$D:$D,A129))</f>
        <v/>
      </c>
      <c r="P129" s="20" t="str">
        <f aca="false">IF(A129="","",SUMIF(Fields!$D:$D,A129,Fields!$O:$O))</f>
        <v/>
      </c>
      <c r="Q129" s="30"/>
      <c r="R129" s="30"/>
      <c r="S129" s="30"/>
      <c r="T129" s="30"/>
      <c r="U129" s="30"/>
      <c r="V129" s="34" t="str">
        <f aca="false">IF(A129="","",IF(IFERROR(INDEX($D:$D,MATCH(A129,$A:$A,0)),"")="","",TRIM(IF(ISNUMBER(FIND(",",IFERROR(INDEX($D:$D,MATCH(A129,$A:$A,0)),""))),LEFT(IFERROR(INDEX($D:$D,MATCH(A129,$A:$A,0)),""),FIND(",",IFERROR(INDEX($D:$D,MATCH(A129,$A:$A,0)),""))-1),IFERROR(INDEX($D:$D,MATCH(A129,$A:$A,0)),"")))))</f>
        <v/>
      </c>
      <c r="W129" s="34" t="str">
        <f aca="false">IF(V129="","",IF(IFERROR(INDEX($D:$D,MATCH(V129,$A:$A,0)),"")="","",TRIM(IF(ISNUMBER(FIND(",",IFERROR(INDEX($D:$D,MATCH(V129,$A:$A,0)),""))),LEFT(IFERROR(INDEX($D:$D,MATCH(V129,$A:$A,0)),""),FIND(",",IFERROR(INDEX($D:$D,MATCH(V129,$A:$A,0)),""))-1),IFERROR(INDEX($D:$D,MATCH(V129,$A:$A,0)),"")))))</f>
        <v/>
      </c>
      <c r="X129" s="34" t="str">
        <f aca="false">IF(W129="","",IF(IFERROR(INDEX($D:$D,MATCH(W129,$A:$A,0)),"")="","",TRIM(IF(ISNUMBER(FIND(",",IFERROR(INDEX($D:$D,MATCH(W129,$A:$A,0)),""))),LEFT(IFERROR(INDEX($D:$D,MATCH(W129,$A:$A,0)),""),FIND(",",IFERROR(INDEX($D:$D,MATCH(W129,$A:$A,0)),""))-1),IFERROR(INDEX($D:$D,MATCH(W129,$A:$A,0)),"")))))</f>
        <v/>
      </c>
      <c r="Y129" s="34" t="str">
        <f aca="false">IF(X129="","",IF(IFERROR(INDEX($D:$D,MATCH(X129,$A:$A,0)),"")="","",TRIM(IF(ISNUMBER(FIND(",",IFERROR(INDEX($D:$D,MATCH(X129,$A:$A,0)),""))),LEFT(IFERROR(INDEX($D:$D,MATCH(X129,$A:$A,0)),""),FIND(",",IFERROR(INDEX($D:$D,MATCH(X129,$A:$A,0)),""))-1),IFERROR(INDEX($D:$D,MATCH(X129,$A:$A,0)),"")))))</f>
        <v/>
      </c>
      <c r="Z129" s="34" t="str">
        <f aca="false">IF(AND(A129&lt;&gt;"",L129="Retire"),COUNTIF($L$5:L129,"Retire"),"")</f>
        <v/>
      </c>
      <c r="AA129" s="34" t="str">
        <f aca="false">IF(AND(A129&lt;&gt;"",L129="Build"),COUNTIF($L$5:L129,"Build"),"")</f>
        <v/>
      </c>
      <c r="AB129" s="34" t="str">
        <f aca="false">IF(AND(A129&lt;&gt;"",OR(M129="4+",AND(ISNUMBER(M129),M129&gt;=2))),SUMPRODUCT(($A$5:A129&lt;&gt;"")*(($M$5:M129="4+")+(ISNUMBER($M$5:M129)*($M$5:M129&gt;=2)))),"")</f>
        <v/>
      </c>
      <c r="AC129" s="34" t="str">
        <f aca="false">IF(AND(A129&lt;&gt;"",OR(L129="",L129="Undecided",K129="")),SUMPRODUCT(($A$5:A129&lt;&gt;"")*(($L$5:L129="")+($L$5:L129="Undecided")+($K$5:K129=""))&gt;0*1),"")</f>
        <v/>
      </c>
    </row>
    <row r="130" customFormat="false" ht="15" hidden="false" customHeight="false" outlineLevel="0" collapsed="false">
      <c r="A130" s="29"/>
      <c r="B130" s="30"/>
      <c r="C130" s="30"/>
      <c r="D130" s="30"/>
      <c r="E130" s="30"/>
      <c r="F130" s="30"/>
      <c r="G130" s="30"/>
      <c r="H130" s="30"/>
      <c r="I130" s="30"/>
      <c r="J130" s="30"/>
      <c r="K130" s="30"/>
      <c r="L130" s="30"/>
      <c r="M130" s="20" t="str">
        <f aca="false">IF(A130="","",IF(V130="",0,IF(W130="",1,IF(X130="",2,IF(Y130="",3,"4+")))))</f>
        <v/>
      </c>
      <c r="N130" s="20" t="str">
        <f aca="false">IF(A130="","",A130&amp;IF(V130="",""," &lt;- "&amp;V130&amp;IF(W130="",""," &lt;- "&amp;W130&amp;IF(X130="",""," &lt;- "&amp;X130&amp;IF(Y130="",""," &lt;- "&amp;Y130))))&amp;IF(ISNUMBER(FIND(",",D130))," (+ other parents)",""))</f>
        <v/>
      </c>
      <c r="O130" s="20" t="str">
        <f aca="false">IF(A130="","",COUNTIF(Fields!$D:$D,A130))</f>
        <v/>
      </c>
      <c r="P130" s="20" t="str">
        <f aca="false">IF(A130="","",SUMIF(Fields!$D:$D,A130,Fields!$O:$O))</f>
        <v/>
      </c>
      <c r="Q130" s="30"/>
      <c r="R130" s="30"/>
      <c r="S130" s="30"/>
      <c r="T130" s="30"/>
      <c r="U130" s="30"/>
      <c r="V130" s="34" t="str">
        <f aca="false">IF(A130="","",IF(IFERROR(INDEX($D:$D,MATCH(A130,$A:$A,0)),"")="","",TRIM(IF(ISNUMBER(FIND(",",IFERROR(INDEX($D:$D,MATCH(A130,$A:$A,0)),""))),LEFT(IFERROR(INDEX($D:$D,MATCH(A130,$A:$A,0)),""),FIND(",",IFERROR(INDEX($D:$D,MATCH(A130,$A:$A,0)),""))-1),IFERROR(INDEX($D:$D,MATCH(A130,$A:$A,0)),"")))))</f>
        <v/>
      </c>
      <c r="W130" s="34" t="str">
        <f aca="false">IF(V130="","",IF(IFERROR(INDEX($D:$D,MATCH(V130,$A:$A,0)),"")="","",TRIM(IF(ISNUMBER(FIND(",",IFERROR(INDEX($D:$D,MATCH(V130,$A:$A,0)),""))),LEFT(IFERROR(INDEX($D:$D,MATCH(V130,$A:$A,0)),""),FIND(",",IFERROR(INDEX($D:$D,MATCH(V130,$A:$A,0)),""))-1),IFERROR(INDEX($D:$D,MATCH(V130,$A:$A,0)),"")))))</f>
        <v/>
      </c>
      <c r="X130" s="34" t="str">
        <f aca="false">IF(W130="","",IF(IFERROR(INDEX($D:$D,MATCH(W130,$A:$A,0)),"")="","",TRIM(IF(ISNUMBER(FIND(",",IFERROR(INDEX($D:$D,MATCH(W130,$A:$A,0)),""))),LEFT(IFERROR(INDEX($D:$D,MATCH(W130,$A:$A,0)),""),FIND(",",IFERROR(INDEX($D:$D,MATCH(W130,$A:$A,0)),""))-1),IFERROR(INDEX($D:$D,MATCH(W130,$A:$A,0)),"")))))</f>
        <v/>
      </c>
      <c r="Y130" s="34" t="str">
        <f aca="false">IF(X130="","",IF(IFERROR(INDEX($D:$D,MATCH(X130,$A:$A,0)),"")="","",TRIM(IF(ISNUMBER(FIND(",",IFERROR(INDEX($D:$D,MATCH(X130,$A:$A,0)),""))),LEFT(IFERROR(INDEX($D:$D,MATCH(X130,$A:$A,0)),""),FIND(",",IFERROR(INDEX($D:$D,MATCH(X130,$A:$A,0)),""))-1),IFERROR(INDEX($D:$D,MATCH(X130,$A:$A,0)),"")))))</f>
        <v/>
      </c>
      <c r="Z130" s="34" t="str">
        <f aca="false">IF(AND(A130&lt;&gt;"",L130="Retire"),COUNTIF($L$5:L130,"Retire"),"")</f>
        <v/>
      </c>
      <c r="AA130" s="34" t="str">
        <f aca="false">IF(AND(A130&lt;&gt;"",L130="Build"),COUNTIF($L$5:L130,"Build"),"")</f>
        <v/>
      </c>
      <c r="AB130" s="34" t="str">
        <f aca="false">IF(AND(A130&lt;&gt;"",OR(M130="4+",AND(ISNUMBER(M130),M130&gt;=2))),SUMPRODUCT(($A$5:A130&lt;&gt;"")*(($M$5:M130="4+")+(ISNUMBER($M$5:M130)*($M$5:M130&gt;=2)))),"")</f>
        <v/>
      </c>
      <c r="AC130" s="34" t="str">
        <f aca="false">IF(AND(A130&lt;&gt;"",OR(L130="",L130="Undecided",K130="")),SUMPRODUCT(($A$5:A130&lt;&gt;"")*(($L$5:L130="")+($L$5:L130="Undecided")+($K$5:K130=""))&gt;0*1),"")</f>
        <v/>
      </c>
    </row>
    <row r="131" customFormat="false" ht="15" hidden="false" customHeight="false" outlineLevel="0" collapsed="false">
      <c r="A131" s="29"/>
      <c r="B131" s="30"/>
      <c r="C131" s="30"/>
      <c r="D131" s="30"/>
      <c r="E131" s="30"/>
      <c r="F131" s="30"/>
      <c r="G131" s="30"/>
      <c r="H131" s="30"/>
      <c r="I131" s="30"/>
      <c r="J131" s="30"/>
      <c r="K131" s="30"/>
      <c r="L131" s="30"/>
      <c r="M131" s="20" t="str">
        <f aca="false">IF(A131="","",IF(V131="",0,IF(W131="",1,IF(X131="",2,IF(Y131="",3,"4+")))))</f>
        <v/>
      </c>
      <c r="N131" s="20" t="str">
        <f aca="false">IF(A131="","",A131&amp;IF(V131="",""," &lt;- "&amp;V131&amp;IF(W131="",""," &lt;- "&amp;W131&amp;IF(X131="",""," &lt;- "&amp;X131&amp;IF(Y131="",""," &lt;- "&amp;Y131))))&amp;IF(ISNUMBER(FIND(",",D131))," (+ other parents)",""))</f>
        <v/>
      </c>
      <c r="O131" s="20" t="str">
        <f aca="false">IF(A131="","",COUNTIF(Fields!$D:$D,A131))</f>
        <v/>
      </c>
      <c r="P131" s="20" t="str">
        <f aca="false">IF(A131="","",SUMIF(Fields!$D:$D,A131,Fields!$O:$O))</f>
        <v/>
      </c>
      <c r="Q131" s="30"/>
      <c r="R131" s="30"/>
      <c r="S131" s="30"/>
      <c r="T131" s="30"/>
      <c r="U131" s="30"/>
      <c r="V131" s="34" t="str">
        <f aca="false">IF(A131="","",IF(IFERROR(INDEX($D:$D,MATCH(A131,$A:$A,0)),"")="","",TRIM(IF(ISNUMBER(FIND(",",IFERROR(INDEX($D:$D,MATCH(A131,$A:$A,0)),""))),LEFT(IFERROR(INDEX($D:$D,MATCH(A131,$A:$A,0)),""),FIND(",",IFERROR(INDEX($D:$D,MATCH(A131,$A:$A,0)),""))-1),IFERROR(INDEX($D:$D,MATCH(A131,$A:$A,0)),"")))))</f>
        <v/>
      </c>
      <c r="W131" s="34" t="str">
        <f aca="false">IF(V131="","",IF(IFERROR(INDEX($D:$D,MATCH(V131,$A:$A,0)),"")="","",TRIM(IF(ISNUMBER(FIND(",",IFERROR(INDEX($D:$D,MATCH(V131,$A:$A,0)),""))),LEFT(IFERROR(INDEX($D:$D,MATCH(V131,$A:$A,0)),""),FIND(",",IFERROR(INDEX($D:$D,MATCH(V131,$A:$A,0)),""))-1),IFERROR(INDEX($D:$D,MATCH(V131,$A:$A,0)),"")))))</f>
        <v/>
      </c>
      <c r="X131" s="34" t="str">
        <f aca="false">IF(W131="","",IF(IFERROR(INDEX($D:$D,MATCH(W131,$A:$A,0)),"")="","",TRIM(IF(ISNUMBER(FIND(",",IFERROR(INDEX($D:$D,MATCH(W131,$A:$A,0)),""))),LEFT(IFERROR(INDEX($D:$D,MATCH(W131,$A:$A,0)),""),FIND(",",IFERROR(INDEX($D:$D,MATCH(W131,$A:$A,0)),""))-1),IFERROR(INDEX($D:$D,MATCH(W131,$A:$A,0)),"")))))</f>
        <v/>
      </c>
      <c r="Y131" s="34" t="str">
        <f aca="false">IF(X131="","",IF(IFERROR(INDEX($D:$D,MATCH(X131,$A:$A,0)),"")="","",TRIM(IF(ISNUMBER(FIND(",",IFERROR(INDEX($D:$D,MATCH(X131,$A:$A,0)),""))),LEFT(IFERROR(INDEX($D:$D,MATCH(X131,$A:$A,0)),""),FIND(",",IFERROR(INDEX($D:$D,MATCH(X131,$A:$A,0)),""))-1),IFERROR(INDEX($D:$D,MATCH(X131,$A:$A,0)),"")))))</f>
        <v/>
      </c>
      <c r="Z131" s="34" t="str">
        <f aca="false">IF(AND(A131&lt;&gt;"",L131="Retire"),COUNTIF($L$5:L131,"Retire"),"")</f>
        <v/>
      </c>
      <c r="AA131" s="34" t="str">
        <f aca="false">IF(AND(A131&lt;&gt;"",L131="Build"),COUNTIF($L$5:L131,"Build"),"")</f>
        <v/>
      </c>
      <c r="AB131" s="34" t="str">
        <f aca="false">IF(AND(A131&lt;&gt;"",OR(M131="4+",AND(ISNUMBER(M131),M131&gt;=2))),SUMPRODUCT(($A$5:A131&lt;&gt;"")*(($M$5:M131="4+")+(ISNUMBER($M$5:M131)*($M$5:M131&gt;=2)))),"")</f>
        <v/>
      </c>
      <c r="AC131" s="34" t="str">
        <f aca="false">IF(AND(A131&lt;&gt;"",OR(L131="",L131="Undecided",K131="")),SUMPRODUCT(($A$5:A131&lt;&gt;"")*(($L$5:L131="")+($L$5:L131="Undecided")+($K$5:K131=""))&gt;0*1),"")</f>
        <v/>
      </c>
    </row>
    <row r="132" customFormat="false" ht="15" hidden="false" customHeight="false" outlineLevel="0" collapsed="false">
      <c r="A132" s="29"/>
      <c r="B132" s="30"/>
      <c r="C132" s="30"/>
      <c r="D132" s="30"/>
      <c r="E132" s="30"/>
      <c r="F132" s="30"/>
      <c r="G132" s="30"/>
      <c r="H132" s="30"/>
      <c r="I132" s="30"/>
      <c r="J132" s="30"/>
      <c r="K132" s="30"/>
      <c r="L132" s="30"/>
      <c r="M132" s="20" t="str">
        <f aca="false">IF(A132="","",IF(V132="",0,IF(W132="",1,IF(X132="",2,IF(Y132="",3,"4+")))))</f>
        <v/>
      </c>
      <c r="N132" s="20" t="str">
        <f aca="false">IF(A132="","",A132&amp;IF(V132="",""," &lt;- "&amp;V132&amp;IF(W132="",""," &lt;- "&amp;W132&amp;IF(X132="",""," &lt;- "&amp;X132&amp;IF(Y132="",""," &lt;- "&amp;Y132))))&amp;IF(ISNUMBER(FIND(",",D132))," (+ other parents)",""))</f>
        <v/>
      </c>
      <c r="O132" s="20" t="str">
        <f aca="false">IF(A132="","",COUNTIF(Fields!$D:$D,A132))</f>
        <v/>
      </c>
      <c r="P132" s="20" t="str">
        <f aca="false">IF(A132="","",SUMIF(Fields!$D:$D,A132,Fields!$O:$O))</f>
        <v/>
      </c>
      <c r="Q132" s="30"/>
      <c r="R132" s="30"/>
      <c r="S132" s="30"/>
      <c r="T132" s="30"/>
      <c r="U132" s="30"/>
      <c r="V132" s="34" t="str">
        <f aca="false">IF(A132="","",IF(IFERROR(INDEX($D:$D,MATCH(A132,$A:$A,0)),"")="","",TRIM(IF(ISNUMBER(FIND(",",IFERROR(INDEX($D:$D,MATCH(A132,$A:$A,0)),""))),LEFT(IFERROR(INDEX($D:$D,MATCH(A132,$A:$A,0)),""),FIND(",",IFERROR(INDEX($D:$D,MATCH(A132,$A:$A,0)),""))-1),IFERROR(INDEX($D:$D,MATCH(A132,$A:$A,0)),"")))))</f>
        <v/>
      </c>
      <c r="W132" s="34" t="str">
        <f aca="false">IF(V132="","",IF(IFERROR(INDEX($D:$D,MATCH(V132,$A:$A,0)),"")="","",TRIM(IF(ISNUMBER(FIND(",",IFERROR(INDEX($D:$D,MATCH(V132,$A:$A,0)),""))),LEFT(IFERROR(INDEX($D:$D,MATCH(V132,$A:$A,0)),""),FIND(",",IFERROR(INDEX($D:$D,MATCH(V132,$A:$A,0)),""))-1),IFERROR(INDEX($D:$D,MATCH(V132,$A:$A,0)),"")))))</f>
        <v/>
      </c>
      <c r="X132" s="34" t="str">
        <f aca="false">IF(W132="","",IF(IFERROR(INDEX($D:$D,MATCH(W132,$A:$A,0)),"")="","",TRIM(IF(ISNUMBER(FIND(",",IFERROR(INDEX($D:$D,MATCH(W132,$A:$A,0)),""))),LEFT(IFERROR(INDEX($D:$D,MATCH(W132,$A:$A,0)),""),FIND(",",IFERROR(INDEX($D:$D,MATCH(W132,$A:$A,0)),""))-1),IFERROR(INDEX($D:$D,MATCH(W132,$A:$A,0)),"")))))</f>
        <v/>
      </c>
      <c r="Y132" s="34" t="str">
        <f aca="false">IF(X132="","",IF(IFERROR(INDEX($D:$D,MATCH(X132,$A:$A,0)),"")="","",TRIM(IF(ISNUMBER(FIND(",",IFERROR(INDEX($D:$D,MATCH(X132,$A:$A,0)),""))),LEFT(IFERROR(INDEX($D:$D,MATCH(X132,$A:$A,0)),""),FIND(",",IFERROR(INDEX($D:$D,MATCH(X132,$A:$A,0)),""))-1),IFERROR(INDEX($D:$D,MATCH(X132,$A:$A,0)),"")))))</f>
        <v/>
      </c>
      <c r="Z132" s="34" t="str">
        <f aca="false">IF(AND(A132&lt;&gt;"",L132="Retire"),COUNTIF($L$5:L132,"Retire"),"")</f>
        <v/>
      </c>
      <c r="AA132" s="34" t="str">
        <f aca="false">IF(AND(A132&lt;&gt;"",L132="Build"),COUNTIF($L$5:L132,"Build"),"")</f>
        <v/>
      </c>
      <c r="AB132" s="34" t="str">
        <f aca="false">IF(AND(A132&lt;&gt;"",OR(M132="4+",AND(ISNUMBER(M132),M132&gt;=2))),SUMPRODUCT(($A$5:A132&lt;&gt;"")*(($M$5:M132="4+")+(ISNUMBER($M$5:M132)*($M$5:M132&gt;=2)))),"")</f>
        <v/>
      </c>
      <c r="AC132" s="34" t="str">
        <f aca="false">IF(AND(A132&lt;&gt;"",OR(L132="",L132="Undecided",K132="")),SUMPRODUCT(($A$5:A132&lt;&gt;"")*(($L$5:L132="")+($L$5:L132="Undecided")+($K$5:K132=""))&gt;0*1),"")</f>
        <v/>
      </c>
    </row>
    <row r="133" customFormat="false" ht="15" hidden="false" customHeight="false" outlineLevel="0" collapsed="false">
      <c r="A133" s="29"/>
      <c r="B133" s="30"/>
      <c r="C133" s="30"/>
      <c r="D133" s="30"/>
      <c r="E133" s="30"/>
      <c r="F133" s="30"/>
      <c r="G133" s="30"/>
      <c r="H133" s="30"/>
      <c r="I133" s="30"/>
      <c r="J133" s="30"/>
      <c r="K133" s="30"/>
      <c r="L133" s="30"/>
      <c r="M133" s="20" t="str">
        <f aca="false">IF(A133="","",IF(V133="",0,IF(W133="",1,IF(X133="",2,IF(Y133="",3,"4+")))))</f>
        <v/>
      </c>
      <c r="N133" s="20" t="str">
        <f aca="false">IF(A133="","",A133&amp;IF(V133="",""," &lt;- "&amp;V133&amp;IF(W133="",""," &lt;- "&amp;W133&amp;IF(X133="",""," &lt;- "&amp;X133&amp;IF(Y133="",""," &lt;- "&amp;Y133))))&amp;IF(ISNUMBER(FIND(",",D133))," (+ other parents)",""))</f>
        <v/>
      </c>
      <c r="O133" s="20" t="str">
        <f aca="false">IF(A133="","",COUNTIF(Fields!$D:$D,A133))</f>
        <v/>
      </c>
      <c r="P133" s="20" t="str">
        <f aca="false">IF(A133="","",SUMIF(Fields!$D:$D,A133,Fields!$O:$O))</f>
        <v/>
      </c>
      <c r="Q133" s="30"/>
      <c r="R133" s="30"/>
      <c r="S133" s="30"/>
      <c r="T133" s="30"/>
      <c r="U133" s="30"/>
      <c r="V133" s="34" t="str">
        <f aca="false">IF(A133="","",IF(IFERROR(INDEX($D:$D,MATCH(A133,$A:$A,0)),"")="","",TRIM(IF(ISNUMBER(FIND(",",IFERROR(INDEX($D:$D,MATCH(A133,$A:$A,0)),""))),LEFT(IFERROR(INDEX($D:$D,MATCH(A133,$A:$A,0)),""),FIND(",",IFERROR(INDEX($D:$D,MATCH(A133,$A:$A,0)),""))-1),IFERROR(INDEX($D:$D,MATCH(A133,$A:$A,0)),"")))))</f>
        <v/>
      </c>
      <c r="W133" s="34" t="str">
        <f aca="false">IF(V133="","",IF(IFERROR(INDEX($D:$D,MATCH(V133,$A:$A,0)),"")="","",TRIM(IF(ISNUMBER(FIND(",",IFERROR(INDEX($D:$D,MATCH(V133,$A:$A,0)),""))),LEFT(IFERROR(INDEX($D:$D,MATCH(V133,$A:$A,0)),""),FIND(",",IFERROR(INDEX($D:$D,MATCH(V133,$A:$A,0)),""))-1),IFERROR(INDEX($D:$D,MATCH(V133,$A:$A,0)),"")))))</f>
        <v/>
      </c>
      <c r="X133" s="34" t="str">
        <f aca="false">IF(W133="","",IF(IFERROR(INDEX($D:$D,MATCH(W133,$A:$A,0)),"")="","",TRIM(IF(ISNUMBER(FIND(",",IFERROR(INDEX($D:$D,MATCH(W133,$A:$A,0)),""))),LEFT(IFERROR(INDEX($D:$D,MATCH(W133,$A:$A,0)),""),FIND(",",IFERROR(INDEX($D:$D,MATCH(W133,$A:$A,0)),""))-1),IFERROR(INDEX($D:$D,MATCH(W133,$A:$A,0)),"")))))</f>
        <v/>
      </c>
      <c r="Y133" s="34" t="str">
        <f aca="false">IF(X133="","",IF(IFERROR(INDEX($D:$D,MATCH(X133,$A:$A,0)),"")="","",TRIM(IF(ISNUMBER(FIND(",",IFERROR(INDEX($D:$D,MATCH(X133,$A:$A,0)),""))),LEFT(IFERROR(INDEX($D:$D,MATCH(X133,$A:$A,0)),""),FIND(",",IFERROR(INDEX($D:$D,MATCH(X133,$A:$A,0)),""))-1),IFERROR(INDEX($D:$D,MATCH(X133,$A:$A,0)),"")))))</f>
        <v/>
      </c>
      <c r="Z133" s="34" t="str">
        <f aca="false">IF(AND(A133&lt;&gt;"",L133="Retire"),COUNTIF($L$5:L133,"Retire"),"")</f>
        <v/>
      </c>
      <c r="AA133" s="34" t="str">
        <f aca="false">IF(AND(A133&lt;&gt;"",L133="Build"),COUNTIF($L$5:L133,"Build"),"")</f>
        <v/>
      </c>
      <c r="AB133" s="34" t="str">
        <f aca="false">IF(AND(A133&lt;&gt;"",OR(M133="4+",AND(ISNUMBER(M133),M133&gt;=2))),SUMPRODUCT(($A$5:A133&lt;&gt;"")*(($M$5:M133="4+")+(ISNUMBER($M$5:M133)*($M$5:M133&gt;=2)))),"")</f>
        <v/>
      </c>
      <c r="AC133" s="34" t="str">
        <f aca="false">IF(AND(A133&lt;&gt;"",OR(L133="",L133="Undecided",K133="")),SUMPRODUCT(($A$5:A133&lt;&gt;"")*(($L$5:L133="")+($L$5:L133="Undecided")+($K$5:K133=""))&gt;0*1),"")</f>
        <v/>
      </c>
    </row>
    <row r="134" customFormat="false" ht="15" hidden="false" customHeight="false" outlineLevel="0" collapsed="false">
      <c r="A134" s="29"/>
      <c r="B134" s="30"/>
      <c r="C134" s="30"/>
      <c r="D134" s="30"/>
      <c r="E134" s="30"/>
      <c r="F134" s="30"/>
      <c r="G134" s="30"/>
      <c r="H134" s="30"/>
      <c r="I134" s="30"/>
      <c r="J134" s="30"/>
      <c r="K134" s="30"/>
      <c r="L134" s="30"/>
      <c r="M134" s="20" t="str">
        <f aca="false">IF(A134="","",IF(V134="",0,IF(W134="",1,IF(X134="",2,IF(Y134="",3,"4+")))))</f>
        <v/>
      </c>
      <c r="N134" s="20" t="str">
        <f aca="false">IF(A134="","",A134&amp;IF(V134="",""," &lt;- "&amp;V134&amp;IF(W134="",""," &lt;- "&amp;W134&amp;IF(X134="",""," &lt;- "&amp;X134&amp;IF(Y134="",""," &lt;- "&amp;Y134))))&amp;IF(ISNUMBER(FIND(",",D134))," (+ other parents)",""))</f>
        <v/>
      </c>
      <c r="O134" s="20" t="str">
        <f aca="false">IF(A134="","",COUNTIF(Fields!$D:$D,A134))</f>
        <v/>
      </c>
      <c r="P134" s="20" t="str">
        <f aca="false">IF(A134="","",SUMIF(Fields!$D:$D,A134,Fields!$O:$O))</f>
        <v/>
      </c>
      <c r="Q134" s="30"/>
      <c r="R134" s="30"/>
      <c r="S134" s="30"/>
      <c r="T134" s="30"/>
      <c r="U134" s="30"/>
      <c r="V134" s="34" t="str">
        <f aca="false">IF(A134="","",IF(IFERROR(INDEX($D:$D,MATCH(A134,$A:$A,0)),"")="","",TRIM(IF(ISNUMBER(FIND(",",IFERROR(INDEX($D:$D,MATCH(A134,$A:$A,0)),""))),LEFT(IFERROR(INDEX($D:$D,MATCH(A134,$A:$A,0)),""),FIND(",",IFERROR(INDEX($D:$D,MATCH(A134,$A:$A,0)),""))-1),IFERROR(INDEX($D:$D,MATCH(A134,$A:$A,0)),"")))))</f>
        <v/>
      </c>
      <c r="W134" s="34" t="str">
        <f aca="false">IF(V134="","",IF(IFERROR(INDEX($D:$D,MATCH(V134,$A:$A,0)),"")="","",TRIM(IF(ISNUMBER(FIND(",",IFERROR(INDEX($D:$D,MATCH(V134,$A:$A,0)),""))),LEFT(IFERROR(INDEX($D:$D,MATCH(V134,$A:$A,0)),""),FIND(",",IFERROR(INDEX($D:$D,MATCH(V134,$A:$A,0)),""))-1),IFERROR(INDEX($D:$D,MATCH(V134,$A:$A,0)),"")))))</f>
        <v/>
      </c>
      <c r="X134" s="34" t="str">
        <f aca="false">IF(W134="","",IF(IFERROR(INDEX($D:$D,MATCH(W134,$A:$A,0)),"")="","",TRIM(IF(ISNUMBER(FIND(",",IFERROR(INDEX($D:$D,MATCH(W134,$A:$A,0)),""))),LEFT(IFERROR(INDEX($D:$D,MATCH(W134,$A:$A,0)),""),FIND(",",IFERROR(INDEX($D:$D,MATCH(W134,$A:$A,0)),""))-1),IFERROR(INDEX($D:$D,MATCH(W134,$A:$A,0)),"")))))</f>
        <v/>
      </c>
      <c r="Y134" s="34" t="str">
        <f aca="false">IF(X134="","",IF(IFERROR(INDEX($D:$D,MATCH(X134,$A:$A,0)),"")="","",TRIM(IF(ISNUMBER(FIND(",",IFERROR(INDEX($D:$D,MATCH(X134,$A:$A,0)),""))),LEFT(IFERROR(INDEX($D:$D,MATCH(X134,$A:$A,0)),""),FIND(",",IFERROR(INDEX($D:$D,MATCH(X134,$A:$A,0)),""))-1),IFERROR(INDEX($D:$D,MATCH(X134,$A:$A,0)),"")))))</f>
        <v/>
      </c>
      <c r="Z134" s="34" t="str">
        <f aca="false">IF(AND(A134&lt;&gt;"",L134="Retire"),COUNTIF($L$5:L134,"Retire"),"")</f>
        <v/>
      </c>
      <c r="AA134" s="34" t="str">
        <f aca="false">IF(AND(A134&lt;&gt;"",L134="Build"),COUNTIF($L$5:L134,"Build"),"")</f>
        <v/>
      </c>
      <c r="AB134" s="34" t="str">
        <f aca="false">IF(AND(A134&lt;&gt;"",OR(M134="4+",AND(ISNUMBER(M134),M134&gt;=2))),SUMPRODUCT(($A$5:A134&lt;&gt;"")*(($M$5:M134="4+")+(ISNUMBER($M$5:M134)*($M$5:M134&gt;=2)))),"")</f>
        <v/>
      </c>
      <c r="AC134" s="34" t="str">
        <f aca="false">IF(AND(A134&lt;&gt;"",OR(L134="",L134="Undecided",K134="")),SUMPRODUCT(($A$5:A134&lt;&gt;"")*(($L$5:L134="")+($L$5:L134="Undecided")+($K$5:K134=""))&gt;0*1),"")</f>
        <v/>
      </c>
    </row>
    <row r="135" customFormat="false" ht="15" hidden="false" customHeight="false" outlineLevel="0" collapsed="false">
      <c r="A135" s="29"/>
      <c r="B135" s="30"/>
      <c r="C135" s="30"/>
      <c r="D135" s="30"/>
      <c r="E135" s="30"/>
      <c r="F135" s="30"/>
      <c r="G135" s="30"/>
      <c r="H135" s="30"/>
      <c r="I135" s="30"/>
      <c r="J135" s="30"/>
      <c r="K135" s="30"/>
      <c r="L135" s="30"/>
      <c r="M135" s="20" t="str">
        <f aca="false">IF(A135="","",IF(V135="",0,IF(W135="",1,IF(X135="",2,IF(Y135="",3,"4+")))))</f>
        <v/>
      </c>
      <c r="N135" s="20" t="str">
        <f aca="false">IF(A135="","",A135&amp;IF(V135="",""," &lt;- "&amp;V135&amp;IF(W135="",""," &lt;- "&amp;W135&amp;IF(X135="",""," &lt;- "&amp;X135&amp;IF(Y135="",""," &lt;- "&amp;Y135))))&amp;IF(ISNUMBER(FIND(",",D135))," (+ other parents)",""))</f>
        <v/>
      </c>
      <c r="O135" s="20" t="str">
        <f aca="false">IF(A135="","",COUNTIF(Fields!$D:$D,A135))</f>
        <v/>
      </c>
      <c r="P135" s="20" t="str">
        <f aca="false">IF(A135="","",SUMIF(Fields!$D:$D,A135,Fields!$O:$O))</f>
        <v/>
      </c>
      <c r="Q135" s="30"/>
      <c r="R135" s="30"/>
      <c r="S135" s="30"/>
      <c r="T135" s="30"/>
      <c r="U135" s="30"/>
      <c r="V135" s="34" t="str">
        <f aca="false">IF(A135="","",IF(IFERROR(INDEX($D:$D,MATCH(A135,$A:$A,0)),"")="","",TRIM(IF(ISNUMBER(FIND(",",IFERROR(INDEX($D:$D,MATCH(A135,$A:$A,0)),""))),LEFT(IFERROR(INDEX($D:$D,MATCH(A135,$A:$A,0)),""),FIND(",",IFERROR(INDEX($D:$D,MATCH(A135,$A:$A,0)),""))-1),IFERROR(INDEX($D:$D,MATCH(A135,$A:$A,0)),"")))))</f>
        <v/>
      </c>
      <c r="W135" s="34" t="str">
        <f aca="false">IF(V135="","",IF(IFERROR(INDEX($D:$D,MATCH(V135,$A:$A,0)),"")="","",TRIM(IF(ISNUMBER(FIND(",",IFERROR(INDEX($D:$D,MATCH(V135,$A:$A,0)),""))),LEFT(IFERROR(INDEX($D:$D,MATCH(V135,$A:$A,0)),""),FIND(",",IFERROR(INDEX($D:$D,MATCH(V135,$A:$A,0)),""))-1),IFERROR(INDEX($D:$D,MATCH(V135,$A:$A,0)),"")))))</f>
        <v/>
      </c>
      <c r="X135" s="34" t="str">
        <f aca="false">IF(W135="","",IF(IFERROR(INDEX($D:$D,MATCH(W135,$A:$A,0)),"")="","",TRIM(IF(ISNUMBER(FIND(",",IFERROR(INDEX($D:$D,MATCH(W135,$A:$A,0)),""))),LEFT(IFERROR(INDEX($D:$D,MATCH(W135,$A:$A,0)),""),FIND(",",IFERROR(INDEX($D:$D,MATCH(W135,$A:$A,0)),""))-1),IFERROR(INDEX($D:$D,MATCH(W135,$A:$A,0)),"")))))</f>
        <v/>
      </c>
      <c r="Y135" s="34" t="str">
        <f aca="false">IF(X135="","",IF(IFERROR(INDEX($D:$D,MATCH(X135,$A:$A,0)),"")="","",TRIM(IF(ISNUMBER(FIND(",",IFERROR(INDEX($D:$D,MATCH(X135,$A:$A,0)),""))),LEFT(IFERROR(INDEX($D:$D,MATCH(X135,$A:$A,0)),""),FIND(",",IFERROR(INDEX($D:$D,MATCH(X135,$A:$A,0)),""))-1),IFERROR(INDEX($D:$D,MATCH(X135,$A:$A,0)),"")))))</f>
        <v/>
      </c>
      <c r="Z135" s="34" t="str">
        <f aca="false">IF(AND(A135&lt;&gt;"",L135="Retire"),COUNTIF($L$5:L135,"Retire"),"")</f>
        <v/>
      </c>
      <c r="AA135" s="34" t="str">
        <f aca="false">IF(AND(A135&lt;&gt;"",L135="Build"),COUNTIF($L$5:L135,"Build"),"")</f>
        <v/>
      </c>
      <c r="AB135" s="34" t="str">
        <f aca="false">IF(AND(A135&lt;&gt;"",OR(M135="4+",AND(ISNUMBER(M135),M135&gt;=2))),SUMPRODUCT(($A$5:A135&lt;&gt;"")*(($M$5:M135="4+")+(ISNUMBER($M$5:M135)*($M$5:M135&gt;=2)))),"")</f>
        <v/>
      </c>
      <c r="AC135" s="34" t="str">
        <f aca="false">IF(AND(A135&lt;&gt;"",OR(L135="",L135="Undecided",K135="")),SUMPRODUCT(($A$5:A135&lt;&gt;"")*(($L$5:L135="")+($L$5:L135="Undecided")+($K$5:K135=""))&gt;0*1),"")</f>
        <v/>
      </c>
    </row>
    <row r="136" customFormat="false" ht="15" hidden="false" customHeight="false" outlineLevel="0" collapsed="false">
      <c r="A136" s="29"/>
      <c r="B136" s="30"/>
      <c r="C136" s="30"/>
      <c r="D136" s="30"/>
      <c r="E136" s="30"/>
      <c r="F136" s="30"/>
      <c r="G136" s="30"/>
      <c r="H136" s="30"/>
      <c r="I136" s="30"/>
      <c r="J136" s="30"/>
      <c r="K136" s="30"/>
      <c r="L136" s="30"/>
      <c r="M136" s="20" t="str">
        <f aca="false">IF(A136="","",IF(V136="",0,IF(W136="",1,IF(X136="",2,IF(Y136="",3,"4+")))))</f>
        <v/>
      </c>
      <c r="N136" s="20" t="str">
        <f aca="false">IF(A136="","",A136&amp;IF(V136="",""," &lt;- "&amp;V136&amp;IF(W136="",""," &lt;- "&amp;W136&amp;IF(X136="",""," &lt;- "&amp;X136&amp;IF(Y136="",""," &lt;- "&amp;Y136))))&amp;IF(ISNUMBER(FIND(",",D136))," (+ other parents)",""))</f>
        <v/>
      </c>
      <c r="O136" s="20" t="str">
        <f aca="false">IF(A136="","",COUNTIF(Fields!$D:$D,A136))</f>
        <v/>
      </c>
      <c r="P136" s="20" t="str">
        <f aca="false">IF(A136="","",SUMIF(Fields!$D:$D,A136,Fields!$O:$O))</f>
        <v/>
      </c>
      <c r="Q136" s="30"/>
      <c r="R136" s="30"/>
      <c r="S136" s="30"/>
      <c r="T136" s="30"/>
      <c r="U136" s="30"/>
      <c r="V136" s="34" t="str">
        <f aca="false">IF(A136="","",IF(IFERROR(INDEX($D:$D,MATCH(A136,$A:$A,0)),"")="","",TRIM(IF(ISNUMBER(FIND(",",IFERROR(INDEX($D:$D,MATCH(A136,$A:$A,0)),""))),LEFT(IFERROR(INDEX($D:$D,MATCH(A136,$A:$A,0)),""),FIND(",",IFERROR(INDEX($D:$D,MATCH(A136,$A:$A,0)),""))-1),IFERROR(INDEX($D:$D,MATCH(A136,$A:$A,0)),"")))))</f>
        <v/>
      </c>
      <c r="W136" s="34" t="str">
        <f aca="false">IF(V136="","",IF(IFERROR(INDEX($D:$D,MATCH(V136,$A:$A,0)),"")="","",TRIM(IF(ISNUMBER(FIND(",",IFERROR(INDEX($D:$D,MATCH(V136,$A:$A,0)),""))),LEFT(IFERROR(INDEX($D:$D,MATCH(V136,$A:$A,0)),""),FIND(",",IFERROR(INDEX($D:$D,MATCH(V136,$A:$A,0)),""))-1),IFERROR(INDEX($D:$D,MATCH(V136,$A:$A,0)),"")))))</f>
        <v/>
      </c>
      <c r="X136" s="34" t="str">
        <f aca="false">IF(W136="","",IF(IFERROR(INDEX($D:$D,MATCH(W136,$A:$A,0)),"")="","",TRIM(IF(ISNUMBER(FIND(",",IFERROR(INDEX($D:$D,MATCH(W136,$A:$A,0)),""))),LEFT(IFERROR(INDEX($D:$D,MATCH(W136,$A:$A,0)),""),FIND(",",IFERROR(INDEX($D:$D,MATCH(W136,$A:$A,0)),""))-1),IFERROR(INDEX($D:$D,MATCH(W136,$A:$A,0)),"")))))</f>
        <v/>
      </c>
      <c r="Y136" s="34" t="str">
        <f aca="false">IF(X136="","",IF(IFERROR(INDEX($D:$D,MATCH(X136,$A:$A,0)),"")="","",TRIM(IF(ISNUMBER(FIND(",",IFERROR(INDEX($D:$D,MATCH(X136,$A:$A,0)),""))),LEFT(IFERROR(INDEX($D:$D,MATCH(X136,$A:$A,0)),""),FIND(",",IFERROR(INDEX($D:$D,MATCH(X136,$A:$A,0)),""))-1),IFERROR(INDEX($D:$D,MATCH(X136,$A:$A,0)),"")))))</f>
        <v/>
      </c>
      <c r="Z136" s="34" t="str">
        <f aca="false">IF(AND(A136&lt;&gt;"",L136="Retire"),COUNTIF($L$5:L136,"Retire"),"")</f>
        <v/>
      </c>
      <c r="AA136" s="34" t="str">
        <f aca="false">IF(AND(A136&lt;&gt;"",L136="Build"),COUNTIF($L$5:L136,"Build"),"")</f>
        <v/>
      </c>
      <c r="AB136" s="34" t="str">
        <f aca="false">IF(AND(A136&lt;&gt;"",OR(M136="4+",AND(ISNUMBER(M136),M136&gt;=2))),SUMPRODUCT(($A$5:A136&lt;&gt;"")*(($M$5:M136="4+")+(ISNUMBER($M$5:M136)*($M$5:M136&gt;=2)))),"")</f>
        <v/>
      </c>
      <c r="AC136" s="34" t="str">
        <f aca="false">IF(AND(A136&lt;&gt;"",OR(L136="",L136="Undecided",K136="")),SUMPRODUCT(($A$5:A136&lt;&gt;"")*(($L$5:L136="")+($L$5:L136="Undecided")+($K$5:K136=""))&gt;0*1),"")</f>
        <v/>
      </c>
    </row>
    <row r="137" customFormat="false" ht="15" hidden="false" customHeight="false" outlineLevel="0" collapsed="false">
      <c r="A137" s="29"/>
      <c r="B137" s="30"/>
      <c r="C137" s="30"/>
      <c r="D137" s="30"/>
      <c r="E137" s="30"/>
      <c r="F137" s="30"/>
      <c r="G137" s="30"/>
      <c r="H137" s="30"/>
      <c r="I137" s="30"/>
      <c r="J137" s="30"/>
      <c r="K137" s="30"/>
      <c r="L137" s="30"/>
      <c r="M137" s="20" t="str">
        <f aca="false">IF(A137="","",IF(V137="",0,IF(W137="",1,IF(X137="",2,IF(Y137="",3,"4+")))))</f>
        <v/>
      </c>
      <c r="N137" s="20" t="str">
        <f aca="false">IF(A137="","",A137&amp;IF(V137="",""," &lt;- "&amp;V137&amp;IF(W137="",""," &lt;- "&amp;W137&amp;IF(X137="",""," &lt;- "&amp;X137&amp;IF(Y137="",""," &lt;- "&amp;Y137))))&amp;IF(ISNUMBER(FIND(",",D137))," (+ other parents)",""))</f>
        <v/>
      </c>
      <c r="O137" s="20" t="str">
        <f aca="false">IF(A137="","",COUNTIF(Fields!$D:$D,A137))</f>
        <v/>
      </c>
      <c r="P137" s="20" t="str">
        <f aca="false">IF(A137="","",SUMIF(Fields!$D:$D,A137,Fields!$O:$O))</f>
        <v/>
      </c>
      <c r="Q137" s="30"/>
      <c r="R137" s="30"/>
      <c r="S137" s="30"/>
      <c r="T137" s="30"/>
      <c r="U137" s="30"/>
      <c r="V137" s="34" t="str">
        <f aca="false">IF(A137="","",IF(IFERROR(INDEX($D:$D,MATCH(A137,$A:$A,0)),"")="","",TRIM(IF(ISNUMBER(FIND(",",IFERROR(INDEX($D:$D,MATCH(A137,$A:$A,0)),""))),LEFT(IFERROR(INDEX($D:$D,MATCH(A137,$A:$A,0)),""),FIND(",",IFERROR(INDEX($D:$D,MATCH(A137,$A:$A,0)),""))-1),IFERROR(INDEX($D:$D,MATCH(A137,$A:$A,0)),"")))))</f>
        <v/>
      </c>
      <c r="W137" s="34" t="str">
        <f aca="false">IF(V137="","",IF(IFERROR(INDEX($D:$D,MATCH(V137,$A:$A,0)),"")="","",TRIM(IF(ISNUMBER(FIND(",",IFERROR(INDEX($D:$D,MATCH(V137,$A:$A,0)),""))),LEFT(IFERROR(INDEX($D:$D,MATCH(V137,$A:$A,0)),""),FIND(",",IFERROR(INDEX($D:$D,MATCH(V137,$A:$A,0)),""))-1),IFERROR(INDEX($D:$D,MATCH(V137,$A:$A,0)),"")))))</f>
        <v/>
      </c>
      <c r="X137" s="34" t="str">
        <f aca="false">IF(W137="","",IF(IFERROR(INDEX($D:$D,MATCH(W137,$A:$A,0)),"")="","",TRIM(IF(ISNUMBER(FIND(",",IFERROR(INDEX($D:$D,MATCH(W137,$A:$A,0)),""))),LEFT(IFERROR(INDEX($D:$D,MATCH(W137,$A:$A,0)),""),FIND(",",IFERROR(INDEX($D:$D,MATCH(W137,$A:$A,0)),""))-1),IFERROR(INDEX($D:$D,MATCH(W137,$A:$A,0)),"")))))</f>
        <v/>
      </c>
      <c r="Y137" s="34" t="str">
        <f aca="false">IF(X137="","",IF(IFERROR(INDEX($D:$D,MATCH(X137,$A:$A,0)),"")="","",TRIM(IF(ISNUMBER(FIND(",",IFERROR(INDEX($D:$D,MATCH(X137,$A:$A,0)),""))),LEFT(IFERROR(INDEX($D:$D,MATCH(X137,$A:$A,0)),""),FIND(",",IFERROR(INDEX($D:$D,MATCH(X137,$A:$A,0)),""))-1),IFERROR(INDEX($D:$D,MATCH(X137,$A:$A,0)),"")))))</f>
        <v/>
      </c>
      <c r="Z137" s="34" t="str">
        <f aca="false">IF(AND(A137&lt;&gt;"",L137="Retire"),COUNTIF($L$5:L137,"Retire"),"")</f>
        <v/>
      </c>
      <c r="AA137" s="34" t="str">
        <f aca="false">IF(AND(A137&lt;&gt;"",L137="Build"),COUNTIF($L$5:L137,"Build"),"")</f>
        <v/>
      </c>
      <c r="AB137" s="34" t="str">
        <f aca="false">IF(AND(A137&lt;&gt;"",OR(M137="4+",AND(ISNUMBER(M137),M137&gt;=2))),SUMPRODUCT(($A$5:A137&lt;&gt;"")*(($M$5:M137="4+")+(ISNUMBER($M$5:M137)*($M$5:M137&gt;=2)))),"")</f>
        <v/>
      </c>
      <c r="AC137" s="34" t="str">
        <f aca="false">IF(AND(A137&lt;&gt;"",OR(L137="",L137="Undecided",K137="")),SUMPRODUCT(($A$5:A137&lt;&gt;"")*(($L$5:L137="")+($L$5:L137="Undecided")+($K$5:K137=""))&gt;0*1),"")</f>
        <v/>
      </c>
    </row>
    <row r="138" customFormat="false" ht="15" hidden="false" customHeight="false" outlineLevel="0" collapsed="false">
      <c r="A138" s="29"/>
      <c r="B138" s="30"/>
      <c r="C138" s="30"/>
      <c r="D138" s="30"/>
      <c r="E138" s="30"/>
      <c r="F138" s="30"/>
      <c r="G138" s="30"/>
      <c r="H138" s="30"/>
      <c r="I138" s="30"/>
      <c r="J138" s="30"/>
      <c r="K138" s="30"/>
      <c r="L138" s="30"/>
      <c r="M138" s="20" t="str">
        <f aca="false">IF(A138="","",IF(V138="",0,IF(W138="",1,IF(X138="",2,IF(Y138="",3,"4+")))))</f>
        <v/>
      </c>
      <c r="N138" s="20" t="str">
        <f aca="false">IF(A138="","",A138&amp;IF(V138="",""," &lt;- "&amp;V138&amp;IF(W138="",""," &lt;- "&amp;W138&amp;IF(X138="",""," &lt;- "&amp;X138&amp;IF(Y138="",""," &lt;- "&amp;Y138))))&amp;IF(ISNUMBER(FIND(",",D138))," (+ other parents)",""))</f>
        <v/>
      </c>
      <c r="O138" s="20" t="str">
        <f aca="false">IF(A138="","",COUNTIF(Fields!$D:$D,A138))</f>
        <v/>
      </c>
      <c r="P138" s="20" t="str">
        <f aca="false">IF(A138="","",SUMIF(Fields!$D:$D,A138,Fields!$O:$O))</f>
        <v/>
      </c>
      <c r="Q138" s="30"/>
      <c r="R138" s="30"/>
      <c r="S138" s="30"/>
      <c r="T138" s="30"/>
      <c r="U138" s="30"/>
      <c r="V138" s="34" t="str">
        <f aca="false">IF(A138="","",IF(IFERROR(INDEX($D:$D,MATCH(A138,$A:$A,0)),"")="","",TRIM(IF(ISNUMBER(FIND(",",IFERROR(INDEX($D:$D,MATCH(A138,$A:$A,0)),""))),LEFT(IFERROR(INDEX($D:$D,MATCH(A138,$A:$A,0)),""),FIND(",",IFERROR(INDEX($D:$D,MATCH(A138,$A:$A,0)),""))-1),IFERROR(INDEX($D:$D,MATCH(A138,$A:$A,0)),"")))))</f>
        <v/>
      </c>
      <c r="W138" s="34" t="str">
        <f aca="false">IF(V138="","",IF(IFERROR(INDEX($D:$D,MATCH(V138,$A:$A,0)),"")="","",TRIM(IF(ISNUMBER(FIND(",",IFERROR(INDEX($D:$D,MATCH(V138,$A:$A,0)),""))),LEFT(IFERROR(INDEX($D:$D,MATCH(V138,$A:$A,0)),""),FIND(",",IFERROR(INDEX($D:$D,MATCH(V138,$A:$A,0)),""))-1),IFERROR(INDEX($D:$D,MATCH(V138,$A:$A,0)),"")))))</f>
        <v/>
      </c>
      <c r="X138" s="34" t="str">
        <f aca="false">IF(W138="","",IF(IFERROR(INDEX($D:$D,MATCH(W138,$A:$A,0)),"")="","",TRIM(IF(ISNUMBER(FIND(",",IFERROR(INDEX($D:$D,MATCH(W138,$A:$A,0)),""))),LEFT(IFERROR(INDEX($D:$D,MATCH(W138,$A:$A,0)),""),FIND(",",IFERROR(INDEX($D:$D,MATCH(W138,$A:$A,0)),""))-1),IFERROR(INDEX($D:$D,MATCH(W138,$A:$A,0)),"")))))</f>
        <v/>
      </c>
      <c r="Y138" s="34" t="str">
        <f aca="false">IF(X138="","",IF(IFERROR(INDEX($D:$D,MATCH(X138,$A:$A,0)),"")="","",TRIM(IF(ISNUMBER(FIND(",",IFERROR(INDEX($D:$D,MATCH(X138,$A:$A,0)),""))),LEFT(IFERROR(INDEX($D:$D,MATCH(X138,$A:$A,0)),""),FIND(",",IFERROR(INDEX($D:$D,MATCH(X138,$A:$A,0)),""))-1),IFERROR(INDEX($D:$D,MATCH(X138,$A:$A,0)),"")))))</f>
        <v/>
      </c>
      <c r="Z138" s="34" t="str">
        <f aca="false">IF(AND(A138&lt;&gt;"",L138="Retire"),COUNTIF($L$5:L138,"Retire"),"")</f>
        <v/>
      </c>
      <c r="AA138" s="34" t="str">
        <f aca="false">IF(AND(A138&lt;&gt;"",L138="Build"),COUNTIF($L$5:L138,"Build"),"")</f>
        <v/>
      </c>
      <c r="AB138" s="34" t="str">
        <f aca="false">IF(AND(A138&lt;&gt;"",OR(M138="4+",AND(ISNUMBER(M138),M138&gt;=2))),SUMPRODUCT(($A$5:A138&lt;&gt;"")*(($M$5:M138="4+")+(ISNUMBER($M$5:M138)*($M$5:M138&gt;=2)))),"")</f>
        <v/>
      </c>
      <c r="AC138" s="34" t="str">
        <f aca="false">IF(AND(A138&lt;&gt;"",OR(L138="",L138="Undecided",K138="")),SUMPRODUCT(($A$5:A138&lt;&gt;"")*(($L$5:L138="")+($L$5:L138="Undecided")+($K$5:K138=""))&gt;0*1),"")</f>
        <v/>
      </c>
    </row>
    <row r="139" customFormat="false" ht="15" hidden="false" customHeight="false" outlineLevel="0" collapsed="false">
      <c r="A139" s="29"/>
      <c r="B139" s="30"/>
      <c r="C139" s="30"/>
      <c r="D139" s="30"/>
      <c r="E139" s="30"/>
      <c r="F139" s="30"/>
      <c r="G139" s="30"/>
      <c r="H139" s="30"/>
      <c r="I139" s="30"/>
      <c r="J139" s="30"/>
      <c r="K139" s="30"/>
      <c r="L139" s="30"/>
      <c r="M139" s="20" t="str">
        <f aca="false">IF(A139="","",IF(V139="",0,IF(W139="",1,IF(X139="",2,IF(Y139="",3,"4+")))))</f>
        <v/>
      </c>
      <c r="N139" s="20" t="str">
        <f aca="false">IF(A139="","",A139&amp;IF(V139="",""," &lt;- "&amp;V139&amp;IF(W139="",""," &lt;- "&amp;W139&amp;IF(X139="",""," &lt;- "&amp;X139&amp;IF(Y139="",""," &lt;- "&amp;Y139))))&amp;IF(ISNUMBER(FIND(",",D139))," (+ other parents)",""))</f>
        <v/>
      </c>
      <c r="O139" s="20" t="str">
        <f aca="false">IF(A139="","",COUNTIF(Fields!$D:$D,A139))</f>
        <v/>
      </c>
      <c r="P139" s="20" t="str">
        <f aca="false">IF(A139="","",SUMIF(Fields!$D:$D,A139,Fields!$O:$O))</f>
        <v/>
      </c>
      <c r="Q139" s="30"/>
      <c r="R139" s="30"/>
      <c r="S139" s="30"/>
      <c r="T139" s="30"/>
      <c r="U139" s="30"/>
      <c r="V139" s="34" t="str">
        <f aca="false">IF(A139="","",IF(IFERROR(INDEX($D:$D,MATCH(A139,$A:$A,0)),"")="","",TRIM(IF(ISNUMBER(FIND(",",IFERROR(INDEX($D:$D,MATCH(A139,$A:$A,0)),""))),LEFT(IFERROR(INDEX($D:$D,MATCH(A139,$A:$A,0)),""),FIND(",",IFERROR(INDEX($D:$D,MATCH(A139,$A:$A,0)),""))-1),IFERROR(INDEX($D:$D,MATCH(A139,$A:$A,0)),"")))))</f>
        <v/>
      </c>
      <c r="W139" s="34" t="str">
        <f aca="false">IF(V139="","",IF(IFERROR(INDEX($D:$D,MATCH(V139,$A:$A,0)),"")="","",TRIM(IF(ISNUMBER(FIND(",",IFERROR(INDEX($D:$D,MATCH(V139,$A:$A,0)),""))),LEFT(IFERROR(INDEX($D:$D,MATCH(V139,$A:$A,0)),""),FIND(",",IFERROR(INDEX($D:$D,MATCH(V139,$A:$A,0)),""))-1),IFERROR(INDEX($D:$D,MATCH(V139,$A:$A,0)),"")))))</f>
        <v/>
      </c>
      <c r="X139" s="34" t="str">
        <f aca="false">IF(W139="","",IF(IFERROR(INDEX($D:$D,MATCH(W139,$A:$A,0)),"")="","",TRIM(IF(ISNUMBER(FIND(",",IFERROR(INDEX($D:$D,MATCH(W139,$A:$A,0)),""))),LEFT(IFERROR(INDEX($D:$D,MATCH(W139,$A:$A,0)),""),FIND(",",IFERROR(INDEX($D:$D,MATCH(W139,$A:$A,0)),""))-1),IFERROR(INDEX($D:$D,MATCH(W139,$A:$A,0)),"")))))</f>
        <v/>
      </c>
      <c r="Y139" s="34" t="str">
        <f aca="false">IF(X139="","",IF(IFERROR(INDEX($D:$D,MATCH(X139,$A:$A,0)),"")="","",TRIM(IF(ISNUMBER(FIND(",",IFERROR(INDEX($D:$D,MATCH(X139,$A:$A,0)),""))),LEFT(IFERROR(INDEX($D:$D,MATCH(X139,$A:$A,0)),""),FIND(",",IFERROR(INDEX($D:$D,MATCH(X139,$A:$A,0)),""))-1),IFERROR(INDEX($D:$D,MATCH(X139,$A:$A,0)),"")))))</f>
        <v/>
      </c>
      <c r="Z139" s="34" t="str">
        <f aca="false">IF(AND(A139&lt;&gt;"",L139="Retire"),COUNTIF($L$5:L139,"Retire"),"")</f>
        <v/>
      </c>
      <c r="AA139" s="34" t="str">
        <f aca="false">IF(AND(A139&lt;&gt;"",L139="Build"),COUNTIF($L$5:L139,"Build"),"")</f>
        <v/>
      </c>
      <c r="AB139" s="34" t="str">
        <f aca="false">IF(AND(A139&lt;&gt;"",OR(M139="4+",AND(ISNUMBER(M139),M139&gt;=2))),SUMPRODUCT(($A$5:A139&lt;&gt;"")*(($M$5:M139="4+")+(ISNUMBER($M$5:M139)*($M$5:M139&gt;=2)))),"")</f>
        <v/>
      </c>
      <c r="AC139" s="34" t="str">
        <f aca="false">IF(AND(A139&lt;&gt;"",OR(L139="",L139="Undecided",K139="")),SUMPRODUCT(($A$5:A139&lt;&gt;"")*(($L$5:L139="")+($L$5:L139="Undecided")+($K$5:K139=""))&gt;0*1),"")</f>
        <v/>
      </c>
    </row>
    <row r="140" customFormat="false" ht="15" hidden="false" customHeight="false" outlineLevel="0" collapsed="false">
      <c r="A140" s="29"/>
      <c r="B140" s="30"/>
      <c r="C140" s="30"/>
      <c r="D140" s="30"/>
      <c r="E140" s="30"/>
      <c r="F140" s="30"/>
      <c r="G140" s="30"/>
      <c r="H140" s="30"/>
      <c r="I140" s="30"/>
      <c r="J140" s="30"/>
      <c r="K140" s="30"/>
      <c r="L140" s="30"/>
      <c r="M140" s="20" t="str">
        <f aca="false">IF(A140="","",IF(V140="",0,IF(W140="",1,IF(X140="",2,IF(Y140="",3,"4+")))))</f>
        <v/>
      </c>
      <c r="N140" s="20" t="str">
        <f aca="false">IF(A140="","",A140&amp;IF(V140="",""," &lt;- "&amp;V140&amp;IF(W140="",""," &lt;- "&amp;W140&amp;IF(X140="",""," &lt;- "&amp;X140&amp;IF(Y140="",""," &lt;- "&amp;Y140))))&amp;IF(ISNUMBER(FIND(",",D140))," (+ other parents)",""))</f>
        <v/>
      </c>
      <c r="O140" s="20" t="str">
        <f aca="false">IF(A140="","",COUNTIF(Fields!$D:$D,A140))</f>
        <v/>
      </c>
      <c r="P140" s="20" t="str">
        <f aca="false">IF(A140="","",SUMIF(Fields!$D:$D,A140,Fields!$O:$O))</f>
        <v/>
      </c>
      <c r="Q140" s="30"/>
      <c r="R140" s="30"/>
      <c r="S140" s="30"/>
      <c r="T140" s="30"/>
      <c r="U140" s="30"/>
      <c r="V140" s="34" t="str">
        <f aca="false">IF(A140="","",IF(IFERROR(INDEX($D:$D,MATCH(A140,$A:$A,0)),"")="","",TRIM(IF(ISNUMBER(FIND(",",IFERROR(INDEX($D:$D,MATCH(A140,$A:$A,0)),""))),LEFT(IFERROR(INDEX($D:$D,MATCH(A140,$A:$A,0)),""),FIND(",",IFERROR(INDEX($D:$D,MATCH(A140,$A:$A,0)),""))-1),IFERROR(INDEX($D:$D,MATCH(A140,$A:$A,0)),"")))))</f>
        <v/>
      </c>
      <c r="W140" s="34" t="str">
        <f aca="false">IF(V140="","",IF(IFERROR(INDEX($D:$D,MATCH(V140,$A:$A,0)),"")="","",TRIM(IF(ISNUMBER(FIND(",",IFERROR(INDEX($D:$D,MATCH(V140,$A:$A,0)),""))),LEFT(IFERROR(INDEX($D:$D,MATCH(V140,$A:$A,0)),""),FIND(",",IFERROR(INDEX($D:$D,MATCH(V140,$A:$A,0)),""))-1),IFERROR(INDEX($D:$D,MATCH(V140,$A:$A,0)),"")))))</f>
        <v/>
      </c>
      <c r="X140" s="34" t="str">
        <f aca="false">IF(W140="","",IF(IFERROR(INDEX($D:$D,MATCH(W140,$A:$A,0)),"")="","",TRIM(IF(ISNUMBER(FIND(",",IFERROR(INDEX($D:$D,MATCH(W140,$A:$A,0)),""))),LEFT(IFERROR(INDEX($D:$D,MATCH(W140,$A:$A,0)),""),FIND(",",IFERROR(INDEX($D:$D,MATCH(W140,$A:$A,0)),""))-1),IFERROR(INDEX($D:$D,MATCH(W140,$A:$A,0)),"")))))</f>
        <v/>
      </c>
      <c r="Y140" s="34" t="str">
        <f aca="false">IF(X140="","",IF(IFERROR(INDEX($D:$D,MATCH(X140,$A:$A,0)),"")="","",TRIM(IF(ISNUMBER(FIND(",",IFERROR(INDEX($D:$D,MATCH(X140,$A:$A,0)),""))),LEFT(IFERROR(INDEX($D:$D,MATCH(X140,$A:$A,0)),""),FIND(",",IFERROR(INDEX($D:$D,MATCH(X140,$A:$A,0)),""))-1),IFERROR(INDEX($D:$D,MATCH(X140,$A:$A,0)),"")))))</f>
        <v/>
      </c>
      <c r="Z140" s="34" t="str">
        <f aca="false">IF(AND(A140&lt;&gt;"",L140="Retire"),COUNTIF($L$5:L140,"Retire"),"")</f>
        <v/>
      </c>
      <c r="AA140" s="34" t="str">
        <f aca="false">IF(AND(A140&lt;&gt;"",L140="Build"),COUNTIF($L$5:L140,"Build"),"")</f>
        <v/>
      </c>
      <c r="AB140" s="34" t="str">
        <f aca="false">IF(AND(A140&lt;&gt;"",OR(M140="4+",AND(ISNUMBER(M140),M140&gt;=2))),SUMPRODUCT(($A$5:A140&lt;&gt;"")*(($M$5:M140="4+")+(ISNUMBER($M$5:M140)*($M$5:M140&gt;=2)))),"")</f>
        <v/>
      </c>
      <c r="AC140" s="34" t="str">
        <f aca="false">IF(AND(A140&lt;&gt;"",OR(L140="",L140="Undecided",K140="")),SUMPRODUCT(($A$5:A140&lt;&gt;"")*(($L$5:L140="")+($L$5:L140="Undecided")+($K$5:K140=""))&gt;0*1),"")</f>
        <v/>
      </c>
    </row>
    <row r="141" customFormat="false" ht="15" hidden="false" customHeight="false" outlineLevel="0" collapsed="false">
      <c r="A141" s="29"/>
      <c r="B141" s="30"/>
      <c r="C141" s="30"/>
      <c r="D141" s="30"/>
      <c r="E141" s="30"/>
      <c r="F141" s="30"/>
      <c r="G141" s="30"/>
      <c r="H141" s="30"/>
      <c r="I141" s="30"/>
      <c r="J141" s="30"/>
      <c r="K141" s="30"/>
      <c r="L141" s="30"/>
      <c r="M141" s="20" t="str">
        <f aca="false">IF(A141="","",IF(V141="",0,IF(W141="",1,IF(X141="",2,IF(Y141="",3,"4+")))))</f>
        <v/>
      </c>
      <c r="N141" s="20" t="str">
        <f aca="false">IF(A141="","",A141&amp;IF(V141="",""," &lt;- "&amp;V141&amp;IF(W141="",""," &lt;- "&amp;W141&amp;IF(X141="",""," &lt;- "&amp;X141&amp;IF(Y141="",""," &lt;- "&amp;Y141))))&amp;IF(ISNUMBER(FIND(",",D141))," (+ other parents)",""))</f>
        <v/>
      </c>
      <c r="O141" s="20" t="str">
        <f aca="false">IF(A141="","",COUNTIF(Fields!$D:$D,A141))</f>
        <v/>
      </c>
      <c r="P141" s="20" t="str">
        <f aca="false">IF(A141="","",SUMIF(Fields!$D:$D,A141,Fields!$O:$O))</f>
        <v/>
      </c>
      <c r="Q141" s="30"/>
      <c r="R141" s="30"/>
      <c r="S141" s="30"/>
      <c r="T141" s="30"/>
      <c r="U141" s="30"/>
      <c r="V141" s="34" t="str">
        <f aca="false">IF(A141="","",IF(IFERROR(INDEX($D:$D,MATCH(A141,$A:$A,0)),"")="","",TRIM(IF(ISNUMBER(FIND(",",IFERROR(INDEX($D:$D,MATCH(A141,$A:$A,0)),""))),LEFT(IFERROR(INDEX($D:$D,MATCH(A141,$A:$A,0)),""),FIND(",",IFERROR(INDEX($D:$D,MATCH(A141,$A:$A,0)),""))-1),IFERROR(INDEX($D:$D,MATCH(A141,$A:$A,0)),"")))))</f>
        <v/>
      </c>
      <c r="W141" s="34" t="str">
        <f aca="false">IF(V141="","",IF(IFERROR(INDEX($D:$D,MATCH(V141,$A:$A,0)),"")="","",TRIM(IF(ISNUMBER(FIND(",",IFERROR(INDEX($D:$D,MATCH(V141,$A:$A,0)),""))),LEFT(IFERROR(INDEX($D:$D,MATCH(V141,$A:$A,0)),""),FIND(",",IFERROR(INDEX($D:$D,MATCH(V141,$A:$A,0)),""))-1),IFERROR(INDEX($D:$D,MATCH(V141,$A:$A,0)),"")))))</f>
        <v/>
      </c>
      <c r="X141" s="34" t="str">
        <f aca="false">IF(W141="","",IF(IFERROR(INDEX($D:$D,MATCH(W141,$A:$A,0)),"")="","",TRIM(IF(ISNUMBER(FIND(",",IFERROR(INDEX($D:$D,MATCH(W141,$A:$A,0)),""))),LEFT(IFERROR(INDEX($D:$D,MATCH(W141,$A:$A,0)),""),FIND(",",IFERROR(INDEX($D:$D,MATCH(W141,$A:$A,0)),""))-1),IFERROR(INDEX($D:$D,MATCH(W141,$A:$A,0)),"")))))</f>
        <v/>
      </c>
      <c r="Y141" s="34" t="str">
        <f aca="false">IF(X141="","",IF(IFERROR(INDEX($D:$D,MATCH(X141,$A:$A,0)),"")="","",TRIM(IF(ISNUMBER(FIND(",",IFERROR(INDEX($D:$D,MATCH(X141,$A:$A,0)),""))),LEFT(IFERROR(INDEX($D:$D,MATCH(X141,$A:$A,0)),""),FIND(",",IFERROR(INDEX($D:$D,MATCH(X141,$A:$A,0)),""))-1),IFERROR(INDEX($D:$D,MATCH(X141,$A:$A,0)),"")))))</f>
        <v/>
      </c>
      <c r="Z141" s="34" t="str">
        <f aca="false">IF(AND(A141&lt;&gt;"",L141="Retire"),COUNTIF($L$5:L141,"Retire"),"")</f>
        <v/>
      </c>
      <c r="AA141" s="34" t="str">
        <f aca="false">IF(AND(A141&lt;&gt;"",L141="Build"),COUNTIF($L$5:L141,"Build"),"")</f>
        <v/>
      </c>
      <c r="AB141" s="34" t="str">
        <f aca="false">IF(AND(A141&lt;&gt;"",OR(M141="4+",AND(ISNUMBER(M141),M141&gt;=2))),SUMPRODUCT(($A$5:A141&lt;&gt;"")*(($M$5:M141="4+")+(ISNUMBER($M$5:M141)*($M$5:M141&gt;=2)))),"")</f>
        <v/>
      </c>
      <c r="AC141" s="34" t="str">
        <f aca="false">IF(AND(A141&lt;&gt;"",OR(L141="",L141="Undecided",K141="")),SUMPRODUCT(($A$5:A141&lt;&gt;"")*(($L$5:L141="")+($L$5:L141="Undecided")+($K$5:K141=""))&gt;0*1),"")</f>
        <v/>
      </c>
    </row>
    <row r="142" customFormat="false" ht="15" hidden="false" customHeight="false" outlineLevel="0" collapsed="false">
      <c r="A142" s="29"/>
      <c r="B142" s="30"/>
      <c r="C142" s="30"/>
      <c r="D142" s="30"/>
      <c r="E142" s="30"/>
      <c r="F142" s="30"/>
      <c r="G142" s="30"/>
      <c r="H142" s="30"/>
      <c r="I142" s="30"/>
      <c r="J142" s="30"/>
      <c r="K142" s="30"/>
      <c r="L142" s="30"/>
      <c r="M142" s="20" t="str">
        <f aca="false">IF(A142="","",IF(V142="",0,IF(W142="",1,IF(X142="",2,IF(Y142="",3,"4+")))))</f>
        <v/>
      </c>
      <c r="N142" s="20" t="str">
        <f aca="false">IF(A142="","",A142&amp;IF(V142="",""," &lt;- "&amp;V142&amp;IF(W142="",""," &lt;- "&amp;W142&amp;IF(X142="",""," &lt;- "&amp;X142&amp;IF(Y142="",""," &lt;- "&amp;Y142))))&amp;IF(ISNUMBER(FIND(",",D142))," (+ other parents)",""))</f>
        <v/>
      </c>
      <c r="O142" s="20" t="str">
        <f aca="false">IF(A142="","",COUNTIF(Fields!$D:$D,A142))</f>
        <v/>
      </c>
      <c r="P142" s="20" t="str">
        <f aca="false">IF(A142="","",SUMIF(Fields!$D:$D,A142,Fields!$O:$O))</f>
        <v/>
      </c>
      <c r="Q142" s="30"/>
      <c r="R142" s="30"/>
      <c r="S142" s="30"/>
      <c r="T142" s="30"/>
      <c r="U142" s="30"/>
      <c r="V142" s="34" t="str">
        <f aca="false">IF(A142="","",IF(IFERROR(INDEX($D:$D,MATCH(A142,$A:$A,0)),"")="","",TRIM(IF(ISNUMBER(FIND(",",IFERROR(INDEX($D:$D,MATCH(A142,$A:$A,0)),""))),LEFT(IFERROR(INDEX($D:$D,MATCH(A142,$A:$A,0)),""),FIND(",",IFERROR(INDEX($D:$D,MATCH(A142,$A:$A,0)),""))-1),IFERROR(INDEX($D:$D,MATCH(A142,$A:$A,0)),"")))))</f>
        <v/>
      </c>
      <c r="W142" s="34" t="str">
        <f aca="false">IF(V142="","",IF(IFERROR(INDEX($D:$D,MATCH(V142,$A:$A,0)),"")="","",TRIM(IF(ISNUMBER(FIND(",",IFERROR(INDEX($D:$D,MATCH(V142,$A:$A,0)),""))),LEFT(IFERROR(INDEX($D:$D,MATCH(V142,$A:$A,0)),""),FIND(",",IFERROR(INDEX($D:$D,MATCH(V142,$A:$A,0)),""))-1),IFERROR(INDEX($D:$D,MATCH(V142,$A:$A,0)),"")))))</f>
        <v/>
      </c>
      <c r="X142" s="34" t="str">
        <f aca="false">IF(W142="","",IF(IFERROR(INDEX($D:$D,MATCH(W142,$A:$A,0)),"")="","",TRIM(IF(ISNUMBER(FIND(",",IFERROR(INDEX($D:$D,MATCH(W142,$A:$A,0)),""))),LEFT(IFERROR(INDEX($D:$D,MATCH(W142,$A:$A,0)),""),FIND(",",IFERROR(INDEX($D:$D,MATCH(W142,$A:$A,0)),""))-1),IFERROR(INDEX($D:$D,MATCH(W142,$A:$A,0)),"")))))</f>
        <v/>
      </c>
      <c r="Y142" s="34" t="str">
        <f aca="false">IF(X142="","",IF(IFERROR(INDEX($D:$D,MATCH(X142,$A:$A,0)),"")="","",TRIM(IF(ISNUMBER(FIND(",",IFERROR(INDEX($D:$D,MATCH(X142,$A:$A,0)),""))),LEFT(IFERROR(INDEX($D:$D,MATCH(X142,$A:$A,0)),""),FIND(",",IFERROR(INDEX($D:$D,MATCH(X142,$A:$A,0)),""))-1),IFERROR(INDEX($D:$D,MATCH(X142,$A:$A,0)),"")))))</f>
        <v/>
      </c>
      <c r="Z142" s="34" t="str">
        <f aca="false">IF(AND(A142&lt;&gt;"",L142="Retire"),COUNTIF($L$5:L142,"Retire"),"")</f>
        <v/>
      </c>
      <c r="AA142" s="34" t="str">
        <f aca="false">IF(AND(A142&lt;&gt;"",L142="Build"),COUNTIF($L$5:L142,"Build"),"")</f>
        <v/>
      </c>
      <c r="AB142" s="34" t="str">
        <f aca="false">IF(AND(A142&lt;&gt;"",OR(M142="4+",AND(ISNUMBER(M142),M142&gt;=2))),SUMPRODUCT(($A$5:A142&lt;&gt;"")*(($M$5:M142="4+")+(ISNUMBER($M$5:M142)*($M$5:M142&gt;=2)))),"")</f>
        <v/>
      </c>
      <c r="AC142" s="34" t="str">
        <f aca="false">IF(AND(A142&lt;&gt;"",OR(L142="",L142="Undecided",K142="")),SUMPRODUCT(($A$5:A142&lt;&gt;"")*(($L$5:L142="")+($L$5:L142="Undecided")+($K$5:K142=""))&gt;0*1),"")</f>
        <v/>
      </c>
    </row>
    <row r="143" customFormat="false" ht="15" hidden="false" customHeight="false" outlineLevel="0" collapsed="false">
      <c r="A143" s="29"/>
      <c r="B143" s="30"/>
      <c r="C143" s="30"/>
      <c r="D143" s="30"/>
      <c r="E143" s="30"/>
      <c r="F143" s="30"/>
      <c r="G143" s="30"/>
      <c r="H143" s="30"/>
      <c r="I143" s="30"/>
      <c r="J143" s="30"/>
      <c r="K143" s="30"/>
      <c r="L143" s="30"/>
      <c r="M143" s="20" t="str">
        <f aca="false">IF(A143="","",IF(V143="",0,IF(W143="",1,IF(X143="",2,IF(Y143="",3,"4+")))))</f>
        <v/>
      </c>
      <c r="N143" s="20" t="str">
        <f aca="false">IF(A143="","",A143&amp;IF(V143="",""," &lt;- "&amp;V143&amp;IF(W143="",""," &lt;- "&amp;W143&amp;IF(X143="",""," &lt;- "&amp;X143&amp;IF(Y143="",""," &lt;- "&amp;Y143))))&amp;IF(ISNUMBER(FIND(",",D143))," (+ other parents)",""))</f>
        <v/>
      </c>
      <c r="O143" s="20" t="str">
        <f aca="false">IF(A143="","",COUNTIF(Fields!$D:$D,A143))</f>
        <v/>
      </c>
      <c r="P143" s="20" t="str">
        <f aca="false">IF(A143="","",SUMIF(Fields!$D:$D,A143,Fields!$O:$O))</f>
        <v/>
      </c>
      <c r="Q143" s="30"/>
      <c r="R143" s="30"/>
      <c r="S143" s="30"/>
      <c r="T143" s="30"/>
      <c r="U143" s="30"/>
      <c r="V143" s="34" t="str">
        <f aca="false">IF(A143="","",IF(IFERROR(INDEX($D:$D,MATCH(A143,$A:$A,0)),"")="","",TRIM(IF(ISNUMBER(FIND(",",IFERROR(INDEX($D:$D,MATCH(A143,$A:$A,0)),""))),LEFT(IFERROR(INDEX($D:$D,MATCH(A143,$A:$A,0)),""),FIND(",",IFERROR(INDEX($D:$D,MATCH(A143,$A:$A,0)),""))-1),IFERROR(INDEX($D:$D,MATCH(A143,$A:$A,0)),"")))))</f>
        <v/>
      </c>
      <c r="W143" s="34" t="str">
        <f aca="false">IF(V143="","",IF(IFERROR(INDEX($D:$D,MATCH(V143,$A:$A,0)),"")="","",TRIM(IF(ISNUMBER(FIND(",",IFERROR(INDEX($D:$D,MATCH(V143,$A:$A,0)),""))),LEFT(IFERROR(INDEX($D:$D,MATCH(V143,$A:$A,0)),""),FIND(",",IFERROR(INDEX($D:$D,MATCH(V143,$A:$A,0)),""))-1),IFERROR(INDEX($D:$D,MATCH(V143,$A:$A,0)),"")))))</f>
        <v/>
      </c>
      <c r="X143" s="34" t="str">
        <f aca="false">IF(W143="","",IF(IFERROR(INDEX($D:$D,MATCH(W143,$A:$A,0)),"")="","",TRIM(IF(ISNUMBER(FIND(",",IFERROR(INDEX($D:$D,MATCH(W143,$A:$A,0)),""))),LEFT(IFERROR(INDEX($D:$D,MATCH(W143,$A:$A,0)),""),FIND(",",IFERROR(INDEX($D:$D,MATCH(W143,$A:$A,0)),""))-1),IFERROR(INDEX($D:$D,MATCH(W143,$A:$A,0)),"")))))</f>
        <v/>
      </c>
      <c r="Y143" s="34" t="str">
        <f aca="false">IF(X143="","",IF(IFERROR(INDEX($D:$D,MATCH(X143,$A:$A,0)),"")="","",TRIM(IF(ISNUMBER(FIND(",",IFERROR(INDEX($D:$D,MATCH(X143,$A:$A,0)),""))),LEFT(IFERROR(INDEX($D:$D,MATCH(X143,$A:$A,0)),""),FIND(",",IFERROR(INDEX($D:$D,MATCH(X143,$A:$A,0)),""))-1),IFERROR(INDEX($D:$D,MATCH(X143,$A:$A,0)),"")))))</f>
        <v/>
      </c>
      <c r="Z143" s="34" t="str">
        <f aca="false">IF(AND(A143&lt;&gt;"",L143="Retire"),COUNTIF($L$5:L143,"Retire"),"")</f>
        <v/>
      </c>
      <c r="AA143" s="34" t="str">
        <f aca="false">IF(AND(A143&lt;&gt;"",L143="Build"),COUNTIF($L$5:L143,"Build"),"")</f>
        <v/>
      </c>
      <c r="AB143" s="34" t="str">
        <f aca="false">IF(AND(A143&lt;&gt;"",OR(M143="4+",AND(ISNUMBER(M143),M143&gt;=2))),SUMPRODUCT(($A$5:A143&lt;&gt;"")*(($M$5:M143="4+")+(ISNUMBER($M$5:M143)*($M$5:M143&gt;=2)))),"")</f>
        <v/>
      </c>
      <c r="AC143" s="34" t="str">
        <f aca="false">IF(AND(A143&lt;&gt;"",OR(L143="",L143="Undecided",K143="")),SUMPRODUCT(($A$5:A143&lt;&gt;"")*(($L$5:L143="")+($L$5:L143="Undecided")+($K$5:K143=""))&gt;0*1),"")</f>
        <v/>
      </c>
    </row>
    <row r="144" customFormat="false" ht="15" hidden="false" customHeight="false" outlineLevel="0" collapsed="false">
      <c r="A144" s="29"/>
      <c r="B144" s="30"/>
      <c r="C144" s="30"/>
      <c r="D144" s="30"/>
      <c r="E144" s="30"/>
      <c r="F144" s="30"/>
      <c r="G144" s="30"/>
      <c r="H144" s="30"/>
      <c r="I144" s="30"/>
      <c r="J144" s="30"/>
      <c r="K144" s="30"/>
      <c r="L144" s="30"/>
      <c r="M144" s="20" t="str">
        <f aca="false">IF(A144="","",IF(V144="",0,IF(W144="",1,IF(X144="",2,IF(Y144="",3,"4+")))))</f>
        <v/>
      </c>
      <c r="N144" s="20" t="str">
        <f aca="false">IF(A144="","",A144&amp;IF(V144="",""," &lt;- "&amp;V144&amp;IF(W144="",""," &lt;- "&amp;W144&amp;IF(X144="",""," &lt;- "&amp;X144&amp;IF(Y144="",""," &lt;- "&amp;Y144))))&amp;IF(ISNUMBER(FIND(",",D144))," (+ other parents)",""))</f>
        <v/>
      </c>
      <c r="O144" s="20" t="str">
        <f aca="false">IF(A144="","",COUNTIF(Fields!$D:$D,A144))</f>
        <v/>
      </c>
      <c r="P144" s="20" t="str">
        <f aca="false">IF(A144="","",SUMIF(Fields!$D:$D,A144,Fields!$O:$O))</f>
        <v/>
      </c>
      <c r="Q144" s="30"/>
      <c r="R144" s="30"/>
      <c r="S144" s="30"/>
      <c r="T144" s="30"/>
      <c r="U144" s="30"/>
      <c r="V144" s="34" t="str">
        <f aca="false">IF(A144="","",IF(IFERROR(INDEX($D:$D,MATCH(A144,$A:$A,0)),"")="","",TRIM(IF(ISNUMBER(FIND(",",IFERROR(INDEX($D:$D,MATCH(A144,$A:$A,0)),""))),LEFT(IFERROR(INDEX($D:$D,MATCH(A144,$A:$A,0)),""),FIND(",",IFERROR(INDEX($D:$D,MATCH(A144,$A:$A,0)),""))-1),IFERROR(INDEX($D:$D,MATCH(A144,$A:$A,0)),"")))))</f>
        <v/>
      </c>
      <c r="W144" s="34" t="str">
        <f aca="false">IF(V144="","",IF(IFERROR(INDEX($D:$D,MATCH(V144,$A:$A,0)),"")="","",TRIM(IF(ISNUMBER(FIND(",",IFERROR(INDEX($D:$D,MATCH(V144,$A:$A,0)),""))),LEFT(IFERROR(INDEX($D:$D,MATCH(V144,$A:$A,0)),""),FIND(",",IFERROR(INDEX($D:$D,MATCH(V144,$A:$A,0)),""))-1),IFERROR(INDEX($D:$D,MATCH(V144,$A:$A,0)),"")))))</f>
        <v/>
      </c>
      <c r="X144" s="34" t="str">
        <f aca="false">IF(W144="","",IF(IFERROR(INDEX($D:$D,MATCH(W144,$A:$A,0)),"")="","",TRIM(IF(ISNUMBER(FIND(",",IFERROR(INDEX($D:$D,MATCH(W144,$A:$A,0)),""))),LEFT(IFERROR(INDEX($D:$D,MATCH(W144,$A:$A,0)),""),FIND(",",IFERROR(INDEX($D:$D,MATCH(W144,$A:$A,0)),""))-1),IFERROR(INDEX($D:$D,MATCH(W144,$A:$A,0)),"")))))</f>
        <v/>
      </c>
      <c r="Y144" s="34" t="str">
        <f aca="false">IF(X144="","",IF(IFERROR(INDEX($D:$D,MATCH(X144,$A:$A,0)),"")="","",TRIM(IF(ISNUMBER(FIND(",",IFERROR(INDEX($D:$D,MATCH(X144,$A:$A,0)),""))),LEFT(IFERROR(INDEX($D:$D,MATCH(X144,$A:$A,0)),""),FIND(",",IFERROR(INDEX($D:$D,MATCH(X144,$A:$A,0)),""))-1),IFERROR(INDEX($D:$D,MATCH(X144,$A:$A,0)),"")))))</f>
        <v/>
      </c>
      <c r="Z144" s="34" t="str">
        <f aca="false">IF(AND(A144&lt;&gt;"",L144="Retire"),COUNTIF($L$5:L144,"Retire"),"")</f>
        <v/>
      </c>
      <c r="AA144" s="34" t="str">
        <f aca="false">IF(AND(A144&lt;&gt;"",L144="Build"),COUNTIF($L$5:L144,"Build"),"")</f>
        <v/>
      </c>
      <c r="AB144" s="34" t="str">
        <f aca="false">IF(AND(A144&lt;&gt;"",OR(M144="4+",AND(ISNUMBER(M144),M144&gt;=2))),SUMPRODUCT(($A$5:A144&lt;&gt;"")*(($M$5:M144="4+")+(ISNUMBER($M$5:M144)*($M$5:M144&gt;=2)))),"")</f>
        <v/>
      </c>
      <c r="AC144" s="34" t="str">
        <f aca="false">IF(AND(A144&lt;&gt;"",OR(L144="",L144="Undecided",K144="")),SUMPRODUCT(($A$5:A144&lt;&gt;"")*(($L$5:L144="")+($L$5:L144="Undecided")+($K$5:K144=""))&gt;0*1),"")</f>
        <v/>
      </c>
    </row>
    <row r="145" customFormat="false" ht="15" hidden="false" customHeight="false" outlineLevel="0" collapsed="false">
      <c r="A145" s="29"/>
      <c r="B145" s="30"/>
      <c r="C145" s="30"/>
      <c r="D145" s="30"/>
      <c r="E145" s="30"/>
      <c r="F145" s="30"/>
      <c r="G145" s="30"/>
      <c r="H145" s="30"/>
      <c r="I145" s="30"/>
      <c r="J145" s="30"/>
      <c r="K145" s="30"/>
      <c r="L145" s="30"/>
      <c r="M145" s="20" t="str">
        <f aca="false">IF(A145="","",IF(V145="",0,IF(W145="",1,IF(X145="",2,IF(Y145="",3,"4+")))))</f>
        <v/>
      </c>
      <c r="N145" s="20" t="str">
        <f aca="false">IF(A145="","",A145&amp;IF(V145="",""," &lt;- "&amp;V145&amp;IF(W145="",""," &lt;- "&amp;W145&amp;IF(X145="",""," &lt;- "&amp;X145&amp;IF(Y145="",""," &lt;- "&amp;Y145))))&amp;IF(ISNUMBER(FIND(",",D145))," (+ other parents)",""))</f>
        <v/>
      </c>
      <c r="O145" s="20" t="str">
        <f aca="false">IF(A145="","",COUNTIF(Fields!$D:$D,A145))</f>
        <v/>
      </c>
      <c r="P145" s="20" t="str">
        <f aca="false">IF(A145="","",SUMIF(Fields!$D:$D,A145,Fields!$O:$O))</f>
        <v/>
      </c>
      <c r="Q145" s="30"/>
      <c r="R145" s="30"/>
      <c r="S145" s="30"/>
      <c r="T145" s="30"/>
      <c r="U145" s="30"/>
      <c r="V145" s="34" t="str">
        <f aca="false">IF(A145="","",IF(IFERROR(INDEX($D:$D,MATCH(A145,$A:$A,0)),"")="","",TRIM(IF(ISNUMBER(FIND(",",IFERROR(INDEX($D:$D,MATCH(A145,$A:$A,0)),""))),LEFT(IFERROR(INDEX($D:$D,MATCH(A145,$A:$A,0)),""),FIND(",",IFERROR(INDEX($D:$D,MATCH(A145,$A:$A,0)),""))-1),IFERROR(INDEX($D:$D,MATCH(A145,$A:$A,0)),"")))))</f>
        <v/>
      </c>
      <c r="W145" s="34" t="str">
        <f aca="false">IF(V145="","",IF(IFERROR(INDEX($D:$D,MATCH(V145,$A:$A,0)),"")="","",TRIM(IF(ISNUMBER(FIND(",",IFERROR(INDEX($D:$D,MATCH(V145,$A:$A,0)),""))),LEFT(IFERROR(INDEX($D:$D,MATCH(V145,$A:$A,0)),""),FIND(",",IFERROR(INDEX($D:$D,MATCH(V145,$A:$A,0)),""))-1),IFERROR(INDEX($D:$D,MATCH(V145,$A:$A,0)),"")))))</f>
        <v/>
      </c>
      <c r="X145" s="34" t="str">
        <f aca="false">IF(W145="","",IF(IFERROR(INDEX($D:$D,MATCH(W145,$A:$A,0)),"")="","",TRIM(IF(ISNUMBER(FIND(",",IFERROR(INDEX($D:$D,MATCH(W145,$A:$A,0)),""))),LEFT(IFERROR(INDEX($D:$D,MATCH(W145,$A:$A,0)),""),FIND(",",IFERROR(INDEX($D:$D,MATCH(W145,$A:$A,0)),""))-1),IFERROR(INDEX($D:$D,MATCH(W145,$A:$A,0)),"")))))</f>
        <v/>
      </c>
      <c r="Y145" s="34" t="str">
        <f aca="false">IF(X145="","",IF(IFERROR(INDEX($D:$D,MATCH(X145,$A:$A,0)),"")="","",TRIM(IF(ISNUMBER(FIND(",",IFERROR(INDEX($D:$D,MATCH(X145,$A:$A,0)),""))),LEFT(IFERROR(INDEX($D:$D,MATCH(X145,$A:$A,0)),""),FIND(",",IFERROR(INDEX($D:$D,MATCH(X145,$A:$A,0)),""))-1),IFERROR(INDEX($D:$D,MATCH(X145,$A:$A,0)),"")))))</f>
        <v/>
      </c>
      <c r="Z145" s="34" t="str">
        <f aca="false">IF(AND(A145&lt;&gt;"",L145="Retire"),COUNTIF($L$5:L145,"Retire"),"")</f>
        <v/>
      </c>
      <c r="AA145" s="34" t="str">
        <f aca="false">IF(AND(A145&lt;&gt;"",L145="Build"),COUNTIF($L$5:L145,"Build"),"")</f>
        <v/>
      </c>
      <c r="AB145" s="34" t="str">
        <f aca="false">IF(AND(A145&lt;&gt;"",OR(M145="4+",AND(ISNUMBER(M145),M145&gt;=2))),SUMPRODUCT(($A$5:A145&lt;&gt;"")*(($M$5:M145="4+")+(ISNUMBER($M$5:M145)*($M$5:M145&gt;=2)))),"")</f>
        <v/>
      </c>
      <c r="AC145" s="34" t="str">
        <f aca="false">IF(AND(A145&lt;&gt;"",OR(L145="",L145="Undecided",K145="")),SUMPRODUCT(($A$5:A145&lt;&gt;"")*(($L$5:L145="")+($L$5:L145="Undecided")+($K$5:K145=""))&gt;0*1),"")</f>
        <v/>
      </c>
    </row>
    <row r="146" customFormat="false" ht="15" hidden="false" customHeight="false" outlineLevel="0" collapsed="false">
      <c r="A146" s="29"/>
      <c r="B146" s="30"/>
      <c r="C146" s="30"/>
      <c r="D146" s="30"/>
      <c r="E146" s="30"/>
      <c r="F146" s="30"/>
      <c r="G146" s="30"/>
      <c r="H146" s="30"/>
      <c r="I146" s="30"/>
      <c r="J146" s="30"/>
      <c r="K146" s="30"/>
      <c r="L146" s="30"/>
      <c r="M146" s="20" t="str">
        <f aca="false">IF(A146="","",IF(V146="",0,IF(W146="",1,IF(X146="",2,IF(Y146="",3,"4+")))))</f>
        <v/>
      </c>
      <c r="N146" s="20" t="str">
        <f aca="false">IF(A146="","",A146&amp;IF(V146="",""," &lt;- "&amp;V146&amp;IF(W146="",""," &lt;- "&amp;W146&amp;IF(X146="",""," &lt;- "&amp;X146&amp;IF(Y146="",""," &lt;- "&amp;Y146))))&amp;IF(ISNUMBER(FIND(",",D146))," (+ other parents)",""))</f>
        <v/>
      </c>
      <c r="O146" s="20" t="str">
        <f aca="false">IF(A146="","",COUNTIF(Fields!$D:$D,A146))</f>
        <v/>
      </c>
      <c r="P146" s="20" t="str">
        <f aca="false">IF(A146="","",SUMIF(Fields!$D:$D,A146,Fields!$O:$O))</f>
        <v/>
      </c>
      <c r="Q146" s="30"/>
      <c r="R146" s="30"/>
      <c r="S146" s="30"/>
      <c r="T146" s="30"/>
      <c r="U146" s="30"/>
      <c r="V146" s="34" t="str">
        <f aca="false">IF(A146="","",IF(IFERROR(INDEX($D:$D,MATCH(A146,$A:$A,0)),"")="","",TRIM(IF(ISNUMBER(FIND(",",IFERROR(INDEX($D:$D,MATCH(A146,$A:$A,0)),""))),LEFT(IFERROR(INDEX($D:$D,MATCH(A146,$A:$A,0)),""),FIND(",",IFERROR(INDEX($D:$D,MATCH(A146,$A:$A,0)),""))-1),IFERROR(INDEX($D:$D,MATCH(A146,$A:$A,0)),"")))))</f>
        <v/>
      </c>
      <c r="W146" s="34" t="str">
        <f aca="false">IF(V146="","",IF(IFERROR(INDEX($D:$D,MATCH(V146,$A:$A,0)),"")="","",TRIM(IF(ISNUMBER(FIND(",",IFERROR(INDEX($D:$D,MATCH(V146,$A:$A,0)),""))),LEFT(IFERROR(INDEX($D:$D,MATCH(V146,$A:$A,0)),""),FIND(",",IFERROR(INDEX($D:$D,MATCH(V146,$A:$A,0)),""))-1),IFERROR(INDEX($D:$D,MATCH(V146,$A:$A,0)),"")))))</f>
        <v/>
      </c>
      <c r="X146" s="34" t="str">
        <f aca="false">IF(W146="","",IF(IFERROR(INDEX($D:$D,MATCH(W146,$A:$A,0)),"")="","",TRIM(IF(ISNUMBER(FIND(",",IFERROR(INDEX($D:$D,MATCH(W146,$A:$A,0)),""))),LEFT(IFERROR(INDEX($D:$D,MATCH(W146,$A:$A,0)),""),FIND(",",IFERROR(INDEX($D:$D,MATCH(W146,$A:$A,0)),""))-1),IFERROR(INDEX($D:$D,MATCH(W146,$A:$A,0)),"")))))</f>
        <v/>
      </c>
      <c r="Y146" s="34" t="str">
        <f aca="false">IF(X146="","",IF(IFERROR(INDEX($D:$D,MATCH(X146,$A:$A,0)),"")="","",TRIM(IF(ISNUMBER(FIND(",",IFERROR(INDEX($D:$D,MATCH(X146,$A:$A,0)),""))),LEFT(IFERROR(INDEX($D:$D,MATCH(X146,$A:$A,0)),""),FIND(",",IFERROR(INDEX($D:$D,MATCH(X146,$A:$A,0)),""))-1),IFERROR(INDEX($D:$D,MATCH(X146,$A:$A,0)),"")))))</f>
        <v/>
      </c>
      <c r="Z146" s="34" t="str">
        <f aca="false">IF(AND(A146&lt;&gt;"",L146="Retire"),COUNTIF($L$5:L146,"Retire"),"")</f>
        <v/>
      </c>
      <c r="AA146" s="34" t="str">
        <f aca="false">IF(AND(A146&lt;&gt;"",L146="Build"),COUNTIF($L$5:L146,"Build"),"")</f>
        <v/>
      </c>
      <c r="AB146" s="34" t="str">
        <f aca="false">IF(AND(A146&lt;&gt;"",OR(M146="4+",AND(ISNUMBER(M146),M146&gt;=2))),SUMPRODUCT(($A$5:A146&lt;&gt;"")*(($M$5:M146="4+")+(ISNUMBER($M$5:M146)*($M$5:M146&gt;=2)))),"")</f>
        <v/>
      </c>
      <c r="AC146" s="34" t="str">
        <f aca="false">IF(AND(A146&lt;&gt;"",OR(L146="",L146="Undecided",K146="")),SUMPRODUCT(($A$5:A146&lt;&gt;"")*(($L$5:L146="")+($L$5:L146="Undecided")+($K$5:K146=""))&gt;0*1),"")</f>
        <v/>
      </c>
    </row>
    <row r="147" customFormat="false" ht="15" hidden="false" customHeight="false" outlineLevel="0" collapsed="false">
      <c r="A147" s="29"/>
      <c r="B147" s="30"/>
      <c r="C147" s="30"/>
      <c r="D147" s="30"/>
      <c r="E147" s="30"/>
      <c r="F147" s="30"/>
      <c r="G147" s="30"/>
      <c r="H147" s="30"/>
      <c r="I147" s="30"/>
      <c r="J147" s="30"/>
      <c r="K147" s="30"/>
      <c r="L147" s="30"/>
      <c r="M147" s="20" t="str">
        <f aca="false">IF(A147="","",IF(V147="",0,IF(W147="",1,IF(X147="",2,IF(Y147="",3,"4+")))))</f>
        <v/>
      </c>
      <c r="N147" s="20" t="str">
        <f aca="false">IF(A147="","",A147&amp;IF(V147="",""," &lt;- "&amp;V147&amp;IF(W147="",""," &lt;- "&amp;W147&amp;IF(X147="",""," &lt;- "&amp;X147&amp;IF(Y147="",""," &lt;- "&amp;Y147))))&amp;IF(ISNUMBER(FIND(",",D147))," (+ other parents)",""))</f>
        <v/>
      </c>
      <c r="O147" s="20" t="str">
        <f aca="false">IF(A147="","",COUNTIF(Fields!$D:$D,A147))</f>
        <v/>
      </c>
      <c r="P147" s="20" t="str">
        <f aca="false">IF(A147="","",SUMIF(Fields!$D:$D,A147,Fields!$O:$O))</f>
        <v/>
      </c>
      <c r="Q147" s="30"/>
      <c r="R147" s="30"/>
      <c r="S147" s="30"/>
      <c r="T147" s="30"/>
      <c r="U147" s="30"/>
      <c r="V147" s="34" t="str">
        <f aca="false">IF(A147="","",IF(IFERROR(INDEX($D:$D,MATCH(A147,$A:$A,0)),"")="","",TRIM(IF(ISNUMBER(FIND(",",IFERROR(INDEX($D:$D,MATCH(A147,$A:$A,0)),""))),LEFT(IFERROR(INDEX($D:$D,MATCH(A147,$A:$A,0)),""),FIND(",",IFERROR(INDEX($D:$D,MATCH(A147,$A:$A,0)),""))-1),IFERROR(INDEX($D:$D,MATCH(A147,$A:$A,0)),"")))))</f>
        <v/>
      </c>
      <c r="W147" s="34" t="str">
        <f aca="false">IF(V147="","",IF(IFERROR(INDEX($D:$D,MATCH(V147,$A:$A,0)),"")="","",TRIM(IF(ISNUMBER(FIND(",",IFERROR(INDEX($D:$D,MATCH(V147,$A:$A,0)),""))),LEFT(IFERROR(INDEX($D:$D,MATCH(V147,$A:$A,0)),""),FIND(",",IFERROR(INDEX($D:$D,MATCH(V147,$A:$A,0)),""))-1),IFERROR(INDEX($D:$D,MATCH(V147,$A:$A,0)),"")))))</f>
        <v/>
      </c>
      <c r="X147" s="34" t="str">
        <f aca="false">IF(W147="","",IF(IFERROR(INDEX($D:$D,MATCH(W147,$A:$A,0)),"")="","",TRIM(IF(ISNUMBER(FIND(",",IFERROR(INDEX($D:$D,MATCH(W147,$A:$A,0)),""))),LEFT(IFERROR(INDEX($D:$D,MATCH(W147,$A:$A,0)),""),FIND(",",IFERROR(INDEX($D:$D,MATCH(W147,$A:$A,0)),""))-1),IFERROR(INDEX($D:$D,MATCH(W147,$A:$A,0)),"")))))</f>
        <v/>
      </c>
      <c r="Y147" s="34" t="str">
        <f aca="false">IF(X147="","",IF(IFERROR(INDEX($D:$D,MATCH(X147,$A:$A,0)),"")="","",TRIM(IF(ISNUMBER(FIND(",",IFERROR(INDEX($D:$D,MATCH(X147,$A:$A,0)),""))),LEFT(IFERROR(INDEX($D:$D,MATCH(X147,$A:$A,0)),""),FIND(",",IFERROR(INDEX($D:$D,MATCH(X147,$A:$A,0)),""))-1),IFERROR(INDEX($D:$D,MATCH(X147,$A:$A,0)),"")))))</f>
        <v/>
      </c>
      <c r="Z147" s="34" t="str">
        <f aca="false">IF(AND(A147&lt;&gt;"",L147="Retire"),COUNTIF($L$5:L147,"Retire"),"")</f>
        <v/>
      </c>
      <c r="AA147" s="34" t="str">
        <f aca="false">IF(AND(A147&lt;&gt;"",L147="Build"),COUNTIF($L$5:L147,"Build"),"")</f>
        <v/>
      </c>
      <c r="AB147" s="34" t="str">
        <f aca="false">IF(AND(A147&lt;&gt;"",OR(M147="4+",AND(ISNUMBER(M147),M147&gt;=2))),SUMPRODUCT(($A$5:A147&lt;&gt;"")*(($M$5:M147="4+")+(ISNUMBER($M$5:M147)*($M$5:M147&gt;=2)))),"")</f>
        <v/>
      </c>
      <c r="AC147" s="34" t="str">
        <f aca="false">IF(AND(A147&lt;&gt;"",OR(L147="",L147="Undecided",K147="")),SUMPRODUCT(($A$5:A147&lt;&gt;"")*(($L$5:L147="")+($L$5:L147="Undecided")+($K$5:K147=""))&gt;0*1),"")</f>
        <v/>
      </c>
    </row>
    <row r="148" customFormat="false" ht="15" hidden="false" customHeight="false" outlineLevel="0" collapsed="false">
      <c r="A148" s="29"/>
      <c r="B148" s="30"/>
      <c r="C148" s="30"/>
      <c r="D148" s="30"/>
      <c r="E148" s="30"/>
      <c r="F148" s="30"/>
      <c r="G148" s="30"/>
      <c r="H148" s="30"/>
      <c r="I148" s="30"/>
      <c r="J148" s="30"/>
      <c r="K148" s="30"/>
      <c r="L148" s="30"/>
      <c r="M148" s="20" t="str">
        <f aca="false">IF(A148="","",IF(V148="",0,IF(W148="",1,IF(X148="",2,IF(Y148="",3,"4+")))))</f>
        <v/>
      </c>
      <c r="N148" s="20" t="str">
        <f aca="false">IF(A148="","",A148&amp;IF(V148="",""," &lt;- "&amp;V148&amp;IF(W148="",""," &lt;- "&amp;W148&amp;IF(X148="",""," &lt;- "&amp;X148&amp;IF(Y148="",""," &lt;- "&amp;Y148))))&amp;IF(ISNUMBER(FIND(",",D148))," (+ other parents)",""))</f>
        <v/>
      </c>
      <c r="O148" s="20" t="str">
        <f aca="false">IF(A148="","",COUNTIF(Fields!$D:$D,A148))</f>
        <v/>
      </c>
      <c r="P148" s="20" t="str">
        <f aca="false">IF(A148="","",SUMIF(Fields!$D:$D,A148,Fields!$O:$O))</f>
        <v/>
      </c>
      <c r="Q148" s="30"/>
      <c r="R148" s="30"/>
      <c r="S148" s="30"/>
      <c r="T148" s="30"/>
      <c r="U148" s="30"/>
      <c r="V148" s="34" t="str">
        <f aca="false">IF(A148="","",IF(IFERROR(INDEX($D:$D,MATCH(A148,$A:$A,0)),"")="","",TRIM(IF(ISNUMBER(FIND(",",IFERROR(INDEX($D:$D,MATCH(A148,$A:$A,0)),""))),LEFT(IFERROR(INDEX($D:$D,MATCH(A148,$A:$A,0)),""),FIND(",",IFERROR(INDEX($D:$D,MATCH(A148,$A:$A,0)),""))-1),IFERROR(INDEX($D:$D,MATCH(A148,$A:$A,0)),"")))))</f>
        <v/>
      </c>
      <c r="W148" s="34" t="str">
        <f aca="false">IF(V148="","",IF(IFERROR(INDEX($D:$D,MATCH(V148,$A:$A,0)),"")="","",TRIM(IF(ISNUMBER(FIND(",",IFERROR(INDEX($D:$D,MATCH(V148,$A:$A,0)),""))),LEFT(IFERROR(INDEX($D:$D,MATCH(V148,$A:$A,0)),""),FIND(",",IFERROR(INDEX($D:$D,MATCH(V148,$A:$A,0)),""))-1),IFERROR(INDEX($D:$D,MATCH(V148,$A:$A,0)),"")))))</f>
        <v/>
      </c>
      <c r="X148" s="34" t="str">
        <f aca="false">IF(W148="","",IF(IFERROR(INDEX($D:$D,MATCH(W148,$A:$A,0)),"")="","",TRIM(IF(ISNUMBER(FIND(",",IFERROR(INDEX($D:$D,MATCH(W148,$A:$A,0)),""))),LEFT(IFERROR(INDEX($D:$D,MATCH(W148,$A:$A,0)),""),FIND(",",IFERROR(INDEX($D:$D,MATCH(W148,$A:$A,0)),""))-1),IFERROR(INDEX($D:$D,MATCH(W148,$A:$A,0)),"")))))</f>
        <v/>
      </c>
      <c r="Y148" s="34" t="str">
        <f aca="false">IF(X148="","",IF(IFERROR(INDEX($D:$D,MATCH(X148,$A:$A,0)),"")="","",TRIM(IF(ISNUMBER(FIND(",",IFERROR(INDEX($D:$D,MATCH(X148,$A:$A,0)),""))),LEFT(IFERROR(INDEX($D:$D,MATCH(X148,$A:$A,0)),""),FIND(",",IFERROR(INDEX($D:$D,MATCH(X148,$A:$A,0)),""))-1),IFERROR(INDEX($D:$D,MATCH(X148,$A:$A,0)),"")))))</f>
        <v/>
      </c>
      <c r="Z148" s="34" t="str">
        <f aca="false">IF(AND(A148&lt;&gt;"",L148="Retire"),COUNTIF($L$5:L148,"Retire"),"")</f>
        <v/>
      </c>
      <c r="AA148" s="34" t="str">
        <f aca="false">IF(AND(A148&lt;&gt;"",L148="Build"),COUNTIF($L$5:L148,"Build"),"")</f>
        <v/>
      </c>
      <c r="AB148" s="34" t="str">
        <f aca="false">IF(AND(A148&lt;&gt;"",OR(M148="4+",AND(ISNUMBER(M148),M148&gt;=2))),SUMPRODUCT(($A$5:A148&lt;&gt;"")*(($M$5:M148="4+")+(ISNUMBER($M$5:M148)*($M$5:M148&gt;=2)))),"")</f>
        <v/>
      </c>
      <c r="AC148" s="34" t="str">
        <f aca="false">IF(AND(A148&lt;&gt;"",OR(L148="",L148="Undecided",K148="")),SUMPRODUCT(($A$5:A148&lt;&gt;"")*(($L$5:L148="")+($L$5:L148="Undecided")+($K$5:K148=""))&gt;0*1),"")</f>
        <v/>
      </c>
    </row>
    <row r="149" customFormat="false" ht="15" hidden="false" customHeight="false" outlineLevel="0" collapsed="false">
      <c r="A149" s="29"/>
      <c r="B149" s="30"/>
      <c r="C149" s="30"/>
      <c r="D149" s="30"/>
      <c r="E149" s="30"/>
      <c r="F149" s="30"/>
      <c r="G149" s="30"/>
      <c r="H149" s="30"/>
      <c r="I149" s="30"/>
      <c r="J149" s="30"/>
      <c r="K149" s="30"/>
      <c r="L149" s="30"/>
      <c r="M149" s="20" t="str">
        <f aca="false">IF(A149="","",IF(V149="",0,IF(W149="",1,IF(X149="",2,IF(Y149="",3,"4+")))))</f>
        <v/>
      </c>
      <c r="N149" s="20" t="str">
        <f aca="false">IF(A149="","",A149&amp;IF(V149="",""," &lt;- "&amp;V149&amp;IF(W149="",""," &lt;- "&amp;W149&amp;IF(X149="",""," &lt;- "&amp;X149&amp;IF(Y149="",""," &lt;- "&amp;Y149))))&amp;IF(ISNUMBER(FIND(",",D149))," (+ other parents)",""))</f>
        <v/>
      </c>
      <c r="O149" s="20" t="str">
        <f aca="false">IF(A149="","",COUNTIF(Fields!$D:$D,A149))</f>
        <v/>
      </c>
      <c r="P149" s="20" t="str">
        <f aca="false">IF(A149="","",SUMIF(Fields!$D:$D,A149,Fields!$O:$O))</f>
        <v/>
      </c>
      <c r="Q149" s="30"/>
      <c r="R149" s="30"/>
      <c r="S149" s="30"/>
      <c r="T149" s="30"/>
      <c r="U149" s="30"/>
      <c r="V149" s="34" t="str">
        <f aca="false">IF(A149="","",IF(IFERROR(INDEX($D:$D,MATCH(A149,$A:$A,0)),"")="","",TRIM(IF(ISNUMBER(FIND(",",IFERROR(INDEX($D:$D,MATCH(A149,$A:$A,0)),""))),LEFT(IFERROR(INDEX($D:$D,MATCH(A149,$A:$A,0)),""),FIND(",",IFERROR(INDEX($D:$D,MATCH(A149,$A:$A,0)),""))-1),IFERROR(INDEX($D:$D,MATCH(A149,$A:$A,0)),"")))))</f>
        <v/>
      </c>
      <c r="W149" s="34" t="str">
        <f aca="false">IF(V149="","",IF(IFERROR(INDEX($D:$D,MATCH(V149,$A:$A,0)),"")="","",TRIM(IF(ISNUMBER(FIND(",",IFERROR(INDEX($D:$D,MATCH(V149,$A:$A,0)),""))),LEFT(IFERROR(INDEX($D:$D,MATCH(V149,$A:$A,0)),""),FIND(",",IFERROR(INDEX($D:$D,MATCH(V149,$A:$A,0)),""))-1),IFERROR(INDEX($D:$D,MATCH(V149,$A:$A,0)),"")))))</f>
        <v/>
      </c>
      <c r="X149" s="34" t="str">
        <f aca="false">IF(W149="","",IF(IFERROR(INDEX($D:$D,MATCH(W149,$A:$A,0)),"")="","",TRIM(IF(ISNUMBER(FIND(",",IFERROR(INDEX($D:$D,MATCH(W149,$A:$A,0)),""))),LEFT(IFERROR(INDEX($D:$D,MATCH(W149,$A:$A,0)),""),FIND(",",IFERROR(INDEX($D:$D,MATCH(W149,$A:$A,0)),""))-1),IFERROR(INDEX($D:$D,MATCH(W149,$A:$A,0)),"")))))</f>
        <v/>
      </c>
      <c r="Y149" s="34" t="str">
        <f aca="false">IF(X149="","",IF(IFERROR(INDEX($D:$D,MATCH(X149,$A:$A,0)),"")="","",TRIM(IF(ISNUMBER(FIND(",",IFERROR(INDEX($D:$D,MATCH(X149,$A:$A,0)),""))),LEFT(IFERROR(INDEX($D:$D,MATCH(X149,$A:$A,0)),""),FIND(",",IFERROR(INDEX($D:$D,MATCH(X149,$A:$A,0)),""))-1),IFERROR(INDEX($D:$D,MATCH(X149,$A:$A,0)),"")))))</f>
        <v/>
      </c>
      <c r="Z149" s="34" t="str">
        <f aca="false">IF(AND(A149&lt;&gt;"",L149="Retire"),COUNTIF($L$5:L149,"Retire"),"")</f>
        <v/>
      </c>
      <c r="AA149" s="34" t="str">
        <f aca="false">IF(AND(A149&lt;&gt;"",L149="Build"),COUNTIF($L$5:L149,"Build"),"")</f>
        <v/>
      </c>
      <c r="AB149" s="34" t="str">
        <f aca="false">IF(AND(A149&lt;&gt;"",OR(M149="4+",AND(ISNUMBER(M149),M149&gt;=2))),SUMPRODUCT(($A$5:A149&lt;&gt;"")*(($M$5:M149="4+")+(ISNUMBER($M$5:M149)*($M$5:M149&gt;=2)))),"")</f>
        <v/>
      </c>
      <c r="AC149" s="34" t="str">
        <f aca="false">IF(AND(A149&lt;&gt;"",OR(L149="",L149="Undecided",K149="")),SUMPRODUCT(($A$5:A149&lt;&gt;"")*(($L$5:L149="")+($L$5:L149="Undecided")+($K$5:K149=""))&gt;0*1),"")</f>
        <v/>
      </c>
    </row>
    <row r="150" customFormat="false" ht="15" hidden="false" customHeight="false" outlineLevel="0" collapsed="false">
      <c r="A150" s="29"/>
      <c r="B150" s="30"/>
      <c r="C150" s="30"/>
      <c r="D150" s="30"/>
      <c r="E150" s="30"/>
      <c r="F150" s="30"/>
      <c r="G150" s="30"/>
      <c r="H150" s="30"/>
      <c r="I150" s="30"/>
      <c r="J150" s="30"/>
      <c r="K150" s="30"/>
      <c r="L150" s="30"/>
      <c r="M150" s="20" t="str">
        <f aca="false">IF(A150="","",IF(V150="",0,IF(W150="",1,IF(X150="",2,IF(Y150="",3,"4+")))))</f>
        <v/>
      </c>
      <c r="N150" s="20" t="str">
        <f aca="false">IF(A150="","",A150&amp;IF(V150="",""," &lt;- "&amp;V150&amp;IF(W150="",""," &lt;- "&amp;W150&amp;IF(X150="",""," &lt;- "&amp;X150&amp;IF(Y150="",""," &lt;- "&amp;Y150))))&amp;IF(ISNUMBER(FIND(",",D150))," (+ other parents)",""))</f>
        <v/>
      </c>
      <c r="O150" s="20" t="str">
        <f aca="false">IF(A150="","",COUNTIF(Fields!$D:$D,A150))</f>
        <v/>
      </c>
      <c r="P150" s="20" t="str">
        <f aca="false">IF(A150="","",SUMIF(Fields!$D:$D,A150,Fields!$O:$O))</f>
        <v/>
      </c>
      <c r="Q150" s="30"/>
      <c r="R150" s="30"/>
      <c r="S150" s="30"/>
      <c r="T150" s="30"/>
      <c r="U150" s="30"/>
      <c r="V150" s="34" t="str">
        <f aca="false">IF(A150="","",IF(IFERROR(INDEX($D:$D,MATCH(A150,$A:$A,0)),"")="","",TRIM(IF(ISNUMBER(FIND(",",IFERROR(INDEX($D:$D,MATCH(A150,$A:$A,0)),""))),LEFT(IFERROR(INDEX($D:$D,MATCH(A150,$A:$A,0)),""),FIND(",",IFERROR(INDEX($D:$D,MATCH(A150,$A:$A,0)),""))-1),IFERROR(INDEX($D:$D,MATCH(A150,$A:$A,0)),"")))))</f>
        <v/>
      </c>
      <c r="W150" s="34" t="str">
        <f aca="false">IF(V150="","",IF(IFERROR(INDEX($D:$D,MATCH(V150,$A:$A,0)),"")="","",TRIM(IF(ISNUMBER(FIND(",",IFERROR(INDEX($D:$D,MATCH(V150,$A:$A,0)),""))),LEFT(IFERROR(INDEX($D:$D,MATCH(V150,$A:$A,0)),""),FIND(",",IFERROR(INDEX($D:$D,MATCH(V150,$A:$A,0)),""))-1),IFERROR(INDEX($D:$D,MATCH(V150,$A:$A,0)),"")))))</f>
        <v/>
      </c>
      <c r="X150" s="34" t="str">
        <f aca="false">IF(W150="","",IF(IFERROR(INDEX($D:$D,MATCH(W150,$A:$A,0)),"")="","",TRIM(IF(ISNUMBER(FIND(",",IFERROR(INDEX($D:$D,MATCH(W150,$A:$A,0)),""))),LEFT(IFERROR(INDEX($D:$D,MATCH(W150,$A:$A,0)),""),FIND(",",IFERROR(INDEX($D:$D,MATCH(W150,$A:$A,0)),""))-1),IFERROR(INDEX($D:$D,MATCH(W150,$A:$A,0)),"")))))</f>
        <v/>
      </c>
      <c r="Y150" s="34" t="str">
        <f aca="false">IF(X150="","",IF(IFERROR(INDEX($D:$D,MATCH(X150,$A:$A,0)),"")="","",TRIM(IF(ISNUMBER(FIND(",",IFERROR(INDEX($D:$D,MATCH(X150,$A:$A,0)),""))),LEFT(IFERROR(INDEX($D:$D,MATCH(X150,$A:$A,0)),""),FIND(",",IFERROR(INDEX($D:$D,MATCH(X150,$A:$A,0)),""))-1),IFERROR(INDEX($D:$D,MATCH(X150,$A:$A,0)),"")))))</f>
        <v/>
      </c>
      <c r="Z150" s="34" t="str">
        <f aca="false">IF(AND(A150&lt;&gt;"",L150="Retire"),COUNTIF($L$5:L150,"Retire"),"")</f>
        <v/>
      </c>
      <c r="AA150" s="34" t="str">
        <f aca="false">IF(AND(A150&lt;&gt;"",L150="Build"),COUNTIF($L$5:L150,"Build"),"")</f>
        <v/>
      </c>
      <c r="AB150" s="34" t="str">
        <f aca="false">IF(AND(A150&lt;&gt;"",OR(M150="4+",AND(ISNUMBER(M150),M150&gt;=2))),SUMPRODUCT(($A$5:A150&lt;&gt;"")*(($M$5:M150="4+")+(ISNUMBER($M$5:M150)*($M$5:M150&gt;=2)))),"")</f>
        <v/>
      </c>
      <c r="AC150" s="34" t="str">
        <f aca="false">IF(AND(A150&lt;&gt;"",OR(L150="",L150="Undecided",K150="")),SUMPRODUCT(($A$5:A150&lt;&gt;"")*(($L$5:L150="")+($L$5:L150="Undecided")+($K$5:K150=""))&gt;0*1),"")</f>
        <v/>
      </c>
    </row>
    <row r="151" customFormat="false" ht="15" hidden="false" customHeight="false" outlineLevel="0" collapsed="false">
      <c r="A151" s="29"/>
      <c r="B151" s="30"/>
      <c r="C151" s="30"/>
      <c r="D151" s="30"/>
      <c r="E151" s="30"/>
      <c r="F151" s="30"/>
      <c r="G151" s="30"/>
      <c r="H151" s="30"/>
      <c r="I151" s="30"/>
      <c r="J151" s="30"/>
      <c r="K151" s="30"/>
      <c r="L151" s="30"/>
      <c r="M151" s="20" t="str">
        <f aca="false">IF(A151="","",IF(V151="",0,IF(W151="",1,IF(X151="",2,IF(Y151="",3,"4+")))))</f>
        <v/>
      </c>
      <c r="N151" s="20" t="str">
        <f aca="false">IF(A151="","",A151&amp;IF(V151="",""," &lt;- "&amp;V151&amp;IF(W151="",""," &lt;- "&amp;W151&amp;IF(X151="",""," &lt;- "&amp;X151&amp;IF(Y151="",""," &lt;- "&amp;Y151))))&amp;IF(ISNUMBER(FIND(",",D151))," (+ other parents)",""))</f>
        <v/>
      </c>
      <c r="O151" s="20" t="str">
        <f aca="false">IF(A151="","",COUNTIF(Fields!$D:$D,A151))</f>
        <v/>
      </c>
      <c r="P151" s="20" t="str">
        <f aca="false">IF(A151="","",SUMIF(Fields!$D:$D,A151,Fields!$O:$O))</f>
        <v/>
      </c>
      <c r="Q151" s="30"/>
      <c r="R151" s="30"/>
      <c r="S151" s="30"/>
      <c r="T151" s="30"/>
      <c r="U151" s="30"/>
      <c r="V151" s="34" t="str">
        <f aca="false">IF(A151="","",IF(IFERROR(INDEX($D:$D,MATCH(A151,$A:$A,0)),"")="","",TRIM(IF(ISNUMBER(FIND(",",IFERROR(INDEX($D:$D,MATCH(A151,$A:$A,0)),""))),LEFT(IFERROR(INDEX($D:$D,MATCH(A151,$A:$A,0)),""),FIND(",",IFERROR(INDEX($D:$D,MATCH(A151,$A:$A,0)),""))-1),IFERROR(INDEX($D:$D,MATCH(A151,$A:$A,0)),"")))))</f>
        <v/>
      </c>
      <c r="W151" s="34" t="str">
        <f aca="false">IF(V151="","",IF(IFERROR(INDEX($D:$D,MATCH(V151,$A:$A,0)),"")="","",TRIM(IF(ISNUMBER(FIND(",",IFERROR(INDEX($D:$D,MATCH(V151,$A:$A,0)),""))),LEFT(IFERROR(INDEX($D:$D,MATCH(V151,$A:$A,0)),""),FIND(",",IFERROR(INDEX($D:$D,MATCH(V151,$A:$A,0)),""))-1),IFERROR(INDEX($D:$D,MATCH(V151,$A:$A,0)),"")))))</f>
        <v/>
      </c>
      <c r="X151" s="34" t="str">
        <f aca="false">IF(W151="","",IF(IFERROR(INDEX($D:$D,MATCH(W151,$A:$A,0)),"")="","",TRIM(IF(ISNUMBER(FIND(",",IFERROR(INDEX($D:$D,MATCH(W151,$A:$A,0)),""))),LEFT(IFERROR(INDEX($D:$D,MATCH(W151,$A:$A,0)),""),FIND(",",IFERROR(INDEX($D:$D,MATCH(W151,$A:$A,0)),""))-1),IFERROR(INDEX($D:$D,MATCH(W151,$A:$A,0)),"")))))</f>
        <v/>
      </c>
      <c r="Y151" s="34" t="str">
        <f aca="false">IF(X151="","",IF(IFERROR(INDEX($D:$D,MATCH(X151,$A:$A,0)),"")="","",TRIM(IF(ISNUMBER(FIND(",",IFERROR(INDEX($D:$D,MATCH(X151,$A:$A,0)),""))),LEFT(IFERROR(INDEX($D:$D,MATCH(X151,$A:$A,0)),""),FIND(",",IFERROR(INDEX($D:$D,MATCH(X151,$A:$A,0)),""))-1),IFERROR(INDEX($D:$D,MATCH(X151,$A:$A,0)),"")))))</f>
        <v/>
      </c>
      <c r="Z151" s="34" t="str">
        <f aca="false">IF(AND(A151&lt;&gt;"",L151="Retire"),COUNTIF($L$5:L151,"Retire"),"")</f>
        <v/>
      </c>
      <c r="AA151" s="34" t="str">
        <f aca="false">IF(AND(A151&lt;&gt;"",L151="Build"),COUNTIF($L$5:L151,"Build"),"")</f>
        <v/>
      </c>
      <c r="AB151" s="34" t="str">
        <f aca="false">IF(AND(A151&lt;&gt;"",OR(M151="4+",AND(ISNUMBER(M151),M151&gt;=2))),SUMPRODUCT(($A$5:A151&lt;&gt;"")*(($M$5:M151="4+")+(ISNUMBER($M$5:M151)*($M$5:M151&gt;=2)))),"")</f>
        <v/>
      </c>
      <c r="AC151" s="34" t="str">
        <f aca="false">IF(AND(A151&lt;&gt;"",OR(L151="",L151="Undecided",K151="")),SUMPRODUCT(($A$5:A151&lt;&gt;"")*(($L$5:L151="")+($L$5:L151="Undecided")+($K$5:K151=""))&gt;0*1),"")</f>
        <v/>
      </c>
    </row>
    <row r="152" customFormat="false" ht="15" hidden="false" customHeight="false" outlineLevel="0" collapsed="false">
      <c r="A152" s="29"/>
      <c r="B152" s="30"/>
      <c r="C152" s="30"/>
      <c r="D152" s="30"/>
      <c r="E152" s="30"/>
      <c r="F152" s="30"/>
      <c r="G152" s="30"/>
      <c r="H152" s="30"/>
      <c r="I152" s="30"/>
      <c r="J152" s="30"/>
      <c r="K152" s="30"/>
      <c r="L152" s="30"/>
      <c r="M152" s="20" t="str">
        <f aca="false">IF(A152="","",IF(V152="",0,IF(W152="",1,IF(X152="",2,IF(Y152="",3,"4+")))))</f>
        <v/>
      </c>
      <c r="N152" s="20" t="str">
        <f aca="false">IF(A152="","",A152&amp;IF(V152="",""," &lt;- "&amp;V152&amp;IF(W152="",""," &lt;- "&amp;W152&amp;IF(X152="",""," &lt;- "&amp;X152&amp;IF(Y152="",""," &lt;- "&amp;Y152))))&amp;IF(ISNUMBER(FIND(",",D152))," (+ other parents)",""))</f>
        <v/>
      </c>
      <c r="O152" s="20" t="str">
        <f aca="false">IF(A152="","",COUNTIF(Fields!$D:$D,A152))</f>
        <v/>
      </c>
      <c r="P152" s="20" t="str">
        <f aca="false">IF(A152="","",SUMIF(Fields!$D:$D,A152,Fields!$O:$O))</f>
        <v/>
      </c>
      <c r="Q152" s="30"/>
      <c r="R152" s="30"/>
      <c r="S152" s="30"/>
      <c r="T152" s="30"/>
      <c r="U152" s="30"/>
      <c r="V152" s="34" t="str">
        <f aca="false">IF(A152="","",IF(IFERROR(INDEX($D:$D,MATCH(A152,$A:$A,0)),"")="","",TRIM(IF(ISNUMBER(FIND(",",IFERROR(INDEX($D:$D,MATCH(A152,$A:$A,0)),""))),LEFT(IFERROR(INDEX($D:$D,MATCH(A152,$A:$A,0)),""),FIND(",",IFERROR(INDEX($D:$D,MATCH(A152,$A:$A,0)),""))-1),IFERROR(INDEX($D:$D,MATCH(A152,$A:$A,0)),"")))))</f>
        <v/>
      </c>
      <c r="W152" s="34" t="str">
        <f aca="false">IF(V152="","",IF(IFERROR(INDEX($D:$D,MATCH(V152,$A:$A,0)),"")="","",TRIM(IF(ISNUMBER(FIND(",",IFERROR(INDEX($D:$D,MATCH(V152,$A:$A,0)),""))),LEFT(IFERROR(INDEX($D:$D,MATCH(V152,$A:$A,0)),""),FIND(",",IFERROR(INDEX($D:$D,MATCH(V152,$A:$A,0)),""))-1),IFERROR(INDEX($D:$D,MATCH(V152,$A:$A,0)),"")))))</f>
        <v/>
      </c>
      <c r="X152" s="34" t="str">
        <f aca="false">IF(W152="","",IF(IFERROR(INDEX($D:$D,MATCH(W152,$A:$A,0)),"")="","",TRIM(IF(ISNUMBER(FIND(",",IFERROR(INDEX($D:$D,MATCH(W152,$A:$A,0)),""))),LEFT(IFERROR(INDEX($D:$D,MATCH(W152,$A:$A,0)),""),FIND(",",IFERROR(INDEX($D:$D,MATCH(W152,$A:$A,0)),""))-1),IFERROR(INDEX($D:$D,MATCH(W152,$A:$A,0)),"")))))</f>
        <v/>
      </c>
      <c r="Y152" s="34" t="str">
        <f aca="false">IF(X152="","",IF(IFERROR(INDEX($D:$D,MATCH(X152,$A:$A,0)),"")="","",TRIM(IF(ISNUMBER(FIND(",",IFERROR(INDEX($D:$D,MATCH(X152,$A:$A,0)),""))),LEFT(IFERROR(INDEX($D:$D,MATCH(X152,$A:$A,0)),""),FIND(",",IFERROR(INDEX($D:$D,MATCH(X152,$A:$A,0)),""))-1),IFERROR(INDEX($D:$D,MATCH(X152,$A:$A,0)),"")))))</f>
        <v/>
      </c>
      <c r="Z152" s="34" t="str">
        <f aca="false">IF(AND(A152&lt;&gt;"",L152="Retire"),COUNTIF($L$5:L152,"Retire"),"")</f>
        <v/>
      </c>
      <c r="AA152" s="34" t="str">
        <f aca="false">IF(AND(A152&lt;&gt;"",L152="Build"),COUNTIF($L$5:L152,"Build"),"")</f>
        <v/>
      </c>
      <c r="AB152" s="34" t="str">
        <f aca="false">IF(AND(A152&lt;&gt;"",OR(M152="4+",AND(ISNUMBER(M152),M152&gt;=2))),SUMPRODUCT(($A$5:A152&lt;&gt;"")*(($M$5:M152="4+")+(ISNUMBER($M$5:M152)*($M$5:M152&gt;=2)))),"")</f>
        <v/>
      </c>
      <c r="AC152" s="34" t="str">
        <f aca="false">IF(AND(A152&lt;&gt;"",OR(L152="",L152="Undecided",K152="")),SUMPRODUCT(($A$5:A152&lt;&gt;"")*(($L$5:L152="")+($L$5:L152="Undecided")+($K$5:K152=""))&gt;0*1),"")</f>
        <v/>
      </c>
    </row>
    <row r="153" customFormat="false" ht="15" hidden="false" customHeight="false" outlineLevel="0" collapsed="false">
      <c r="A153" s="29"/>
      <c r="B153" s="30"/>
      <c r="C153" s="30"/>
      <c r="D153" s="30"/>
      <c r="E153" s="30"/>
      <c r="F153" s="30"/>
      <c r="G153" s="30"/>
      <c r="H153" s="30"/>
      <c r="I153" s="30"/>
      <c r="J153" s="30"/>
      <c r="K153" s="30"/>
      <c r="L153" s="30"/>
      <c r="M153" s="20" t="str">
        <f aca="false">IF(A153="","",IF(V153="",0,IF(W153="",1,IF(X153="",2,IF(Y153="",3,"4+")))))</f>
        <v/>
      </c>
      <c r="N153" s="20" t="str">
        <f aca="false">IF(A153="","",A153&amp;IF(V153="",""," &lt;- "&amp;V153&amp;IF(W153="",""," &lt;- "&amp;W153&amp;IF(X153="",""," &lt;- "&amp;X153&amp;IF(Y153="",""," &lt;- "&amp;Y153))))&amp;IF(ISNUMBER(FIND(",",D153))," (+ other parents)",""))</f>
        <v/>
      </c>
      <c r="O153" s="20" t="str">
        <f aca="false">IF(A153="","",COUNTIF(Fields!$D:$D,A153))</f>
        <v/>
      </c>
      <c r="P153" s="20" t="str">
        <f aca="false">IF(A153="","",SUMIF(Fields!$D:$D,A153,Fields!$O:$O))</f>
        <v/>
      </c>
      <c r="Q153" s="30"/>
      <c r="R153" s="30"/>
      <c r="S153" s="30"/>
      <c r="T153" s="30"/>
      <c r="U153" s="30"/>
      <c r="V153" s="34" t="str">
        <f aca="false">IF(A153="","",IF(IFERROR(INDEX($D:$D,MATCH(A153,$A:$A,0)),"")="","",TRIM(IF(ISNUMBER(FIND(",",IFERROR(INDEX($D:$D,MATCH(A153,$A:$A,0)),""))),LEFT(IFERROR(INDEX($D:$D,MATCH(A153,$A:$A,0)),""),FIND(",",IFERROR(INDEX($D:$D,MATCH(A153,$A:$A,0)),""))-1),IFERROR(INDEX($D:$D,MATCH(A153,$A:$A,0)),"")))))</f>
        <v/>
      </c>
      <c r="W153" s="34" t="str">
        <f aca="false">IF(V153="","",IF(IFERROR(INDEX($D:$D,MATCH(V153,$A:$A,0)),"")="","",TRIM(IF(ISNUMBER(FIND(",",IFERROR(INDEX($D:$D,MATCH(V153,$A:$A,0)),""))),LEFT(IFERROR(INDEX($D:$D,MATCH(V153,$A:$A,0)),""),FIND(",",IFERROR(INDEX($D:$D,MATCH(V153,$A:$A,0)),""))-1),IFERROR(INDEX($D:$D,MATCH(V153,$A:$A,0)),"")))))</f>
        <v/>
      </c>
      <c r="X153" s="34" t="str">
        <f aca="false">IF(W153="","",IF(IFERROR(INDEX($D:$D,MATCH(W153,$A:$A,0)),"")="","",TRIM(IF(ISNUMBER(FIND(",",IFERROR(INDEX($D:$D,MATCH(W153,$A:$A,0)),""))),LEFT(IFERROR(INDEX($D:$D,MATCH(W153,$A:$A,0)),""),FIND(",",IFERROR(INDEX($D:$D,MATCH(W153,$A:$A,0)),""))-1),IFERROR(INDEX($D:$D,MATCH(W153,$A:$A,0)),"")))))</f>
        <v/>
      </c>
      <c r="Y153" s="34" t="str">
        <f aca="false">IF(X153="","",IF(IFERROR(INDEX($D:$D,MATCH(X153,$A:$A,0)),"")="","",TRIM(IF(ISNUMBER(FIND(",",IFERROR(INDEX($D:$D,MATCH(X153,$A:$A,0)),""))),LEFT(IFERROR(INDEX($D:$D,MATCH(X153,$A:$A,0)),""),FIND(",",IFERROR(INDEX($D:$D,MATCH(X153,$A:$A,0)),""))-1),IFERROR(INDEX($D:$D,MATCH(X153,$A:$A,0)),"")))))</f>
        <v/>
      </c>
      <c r="Z153" s="34" t="str">
        <f aca="false">IF(AND(A153&lt;&gt;"",L153="Retire"),COUNTIF($L$5:L153,"Retire"),"")</f>
        <v/>
      </c>
      <c r="AA153" s="34" t="str">
        <f aca="false">IF(AND(A153&lt;&gt;"",L153="Build"),COUNTIF($L$5:L153,"Build"),"")</f>
        <v/>
      </c>
      <c r="AB153" s="34" t="str">
        <f aca="false">IF(AND(A153&lt;&gt;"",OR(M153="4+",AND(ISNUMBER(M153),M153&gt;=2))),SUMPRODUCT(($A$5:A153&lt;&gt;"")*(($M$5:M153="4+")+(ISNUMBER($M$5:M153)*($M$5:M153&gt;=2)))),"")</f>
        <v/>
      </c>
      <c r="AC153" s="34" t="str">
        <f aca="false">IF(AND(A153&lt;&gt;"",OR(L153="",L153="Undecided",K153="")),SUMPRODUCT(($A$5:A153&lt;&gt;"")*(($L$5:L153="")+($L$5:L153="Undecided")+($K$5:K153=""))&gt;0*1),"")</f>
        <v/>
      </c>
    </row>
    <row r="154" customFormat="false" ht="15" hidden="false" customHeight="false" outlineLevel="0" collapsed="false">
      <c r="A154" s="29"/>
      <c r="B154" s="30"/>
      <c r="C154" s="30"/>
      <c r="D154" s="30"/>
      <c r="E154" s="30"/>
      <c r="F154" s="30"/>
      <c r="G154" s="30"/>
      <c r="H154" s="30"/>
      <c r="I154" s="30"/>
      <c r="J154" s="30"/>
      <c r="K154" s="30"/>
      <c r="L154" s="30"/>
      <c r="M154" s="20" t="str">
        <f aca="false">IF(A154="","",IF(V154="",0,IF(W154="",1,IF(X154="",2,IF(Y154="",3,"4+")))))</f>
        <v/>
      </c>
      <c r="N154" s="20" t="str">
        <f aca="false">IF(A154="","",A154&amp;IF(V154="",""," &lt;- "&amp;V154&amp;IF(W154="",""," &lt;- "&amp;W154&amp;IF(X154="",""," &lt;- "&amp;X154&amp;IF(Y154="",""," &lt;- "&amp;Y154))))&amp;IF(ISNUMBER(FIND(",",D154))," (+ other parents)",""))</f>
        <v/>
      </c>
      <c r="O154" s="20" t="str">
        <f aca="false">IF(A154="","",COUNTIF(Fields!$D:$D,A154))</f>
        <v/>
      </c>
      <c r="P154" s="20" t="str">
        <f aca="false">IF(A154="","",SUMIF(Fields!$D:$D,A154,Fields!$O:$O))</f>
        <v/>
      </c>
      <c r="Q154" s="30"/>
      <c r="R154" s="30"/>
      <c r="S154" s="30"/>
      <c r="T154" s="30"/>
      <c r="U154" s="30"/>
      <c r="V154" s="34" t="str">
        <f aca="false">IF(A154="","",IF(IFERROR(INDEX($D:$D,MATCH(A154,$A:$A,0)),"")="","",TRIM(IF(ISNUMBER(FIND(",",IFERROR(INDEX($D:$D,MATCH(A154,$A:$A,0)),""))),LEFT(IFERROR(INDEX($D:$D,MATCH(A154,$A:$A,0)),""),FIND(",",IFERROR(INDEX($D:$D,MATCH(A154,$A:$A,0)),""))-1),IFERROR(INDEX($D:$D,MATCH(A154,$A:$A,0)),"")))))</f>
        <v/>
      </c>
      <c r="W154" s="34" t="str">
        <f aca="false">IF(V154="","",IF(IFERROR(INDEX($D:$D,MATCH(V154,$A:$A,0)),"")="","",TRIM(IF(ISNUMBER(FIND(",",IFERROR(INDEX($D:$D,MATCH(V154,$A:$A,0)),""))),LEFT(IFERROR(INDEX($D:$D,MATCH(V154,$A:$A,0)),""),FIND(",",IFERROR(INDEX($D:$D,MATCH(V154,$A:$A,0)),""))-1),IFERROR(INDEX($D:$D,MATCH(V154,$A:$A,0)),"")))))</f>
        <v/>
      </c>
      <c r="X154" s="34" t="str">
        <f aca="false">IF(W154="","",IF(IFERROR(INDEX($D:$D,MATCH(W154,$A:$A,0)),"")="","",TRIM(IF(ISNUMBER(FIND(",",IFERROR(INDEX($D:$D,MATCH(W154,$A:$A,0)),""))),LEFT(IFERROR(INDEX($D:$D,MATCH(W154,$A:$A,0)),""),FIND(",",IFERROR(INDEX($D:$D,MATCH(W154,$A:$A,0)),""))-1),IFERROR(INDEX($D:$D,MATCH(W154,$A:$A,0)),"")))))</f>
        <v/>
      </c>
      <c r="Y154" s="34" t="str">
        <f aca="false">IF(X154="","",IF(IFERROR(INDEX($D:$D,MATCH(X154,$A:$A,0)),"")="","",TRIM(IF(ISNUMBER(FIND(",",IFERROR(INDEX($D:$D,MATCH(X154,$A:$A,0)),""))),LEFT(IFERROR(INDEX($D:$D,MATCH(X154,$A:$A,0)),""),FIND(",",IFERROR(INDEX($D:$D,MATCH(X154,$A:$A,0)),""))-1),IFERROR(INDEX($D:$D,MATCH(X154,$A:$A,0)),"")))))</f>
        <v/>
      </c>
      <c r="Z154" s="34" t="str">
        <f aca="false">IF(AND(A154&lt;&gt;"",L154="Retire"),COUNTIF($L$5:L154,"Retire"),"")</f>
        <v/>
      </c>
      <c r="AA154" s="34" t="str">
        <f aca="false">IF(AND(A154&lt;&gt;"",L154="Build"),COUNTIF($L$5:L154,"Build"),"")</f>
        <v/>
      </c>
      <c r="AB154" s="34" t="str">
        <f aca="false">IF(AND(A154&lt;&gt;"",OR(M154="4+",AND(ISNUMBER(M154),M154&gt;=2))),SUMPRODUCT(($A$5:A154&lt;&gt;"")*(($M$5:M154="4+")+(ISNUMBER($M$5:M154)*($M$5:M154&gt;=2)))),"")</f>
        <v/>
      </c>
      <c r="AC154" s="34" t="str">
        <f aca="false">IF(AND(A154&lt;&gt;"",OR(L154="",L154="Undecided",K154="")),SUMPRODUCT(($A$5:A154&lt;&gt;"")*(($L$5:L154="")+($L$5:L154="Undecided")+($K$5:K154=""))&gt;0*1),"")</f>
        <v/>
      </c>
    </row>
    <row r="155" customFormat="false" ht="15" hidden="false" customHeight="false" outlineLevel="0" collapsed="false">
      <c r="A155" s="29"/>
      <c r="B155" s="30"/>
      <c r="C155" s="30"/>
      <c r="D155" s="30"/>
      <c r="E155" s="30"/>
      <c r="F155" s="30"/>
      <c r="G155" s="30"/>
      <c r="H155" s="30"/>
      <c r="I155" s="30"/>
      <c r="J155" s="30"/>
      <c r="K155" s="30"/>
      <c r="L155" s="30"/>
      <c r="M155" s="20" t="str">
        <f aca="false">IF(A155="","",IF(V155="",0,IF(W155="",1,IF(X155="",2,IF(Y155="",3,"4+")))))</f>
        <v/>
      </c>
      <c r="N155" s="20" t="str">
        <f aca="false">IF(A155="","",A155&amp;IF(V155="",""," &lt;- "&amp;V155&amp;IF(W155="",""," &lt;- "&amp;W155&amp;IF(X155="",""," &lt;- "&amp;X155&amp;IF(Y155="",""," &lt;- "&amp;Y155))))&amp;IF(ISNUMBER(FIND(",",D155))," (+ other parents)",""))</f>
        <v/>
      </c>
      <c r="O155" s="20" t="str">
        <f aca="false">IF(A155="","",COUNTIF(Fields!$D:$D,A155))</f>
        <v/>
      </c>
      <c r="P155" s="20" t="str">
        <f aca="false">IF(A155="","",SUMIF(Fields!$D:$D,A155,Fields!$O:$O))</f>
        <v/>
      </c>
      <c r="Q155" s="30"/>
      <c r="R155" s="30"/>
      <c r="S155" s="30"/>
      <c r="T155" s="30"/>
      <c r="U155" s="30"/>
      <c r="V155" s="34" t="str">
        <f aca="false">IF(A155="","",IF(IFERROR(INDEX($D:$D,MATCH(A155,$A:$A,0)),"")="","",TRIM(IF(ISNUMBER(FIND(",",IFERROR(INDEX($D:$D,MATCH(A155,$A:$A,0)),""))),LEFT(IFERROR(INDEX($D:$D,MATCH(A155,$A:$A,0)),""),FIND(",",IFERROR(INDEX($D:$D,MATCH(A155,$A:$A,0)),""))-1),IFERROR(INDEX($D:$D,MATCH(A155,$A:$A,0)),"")))))</f>
        <v/>
      </c>
      <c r="W155" s="34" t="str">
        <f aca="false">IF(V155="","",IF(IFERROR(INDEX($D:$D,MATCH(V155,$A:$A,0)),"")="","",TRIM(IF(ISNUMBER(FIND(",",IFERROR(INDEX($D:$D,MATCH(V155,$A:$A,0)),""))),LEFT(IFERROR(INDEX($D:$D,MATCH(V155,$A:$A,0)),""),FIND(",",IFERROR(INDEX($D:$D,MATCH(V155,$A:$A,0)),""))-1),IFERROR(INDEX($D:$D,MATCH(V155,$A:$A,0)),"")))))</f>
        <v/>
      </c>
      <c r="X155" s="34" t="str">
        <f aca="false">IF(W155="","",IF(IFERROR(INDEX($D:$D,MATCH(W155,$A:$A,0)),"")="","",TRIM(IF(ISNUMBER(FIND(",",IFERROR(INDEX($D:$D,MATCH(W155,$A:$A,0)),""))),LEFT(IFERROR(INDEX($D:$D,MATCH(W155,$A:$A,0)),""),FIND(",",IFERROR(INDEX($D:$D,MATCH(W155,$A:$A,0)),""))-1),IFERROR(INDEX($D:$D,MATCH(W155,$A:$A,0)),"")))))</f>
        <v/>
      </c>
      <c r="Y155" s="34" t="str">
        <f aca="false">IF(X155="","",IF(IFERROR(INDEX($D:$D,MATCH(X155,$A:$A,0)),"")="","",TRIM(IF(ISNUMBER(FIND(",",IFERROR(INDEX($D:$D,MATCH(X155,$A:$A,0)),""))),LEFT(IFERROR(INDEX($D:$D,MATCH(X155,$A:$A,0)),""),FIND(",",IFERROR(INDEX($D:$D,MATCH(X155,$A:$A,0)),""))-1),IFERROR(INDEX($D:$D,MATCH(X155,$A:$A,0)),"")))))</f>
        <v/>
      </c>
      <c r="Z155" s="34" t="str">
        <f aca="false">IF(AND(A155&lt;&gt;"",L155="Retire"),COUNTIF($L$5:L155,"Retire"),"")</f>
        <v/>
      </c>
      <c r="AA155" s="34" t="str">
        <f aca="false">IF(AND(A155&lt;&gt;"",L155="Build"),COUNTIF($L$5:L155,"Build"),"")</f>
        <v/>
      </c>
      <c r="AB155" s="34" t="str">
        <f aca="false">IF(AND(A155&lt;&gt;"",OR(M155="4+",AND(ISNUMBER(M155),M155&gt;=2))),SUMPRODUCT(($A$5:A155&lt;&gt;"")*(($M$5:M155="4+")+(ISNUMBER($M$5:M155)*($M$5:M155&gt;=2)))),"")</f>
        <v/>
      </c>
      <c r="AC155" s="34" t="str">
        <f aca="false">IF(AND(A155&lt;&gt;"",OR(L155="",L155="Undecided",K155="")),SUMPRODUCT(($A$5:A155&lt;&gt;"")*(($L$5:L155="")+($L$5:L155="Undecided")+($K$5:K155=""))&gt;0*1),"")</f>
        <v/>
      </c>
    </row>
    <row r="156" customFormat="false" ht="15" hidden="false" customHeight="false" outlineLevel="0" collapsed="false">
      <c r="A156" s="29"/>
      <c r="B156" s="30"/>
      <c r="C156" s="30"/>
      <c r="D156" s="30"/>
      <c r="E156" s="30"/>
      <c r="F156" s="30"/>
      <c r="G156" s="30"/>
      <c r="H156" s="30"/>
      <c r="I156" s="30"/>
      <c r="J156" s="30"/>
      <c r="K156" s="30"/>
      <c r="L156" s="30"/>
      <c r="M156" s="20" t="str">
        <f aca="false">IF(A156="","",IF(V156="",0,IF(W156="",1,IF(X156="",2,IF(Y156="",3,"4+")))))</f>
        <v/>
      </c>
      <c r="N156" s="20" t="str">
        <f aca="false">IF(A156="","",A156&amp;IF(V156="",""," &lt;- "&amp;V156&amp;IF(W156="",""," &lt;- "&amp;W156&amp;IF(X156="",""," &lt;- "&amp;X156&amp;IF(Y156="",""," &lt;- "&amp;Y156))))&amp;IF(ISNUMBER(FIND(",",D156))," (+ other parents)",""))</f>
        <v/>
      </c>
      <c r="O156" s="20" t="str">
        <f aca="false">IF(A156="","",COUNTIF(Fields!$D:$D,A156))</f>
        <v/>
      </c>
      <c r="P156" s="20" t="str">
        <f aca="false">IF(A156="","",SUMIF(Fields!$D:$D,A156,Fields!$O:$O))</f>
        <v/>
      </c>
      <c r="Q156" s="30"/>
      <c r="R156" s="30"/>
      <c r="S156" s="30"/>
      <c r="T156" s="30"/>
      <c r="U156" s="30"/>
      <c r="V156" s="34" t="str">
        <f aca="false">IF(A156="","",IF(IFERROR(INDEX($D:$D,MATCH(A156,$A:$A,0)),"")="","",TRIM(IF(ISNUMBER(FIND(",",IFERROR(INDEX($D:$D,MATCH(A156,$A:$A,0)),""))),LEFT(IFERROR(INDEX($D:$D,MATCH(A156,$A:$A,0)),""),FIND(",",IFERROR(INDEX($D:$D,MATCH(A156,$A:$A,0)),""))-1),IFERROR(INDEX($D:$D,MATCH(A156,$A:$A,0)),"")))))</f>
        <v/>
      </c>
      <c r="W156" s="34" t="str">
        <f aca="false">IF(V156="","",IF(IFERROR(INDEX($D:$D,MATCH(V156,$A:$A,0)),"")="","",TRIM(IF(ISNUMBER(FIND(",",IFERROR(INDEX($D:$D,MATCH(V156,$A:$A,0)),""))),LEFT(IFERROR(INDEX($D:$D,MATCH(V156,$A:$A,0)),""),FIND(",",IFERROR(INDEX($D:$D,MATCH(V156,$A:$A,0)),""))-1),IFERROR(INDEX($D:$D,MATCH(V156,$A:$A,0)),"")))))</f>
        <v/>
      </c>
      <c r="X156" s="34" t="str">
        <f aca="false">IF(W156="","",IF(IFERROR(INDEX($D:$D,MATCH(W156,$A:$A,0)),"")="","",TRIM(IF(ISNUMBER(FIND(",",IFERROR(INDEX($D:$D,MATCH(W156,$A:$A,0)),""))),LEFT(IFERROR(INDEX($D:$D,MATCH(W156,$A:$A,0)),""),FIND(",",IFERROR(INDEX($D:$D,MATCH(W156,$A:$A,0)),""))-1),IFERROR(INDEX($D:$D,MATCH(W156,$A:$A,0)),"")))))</f>
        <v/>
      </c>
      <c r="Y156" s="34" t="str">
        <f aca="false">IF(X156="","",IF(IFERROR(INDEX($D:$D,MATCH(X156,$A:$A,0)),"")="","",TRIM(IF(ISNUMBER(FIND(",",IFERROR(INDEX($D:$D,MATCH(X156,$A:$A,0)),""))),LEFT(IFERROR(INDEX($D:$D,MATCH(X156,$A:$A,0)),""),FIND(",",IFERROR(INDEX($D:$D,MATCH(X156,$A:$A,0)),""))-1),IFERROR(INDEX($D:$D,MATCH(X156,$A:$A,0)),"")))))</f>
        <v/>
      </c>
      <c r="Z156" s="34" t="str">
        <f aca="false">IF(AND(A156&lt;&gt;"",L156="Retire"),COUNTIF($L$5:L156,"Retire"),"")</f>
        <v/>
      </c>
      <c r="AA156" s="34" t="str">
        <f aca="false">IF(AND(A156&lt;&gt;"",L156="Build"),COUNTIF($L$5:L156,"Build"),"")</f>
        <v/>
      </c>
      <c r="AB156" s="34" t="str">
        <f aca="false">IF(AND(A156&lt;&gt;"",OR(M156="4+",AND(ISNUMBER(M156),M156&gt;=2))),SUMPRODUCT(($A$5:A156&lt;&gt;"")*(($M$5:M156="4+")+(ISNUMBER($M$5:M156)*($M$5:M156&gt;=2)))),"")</f>
        <v/>
      </c>
      <c r="AC156" s="34" t="str">
        <f aca="false">IF(AND(A156&lt;&gt;"",OR(L156="",L156="Undecided",K156="")),SUMPRODUCT(($A$5:A156&lt;&gt;"")*(($L$5:L156="")+($L$5:L156="Undecided")+($K$5:K156=""))&gt;0*1),"")</f>
        <v/>
      </c>
    </row>
    <row r="157" customFormat="false" ht="15" hidden="false" customHeight="false" outlineLevel="0" collapsed="false">
      <c r="A157" s="29"/>
      <c r="B157" s="30"/>
      <c r="C157" s="30"/>
      <c r="D157" s="30"/>
      <c r="E157" s="30"/>
      <c r="F157" s="30"/>
      <c r="G157" s="30"/>
      <c r="H157" s="30"/>
      <c r="I157" s="30"/>
      <c r="J157" s="30"/>
      <c r="K157" s="30"/>
      <c r="L157" s="30"/>
      <c r="M157" s="20" t="str">
        <f aca="false">IF(A157="","",IF(V157="",0,IF(W157="",1,IF(X157="",2,IF(Y157="",3,"4+")))))</f>
        <v/>
      </c>
      <c r="N157" s="20" t="str">
        <f aca="false">IF(A157="","",A157&amp;IF(V157="",""," &lt;- "&amp;V157&amp;IF(W157="",""," &lt;- "&amp;W157&amp;IF(X157="",""," &lt;- "&amp;X157&amp;IF(Y157="",""," &lt;- "&amp;Y157))))&amp;IF(ISNUMBER(FIND(",",D157))," (+ other parents)",""))</f>
        <v/>
      </c>
      <c r="O157" s="20" t="str">
        <f aca="false">IF(A157="","",COUNTIF(Fields!$D:$D,A157))</f>
        <v/>
      </c>
      <c r="P157" s="20" t="str">
        <f aca="false">IF(A157="","",SUMIF(Fields!$D:$D,A157,Fields!$O:$O))</f>
        <v/>
      </c>
      <c r="Q157" s="30"/>
      <c r="R157" s="30"/>
      <c r="S157" s="30"/>
      <c r="T157" s="30"/>
      <c r="U157" s="30"/>
      <c r="V157" s="34" t="str">
        <f aca="false">IF(A157="","",IF(IFERROR(INDEX($D:$D,MATCH(A157,$A:$A,0)),"")="","",TRIM(IF(ISNUMBER(FIND(",",IFERROR(INDEX($D:$D,MATCH(A157,$A:$A,0)),""))),LEFT(IFERROR(INDEX($D:$D,MATCH(A157,$A:$A,0)),""),FIND(",",IFERROR(INDEX($D:$D,MATCH(A157,$A:$A,0)),""))-1),IFERROR(INDEX($D:$D,MATCH(A157,$A:$A,0)),"")))))</f>
        <v/>
      </c>
      <c r="W157" s="34" t="str">
        <f aca="false">IF(V157="","",IF(IFERROR(INDEX($D:$D,MATCH(V157,$A:$A,0)),"")="","",TRIM(IF(ISNUMBER(FIND(",",IFERROR(INDEX($D:$D,MATCH(V157,$A:$A,0)),""))),LEFT(IFERROR(INDEX($D:$D,MATCH(V157,$A:$A,0)),""),FIND(",",IFERROR(INDEX($D:$D,MATCH(V157,$A:$A,0)),""))-1),IFERROR(INDEX($D:$D,MATCH(V157,$A:$A,0)),"")))))</f>
        <v/>
      </c>
      <c r="X157" s="34" t="str">
        <f aca="false">IF(W157="","",IF(IFERROR(INDEX($D:$D,MATCH(W157,$A:$A,0)),"")="","",TRIM(IF(ISNUMBER(FIND(",",IFERROR(INDEX($D:$D,MATCH(W157,$A:$A,0)),""))),LEFT(IFERROR(INDEX($D:$D,MATCH(W157,$A:$A,0)),""),FIND(",",IFERROR(INDEX($D:$D,MATCH(W157,$A:$A,0)),""))-1),IFERROR(INDEX($D:$D,MATCH(W157,$A:$A,0)),"")))))</f>
        <v/>
      </c>
      <c r="Y157" s="34" t="str">
        <f aca="false">IF(X157="","",IF(IFERROR(INDEX($D:$D,MATCH(X157,$A:$A,0)),"")="","",TRIM(IF(ISNUMBER(FIND(",",IFERROR(INDEX($D:$D,MATCH(X157,$A:$A,0)),""))),LEFT(IFERROR(INDEX($D:$D,MATCH(X157,$A:$A,0)),""),FIND(",",IFERROR(INDEX($D:$D,MATCH(X157,$A:$A,0)),""))-1),IFERROR(INDEX($D:$D,MATCH(X157,$A:$A,0)),"")))))</f>
        <v/>
      </c>
      <c r="Z157" s="34" t="str">
        <f aca="false">IF(AND(A157&lt;&gt;"",L157="Retire"),COUNTIF($L$5:L157,"Retire"),"")</f>
        <v/>
      </c>
      <c r="AA157" s="34" t="str">
        <f aca="false">IF(AND(A157&lt;&gt;"",L157="Build"),COUNTIF($L$5:L157,"Build"),"")</f>
        <v/>
      </c>
      <c r="AB157" s="34" t="str">
        <f aca="false">IF(AND(A157&lt;&gt;"",OR(M157="4+",AND(ISNUMBER(M157),M157&gt;=2))),SUMPRODUCT(($A$5:A157&lt;&gt;"")*(($M$5:M157="4+")+(ISNUMBER($M$5:M157)*($M$5:M157&gt;=2)))),"")</f>
        <v/>
      </c>
      <c r="AC157" s="34" t="str">
        <f aca="false">IF(AND(A157&lt;&gt;"",OR(L157="",L157="Undecided",K157="")),SUMPRODUCT(($A$5:A157&lt;&gt;"")*(($L$5:L157="")+($L$5:L157="Undecided")+($K$5:K157=""))&gt;0*1),"")</f>
        <v/>
      </c>
    </row>
    <row r="158" customFormat="false" ht="15" hidden="false" customHeight="false" outlineLevel="0" collapsed="false">
      <c r="A158" s="29"/>
      <c r="B158" s="30"/>
      <c r="C158" s="30"/>
      <c r="D158" s="30"/>
      <c r="E158" s="30"/>
      <c r="F158" s="30"/>
      <c r="G158" s="30"/>
      <c r="H158" s="30"/>
      <c r="I158" s="30"/>
      <c r="J158" s="30"/>
      <c r="K158" s="30"/>
      <c r="L158" s="30"/>
      <c r="M158" s="20" t="str">
        <f aca="false">IF(A158="","",IF(V158="",0,IF(W158="",1,IF(X158="",2,IF(Y158="",3,"4+")))))</f>
        <v/>
      </c>
      <c r="N158" s="20" t="str">
        <f aca="false">IF(A158="","",A158&amp;IF(V158="",""," &lt;- "&amp;V158&amp;IF(W158="",""," &lt;- "&amp;W158&amp;IF(X158="",""," &lt;- "&amp;X158&amp;IF(Y158="",""," &lt;- "&amp;Y158))))&amp;IF(ISNUMBER(FIND(",",D158))," (+ other parents)",""))</f>
        <v/>
      </c>
      <c r="O158" s="20" t="str">
        <f aca="false">IF(A158="","",COUNTIF(Fields!$D:$D,A158))</f>
        <v/>
      </c>
      <c r="P158" s="20" t="str">
        <f aca="false">IF(A158="","",SUMIF(Fields!$D:$D,A158,Fields!$O:$O))</f>
        <v/>
      </c>
      <c r="Q158" s="30"/>
      <c r="R158" s="30"/>
      <c r="S158" s="30"/>
      <c r="T158" s="30"/>
      <c r="U158" s="30"/>
      <c r="V158" s="34" t="str">
        <f aca="false">IF(A158="","",IF(IFERROR(INDEX($D:$D,MATCH(A158,$A:$A,0)),"")="","",TRIM(IF(ISNUMBER(FIND(",",IFERROR(INDEX($D:$D,MATCH(A158,$A:$A,0)),""))),LEFT(IFERROR(INDEX($D:$D,MATCH(A158,$A:$A,0)),""),FIND(",",IFERROR(INDEX($D:$D,MATCH(A158,$A:$A,0)),""))-1),IFERROR(INDEX($D:$D,MATCH(A158,$A:$A,0)),"")))))</f>
        <v/>
      </c>
      <c r="W158" s="34" t="str">
        <f aca="false">IF(V158="","",IF(IFERROR(INDEX($D:$D,MATCH(V158,$A:$A,0)),"")="","",TRIM(IF(ISNUMBER(FIND(",",IFERROR(INDEX($D:$D,MATCH(V158,$A:$A,0)),""))),LEFT(IFERROR(INDEX($D:$D,MATCH(V158,$A:$A,0)),""),FIND(",",IFERROR(INDEX($D:$D,MATCH(V158,$A:$A,0)),""))-1),IFERROR(INDEX($D:$D,MATCH(V158,$A:$A,0)),"")))))</f>
        <v/>
      </c>
      <c r="X158" s="34" t="str">
        <f aca="false">IF(W158="","",IF(IFERROR(INDEX($D:$D,MATCH(W158,$A:$A,0)),"")="","",TRIM(IF(ISNUMBER(FIND(",",IFERROR(INDEX($D:$D,MATCH(W158,$A:$A,0)),""))),LEFT(IFERROR(INDEX($D:$D,MATCH(W158,$A:$A,0)),""),FIND(",",IFERROR(INDEX($D:$D,MATCH(W158,$A:$A,0)),""))-1),IFERROR(INDEX($D:$D,MATCH(W158,$A:$A,0)),"")))))</f>
        <v/>
      </c>
      <c r="Y158" s="34" t="str">
        <f aca="false">IF(X158="","",IF(IFERROR(INDEX($D:$D,MATCH(X158,$A:$A,0)),"")="","",TRIM(IF(ISNUMBER(FIND(",",IFERROR(INDEX($D:$D,MATCH(X158,$A:$A,0)),""))),LEFT(IFERROR(INDEX($D:$D,MATCH(X158,$A:$A,0)),""),FIND(",",IFERROR(INDEX($D:$D,MATCH(X158,$A:$A,0)),""))-1),IFERROR(INDEX($D:$D,MATCH(X158,$A:$A,0)),"")))))</f>
        <v/>
      </c>
      <c r="Z158" s="34" t="str">
        <f aca="false">IF(AND(A158&lt;&gt;"",L158="Retire"),COUNTIF($L$5:L158,"Retire"),"")</f>
        <v/>
      </c>
      <c r="AA158" s="34" t="str">
        <f aca="false">IF(AND(A158&lt;&gt;"",L158="Build"),COUNTIF($L$5:L158,"Build"),"")</f>
        <v/>
      </c>
      <c r="AB158" s="34" t="str">
        <f aca="false">IF(AND(A158&lt;&gt;"",OR(M158="4+",AND(ISNUMBER(M158),M158&gt;=2))),SUMPRODUCT(($A$5:A158&lt;&gt;"")*(($M$5:M158="4+")+(ISNUMBER($M$5:M158)*($M$5:M158&gt;=2)))),"")</f>
        <v/>
      </c>
      <c r="AC158" s="34" t="str">
        <f aca="false">IF(AND(A158&lt;&gt;"",OR(L158="",L158="Undecided",K158="")),SUMPRODUCT(($A$5:A158&lt;&gt;"")*(($L$5:L158="")+($L$5:L158="Undecided")+($K$5:K158=""))&gt;0*1),"")</f>
        <v/>
      </c>
    </row>
    <row r="159" customFormat="false" ht="15" hidden="false" customHeight="false" outlineLevel="0" collapsed="false">
      <c r="A159" s="29"/>
      <c r="B159" s="30"/>
      <c r="C159" s="30"/>
      <c r="D159" s="30"/>
      <c r="E159" s="30"/>
      <c r="F159" s="30"/>
      <c r="G159" s="30"/>
      <c r="H159" s="30"/>
      <c r="I159" s="30"/>
      <c r="J159" s="30"/>
      <c r="K159" s="30"/>
      <c r="L159" s="30"/>
      <c r="M159" s="20" t="str">
        <f aca="false">IF(A159="","",IF(V159="",0,IF(W159="",1,IF(X159="",2,IF(Y159="",3,"4+")))))</f>
        <v/>
      </c>
      <c r="N159" s="20" t="str">
        <f aca="false">IF(A159="","",A159&amp;IF(V159="",""," &lt;- "&amp;V159&amp;IF(W159="",""," &lt;- "&amp;W159&amp;IF(X159="",""," &lt;- "&amp;X159&amp;IF(Y159="",""," &lt;- "&amp;Y159))))&amp;IF(ISNUMBER(FIND(",",D159))," (+ other parents)",""))</f>
        <v/>
      </c>
      <c r="O159" s="20" t="str">
        <f aca="false">IF(A159="","",COUNTIF(Fields!$D:$D,A159))</f>
        <v/>
      </c>
      <c r="P159" s="20" t="str">
        <f aca="false">IF(A159="","",SUMIF(Fields!$D:$D,A159,Fields!$O:$O))</f>
        <v/>
      </c>
      <c r="Q159" s="30"/>
      <c r="R159" s="30"/>
      <c r="S159" s="30"/>
      <c r="T159" s="30"/>
      <c r="U159" s="30"/>
      <c r="V159" s="34" t="str">
        <f aca="false">IF(A159="","",IF(IFERROR(INDEX($D:$D,MATCH(A159,$A:$A,0)),"")="","",TRIM(IF(ISNUMBER(FIND(",",IFERROR(INDEX($D:$D,MATCH(A159,$A:$A,0)),""))),LEFT(IFERROR(INDEX($D:$D,MATCH(A159,$A:$A,0)),""),FIND(",",IFERROR(INDEX($D:$D,MATCH(A159,$A:$A,0)),""))-1),IFERROR(INDEX($D:$D,MATCH(A159,$A:$A,0)),"")))))</f>
        <v/>
      </c>
      <c r="W159" s="34" t="str">
        <f aca="false">IF(V159="","",IF(IFERROR(INDEX($D:$D,MATCH(V159,$A:$A,0)),"")="","",TRIM(IF(ISNUMBER(FIND(",",IFERROR(INDEX($D:$D,MATCH(V159,$A:$A,0)),""))),LEFT(IFERROR(INDEX($D:$D,MATCH(V159,$A:$A,0)),""),FIND(",",IFERROR(INDEX($D:$D,MATCH(V159,$A:$A,0)),""))-1),IFERROR(INDEX($D:$D,MATCH(V159,$A:$A,0)),"")))))</f>
        <v/>
      </c>
      <c r="X159" s="34" t="str">
        <f aca="false">IF(W159="","",IF(IFERROR(INDEX($D:$D,MATCH(W159,$A:$A,0)),"")="","",TRIM(IF(ISNUMBER(FIND(",",IFERROR(INDEX($D:$D,MATCH(W159,$A:$A,0)),""))),LEFT(IFERROR(INDEX($D:$D,MATCH(W159,$A:$A,0)),""),FIND(",",IFERROR(INDEX($D:$D,MATCH(W159,$A:$A,0)),""))-1),IFERROR(INDEX($D:$D,MATCH(W159,$A:$A,0)),"")))))</f>
        <v/>
      </c>
      <c r="Y159" s="34" t="str">
        <f aca="false">IF(X159="","",IF(IFERROR(INDEX($D:$D,MATCH(X159,$A:$A,0)),"")="","",TRIM(IF(ISNUMBER(FIND(",",IFERROR(INDEX($D:$D,MATCH(X159,$A:$A,0)),""))),LEFT(IFERROR(INDEX($D:$D,MATCH(X159,$A:$A,0)),""),FIND(",",IFERROR(INDEX($D:$D,MATCH(X159,$A:$A,0)),""))-1),IFERROR(INDEX($D:$D,MATCH(X159,$A:$A,0)),"")))))</f>
        <v/>
      </c>
      <c r="Z159" s="34" t="str">
        <f aca="false">IF(AND(A159&lt;&gt;"",L159="Retire"),COUNTIF($L$5:L159,"Retire"),"")</f>
        <v/>
      </c>
      <c r="AA159" s="34" t="str">
        <f aca="false">IF(AND(A159&lt;&gt;"",L159="Build"),COUNTIF($L$5:L159,"Build"),"")</f>
        <v/>
      </c>
      <c r="AB159" s="34" t="str">
        <f aca="false">IF(AND(A159&lt;&gt;"",OR(M159="4+",AND(ISNUMBER(M159),M159&gt;=2))),SUMPRODUCT(($A$5:A159&lt;&gt;"")*(($M$5:M159="4+")+(ISNUMBER($M$5:M159)*($M$5:M159&gt;=2)))),"")</f>
        <v/>
      </c>
      <c r="AC159" s="34" t="str">
        <f aca="false">IF(AND(A159&lt;&gt;"",OR(L159="",L159="Undecided",K159="")),SUMPRODUCT(($A$5:A159&lt;&gt;"")*(($L$5:L159="")+($L$5:L159="Undecided")+($K$5:K159=""))&gt;0*1),"")</f>
        <v/>
      </c>
    </row>
    <row r="160" customFormat="false" ht="15" hidden="false" customHeight="false" outlineLevel="0" collapsed="false">
      <c r="A160" s="29"/>
      <c r="B160" s="30"/>
      <c r="C160" s="30"/>
      <c r="D160" s="30"/>
      <c r="E160" s="30"/>
      <c r="F160" s="30"/>
      <c r="G160" s="30"/>
      <c r="H160" s="30"/>
      <c r="I160" s="30"/>
      <c r="J160" s="30"/>
      <c r="K160" s="30"/>
      <c r="L160" s="30"/>
      <c r="M160" s="20" t="str">
        <f aca="false">IF(A160="","",IF(V160="",0,IF(W160="",1,IF(X160="",2,IF(Y160="",3,"4+")))))</f>
        <v/>
      </c>
      <c r="N160" s="20" t="str">
        <f aca="false">IF(A160="","",A160&amp;IF(V160="",""," &lt;- "&amp;V160&amp;IF(W160="",""," &lt;- "&amp;W160&amp;IF(X160="",""," &lt;- "&amp;X160&amp;IF(Y160="",""," &lt;- "&amp;Y160))))&amp;IF(ISNUMBER(FIND(",",D160))," (+ other parents)",""))</f>
        <v/>
      </c>
      <c r="O160" s="20" t="str">
        <f aca="false">IF(A160="","",COUNTIF(Fields!$D:$D,A160))</f>
        <v/>
      </c>
      <c r="P160" s="20" t="str">
        <f aca="false">IF(A160="","",SUMIF(Fields!$D:$D,A160,Fields!$O:$O))</f>
        <v/>
      </c>
      <c r="Q160" s="30"/>
      <c r="R160" s="30"/>
      <c r="S160" s="30"/>
      <c r="T160" s="30"/>
      <c r="U160" s="30"/>
      <c r="V160" s="34" t="str">
        <f aca="false">IF(A160="","",IF(IFERROR(INDEX($D:$D,MATCH(A160,$A:$A,0)),"")="","",TRIM(IF(ISNUMBER(FIND(",",IFERROR(INDEX($D:$D,MATCH(A160,$A:$A,0)),""))),LEFT(IFERROR(INDEX($D:$D,MATCH(A160,$A:$A,0)),""),FIND(",",IFERROR(INDEX($D:$D,MATCH(A160,$A:$A,0)),""))-1),IFERROR(INDEX($D:$D,MATCH(A160,$A:$A,0)),"")))))</f>
        <v/>
      </c>
      <c r="W160" s="34" t="str">
        <f aca="false">IF(V160="","",IF(IFERROR(INDEX($D:$D,MATCH(V160,$A:$A,0)),"")="","",TRIM(IF(ISNUMBER(FIND(",",IFERROR(INDEX($D:$D,MATCH(V160,$A:$A,0)),""))),LEFT(IFERROR(INDEX($D:$D,MATCH(V160,$A:$A,0)),""),FIND(",",IFERROR(INDEX($D:$D,MATCH(V160,$A:$A,0)),""))-1),IFERROR(INDEX($D:$D,MATCH(V160,$A:$A,0)),"")))))</f>
        <v/>
      </c>
      <c r="X160" s="34" t="str">
        <f aca="false">IF(W160="","",IF(IFERROR(INDEX($D:$D,MATCH(W160,$A:$A,0)),"")="","",TRIM(IF(ISNUMBER(FIND(",",IFERROR(INDEX($D:$D,MATCH(W160,$A:$A,0)),""))),LEFT(IFERROR(INDEX($D:$D,MATCH(W160,$A:$A,0)),""),FIND(",",IFERROR(INDEX($D:$D,MATCH(W160,$A:$A,0)),""))-1),IFERROR(INDEX($D:$D,MATCH(W160,$A:$A,0)),"")))))</f>
        <v/>
      </c>
      <c r="Y160" s="34" t="str">
        <f aca="false">IF(X160="","",IF(IFERROR(INDEX($D:$D,MATCH(X160,$A:$A,0)),"")="","",TRIM(IF(ISNUMBER(FIND(",",IFERROR(INDEX($D:$D,MATCH(X160,$A:$A,0)),""))),LEFT(IFERROR(INDEX($D:$D,MATCH(X160,$A:$A,0)),""),FIND(",",IFERROR(INDEX($D:$D,MATCH(X160,$A:$A,0)),""))-1),IFERROR(INDEX($D:$D,MATCH(X160,$A:$A,0)),"")))))</f>
        <v/>
      </c>
      <c r="Z160" s="34" t="str">
        <f aca="false">IF(AND(A160&lt;&gt;"",L160="Retire"),COUNTIF($L$5:L160,"Retire"),"")</f>
        <v/>
      </c>
      <c r="AA160" s="34" t="str">
        <f aca="false">IF(AND(A160&lt;&gt;"",L160="Build"),COUNTIF($L$5:L160,"Build"),"")</f>
        <v/>
      </c>
      <c r="AB160" s="34" t="str">
        <f aca="false">IF(AND(A160&lt;&gt;"",OR(M160="4+",AND(ISNUMBER(M160),M160&gt;=2))),SUMPRODUCT(($A$5:A160&lt;&gt;"")*(($M$5:M160="4+")+(ISNUMBER($M$5:M160)*($M$5:M160&gt;=2)))),"")</f>
        <v/>
      </c>
      <c r="AC160" s="34" t="str">
        <f aca="false">IF(AND(A160&lt;&gt;"",OR(L160="",L160="Undecided",K160="")),SUMPRODUCT(($A$5:A160&lt;&gt;"")*(($L$5:L160="")+($L$5:L160="Undecided")+($K$5:K160=""))&gt;0*1),"")</f>
        <v/>
      </c>
    </row>
    <row r="161" customFormat="false" ht="15" hidden="false" customHeight="false" outlineLevel="0" collapsed="false">
      <c r="A161" s="29"/>
      <c r="B161" s="30"/>
      <c r="C161" s="30"/>
      <c r="D161" s="30"/>
      <c r="E161" s="30"/>
      <c r="F161" s="30"/>
      <c r="G161" s="30"/>
      <c r="H161" s="30"/>
      <c r="I161" s="30"/>
      <c r="J161" s="30"/>
      <c r="K161" s="30"/>
      <c r="L161" s="30"/>
      <c r="M161" s="20" t="str">
        <f aca="false">IF(A161="","",IF(V161="",0,IF(W161="",1,IF(X161="",2,IF(Y161="",3,"4+")))))</f>
        <v/>
      </c>
      <c r="N161" s="20" t="str">
        <f aca="false">IF(A161="","",A161&amp;IF(V161="",""," &lt;- "&amp;V161&amp;IF(W161="",""," &lt;- "&amp;W161&amp;IF(X161="",""," &lt;- "&amp;X161&amp;IF(Y161="",""," &lt;- "&amp;Y161))))&amp;IF(ISNUMBER(FIND(",",D161))," (+ other parents)",""))</f>
        <v/>
      </c>
      <c r="O161" s="20" t="str">
        <f aca="false">IF(A161="","",COUNTIF(Fields!$D:$D,A161))</f>
        <v/>
      </c>
      <c r="P161" s="20" t="str">
        <f aca="false">IF(A161="","",SUMIF(Fields!$D:$D,A161,Fields!$O:$O))</f>
        <v/>
      </c>
      <c r="Q161" s="30"/>
      <c r="R161" s="30"/>
      <c r="S161" s="30"/>
      <c r="T161" s="30"/>
      <c r="U161" s="30"/>
      <c r="V161" s="34" t="str">
        <f aca="false">IF(A161="","",IF(IFERROR(INDEX($D:$D,MATCH(A161,$A:$A,0)),"")="","",TRIM(IF(ISNUMBER(FIND(",",IFERROR(INDEX($D:$D,MATCH(A161,$A:$A,0)),""))),LEFT(IFERROR(INDEX($D:$D,MATCH(A161,$A:$A,0)),""),FIND(",",IFERROR(INDEX($D:$D,MATCH(A161,$A:$A,0)),""))-1),IFERROR(INDEX($D:$D,MATCH(A161,$A:$A,0)),"")))))</f>
        <v/>
      </c>
      <c r="W161" s="34" t="str">
        <f aca="false">IF(V161="","",IF(IFERROR(INDEX($D:$D,MATCH(V161,$A:$A,0)),"")="","",TRIM(IF(ISNUMBER(FIND(",",IFERROR(INDEX($D:$D,MATCH(V161,$A:$A,0)),""))),LEFT(IFERROR(INDEX($D:$D,MATCH(V161,$A:$A,0)),""),FIND(",",IFERROR(INDEX($D:$D,MATCH(V161,$A:$A,0)),""))-1),IFERROR(INDEX($D:$D,MATCH(V161,$A:$A,0)),"")))))</f>
        <v/>
      </c>
      <c r="X161" s="34" t="str">
        <f aca="false">IF(W161="","",IF(IFERROR(INDEX($D:$D,MATCH(W161,$A:$A,0)),"")="","",TRIM(IF(ISNUMBER(FIND(",",IFERROR(INDEX($D:$D,MATCH(W161,$A:$A,0)),""))),LEFT(IFERROR(INDEX($D:$D,MATCH(W161,$A:$A,0)),""),FIND(",",IFERROR(INDEX($D:$D,MATCH(W161,$A:$A,0)),""))-1),IFERROR(INDEX($D:$D,MATCH(W161,$A:$A,0)),"")))))</f>
        <v/>
      </c>
      <c r="Y161" s="34" t="str">
        <f aca="false">IF(X161="","",IF(IFERROR(INDEX($D:$D,MATCH(X161,$A:$A,0)),"")="","",TRIM(IF(ISNUMBER(FIND(",",IFERROR(INDEX($D:$D,MATCH(X161,$A:$A,0)),""))),LEFT(IFERROR(INDEX($D:$D,MATCH(X161,$A:$A,0)),""),FIND(",",IFERROR(INDEX($D:$D,MATCH(X161,$A:$A,0)),""))-1),IFERROR(INDEX($D:$D,MATCH(X161,$A:$A,0)),"")))))</f>
        <v/>
      </c>
      <c r="Z161" s="34" t="str">
        <f aca="false">IF(AND(A161&lt;&gt;"",L161="Retire"),COUNTIF($L$5:L161,"Retire"),"")</f>
        <v/>
      </c>
      <c r="AA161" s="34" t="str">
        <f aca="false">IF(AND(A161&lt;&gt;"",L161="Build"),COUNTIF($L$5:L161,"Build"),"")</f>
        <v/>
      </c>
      <c r="AB161" s="34" t="str">
        <f aca="false">IF(AND(A161&lt;&gt;"",OR(M161="4+",AND(ISNUMBER(M161),M161&gt;=2))),SUMPRODUCT(($A$5:A161&lt;&gt;"")*(($M$5:M161="4+")+(ISNUMBER($M$5:M161)*($M$5:M161&gt;=2)))),"")</f>
        <v/>
      </c>
      <c r="AC161" s="34" t="str">
        <f aca="false">IF(AND(A161&lt;&gt;"",OR(L161="",L161="Undecided",K161="")),SUMPRODUCT(($A$5:A161&lt;&gt;"")*(($L$5:L161="")+($L$5:L161="Undecided")+($K$5:K161=""))&gt;0*1),"")</f>
        <v/>
      </c>
    </row>
    <row r="162" customFormat="false" ht="15" hidden="false" customHeight="false" outlineLevel="0" collapsed="false">
      <c r="A162" s="29"/>
      <c r="B162" s="30"/>
      <c r="C162" s="30"/>
      <c r="D162" s="30"/>
      <c r="E162" s="30"/>
      <c r="F162" s="30"/>
      <c r="G162" s="30"/>
      <c r="H162" s="30"/>
      <c r="I162" s="30"/>
      <c r="J162" s="30"/>
      <c r="K162" s="30"/>
      <c r="L162" s="30"/>
      <c r="M162" s="20" t="str">
        <f aca="false">IF(A162="","",IF(V162="",0,IF(W162="",1,IF(X162="",2,IF(Y162="",3,"4+")))))</f>
        <v/>
      </c>
      <c r="N162" s="20" t="str">
        <f aca="false">IF(A162="","",A162&amp;IF(V162="",""," &lt;- "&amp;V162&amp;IF(W162="",""," &lt;- "&amp;W162&amp;IF(X162="",""," &lt;- "&amp;X162&amp;IF(Y162="",""," &lt;- "&amp;Y162))))&amp;IF(ISNUMBER(FIND(",",D162))," (+ other parents)",""))</f>
        <v/>
      </c>
      <c r="O162" s="20" t="str">
        <f aca="false">IF(A162="","",COUNTIF(Fields!$D:$D,A162))</f>
        <v/>
      </c>
      <c r="P162" s="20" t="str">
        <f aca="false">IF(A162="","",SUMIF(Fields!$D:$D,A162,Fields!$O:$O))</f>
        <v/>
      </c>
      <c r="Q162" s="30"/>
      <c r="R162" s="30"/>
      <c r="S162" s="30"/>
      <c r="T162" s="30"/>
      <c r="U162" s="30"/>
      <c r="V162" s="34" t="str">
        <f aca="false">IF(A162="","",IF(IFERROR(INDEX($D:$D,MATCH(A162,$A:$A,0)),"")="","",TRIM(IF(ISNUMBER(FIND(",",IFERROR(INDEX($D:$D,MATCH(A162,$A:$A,0)),""))),LEFT(IFERROR(INDEX($D:$D,MATCH(A162,$A:$A,0)),""),FIND(",",IFERROR(INDEX($D:$D,MATCH(A162,$A:$A,0)),""))-1),IFERROR(INDEX($D:$D,MATCH(A162,$A:$A,0)),"")))))</f>
        <v/>
      </c>
      <c r="W162" s="34" t="str">
        <f aca="false">IF(V162="","",IF(IFERROR(INDEX($D:$D,MATCH(V162,$A:$A,0)),"")="","",TRIM(IF(ISNUMBER(FIND(",",IFERROR(INDEX($D:$D,MATCH(V162,$A:$A,0)),""))),LEFT(IFERROR(INDEX($D:$D,MATCH(V162,$A:$A,0)),""),FIND(",",IFERROR(INDEX($D:$D,MATCH(V162,$A:$A,0)),""))-1),IFERROR(INDEX($D:$D,MATCH(V162,$A:$A,0)),"")))))</f>
        <v/>
      </c>
      <c r="X162" s="34" t="str">
        <f aca="false">IF(W162="","",IF(IFERROR(INDEX($D:$D,MATCH(W162,$A:$A,0)),"")="","",TRIM(IF(ISNUMBER(FIND(",",IFERROR(INDEX($D:$D,MATCH(W162,$A:$A,0)),""))),LEFT(IFERROR(INDEX($D:$D,MATCH(W162,$A:$A,0)),""),FIND(",",IFERROR(INDEX($D:$D,MATCH(W162,$A:$A,0)),""))-1),IFERROR(INDEX($D:$D,MATCH(W162,$A:$A,0)),"")))))</f>
        <v/>
      </c>
      <c r="Y162" s="34" t="str">
        <f aca="false">IF(X162="","",IF(IFERROR(INDEX($D:$D,MATCH(X162,$A:$A,0)),"")="","",TRIM(IF(ISNUMBER(FIND(",",IFERROR(INDEX($D:$D,MATCH(X162,$A:$A,0)),""))),LEFT(IFERROR(INDEX($D:$D,MATCH(X162,$A:$A,0)),""),FIND(",",IFERROR(INDEX($D:$D,MATCH(X162,$A:$A,0)),""))-1),IFERROR(INDEX($D:$D,MATCH(X162,$A:$A,0)),"")))))</f>
        <v/>
      </c>
      <c r="Z162" s="34" t="str">
        <f aca="false">IF(AND(A162&lt;&gt;"",L162="Retire"),COUNTIF($L$5:L162,"Retire"),"")</f>
        <v/>
      </c>
      <c r="AA162" s="34" t="str">
        <f aca="false">IF(AND(A162&lt;&gt;"",L162="Build"),COUNTIF($L$5:L162,"Build"),"")</f>
        <v/>
      </c>
      <c r="AB162" s="34" t="str">
        <f aca="false">IF(AND(A162&lt;&gt;"",OR(M162="4+",AND(ISNUMBER(M162),M162&gt;=2))),SUMPRODUCT(($A$5:A162&lt;&gt;"")*(($M$5:M162="4+")+(ISNUMBER($M$5:M162)*($M$5:M162&gt;=2)))),"")</f>
        <v/>
      </c>
      <c r="AC162" s="34" t="str">
        <f aca="false">IF(AND(A162&lt;&gt;"",OR(L162="",L162="Undecided",K162="")),SUMPRODUCT(($A$5:A162&lt;&gt;"")*(($L$5:L162="")+($L$5:L162="Undecided")+($K$5:K162=""))&gt;0*1),"")</f>
        <v/>
      </c>
    </row>
    <row r="163" customFormat="false" ht="15" hidden="false" customHeight="false" outlineLevel="0" collapsed="false">
      <c r="A163" s="29"/>
      <c r="B163" s="30"/>
      <c r="C163" s="30"/>
      <c r="D163" s="30"/>
      <c r="E163" s="30"/>
      <c r="F163" s="30"/>
      <c r="G163" s="30"/>
      <c r="H163" s="30"/>
      <c r="I163" s="30"/>
      <c r="J163" s="30"/>
      <c r="K163" s="30"/>
      <c r="L163" s="30"/>
      <c r="M163" s="20" t="str">
        <f aca="false">IF(A163="","",IF(V163="",0,IF(W163="",1,IF(X163="",2,IF(Y163="",3,"4+")))))</f>
        <v/>
      </c>
      <c r="N163" s="20" t="str">
        <f aca="false">IF(A163="","",A163&amp;IF(V163="",""," &lt;- "&amp;V163&amp;IF(W163="",""," &lt;- "&amp;W163&amp;IF(X163="",""," &lt;- "&amp;X163&amp;IF(Y163="",""," &lt;- "&amp;Y163))))&amp;IF(ISNUMBER(FIND(",",D163))," (+ other parents)",""))</f>
        <v/>
      </c>
      <c r="O163" s="20" t="str">
        <f aca="false">IF(A163="","",COUNTIF(Fields!$D:$D,A163))</f>
        <v/>
      </c>
      <c r="P163" s="20" t="str">
        <f aca="false">IF(A163="","",SUMIF(Fields!$D:$D,A163,Fields!$O:$O))</f>
        <v/>
      </c>
      <c r="Q163" s="30"/>
      <c r="R163" s="30"/>
      <c r="S163" s="30"/>
      <c r="T163" s="30"/>
      <c r="U163" s="30"/>
      <c r="V163" s="34" t="str">
        <f aca="false">IF(A163="","",IF(IFERROR(INDEX($D:$D,MATCH(A163,$A:$A,0)),"")="","",TRIM(IF(ISNUMBER(FIND(",",IFERROR(INDEX($D:$D,MATCH(A163,$A:$A,0)),""))),LEFT(IFERROR(INDEX($D:$D,MATCH(A163,$A:$A,0)),""),FIND(",",IFERROR(INDEX($D:$D,MATCH(A163,$A:$A,0)),""))-1),IFERROR(INDEX($D:$D,MATCH(A163,$A:$A,0)),"")))))</f>
        <v/>
      </c>
      <c r="W163" s="34" t="str">
        <f aca="false">IF(V163="","",IF(IFERROR(INDEX($D:$D,MATCH(V163,$A:$A,0)),"")="","",TRIM(IF(ISNUMBER(FIND(",",IFERROR(INDEX($D:$D,MATCH(V163,$A:$A,0)),""))),LEFT(IFERROR(INDEX($D:$D,MATCH(V163,$A:$A,0)),""),FIND(",",IFERROR(INDEX($D:$D,MATCH(V163,$A:$A,0)),""))-1),IFERROR(INDEX($D:$D,MATCH(V163,$A:$A,0)),"")))))</f>
        <v/>
      </c>
      <c r="X163" s="34" t="str">
        <f aca="false">IF(W163="","",IF(IFERROR(INDEX($D:$D,MATCH(W163,$A:$A,0)),"")="","",TRIM(IF(ISNUMBER(FIND(",",IFERROR(INDEX($D:$D,MATCH(W163,$A:$A,0)),""))),LEFT(IFERROR(INDEX($D:$D,MATCH(W163,$A:$A,0)),""),FIND(",",IFERROR(INDEX($D:$D,MATCH(W163,$A:$A,0)),""))-1),IFERROR(INDEX($D:$D,MATCH(W163,$A:$A,0)),"")))))</f>
        <v/>
      </c>
      <c r="Y163" s="34" t="str">
        <f aca="false">IF(X163="","",IF(IFERROR(INDEX($D:$D,MATCH(X163,$A:$A,0)),"")="","",TRIM(IF(ISNUMBER(FIND(",",IFERROR(INDEX($D:$D,MATCH(X163,$A:$A,0)),""))),LEFT(IFERROR(INDEX($D:$D,MATCH(X163,$A:$A,0)),""),FIND(",",IFERROR(INDEX($D:$D,MATCH(X163,$A:$A,0)),""))-1),IFERROR(INDEX($D:$D,MATCH(X163,$A:$A,0)),"")))))</f>
        <v/>
      </c>
      <c r="Z163" s="34" t="str">
        <f aca="false">IF(AND(A163&lt;&gt;"",L163="Retire"),COUNTIF($L$5:L163,"Retire"),"")</f>
        <v/>
      </c>
      <c r="AA163" s="34" t="str">
        <f aca="false">IF(AND(A163&lt;&gt;"",L163="Build"),COUNTIF($L$5:L163,"Build"),"")</f>
        <v/>
      </c>
      <c r="AB163" s="34" t="str">
        <f aca="false">IF(AND(A163&lt;&gt;"",OR(M163="4+",AND(ISNUMBER(M163),M163&gt;=2))),SUMPRODUCT(($A$5:A163&lt;&gt;"")*(($M$5:M163="4+")+(ISNUMBER($M$5:M163)*($M$5:M163&gt;=2)))),"")</f>
        <v/>
      </c>
      <c r="AC163" s="34" t="str">
        <f aca="false">IF(AND(A163&lt;&gt;"",OR(L163="",L163="Undecided",K163="")),SUMPRODUCT(($A$5:A163&lt;&gt;"")*(($L$5:L163="")+($L$5:L163="Undecided")+($K$5:K163=""))&gt;0*1),"")</f>
        <v/>
      </c>
    </row>
    <row r="164" customFormat="false" ht="15" hidden="false" customHeight="false" outlineLevel="0" collapsed="false">
      <c r="A164" s="29"/>
      <c r="B164" s="30"/>
      <c r="C164" s="30"/>
      <c r="D164" s="30"/>
      <c r="E164" s="30"/>
      <c r="F164" s="30"/>
      <c r="G164" s="30"/>
      <c r="H164" s="30"/>
      <c r="I164" s="30"/>
      <c r="J164" s="30"/>
      <c r="K164" s="30"/>
      <c r="L164" s="30"/>
      <c r="M164" s="20" t="str">
        <f aca="false">IF(A164="","",IF(V164="",0,IF(W164="",1,IF(X164="",2,IF(Y164="",3,"4+")))))</f>
        <v/>
      </c>
      <c r="N164" s="20" t="str">
        <f aca="false">IF(A164="","",A164&amp;IF(V164="",""," &lt;- "&amp;V164&amp;IF(W164="",""," &lt;- "&amp;W164&amp;IF(X164="",""," &lt;- "&amp;X164&amp;IF(Y164="",""," &lt;- "&amp;Y164))))&amp;IF(ISNUMBER(FIND(",",D164))," (+ other parents)",""))</f>
        <v/>
      </c>
      <c r="O164" s="20" t="str">
        <f aca="false">IF(A164="","",COUNTIF(Fields!$D:$D,A164))</f>
        <v/>
      </c>
      <c r="P164" s="20" t="str">
        <f aca="false">IF(A164="","",SUMIF(Fields!$D:$D,A164,Fields!$O:$O))</f>
        <v/>
      </c>
      <c r="Q164" s="30"/>
      <c r="R164" s="30"/>
      <c r="S164" s="30"/>
      <c r="T164" s="30"/>
      <c r="U164" s="30"/>
      <c r="V164" s="34" t="str">
        <f aca="false">IF(A164="","",IF(IFERROR(INDEX($D:$D,MATCH(A164,$A:$A,0)),"")="","",TRIM(IF(ISNUMBER(FIND(",",IFERROR(INDEX($D:$D,MATCH(A164,$A:$A,0)),""))),LEFT(IFERROR(INDEX($D:$D,MATCH(A164,$A:$A,0)),""),FIND(",",IFERROR(INDEX($D:$D,MATCH(A164,$A:$A,0)),""))-1),IFERROR(INDEX($D:$D,MATCH(A164,$A:$A,0)),"")))))</f>
        <v/>
      </c>
      <c r="W164" s="34" t="str">
        <f aca="false">IF(V164="","",IF(IFERROR(INDEX($D:$D,MATCH(V164,$A:$A,0)),"")="","",TRIM(IF(ISNUMBER(FIND(",",IFERROR(INDEX($D:$D,MATCH(V164,$A:$A,0)),""))),LEFT(IFERROR(INDEX($D:$D,MATCH(V164,$A:$A,0)),""),FIND(",",IFERROR(INDEX($D:$D,MATCH(V164,$A:$A,0)),""))-1),IFERROR(INDEX($D:$D,MATCH(V164,$A:$A,0)),"")))))</f>
        <v/>
      </c>
      <c r="X164" s="34" t="str">
        <f aca="false">IF(W164="","",IF(IFERROR(INDEX($D:$D,MATCH(W164,$A:$A,0)),"")="","",TRIM(IF(ISNUMBER(FIND(",",IFERROR(INDEX($D:$D,MATCH(W164,$A:$A,0)),""))),LEFT(IFERROR(INDEX($D:$D,MATCH(W164,$A:$A,0)),""),FIND(",",IFERROR(INDEX($D:$D,MATCH(W164,$A:$A,0)),""))-1),IFERROR(INDEX($D:$D,MATCH(W164,$A:$A,0)),"")))))</f>
        <v/>
      </c>
      <c r="Y164" s="34" t="str">
        <f aca="false">IF(X164="","",IF(IFERROR(INDEX($D:$D,MATCH(X164,$A:$A,0)),"")="","",TRIM(IF(ISNUMBER(FIND(",",IFERROR(INDEX($D:$D,MATCH(X164,$A:$A,0)),""))),LEFT(IFERROR(INDEX($D:$D,MATCH(X164,$A:$A,0)),""),FIND(",",IFERROR(INDEX($D:$D,MATCH(X164,$A:$A,0)),""))-1),IFERROR(INDEX($D:$D,MATCH(X164,$A:$A,0)),"")))))</f>
        <v/>
      </c>
      <c r="Z164" s="34" t="str">
        <f aca="false">IF(AND(A164&lt;&gt;"",L164="Retire"),COUNTIF($L$5:L164,"Retire"),"")</f>
        <v/>
      </c>
      <c r="AA164" s="34" t="str">
        <f aca="false">IF(AND(A164&lt;&gt;"",L164="Build"),COUNTIF($L$5:L164,"Build"),"")</f>
        <v/>
      </c>
      <c r="AB164" s="34" t="str">
        <f aca="false">IF(AND(A164&lt;&gt;"",OR(M164="4+",AND(ISNUMBER(M164),M164&gt;=2))),SUMPRODUCT(($A$5:A164&lt;&gt;"")*(($M$5:M164="4+")+(ISNUMBER($M$5:M164)*($M$5:M164&gt;=2)))),"")</f>
        <v/>
      </c>
      <c r="AC164" s="34" t="str">
        <f aca="false">IF(AND(A164&lt;&gt;"",OR(L164="",L164="Undecided",K164="")),SUMPRODUCT(($A$5:A164&lt;&gt;"")*(($L$5:L164="")+($L$5:L164="Undecided")+($K$5:K164=""))&gt;0*1),"")</f>
        <v/>
      </c>
    </row>
    <row r="165" customFormat="false" ht="15" hidden="false" customHeight="false" outlineLevel="0" collapsed="false">
      <c r="A165" s="29"/>
      <c r="B165" s="30"/>
      <c r="C165" s="30"/>
      <c r="D165" s="30"/>
      <c r="E165" s="30"/>
      <c r="F165" s="30"/>
      <c r="G165" s="30"/>
      <c r="H165" s="30"/>
      <c r="I165" s="30"/>
      <c r="J165" s="30"/>
      <c r="K165" s="30"/>
      <c r="L165" s="30"/>
      <c r="M165" s="20" t="str">
        <f aca="false">IF(A165="","",IF(V165="",0,IF(W165="",1,IF(X165="",2,IF(Y165="",3,"4+")))))</f>
        <v/>
      </c>
      <c r="N165" s="20" t="str">
        <f aca="false">IF(A165="","",A165&amp;IF(V165="",""," &lt;- "&amp;V165&amp;IF(W165="",""," &lt;- "&amp;W165&amp;IF(X165="",""," &lt;- "&amp;X165&amp;IF(Y165="",""," &lt;- "&amp;Y165))))&amp;IF(ISNUMBER(FIND(",",D165))," (+ other parents)",""))</f>
        <v/>
      </c>
      <c r="O165" s="20" t="str">
        <f aca="false">IF(A165="","",COUNTIF(Fields!$D:$D,A165))</f>
        <v/>
      </c>
      <c r="P165" s="20" t="str">
        <f aca="false">IF(A165="","",SUMIF(Fields!$D:$D,A165,Fields!$O:$O))</f>
        <v/>
      </c>
      <c r="Q165" s="30"/>
      <c r="R165" s="30"/>
      <c r="S165" s="30"/>
      <c r="T165" s="30"/>
      <c r="U165" s="30"/>
      <c r="V165" s="34" t="str">
        <f aca="false">IF(A165="","",IF(IFERROR(INDEX($D:$D,MATCH(A165,$A:$A,0)),"")="","",TRIM(IF(ISNUMBER(FIND(",",IFERROR(INDEX($D:$D,MATCH(A165,$A:$A,0)),""))),LEFT(IFERROR(INDEX($D:$D,MATCH(A165,$A:$A,0)),""),FIND(",",IFERROR(INDEX($D:$D,MATCH(A165,$A:$A,0)),""))-1),IFERROR(INDEX($D:$D,MATCH(A165,$A:$A,0)),"")))))</f>
        <v/>
      </c>
      <c r="W165" s="34" t="str">
        <f aca="false">IF(V165="","",IF(IFERROR(INDEX($D:$D,MATCH(V165,$A:$A,0)),"")="","",TRIM(IF(ISNUMBER(FIND(",",IFERROR(INDEX($D:$D,MATCH(V165,$A:$A,0)),""))),LEFT(IFERROR(INDEX($D:$D,MATCH(V165,$A:$A,0)),""),FIND(",",IFERROR(INDEX($D:$D,MATCH(V165,$A:$A,0)),""))-1),IFERROR(INDEX($D:$D,MATCH(V165,$A:$A,0)),"")))))</f>
        <v/>
      </c>
      <c r="X165" s="34" t="str">
        <f aca="false">IF(W165="","",IF(IFERROR(INDEX($D:$D,MATCH(W165,$A:$A,0)),"")="","",TRIM(IF(ISNUMBER(FIND(",",IFERROR(INDEX($D:$D,MATCH(W165,$A:$A,0)),""))),LEFT(IFERROR(INDEX($D:$D,MATCH(W165,$A:$A,0)),""),FIND(",",IFERROR(INDEX($D:$D,MATCH(W165,$A:$A,0)),""))-1),IFERROR(INDEX($D:$D,MATCH(W165,$A:$A,0)),"")))))</f>
        <v/>
      </c>
      <c r="Y165" s="34" t="str">
        <f aca="false">IF(X165="","",IF(IFERROR(INDEX($D:$D,MATCH(X165,$A:$A,0)),"")="","",TRIM(IF(ISNUMBER(FIND(",",IFERROR(INDEX($D:$D,MATCH(X165,$A:$A,0)),""))),LEFT(IFERROR(INDEX($D:$D,MATCH(X165,$A:$A,0)),""),FIND(",",IFERROR(INDEX($D:$D,MATCH(X165,$A:$A,0)),""))-1),IFERROR(INDEX($D:$D,MATCH(X165,$A:$A,0)),"")))))</f>
        <v/>
      </c>
      <c r="Z165" s="34" t="str">
        <f aca="false">IF(AND(A165&lt;&gt;"",L165="Retire"),COUNTIF($L$5:L165,"Retire"),"")</f>
        <v/>
      </c>
      <c r="AA165" s="34" t="str">
        <f aca="false">IF(AND(A165&lt;&gt;"",L165="Build"),COUNTIF($L$5:L165,"Build"),"")</f>
        <v/>
      </c>
      <c r="AB165" s="34" t="str">
        <f aca="false">IF(AND(A165&lt;&gt;"",OR(M165="4+",AND(ISNUMBER(M165),M165&gt;=2))),SUMPRODUCT(($A$5:A165&lt;&gt;"")*(($M$5:M165="4+")+(ISNUMBER($M$5:M165)*($M$5:M165&gt;=2)))),"")</f>
        <v/>
      </c>
      <c r="AC165" s="34" t="str">
        <f aca="false">IF(AND(A165&lt;&gt;"",OR(L165="",L165="Undecided",K165="")),SUMPRODUCT(($A$5:A165&lt;&gt;"")*(($L$5:L165="")+($L$5:L165="Undecided")+($K$5:K165=""))&gt;0*1),"")</f>
        <v/>
      </c>
    </row>
    <row r="166" customFormat="false" ht="15" hidden="false" customHeight="false" outlineLevel="0" collapsed="false">
      <c r="A166" s="29"/>
      <c r="B166" s="30"/>
      <c r="C166" s="30"/>
      <c r="D166" s="30"/>
      <c r="E166" s="30"/>
      <c r="F166" s="30"/>
      <c r="G166" s="30"/>
      <c r="H166" s="30"/>
      <c r="I166" s="30"/>
      <c r="J166" s="30"/>
      <c r="K166" s="30"/>
      <c r="L166" s="30"/>
      <c r="M166" s="20" t="str">
        <f aca="false">IF(A166="","",IF(V166="",0,IF(W166="",1,IF(X166="",2,IF(Y166="",3,"4+")))))</f>
        <v/>
      </c>
      <c r="N166" s="20" t="str">
        <f aca="false">IF(A166="","",A166&amp;IF(V166="",""," &lt;- "&amp;V166&amp;IF(W166="",""," &lt;- "&amp;W166&amp;IF(X166="",""," &lt;- "&amp;X166&amp;IF(Y166="",""," &lt;- "&amp;Y166))))&amp;IF(ISNUMBER(FIND(",",D166))," (+ other parents)",""))</f>
        <v/>
      </c>
      <c r="O166" s="20" t="str">
        <f aca="false">IF(A166="","",COUNTIF(Fields!$D:$D,A166))</f>
        <v/>
      </c>
      <c r="P166" s="20" t="str">
        <f aca="false">IF(A166="","",SUMIF(Fields!$D:$D,A166,Fields!$O:$O))</f>
        <v/>
      </c>
      <c r="Q166" s="30"/>
      <c r="R166" s="30"/>
      <c r="S166" s="30"/>
      <c r="T166" s="30"/>
      <c r="U166" s="30"/>
      <c r="V166" s="34" t="str">
        <f aca="false">IF(A166="","",IF(IFERROR(INDEX($D:$D,MATCH(A166,$A:$A,0)),"")="","",TRIM(IF(ISNUMBER(FIND(",",IFERROR(INDEX($D:$D,MATCH(A166,$A:$A,0)),""))),LEFT(IFERROR(INDEX($D:$D,MATCH(A166,$A:$A,0)),""),FIND(",",IFERROR(INDEX($D:$D,MATCH(A166,$A:$A,0)),""))-1),IFERROR(INDEX($D:$D,MATCH(A166,$A:$A,0)),"")))))</f>
        <v/>
      </c>
      <c r="W166" s="34" t="str">
        <f aca="false">IF(V166="","",IF(IFERROR(INDEX($D:$D,MATCH(V166,$A:$A,0)),"")="","",TRIM(IF(ISNUMBER(FIND(",",IFERROR(INDEX($D:$D,MATCH(V166,$A:$A,0)),""))),LEFT(IFERROR(INDEX($D:$D,MATCH(V166,$A:$A,0)),""),FIND(",",IFERROR(INDEX($D:$D,MATCH(V166,$A:$A,0)),""))-1),IFERROR(INDEX($D:$D,MATCH(V166,$A:$A,0)),"")))))</f>
        <v/>
      </c>
      <c r="X166" s="34" t="str">
        <f aca="false">IF(W166="","",IF(IFERROR(INDEX($D:$D,MATCH(W166,$A:$A,0)),"")="","",TRIM(IF(ISNUMBER(FIND(",",IFERROR(INDEX($D:$D,MATCH(W166,$A:$A,0)),""))),LEFT(IFERROR(INDEX($D:$D,MATCH(W166,$A:$A,0)),""),FIND(",",IFERROR(INDEX($D:$D,MATCH(W166,$A:$A,0)),""))-1),IFERROR(INDEX($D:$D,MATCH(W166,$A:$A,0)),"")))))</f>
        <v/>
      </c>
      <c r="Y166" s="34" t="str">
        <f aca="false">IF(X166="","",IF(IFERROR(INDEX($D:$D,MATCH(X166,$A:$A,0)),"")="","",TRIM(IF(ISNUMBER(FIND(",",IFERROR(INDEX($D:$D,MATCH(X166,$A:$A,0)),""))),LEFT(IFERROR(INDEX($D:$D,MATCH(X166,$A:$A,0)),""),FIND(",",IFERROR(INDEX($D:$D,MATCH(X166,$A:$A,0)),""))-1),IFERROR(INDEX($D:$D,MATCH(X166,$A:$A,0)),"")))))</f>
        <v/>
      </c>
      <c r="Z166" s="34" t="str">
        <f aca="false">IF(AND(A166&lt;&gt;"",L166="Retire"),COUNTIF($L$5:L166,"Retire"),"")</f>
        <v/>
      </c>
      <c r="AA166" s="34" t="str">
        <f aca="false">IF(AND(A166&lt;&gt;"",L166="Build"),COUNTIF($L$5:L166,"Build"),"")</f>
        <v/>
      </c>
      <c r="AB166" s="34" t="str">
        <f aca="false">IF(AND(A166&lt;&gt;"",OR(M166="4+",AND(ISNUMBER(M166),M166&gt;=2))),SUMPRODUCT(($A$5:A166&lt;&gt;"")*(($M$5:M166="4+")+(ISNUMBER($M$5:M166)*($M$5:M166&gt;=2)))),"")</f>
        <v/>
      </c>
      <c r="AC166" s="34" t="str">
        <f aca="false">IF(AND(A166&lt;&gt;"",OR(L166="",L166="Undecided",K166="")),SUMPRODUCT(($A$5:A166&lt;&gt;"")*(($L$5:L166="")+($L$5:L166="Undecided")+($K$5:K166=""))&gt;0*1),"")</f>
        <v/>
      </c>
    </row>
    <row r="167" customFormat="false" ht="15" hidden="false" customHeight="false" outlineLevel="0" collapsed="false">
      <c r="A167" s="29"/>
      <c r="B167" s="30"/>
      <c r="C167" s="30"/>
      <c r="D167" s="30"/>
      <c r="E167" s="30"/>
      <c r="F167" s="30"/>
      <c r="G167" s="30"/>
      <c r="H167" s="30"/>
      <c r="I167" s="30"/>
      <c r="J167" s="30"/>
      <c r="K167" s="30"/>
      <c r="L167" s="30"/>
      <c r="M167" s="20" t="str">
        <f aca="false">IF(A167="","",IF(V167="",0,IF(W167="",1,IF(X167="",2,IF(Y167="",3,"4+")))))</f>
        <v/>
      </c>
      <c r="N167" s="20" t="str">
        <f aca="false">IF(A167="","",A167&amp;IF(V167="",""," &lt;- "&amp;V167&amp;IF(W167="",""," &lt;- "&amp;W167&amp;IF(X167="",""," &lt;- "&amp;X167&amp;IF(Y167="",""," &lt;- "&amp;Y167))))&amp;IF(ISNUMBER(FIND(",",D167))," (+ other parents)",""))</f>
        <v/>
      </c>
      <c r="O167" s="20" t="str">
        <f aca="false">IF(A167="","",COUNTIF(Fields!$D:$D,A167))</f>
        <v/>
      </c>
      <c r="P167" s="20" t="str">
        <f aca="false">IF(A167="","",SUMIF(Fields!$D:$D,A167,Fields!$O:$O))</f>
        <v/>
      </c>
      <c r="Q167" s="30"/>
      <c r="R167" s="30"/>
      <c r="S167" s="30"/>
      <c r="T167" s="30"/>
      <c r="U167" s="30"/>
      <c r="V167" s="34" t="str">
        <f aca="false">IF(A167="","",IF(IFERROR(INDEX($D:$D,MATCH(A167,$A:$A,0)),"")="","",TRIM(IF(ISNUMBER(FIND(",",IFERROR(INDEX($D:$D,MATCH(A167,$A:$A,0)),""))),LEFT(IFERROR(INDEX($D:$D,MATCH(A167,$A:$A,0)),""),FIND(",",IFERROR(INDEX($D:$D,MATCH(A167,$A:$A,0)),""))-1),IFERROR(INDEX($D:$D,MATCH(A167,$A:$A,0)),"")))))</f>
        <v/>
      </c>
      <c r="W167" s="34" t="str">
        <f aca="false">IF(V167="","",IF(IFERROR(INDEX($D:$D,MATCH(V167,$A:$A,0)),"")="","",TRIM(IF(ISNUMBER(FIND(",",IFERROR(INDEX($D:$D,MATCH(V167,$A:$A,0)),""))),LEFT(IFERROR(INDEX($D:$D,MATCH(V167,$A:$A,0)),""),FIND(",",IFERROR(INDEX($D:$D,MATCH(V167,$A:$A,0)),""))-1),IFERROR(INDEX($D:$D,MATCH(V167,$A:$A,0)),"")))))</f>
        <v/>
      </c>
      <c r="X167" s="34" t="str">
        <f aca="false">IF(W167="","",IF(IFERROR(INDEX($D:$D,MATCH(W167,$A:$A,0)),"")="","",TRIM(IF(ISNUMBER(FIND(",",IFERROR(INDEX($D:$D,MATCH(W167,$A:$A,0)),""))),LEFT(IFERROR(INDEX($D:$D,MATCH(W167,$A:$A,0)),""),FIND(",",IFERROR(INDEX($D:$D,MATCH(W167,$A:$A,0)),""))-1),IFERROR(INDEX($D:$D,MATCH(W167,$A:$A,0)),"")))))</f>
        <v/>
      </c>
      <c r="Y167" s="34" t="str">
        <f aca="false">IF(X167="","",IF(IFERROR(INDEX($D:$D,MATCH(X167,$A:$A,0)),"")="","",TRIM(IF(ISNUMBER(FIND(",",IFERROR(INDEX($D:$D,MATCH(X167,$A:$A,0)),""))),LEFT(IFERROR(INDEX($D:$D,MATCH(X167,$A:$A,0)),""),FIND(",",IFERROR(INDEX($D:$D,MATCH(X167,$A:$A,0)),""))-1),IFERROR(INDEX($D:$D,MATCH(X167,$A:$A,0)),"")))))</f>
        <v/>
      </c>
      <c r="Z167" s="34" t="str">
        <f aca="false">IF(AND(A167&lt;&gt;"",L167="Retire"),COUNTIF($L$5:L167,"Retire"),"")</f>
        <v/>
      </c>
      <c r="AA167" s="34" t="str">
        <f aca="false">IF(AND(A167&lt;&gt;"",L167="Build"),COUNTIF($L$5:L167,"Build"),"")</f>
        <v/>
      </c>
      <c r="AB167" s="34" t="str">
        <f aca="false">IF(AND(A167&lt;&gt;"",OR(M167="4+",AND(ISNUMBER(M167),M167&gt;=2))),SUMPRODUCT(($A$5:A167&lt;&gt;"")*(($M$5:M167="4+")+(ISNUMBER($M$5:M167)*($M$5:M167&gt;=2)))),"")</f>
        <v/>
      </c>
      <c r="AC167" s="34" t="str">
        <f aca="false">IF(AND(A167&lt;&gt;"",OR(L167="",L167="Undecided",K167="")),SUMPRODUCT(($A$5:A167&lt;&gt;"")*(($L$5:L167="")+($L$5:L167="Undecided")+($K$5:K167=""))&gt;0*1),"")</f>
        <v/>
      </c>
    </row>
    <row r="168" customFormat="false" ht="15" hidden="false" customHeight="false" outlineLevel="0" collapsed="false">
      <c r="A168" s="29"/>
      <c r="B168" s="30"/>
      <c r="C168" s="30"/>
      <c r="D168" s="30"/>
      <c r="E168" s="30"/>
      <c r="F168" s="30"/>
      <c r="G168" s="30"/>
      <c r="H168" s="30"/>
      <c r="I168" s="30"/>
      <c r="J168" s="30"/>
      <c r="K168" s="30"/>
      <c r="L168" s="30"/>
      <c r="M168" s="20" t="str">
        <f aca="false">IF(A168="","",IF(V168="",0,IF(W168="",1,IF(X168="",2,IF(Y168="",3,"4+")))))</f>
        <v/>
      </c>
      <c r="N168" s="20" t="str">
        <f aca="false">IF(A168="","",A168&amp;IF(V168="",""," &lt;- "&amp;V168&amp;IF(W168="",""," &lt;- "&amp;W168&amp;IF(X168="",""," &lt;- "&amp;X168&amp;IF(Y168="",""," &lt;- "&amp;Y168))))&amp;IF(ISNUMBER(FIND(",",D168))," (+ other parents)",""))</f>
        <v/>
      </c>
      <c r="O168" s="20" t="str">
        <f aca="false">IF(A168="","",COUNTIF(Fields!$D:$D,A168))</f>
        <v/>
      </c>
      <c r="P168" s="20" t="str">
        <f aca="false">IF(A168="","",SUMIF(Fields!$D:$D,A168,Fields!$O:$O))</f>
        <v/>
      </c>
      <c r="Q168" s="30"/>
      <c r="R168" s="30"/>
      <c r="S168" s="30"/>
      <c r="T168" s="30"/>
      <c r="U168" s="30"/>
      <c r="V168" s="34" t="str">
        <f aca="false">IF(A168="","",IF(IFERROR(INDEX($D:$D,MATCH(A168,$A:$A,0)),"")="","",TRIM(IF(ISNUMBER(FIND(",",IFERROR(INDEX($D:$D,MATCH(A168,$A:$A,0)),""))),LEFT(IFERROR(INDEX($D:$D,MATCH(A168,$A:$A,0)),""),FIND(",",IFERROR(INDEX($D:$D,MATCH(A168,$A:$A,0)),""))-1),IFERROR(INDEX($D:$D,MATCH(A168,$A:$A,0)),"")))))</f>
        <v/>
      </c>
      <c r="W168" s="34" t="str">
        <f aca="false">IF(V168="","",IF(IFERROR(INDEX($D:$D,MATCH(V168,$A:$A,0)),"")="","",TRIM(IF(ISNUMBER(FIND(",",IFERROR(INDEX($D:$D,MATCH(V168,$A:$A,0)),""))),LEFT(IFERROR(INDEX($D:$D,MATCH(V168,$A:$A,0)),""),FIND(",",IFERROR(INDEX($D:$D,MATCH(V168,$A:$A,0)),""))-1),IFERROR(INDEX($D:$D,MATCH(V168,$A:$A,0)),"")))))</f>
        <v/>
      </c>
      <c r="X168" s="34" t="str">
        <f aca="false">IF(W168="","",IF(IFERROR(INDEX($D:$D,MATCH(W168,$A:$A,0)),"")="","",TRIM(IF(ISNUMBER(FIND(",",IFERROR(INDEX($D:$D,MATCH(W168,$A:$A,0)),""))),LEFT(IFERROR(INDEX($D:$D,MATCH(W168,$A:$A,0)),""),FIND(",",IFERROR(INDEX($D:$D,MATCH(W168,$A:$A,0)),""))-1),IFERROR(INDEX($D:$D,MATCH(W168,$A:$A,0)),"")))))</f>
        <v/>
      </c>
      <c r="Y168" s="34" t="str">
        <f aca="false">IF(X168="","",IF(IFERROR(INDEX($D:$D,MATCH(X168,$A:$A,0)),"")="","",TRIM(IF(ISNUMBER(FIND(",",IFERROR(INDEX($D:$D,MATCH(X168,$A:$A,0)),""))),LEFT(IFERROR(INDEX($D:$D,MATCH(X168,$A:$A,0)),""),FIND(",",IFERROR(INDEX($D:$D,MATCH(X168,$A:$A,0)),""))-1),IFERROR(INDEX($D:$D,MATCH(X168,$A:$A,0)),"")))))</f>
        <v/>
      </c>
      <c r="Z168" s="34" t="str">
        <f aca="false">IF(AND(A168&lt;&gt;"",L168="Retire"),COUNTIF($L$5:L168,"Retire"),"")</f>
        <v/>
      </c>
      <c r="AA168" s="34" t="str">
        <f aca="false">IF(AND(A168&lt;&gt;"",L168="Build"),COUNTIF($L$5:L168,"Build"),"")</f>
        <v/>
      </c>
      <c r="AB168" s="34" t="str">
        <f aca="false">IF(AND(A168&lt;&gt;"",OR(M168="4+",AND(ISNUMBER(M168),M168&gt;=2))),SUMPRODUCT(($A$5:A168&lt;&gt;"")*(($M$5:M168="4+")+(ISNUMBER($M$5:M168)*($M$5:M168&gt;=2)))),"")</f>
        <v/>
      </c>
      <c r="AC168" s="34" t="str">
        <f aca="false">IF(AND(A168&lt;&gt;"",OR(L168="",L168="Undecided",K168="")),SUMPRODUCT(($A$5:A168&lt;&gt;"")*(($L$5:L168="")+($L$5:L168="Undecided")+($K$5:K168=""))&gt;0*1),"")</f>
        <v/>
      </c>
    </row>
    <row r="169" customFormat="false" ht="15" hidden="false" customHeight="false" outlineLevel="0" collapsed="false">
      <c r="A169" s="29"/>
      <c r="B169" s="30"/>
      <c r="C169" s="30"/>
      <c r="D169" s="30"/>
      <c r="E169" s="30"/>
      <c r="F169" s="30"/>
      <c r="G169" s="30"/>
      <c r="H169" s="30"/>
      <c r="I169" s="30"/>
      <c r="J169" s="30"/>
      <c r="K169" s="30"/>
      <c r="L169" s="30"/>
      <c r="M169" s="20" t="str">
        <f aca="false">IF(A169="","",IF(V169="",0,IF(W169="",1,IF(X169="",2,IF(Y169="",3,"4+")))))</f>
        <v/>
      </c>
      <c r="N169" s="20" t="str">
        <f aca="false">IF(A169="","",A169&amp;IF(V169="",""," &lt;- "&amp;V169&amp;IF(W169="",""," &lt;- "&amp;W169&amp;IF(X169="",""," &lt;- "&amp;X169&amp;IF(Y169="",""," &lt;- "&amp;Y169))))&amp;IF(ISNUMBER(FIND(",",D169))," (+ other parents)",""))</f>
        <v/>
      </c>
      <c r="O169" s="20" t="str">
        <f aca="false">IF(A169="","",COUNTIF(Fields!$D:$D,A169))</f>
        <v/>
      </c>
      <c r="P169" s="20" t="str">
        <f aca="false">IF(A169="","",SUMIF(Fields!$D:$D,A169,Fields!$O:$O))</f>
        <v/>
      </c>
      <c r="Q169" s="30"/>
      <c r="R169" s="30"/>
      <c r="S169" s="30"/>
      <c r="T169" s="30"/>
      <c r="U169" s="30"/>
      <c r="V169" s="34" t="str">
        <f aca="false">IF(A169="","",IF(IFERROR(INDEX($D:$D,MATCH(A169,$A:$A,0)),"")="","",TRIM(IF(ISNUMBER(FIND(",",IFERROR(INDEX($D:$D,MATCH(A169,$A:$A,0)),""))),LEFT(IFERROR(INDEX($D:$D,MATCH(A169,$A:$A,0)),""),FIND(",",IFERROR(INDEX($D:$D,MATCH(A169,$A:$A,0)),""))-1),IFERROR(INDEX($D:$D,MATCH(A169,$A:$A,0)),"")))))</f>
        <v/>
      </c>
      <c r="W169" s="34" t="str">
        <f aca="false">IF(V169="","",IF(IFERROR(INDEX($D:$D,MATCH(V169,$A:$A,0)),"")="","",TRIM(IF(ISNUMBER(FIND(",",IFERROR(INDEX($D:$D,MATCH(V169,$A:$A,0)),""))),LEFT(IFERROR(INDEX($D:$D,MATCH(V169,$A:$A,0)),""),FIND(",",IFERROR(INDEX($D:$D,MATCH(V169,$A:$A,0)),""))-1),IFERROR(INDEX($D:$D,MATCH(V169,$A:$A,0)),"")))))</f>
        <v/>
      </c>
      <c r="X169" s="34" t="str">
        <f aca="false">IF(W169="","",IF(IFERROR(INDEX($D:$D,MATCH(W169,$A:$A,0)),"")="","",TRIM(IF(ISNUMBER(FIND(",",IFERROR(INDEX($D:$D,MATCH(W169,$A:$A,0)),""))),LEFT(IFERROR(INDEX($D:$D,MATCH(W169,$A:$A,0)),""),FIND(",",IFERROR(INDEX($D:$D,MATCH(W169,$A:$A,0)),""))-1),IFERROR(INDEX($D:$D,MATCH(W169,$A:$A,0)),"")))))</f>
        <v/>
      </c>
      <c r="Y169" s="34" t="str">
        <f aca="false">IF(X169="","",IF(IFERROR(INDEX($D:$D,MATCH(X169,$A:$A,0)),"")="","",TRIM(IF(ISNUMBER(FIND(",",IFERROR(INDEX($D:$D,MATCH(X169,$A:$A,0)),""))),LEFT(IFERROR(INDEX($D:$D,MATCH(X169,$A:$A,0)),""),FIND(",",IFERROR(INDEX($D:$D,MATCH(X169,$A:$A,0)),""))-1),IFERROR(INDEX($D:$D,MATCH(X169,$A:$A,0)),"")))))</f>
        <v/>
      </c>
      <c r="Z169" s="34" t="str">
        <f aca="false">IF(AND(A169&lt;&gt;"",L169="Retire"),COUNTIF($L$5:L169,"Retire"),"")</f>
        <v/>
      </c>
      <c r="AA169" s="34" t="str">
        <f aca="false">IF(AND(A169&lt;&gt;"",L169="Build"),COUNTIF($L$5:L169,"Build"),"")</f>
        <v/>
      </c>
      <c r="AB169" s="34" t="str">
        <f aca="false">IF(AND(A169&lt;&gt;"",OR(M169="4+",AND(ISNUMBER(M169),M169&gt;=2))),SUMPRODUCT(($A$5:A169&lt;&gt;"")*(($M$5:M169="4+")+(ISNUMBER($M$5:M169)*($M$5:M169&gt;=2)))),"")</f>
        <v/>
      </c>
      <c r="AC169" s="34" t="str">
        <f aca="false">IF(AND(A169&lt;&gt;"",OR(L169="",L169="Undecided",K169="")),SUMPRODUCT(($A$5:A169&lt;&gt;"")*(($L$5:L169="")+($L$5:L169="Undecided")+($K$5:K169=""))&gt;0*1),"")</f>
        <v/>
      </c>
    </row>
    <row r="170" customFormat="false" ht="15" hidden="false" customHeight="false" outlineLevel="0" collapsed="false">
      <c r="A170" s="29"/>
      <c r="B170" s="30"/>
      <c r="C170" s="30"/>
      <c r="D170" s="30"/>
      <c r="E170" s="30"/>
      <c r="F170" s="30"/>
      <c r="G170" s="30"/>
      <c r="H170" s="30"/>
      <c r="I170" s="30"/>
      <c r="J170" s="30"/>
      <c r="K170" s="30"/>
      <c r="L170" s="30"/>
      <c r="M170" s="20" t="str">
        <f aca="false">IF(A170="","",IF(V170="",0,IF(W170="",1,IF(X170="",2,IF(Y170="",3,"4+")))))</f>
        <v/>
      </c>
      <c r="N170" s="20" t="str">
        <f aca="false">IF(A170="","",A170&amp;IF(V170="",""," &lt;- "&amp;V170&amp;IF(W170="",""," &lt;- "&amp;W170&amp;IF(X170="",""," &lt;- "&amp;X170&amp;IF(Y170="",""," &lt;- "&amp;Y170))))&amp;IF(ISNUMBER(FIND(",",D170))," (+ other parents)",""))</f>
        <v/>
      </c>
      <c r="O170" s="20" t="str">
        <f aca="false">IF(A170="","",COUNTIF(Fields!$D:$D,A170))</f>
        <v/>
      </c>
      <c r="P170" s="20" t="str">
        <f aca="false">IF(A170="","",SUMIF(Fields!$D:$D,A170,Fields!$O:$O))</f>
        <v/>
      </c>
      <c r="Q170" s="30"/>
      <c r="R170" s="30"/>
      <c r="S170" s="30"/>
      <c r="T170" s="30"/>
      <c r="U170" s="30"/>
      <c r="V170" s="34" t="str">
        <f aca="false">IF(A170="","",IF(IFERROR(INDEX($D:$D,MATCH(A170,$A:$A,0)),"")="","",TRIM(IF(ISNUMBER(FIND(",",IFERROR(INDEX($D:$D,MATCH(A170,$A:$A,0)),""))),LEFT(IFERROR(INDEX($D:$D,MATCH(A170,$A:$A,0)),""),FIND(",",IFERROR(INDEX($D:$D,MATCH(A170,$A:$A,0)),""))-1),IFERROR(INDEX($D:$D,MATCH(A170,$A:$A,0)),"")))))</f>
        <v/>
      </c>
      <c r="W170" s="34" t="str">
        <f aca="false">IF(V170="","",IF(IFERROR(INDEX($D:$D,MATCH(V170,$A:$A,0)),"")="","",TRIM(IF(ISNUMBER(FIND(",",IFERROR(INDEX($D:$D,MATCH(V170,$A:$A,0)),""))),LEFT(IFERROR(INDEX($D:$D,MATCH(V170,$A:$A,0)),""),FIND(",",IFERROR(INDEX($D:$D,MATCH(V170,$A:$A,0)),""))-1),IFERROR(INDEX($D:$D,MATCH(V170,$A:$A,0)),"")))))</f>
        <v/>
      </c>
      <c r="X170" s="34" t="str">
        <f aca="false">IF(W170="","",IF(IFERROR(INDEX($D:$D,MATCH(W170,$A:$A,0)),"")="","",TRIM(IF(ISNUMBER(FIND(",",IFERROR(INDEX($D:$D,MATCH(W170,$A:$A,0)),""))),LEFT(IFERROR(INDEX($D:$D,MATCH(W170,$A:$A,0)),""),FIND(",",IFERROR(INDEX($D:$D,MATCH(W170,$A:$A,0)),""))-1),IFERROR(INDEX($D:$D,MATCH(W170,$A:$A,0)),"")))))</f>
        <v/>
      </c>
      <c r="Y170" s="34" t="str">
        <f aca="false">IF(X170="","",IF(IFERROR(INDEX($D:$D,MATCH(X170,$A:$A,0)),"")="","",TRIM(IF(ISNUMBER(FIND(",",IFERROR(INDEX($D:$D,MATCH(X170,$A:$A,0)),""))),LEFT(IFERROR(INDEX($D:$D,MATCH(X170,$A:$A,0)),""),FIND(",",IFERROR(INDEX($D:$D,MATCH(X170,$A:$A,0)),""))-1),IFERROR(INDEX($D:$D,MATCH(X170,$A:$A,0)),"")))))</f>
        <v/>
      </c>
      <c r="Z170" s="34" t="str">
        <f aca="false">IF(AND(A170&lt;&gt;"",L170="Retire"),COUNTIF($L$5:L170,"Retire"),"")</f>
        <v/>
      </c>
      <c r="AA170" s="34" t="str">
        <f aca="false">IF(AND(A170&lt;&gt;"",L170="Build"),COUNTIF($L$5:L170,"Build"),"")</f>
        <v/>
      </c>
      <c r="AB170" s="34" t="str">
        <f aca="false">IF(AND(A170&lt;&gt;"",OR(M170="4+",AND(ISNUMBER(M170),M170&gt;=2))),SUMPRODUCT(($A$5:A170&lt;&gt;"")*(($M$5:M170="4+")+(ISNUMBER($M$5:M170)*($M$5:M170&gt;=2)))),"")</f>
        <v/>
      </c>
      <c r="AC170" s="34" t="str">
        <f aca="false">IF(AND(A170&lt;&gt;"",OR(L170="",L170="Undecided",K170="")),SUMPRODUCT(($A$5:A170&lt;&gt;"")*(($L$5:L170="")+($L$5:L170="Undecided")+($K$5:K170=""))&gt;0*1),"")</f>
        <v/>
      </c>
    </row>
    <row r="171" customFormat="false" ht="15" hidden="false" customHeight="false" outlineLevel="0" collapsed="false">
      <c r="A171" s="29"/>
      <c r="B171" s="30"/>
      <c r="C171" s="30"/>
      <c r="D171" s="30"/>
      <c r="E171" s="30"/>
      <c r="F171" s="30"/>
      <c r="G171" s="30"/>
      <c r="H171" s="30"/>
      <c r="I171" s="30"/>
      <c r="J171" s="30"/>
      <c r="K171" s="30"/>
      <c r="L171" s="30"/>
      <c r="M171" s="20" t="str">
        <f aca="false">IF(A171="","",IF(V171="",0,IF(W171="",1,IF(X171="",2,IF(Y171="",3,"4+")))))</f>
        <v/>
      </c>
      <c r="N171" s="20" t="str">
        <f aca="false">IF(A171="","",A171&amp;IF(V171="",""," &lt;- "&amp;V171&amp;IF(W171="",""," &lt;- "&amp;W171&amp;IF(X171="",""," &lt;- "&amp;X171&amp;IF(Y171="",""," &lt;- "&amp;Y171))))&amp;IF(ISNUMBER(FIND(",",D171))," (+ other parents)",""))</f>
        <v/>
      </c>
      <c r="O171" s="20" t="str">
        <f aca="false">IF(A171="","",COUNTIF(Fields!$D:$D,A171))</f>
        <v/>
      </c>
      <c r="P171" s="20" t="str">
        <f aca="false">IF(A171="","",SUMIF(Fields!$D:$D,A171,Fields!$O:$O))</f>
        <v/>
      </c>
      <c r="Q171" s="30"/>
      <c r="R171" s="30"/>
      <c r="S171" s="30"/>
      <c r="T171" s="30"/>
      <c r="U171" s="30"/>
      <c r="V171" s="34" t="str">
        <f aca="false">IF(A171="","",IF(IFERROR(INDEX($D:$D,MATCH(A171,$A:$A,0)),"")="","",TRIM(IF(ISNUMBER(FIND(",",IFERROR(INDEX($D:$D,MATCH(A171,$A:$A,0)),""))),LEFT(IFERROR(INDEX($D:$D,MATCH(A171,$A:$A,0)),""),FIND(",",IFERROR(INDEX($D:$D,MATCH(A171,$A:$A,0)),""))-1),IFERROR(INDEX($D:$D,MATCH(A171,$A:$A,0)),"")))))</f>
        <v/>
      </c>
      <c r="W171" s="34" t="str">
        <f aca="false">IF(V171="","",IF(IFERROR(INDEX($D:$D,MATCH(V171,$A:$A,0)),"")="","",TRIM(IF(ISNUMBER(FIND(",",IFERROR(INDEX($D:$D,MATCH(V171,$A:$A,0)),""))),LEFT(IFERROR(INDEX($D:$D,MATCH(V171,$A:$A,0)),""),FIND(",",IFERROR(INDEX($D:$D,MATCH(V171,$A:$A,0)),""))-1),IFERROR(INDEX($D:$D,MATCH(V171,$A:$A,0)),"")))))</f>
        <v/>
      </c>
      <c r="X171" s="34" t="str">
        <f aca="false">IF(W171="","",IF(IFERROR(INDEX($D:$D,MATCH(W171,$A:$A,0)),"")="","",TRIM(IF(ISNUMBER(FIND(",",IFERROR(INDEX($D:$D,MATCH(W171,$A:$A,0)),""))),LEFT(IFERROR(INDEX($D:$D,MATCH(W171,$A:$A,0)),""),FIND(",",IFERROR(INDEX($D:$D,MATCH(W171,$A:$A,0)),""))-1),IFERROR(INDEX($D:$D,MATCH(W171,$A:$A,0)),"")))))</f>
        <v/>
      </c>
      <c r="Y171" s="34" t="str">
        <f aca="false">IF(X171="","",IF(IFERROR(INDEX($D:$D,MATCH(X171,$A:$A,0)),"")="","",TRIM(IF(ISNUMBER(FIND(",",IFERROR(INDEX($D:$D,MATCH(X171,$A:$A,0)),""))),LEFT(IFERROR(INDEX($D:$D,MATCH(X171,$A:$A,0)),""),FIND(",",IFERROR(INDEX($D:$D,MATCH(X171,$A:$A,0)),""))-1),IFERROR(INDEX($D:$D,MATCH(X171,$A:$A,0)),"")))))</f>
        <v/>
      </c>
      <c r="Z171" s="34" t="str">
        <f aca="false">IF(AND(A171&lt;&gt;"",L171="Retire"),COUNTIF($L$5:L171,"Retire"),"")</f>
        <v/>
      </c>
      <c r="AA171" s="34" t="str">
        <f aca="false">IF(AND(A171&lt;&gt;"",L171="Build"),COUNTIF($L$5:L171,"Build"),"")</f>
        <v/>
      </c>
      <c r="AB171" s="34" t="str">
        <f aca="false">IF(AND(A171&lt;&gt;"",OR(M171="4+",AND(ISNUMBER(M171),M171&gt;=2))),SUMPRODUCT(($A$5:A171&lt;&gt;"")*(($M$5:M171="4+")+(ISNUMBER($M$5:M171)*($M$5:M171&gt;=2)))),"")</f>
        <v/>
      </c>
      <c r="AC171" s="34" t="str">
        <f aca="false">IF(AND(A171&lt;&gt;"",OR(L171="",L171="Undecided",K171="")),SUMPRODUCT(($A$5:A171&lt;&gt;"")*(($L$5:L171="")+($L$5:L171="Undecided")+($K$5:K171=""))&gt;0*1),"")</f>
        <v/>
      </c>
    </row>
    <row r="172" customFormat="false" ht="15" hidden="false" customHeight="false" outlineLevel="0" collapsed="false">
      <c r="A172" s="29"/>
      <c r="B172" s="30"/>
      <c r="C172" s="30"/>
      <c r="D172" s="30"/>
      <c r="E172" s="30"/>
      <c r="F172" s="30"/>
      <c r="G172" s="30"/>
      <c r="H172" s="30"/>
      <c r="I172" s="30"/>
      <c r="J172" s="30"/>
      <c r="K172" s="30"/>
      <c r="L172" s="30"/>
      <c r="M172" s="20" t="str">
        <f aca="false">IF(A172="","",IF(V172="",0,IF(W172="",1,IF(X172="",2,IF(Y172="",3,"4+")))))</f>
        <v/>
      </c>
      <c r="N172" s="20" t="str">
        <f aca="false">IF(A172="","",A172&amp;IF(V172="",""," &lt;- "&amp;V172&amp;IF(W172="",""," &lt;- "&amp;W172&amp;IF(X172="",""," &lt;- "&amp;X172&amp;IF(Y172="",""," &lt;- "&amp;Y172))))&amp;IF(ISNUMBER(FIND(",",D172))," (+ other parents)",""))</f>
        <v/>
      </c>
      <c r="O172" s="20" t="str">
        <f aca="false">IF(A172="","",COUNTIF(Fields!$D:$D,A172))</f>
        <v/>
      </c>
      <c r="P172" s="20" t="str">
        <f aca="false">IF(A172="","",SUMIF(Fields!$D:$D,A172,Fields!$O:$O))</f>
        <v/>
      </c>
      <c r="Q172" s="30"/>
      <c r="R172" s="30"/>
      <c r="S172" s="30"/>
      <c r="T172" s="30"/>
      <c r="U172" s="30"/>
      <c r="V172" s="34" t="str">
        <f aca="false">IF(A172="","",IF(IFERROR(INDEX($D:$D,MATCH(A172,$A:$A,0)),"")="","",TRIM(IF(ISNUMBER(FIND(",",IFERROR(INDEX($D:$D,MATCH(A172,$A:$A,0)),""))),LEFT(IFERROR(INDEX($D:$D,MATCH(A172,$A:$A,0)),""),FIND(",",IFERROR(INDEX($D:$D,MATCH(A172,$A:$A,0)),""))-1),IFERROR(INDEX($D:$D,MATCH(A172,$A:$A,0)),"")))))</f>
        <v/>
      </c>
      <c r="W172" s="34" t="str">
        <f aca="false">IF(V172="","",IF(IFERROR(INDEX($D:$D,MATCH(V172,$A:$A,0)),"")="","",TRIM(IF(ISNUMBER(FIND(",",IFERROR(INDEX($D:$D,MATCH(V172,$A:$A,0)),""))),LEFT(IFERROR(INDEX($D:$D,MATCH(V172,$A:$A,0)),""),FIND(",",IFERROR(INDEX($D:$D,MATCH(V172,$A:$A,0)),""))-1),IFERROR(INDEX($D:$D,MATCH(V172,$A:$A,0)),"")))))</f>
        <v/>
      </c>
      <c r="X172" s="34" t="str">
        <f aca="false">IF(W172="","",IF(IFERROR(INDEX($D:$D,MATCH(W172,$A:$A,0)),"")="","",TRIM(IF(ISNUMBER(FIND(",",IFERROR(INDEX($D:$D,MATCH(W172,$A:$A,0)),""))),LEFT(IFERROR(INDEX($D:$D,MATCH(W172,$A:$A,0)),""),FIND(",",IFERROR(INDEX($D:$D,MATCH(W172,$A:$A,0)),""))-1),IFERROR(INDEX($D:$D,MATCH(W172,$A:$A,0)),"")))))</f>
        <v/>
      </c>
      <c r="Y172" s="34" t="str">
        <f aca="false">IF(X172="","",IF(IFERROR(INDEX($D:$D,MATCH(X172,$A:$A,0)),"")="","",TRIM(IF(ISNUMBER(FIND(",",IFERROR(INDEX($D:$D,MATCH(X172,$A:$A,0)),""))),LEFT(IFERROR(INDEX($D:$D,MATCH(X172,$A:$A,0)),""),FIND(",",IFERROR(INDEX($D:$D,MATCH(X172,$A:$A,0)),""))-1),IFERROR(INDEX($D:$D,MATCH(X172,$A:$A,0)),"")))))</f>
        <v/>
      </c>
      <c r="Z172" s="34" t="str">
        <f aca="false">IF(AND(A172&lt;&gt;"",L172="Retire"),COUNTIF($L$5:L172,"Retire"),"")</f>
        <v/>
      </c>
      <c r="AA172" s="34" t="str">
        <f aca="false">IF(AND(A172&lt;&gt;"",L172="Build"),COUNTIF($L$5:L172,"Build"),"")</f>
        <v/>
      </c>
      <c r="AB172" s="34" t="str">
        <f aca="false">IF(AND(A172&lt;&gt;"",OR(M172="4+",AND(ISNUMBER(M172),M172&gt;=2))),SUMPRODUCT(($A$5:A172&lt;&gt;"")*(($M$5:M172="4+")+(ISNUMBER($M$5:M172)*($M$5:M172&gt;=2)))),"")</f>
        <v/>
      </c>
      <c r="AC172" s="34" t="str">
        <f aca="false">IF(AND(A172&lt;&gt;"",OR(L172="",L172="Undecided",K172="")),SUMPRODUCT(($A$5:A172&lt;&gt;"")*(($L$5:L172="")+($L$5:L172="Undecided")+($K$5:K172=""))&gt;0*1),"")</f>
        <v/>
      </c>
    </row>
    <row r="173" customFormat="false" ht="15" hidden="false" customHeight="false" outlineLevel="0" collapsed="false">
      <c r="A173" s="29"/>
      <c r="B173" s="30"/>
      <c r="C173" s="30"/>
      <c r="D173" s="30"/>
      <c r="E173" s="30"/>
      <c r="F173" s="30"/>
      <c r="G173" s="30"/>
      <c r="H173" s="30"/>
      <c r="I173" s="30"/>
      <c r="J173" s="30"/>
      <c r="K173" s="30"/>
      <c r="L173" s="30"/>
      <c r="M173" s="20" t="str">
        <f aca="false">IF(A173="","",IF(V173="",0,IF(W173="",1,IF(X173="",2,IF(Y173="",3,"4+")))))</f>
        <v/>
      </c>
      <c r="N173" s="20" t="str">
        <f aca="false">IF(A173="","",A173&amp;IF(V173="",""," &lt;- "&amp;V173&amp;IF(W173="",""," &lt;- "&amp;W173&amp;IF(X173="",""," &lt;- "&amp;X173&amp;IF(Y173="",""," &lt;- "&amp;Y173))))&amp;IF(ISNUMBER(FIND(",",D173))," (+ other parents)",""))</f>
        <v/>
      </c>
      <c r="O173" s="20" t="str">
        <f aca="false">IF(A173="","",COUNTIF(Fields!$D:$D,A173))</f>
        <v/>
      </c>
      <c r="P173" s="20" t="str">
        <f aca="false">IF(A173="","",SUMIF(Fields!$D:$D,A173,Fields!$O:$O))</f>
        <v/>
      </c>
      <c r="Q173" s="30"/>
      <c r="R173" s="30"/>
      <c r="S173" s="30"/>
      <c r="T173" s="30"/>
      <c r="U173" s="30"/>
      <c r="V173" s="34" t="str">
        <f aca="false">IF(A173="","",IF(IFERROR(INDEX($D:$D,MATCH(A173,$A:$A,0)),"")="","",TRIM(IF(ISNUMBER(FIND(",",IFERROR(INDEX($D:$D,MATCH(A173,$A:$A,0)),""))),LEFT(IFERROR(INDEX($D:$D,MATCH(A173,$A:$A,0)),""),FIND(",",IFERROR(INDEX($D:$D,MATCH(A173,$A:$A,0)),""))-1),IFERROR(INDEX($D:$D,MATCH(A173,$A:$A,0)),"")))))</f>
        <v/>
      </c>
      <c r="W173" s="34" t="str">
        <f aca="false">IF(V173="","",IF(IFERROR(INDEX($D:$D,MATCH(V173,$A:$A,0)),"")="","",TRIM(IF(ISNUMBER(FIND(",",IFERROR(INDEX($D:$D,MATCH(V173,$A:$A,0)),""))),LEFT(IFERROR(INDEX($D:$D,MATCH(V173,$A:$A,0)),""),FIND(",",IFERROR(INDEX($D:$D,MATCH(V173,$A:$A,0)),""))-1),IFERROR(INDEX($D:$D,MATCH(V173,$A:$A,0)),"")))))</f>
        <v/>
      </c>
      <c r="X173" s="34" t="str">
        <f aca="false">IF(W173="","",IF(IFERROR(INDEX($D:$D,MATCH(W173,$A:$A,0)),"")="","",TRIM(IF(ISNUMBER(FIND(",",IFERROR(INDEX($D:$D,MATCH(W173,$A:$A,0)),""))),LEFT(IFERROR(INDEX($D:$D,MATCH(W173,$A:$A,0)),""),FIND(",",IFERROR(INDEX($D:$D,MATCH(W173,$A:$A,0)),""))-1),IFERROR(INDEX($D:$D,MATCH(W173,$A:$A,0)),"")))))</f>
        <v/>
      </c>
      <c r="Y173" s="34" t="str">
        <f aca="false">IF(X173="","",IF(IFERROR(INDEX($D:$D,MATCH(X173,$A:$A,0)),"")="","",TRIM(IF(ISNUMBER(FIND(",",IFERROR(INDEX($D:$D,MATCH(X173,$A:$A,0)),""))),LEFT(IFERROR(INDEX($D:$D,MATCH(X173,$A:$A,0)),""),FIND(",",IFERROR(INDEX($D:$D,MATCH(X173,$A:$A,0)),""))-1),IFERROR(INDEX($D:$D,MATCH(X173,$A:$A,0)),"")))))</f>
        <v/>
      </c>
      <c r="Z173" s="34" t="str">
        <f aca="false">IF(AND(A173&lt;&gt;"",L173="Retire"),COUNTIF($L$5:L173,"Retire"),"")</f>
        <v/>
      </c>
      <c r="AA173" s="34" t="str">
        <f aca="false">IF(AND(A173&lt;&gt;"",L173="Build"),COUNTIF($L$5:L173,"Build"),"")</f>
        <v/>
      </c>
      <c r="AB173" s="34" t="str">
        <f aca="false">IF(AND(A173&lt;&gt;"",OR(M173="4+",AND(ISNUMBER(M173),M173&gt;=2))),SUMPRODUCT(($A$5:A173&lt;&gt;"")*(($M$5:M173="4+")+(ISNUMBER($M$5:M173)*($M$5:M173&gt;=2)))),"")</f>
        <v/>
      </c>
      <c r="AC173" s="34" t="str">
        <f aca="false">IF(AND(A173&lt;&gt;"",OR(L173="",L173="Undecided",K173="")),SUMPRODUCT(($A$5:A173&lt;&gt;"")*(($L$5:L173="")+($L$5:L173="Undecided")+($K$5:K173=""))&gt;0*1),"")</f>
        <v/>
      </c>
    </row>
    <row r="174" customFormat="false" ht="15" hidden="false" customHeight="false" outlineLevel="0" collapsed="false">
      <c r="A174" s="29"/>
      <c r="B174" s="30"/>
      <c r="C174" s="30"/>
      <c r="D174" s="30"/>
      <c r="E174" s="30"/>
      <c r="F174" s="30"/>
      <c r="G174" s="30"/>
      <c r="H174" s="30"/>
      <c r="I174" s="30"/>
      <c r="J174" s="30"/>
      <c r="K174" s="30"/>
      <c r="L174" s="30"/>
      <c r="M174" s="20" t="str">
        <f aca="false">IF(A174="","",IF(V174="",0,IF(W174="",1,IF(X174="",2,IF(Y174="",3,"4+")))))</f>
        <v/>
      </c>
      <c r="N174" s="20" t="str">
        <f aca="false">IF(A174="","",A174&amp;IF(V174="",""," &lt;- "&amp;V174&amp;IF(W174="",""," &lt;- "&amp;W174&amp;IF(X174="",""," &lt;- "&amp;X174&amp;IF(Y174="",""," &lt;- "&amp;Y174))))&amp;IF(ISNUMBER(FIND(",",D174))," (+ other parents)",""))</f>
        <v/>
      </c>
      <c r="O174" s="20" t="str">
        <f aca="false">IF(A174="","",COUNTIF(Fields!$D:$D,A174))</f>
        <v/>
      </c>
      <c r="P174" s="20" t="str">
        <f aca="false">IF(A174="","",SUMIF(Fields!$D:$D,A174,Fields!$O:$O))</f>
        <v/>
      </c>
      <c r="Q174" s="30"/>
      <c r="R174" s="30"/>
      <c r="S174" s="30"/>
      <c r="T174" s="30"/>
      <c r="U174" s="30"/>
      <c r="V174" s="34" t="str">
        <f aca="false">IF(A174="","",IF(IFERROR(INDEX($D:$D,MATCH(A174,$A:$A,0)),"")="","",TRIM(IF(ISNUMBER(FIND(",",IFERROR(INDEX($D:$D,MATCH(A174,$A:$A,0)),""))),LEFT(IFERROR(INDEX($D:$D,MATCH(A174,$A:$A,0)),""),FIND(",",IFERROR(INDEX($D:$D,MATCH(A174,$A:$A,0)),""))-1),IFERROR(INDEX($D:$D,MATCH(A174,$A:$A,0)),"")))))</f>
        <v/>
      </c>
      <c r="W174" s="34" t="str">
        <f aca="false">IF(V174="","",IF(IFERROR(INDEX($D:$D,MATCH(V174,$A:$A,0)),"")="","",TRIM(IF(ISNUMBER(FIND(",",IFERROR(INDEX($D:$D,MATCH(V174,$A:$A,0)),""))),LEFT(IFERROR(INDEX($D:$D,MATCH(V174,$A:$A,0)),""),FIND(",",IFERROR(INDEX($D:$D,MATCH(V174,$A:$A,0)),""))-1),IFERROR(INDEX($D:$D,MATCH(V174,$A:$A,0)),"")))))</f>
        <v/>
      </c>
      <c r="X174" s="34" t="str">
        <f aca="false">IF(W174="","",IF(IFERROR(INDEX($D:$D,MATCH(W174,$A:$A,0)),"")="","",TRIM(IF(ISNUMBER(FIND(",",IFERROR(INDEX($D:$D,MATCH(W174,$A:$A,0)),""))),LEFT(IFERROR(INDEX($D:$D,MATCH(W174,$A:$A,0)),""),FIND(",",IFERROR(INDEX($D:$D,MATCH(W174,$A:$A,0)),""))-1),IFERROR(INDEX($D:$D,MATCH(W174,$A:$A,0)),"")))))</f>
        <v/>
      </c>
      <c r="Y174" s="34" t="str">
        <f aca="false">IF(X174="","",IF(IFERROR(INDEX($D:$D,MATCH(X174,$A:$A,0)),"")="","",TRIM(IF(ISNUMBER(FIND(",",IFERROR(INDEX($D:$D,MATCH(X174,$A:$A,0)),""))),LEFT(IFERROR(INDEX($D:$D,MATCH(X174,$A:$A,0)),""),FIND(",",IFERROR(INDEX($D:$D,MATCH(X174,$A:$A,0)),""))-1),IFERROR(INDEX($D:$D,MATCH(X174,$A:$A,0)),"")))))</f>
        <v/>
      </c>
      <c r="Z174" s="34" t="str">
        <f aca="false">IF(AND(A174&lt;&gt;"",L174="Retire"),COUNTIF($L$5:L174,"Retire"),"")</f>
        <v/>
      </c>
      <c r="AA174" s="34" t="str">
        <f aca="false">IF(AND(A174&lt;&gt;"",L174="Build"),COUNTIF($L$5:L174,"Build"),"")</f>
        <v/>
      </c>
      <c r="AB174" s="34" t="str">
        <f aca="false">IF(AND(A174&lt;&gt;"",OR(M174="4+",AND(ISNUMBER(M174),M174&gt;=2))),SUMPRODUCT(($A$5:A174&lt;&gt;"")*(($M$5:M174="4+")+(ISNUMBER($M$5:M174)*($M$5:M174&gt;=2)))),"")</f>
        <v/>
      </c>
      <c r="AC174" s="34" t="str">
        <f aca="false">IF(AND(A174&lt;&gt;"",OR(L174="",L174="Undecided",K174="")),SUMPRODUCT(($A$5:A174&lt;&gt;"")*(($L$5:L174="")+($L$5:L174="Undecided")+($K$5:K174=""))&gt;0*1),"")</f>
        <v/>
      </c>
    </row>
    <row r="175" customFormat="false" ht="15" hidden="false" customHeight="false" outlineLevel="0" collapsed="false">
      <c r="A175" s="29"/>
      <c r="B175" s="30"/>
      <c r="C175" s="30"/>
      <c r="D175" s="30"/>
      <c r="E175" s="30"/>
      <c r="F175" s="30"/>
      <c r="G175" s="30"/>
      <c r="H175" s="30"/>
      <c r="I175" s="30"/>
      <c r="J175" s="30"/>
      <c r="K175" s="30"/>
      <c r="L175" s="30"/>
      <c r="M175" s="20" t="str">
        <f aca="false">IF(A175="","",IF(V175="",0,IF(W175="",1,IF(X175="",2,IF(Y175="",3,"4+")))))</f>
        <v/>
      </c>
      <c r="N175" s="20" t="str">
        <f aca="false">IF(A175="","",A175&amp;IF(V175="",""," &lt;- "&amp;V175&amp;IF(W175="",""," &lt;- "&amp;W175&amp;IF(X175="",""," &lt;- "&amp;X175&amp;IF(Y175="",""," &lt;- "&amp;Y175))))&amp;IF(ISNUMBER(FIND(",",D175))," (+ other parents)",""))</f>
        <v/>
      </c>
      <c r="O175" s="20" t="str">
        <f aca="false">IF(A175="","",COUNTIF(Fields!$D:$D,A175))</f>
        <v/>
      </c>
      <c r="P175" s="20" t="str">
        <f aca="false">IF(A175="","",SUMIF(Fields!$D:$D,A175,Fields!$O:$O))</f>
        <v/>
      </c>
      <c r="Q175" s="30"/>
      <c r="R175" s="30"/>
      <c r="S175" s="30"/>
      <c r="T175" s="30"/>
      <c r="U175" s="30"/>
      <c r="V175" s="34" t="str">
        <f aca="false">IF(A175="","",IF(IFERROR(INDEX($D:$D,MATCH(A175,$A:$A,0)),"")="","",TRIM(IF(ISNUMBER(FIND(",",IFERROR(INDEX($D:$D,MATCH(A175,$A:$A,0)),""))),LEFT(IFERROR(INDEX($D:$D,MATCH(A175,$A:$A,0)),""),FIND(",",IFERROR(INDEX($D:$D,MATCH(A175,$A:$A,0)),""))-1),IFERROR(INDEX($D:$D,MATCH(A175,$A:$A,0)),"")))))</f>
        <v/>
      </c>
      <c r="W175" s="34" t="str">
        <f aca="false">IF(V175="","",IF(IFERROR(INDEX($D:$D,MATCH(V175,$A:$A,0)),"")="","",TRIM(IF(ISNUMBER(FIND(",",IFERROR(INDEX($D:$D,MATCH(V175,$A:$A,0)),""))),LEFT(IFERROR(INDEX($D:$D,MATCH(V175,$A:$A,0)),""),FIND(",",IFERROR(INDEX($D:$D,MATCH(V175,$A:$A,0)),""))-1),IFERROR(INDEX($D:$D,MATCH(V175,$A:$A,0)),"")))))</f>
        <v/>
      </c>
      <c r="X175" s="34" t="str">
        <f aca="false">IF(W175="","",IF(IFERROR(INDEX($D:$D,MATCH(W175,$A:$A,0)),"")="","",TRIM(IF(ISNUMBER(FIND(",",IFERROR(INDEX($D:$D,MATCH(W175,$A:$A,0)),""))),LEFT(IFERROR(INDEX($D:$D,MATCH(W175,$A:$A,0)),""),FIND(",",IFERROR(INDEX($D:$D,MATCH(W175,$A:$A,0)),""))-1),IFERROR(INDEX($D:$D,MATCH(W175,$A:$A,0)),"")))))</f>
        <v/>
      </c>
      <c r="Y175" s="34" t="str">
        <f aca="false">IF(X175="","",IF(IFERROR(INDEX($D:$D,MATCH(X175,$A:$A,0)),"")="","",TRIM(IF(ISNUMBER(FIND(",",IFERROR(INDEX($D:$D,MATCH(X175,$A:$A,0)),""))),LEFT(IFERROR(INDEX($D:$D,MATCH(X175,$A:$A,0)),""),FIND(",",IFERROR(INDEX($D:$D,MATCH(X175,$A:$A,0)),""))-1),IFERROR(INDEX($D:$D,MATCH(X175,$A:$A,0)),"")))))</f>
        <v/>
      </c>
      <c r="Z175" s="34" t="str">
        <f aca="false">IF(AND(A175&lt;&gt;"",L175="Retire"),COUNTIF($L$5:L175,"Retire"),"")</f>
        <v/>
      </c>
      <c r="AA175" s="34" t="str">
        <f aca="false">IF(AND(A175&lt;&gt;"",L175="Build"),COUNTIF($L$5:L175,"Build"),"")</f>
        <v/>
      </c>
      <c r="AB175" s="34" t="str">
        <f aca="false">IF(AND(A175&lt;&gt;"",OR(M175="4+",AND(ISNUMBER(M175),M175&gt;=2))),SUMPRODUCT(($A$5:A175&lt;&gt;"")*(($M$5:M175="4+")+(ISNUMBER($M$5:M175)*($M$5:M175&gt;=2)))),"")</f>
        <v/>
      </c>
      <c r="AC175" s="34" t="str">
        <f aca="false">IF(AND(A175&lt;&gt;"",OR(L175="",L175="Undecided",K175="")),SUMPRODUCT(($A$5:A175&lt;&gt;"")*(($L$5:L175="")+($L$5:L175="Undecided")+($K$5:K175=""))&gt;0*1),"")</f>
        <v/>
      </c>
    </row>
    <row r="176" customFormat="false" ht="15" hidden="false" customHeight="false" outlineLevel="0" collapsed="false">
      <c r="A176" s="29"/>
      <c r="B176" s="30"/>
      <c r="C176" s="30"/>
      <c r="D176" s="30"/>
      <c r="E176" s="30"/>
      <c r="F176" s="30"/>
      <c r="G176" s="30"/>
      <c r="H176" s="30"/>
      <c r="I176" s="30"/>
      <c r="J176" s="30"/>
      <c r="K176" s="30"/>
      <c r="L176" s="30"/>
      <c r="M176" s="20" t="str">
        <f aca="false">IF(A176="","",IF(V176="",0,IF(W176="",1,IF(X176="",2,IF(Y176="",3,"4+")))))</f>
        <v/>
      </c>
      <c r="N176" s="20" t="str">
        <f aca="false">IF(A176="","",A176&amp;IF(V176="",""," &lt;- "&amp;V176&amp;IF(W176="",""," &lt;- "&amp;W176&amp;IF(X176="",""," &lt;- "&amp;X176&amp;IF(Y176="",""," &lt;- "&amp;Y176))))&amp;IF(ISNUMBER(FIND(",",D176))," (+ other parents)",""))</f>
        <v/>
      </c>
      <c r="O176" s="20" t="str">
        <f aca="false">IF(A176="","",COUNTIF(Fields!$D:$D,A176))</f>
        <v/>
      </c>
      <c r="P176" s="20" t="str">
        <f aca="false">IF(A176="","",SUMIF(Fields!$D:$D,A176,Fields!$O:$O))</f>
        <v/>
      </c>
      <c r="Q176" s="30"/>
      <c r="R176" s="30"/>
      <c r="S176" s="30"/>
      <c r="T176" s="30"/>
      <c r="U176" s="30"/>
      <c r="V176" s="34" t="str">
        <f aca="false">IF(A176="","",IF(IFERROR(INDEX($D:$D,MATCH(A176,$A:$A,0)),"")="","",TRIM(IF(ISNUMBER(FIND(",",IFERROR(INDEX($D:$D,MATCH(A176,$A:$A,0)),""))),LEFT(IFERROR(INDEX($D:$D,MATCH(A176,$A:$A,0)),""),FIND(",",IFERROR(INDEX($D:$D,MATCH(A176,$A:$A,0)),""))-1),IFERROR(INDEX($D:$D,MATCH(A176,$A:$A,0)),"")))))</f>
        <v/>
      </c>
      <c r="W176" s="34" t="str">
        <f aca="false">IF(V176="","",IF(IFERROR(INDEX($D:$D,MATCH(V176,$A:$A,0)),"")="","",TRIM(IF(ISNUMBER(FIND(",",IFERROR(INDEX($D:$D,MATCH(V176,$A:$A,0)),""))),LEFT(IFERROR(INDEX($D:$D,MATCH(V176,$A:$A,0)),""),FIND(",",IFERROR(INDEX($D:$D,MATCH(V176,$A:$A,0)),""))-1),IFERROR(INDEX($D:$D,MATCH(V176,$A:$A,0)),"")))))</f>
        <v/>
      </c>
      <c r="X176" s="34" t="str">
        <f aca="false">IF(W176="","",IF(IFERROR(INDEX($D:$D,MATCH(W176,$A:$A,0)),"")="","",TRIM(IF(ISNUMBER(FIND(",",IFERROR(INDEX($D:$D,MATCH(W176,$A:$A,0)),""))),LEFT(IFERROR(INDEX($D:$D,MATCH(W176,$A:$A,0)),""),FIND(",",IFERROR(INDEX($D:$D,MATCH(W176,$A:$A,0)),""))-1),IFERROR(INDEX($D:$D,MATCH(W176,$A:$A,0)),"")))))</f>
        <v/>
      </c>
      <c r="Y176" s="34" t="str">
        <f aca="false">IF(X176="","",IF(IFERROR(INDEX($D:$D,MATCH(X176,$A:$A,0)),"")="","",TRIM(IF(ISNUMBER(FIND(",",IFERROR(INDEX($D:$D,MATCH(X176,$A:$A,0)),""))),LEFT(IFERROR(INDEX($D:$D,MATCH(X176,$A:$A,0)),""),FIND(",",IFERROR(INDEX($D:$D,MATCH(X176,$A:$A,0)),""))-1),IFERROR(INDEX($D:$D,MATCH(X176,$A:$A,0)),"")))))</f>
        <v/>
      </c>
      <c r="Z176" s="34" t="str">
        <f aca="false">IF(AND(A176&lt;&gt;"",L176="Retire"),COUNTIF($L$5:L176,"Retire"),"")</f>
        <v/>
      </c>
      <c r="AA176" s="34" t="str">
        <f aca="false">IF(AND(A176&lt;&gt;"",L176="Build"),COUNTIF($L$5:L176,"Build"),"")</f>
        <v/>
      </c>
      <c r="AB176" s="34" t="str">
        <f aca="false">IF(AND(A176&lt;&gt;"",OR(M176="4+",AND(ISNUMBER(M176),M176&gt;=2))),SUMPRODUCT(($A$5:A176&lt;&gt;"")*(($M$5:M176="4+")+(ISNUMBER($M$5:M176)*($M$5:M176&gt;=2)))),"")</f>
        <v/>
      </c>
      <c r="AC176" s="34" t="str">
        <f aca="false">IF(AND(A176&lt;&gt;"",OR(L176="",L176="Undecided",K176="")),SUMPRODUCT(($A$5:A176&lt;&gt;"")*(($L$5:L176="")+($L$5:L176="Undecided")+($K$5:K176=""))&gt;0*1),"")</f>
        <v/>
      </c>
    </row>
    <row r="177" customFormat="false" ht="15" hidden="false" customHeight="false" outlineLevel="0" collapsed="false">
      <c r="A177" s="29"/>
      <c r="B177" s="30"/>
      <c r="C177" s="30"/>
      <c r="D177" s="30"/>
      <c r="E177" s="30"/>
      <c r="F177" s="30"/>
      <c r="G177" s="30"/>
      <c r="H177" s="30"/>
      <c r="I177" s="30"/>
      <c r="J177" s="30"/>
      <c r="K177" s="30"/>
      <c r="L177" s="30"/>
      <c r="M177" s="20" t="str">
        <f aca="false">IF(A177="","",IF(V177="",0,IF(W177="",1,IF(X177="",2,IF(Y177="",3,"4+")))))</f>
        <v/>
      </c>
      <c r="N177" s="20" t="str">
        <f aca="false">IF(A177="","",A177&amp;IF(V177="",""," &lt;- "&amp;V177&amp;IF(W177="",""," &lt;- "&amp;W177&amp;IF(X177="",""," &lt;- "&amp;X177&amp;IF(Y177="",""," &lt;- "&amp;Y177))))&amp;IF(ISNUMBER(FIND(",",D177))," (+ other parents)",""))</f>
        <v/>
      </c>
      <c r="O177" s="20" t="str">
        <f aca="false">IF(A177="","",COUNTIF(Fields!$D:$D,A177))</f>
        <v/>
      </c>
      <c r="P177" s="20" t="str">
        <f aca="false">IF(A177="","",SUMIF(Fields!$D:$D,A177,Fields!$O:$O))</f>
        <v/>
      </c>
      <c r="Q177" s="30"/>
      <c r="R177" s="30"/>
      <c r="S177" s="30"/>
      <c r="T177" s="30"/>
      <c r="U177" s="30"/>
      <c r="V177" s="34" t="str">
        <f aca="false">IF(A177="","",IF(IFERROR(INDEX($D:$D,MATCH(A177,$A:$A,0)),"")="","",TRIM(IF(ISNUMBER(FIND(",",IFERROR(INDEX($D:$D,MATCH(A177,$A:$A,0)),""))),LEFT(IFERROR(INDEX($D:$D,MATCH(A177,$A:$A,0)),""),FIND(",",IFERROR(INDEX($D:$D,MATCH(A177,$A:$A,0)),""))-1),IFERROR(INDEX($D:$D,MATCH(A177,$A:$A,0)),"")))))</f>
        <v/>
      </c>
      <c r="W177" s="34" t="str">
        <f aca="false">IF(V177="","",IF(IFERROR(INDEX($D:$D,MATCH(V177,$A:$A,0)),"")="","",TRIM(IF(ISNUMBER(FIND(",",IFERROR(INDEX($D:$D,MATCH(V177,$A:$A,0)),""))),LEFT(IFERROR(INDEX($D:$D,MATCH(V177,$A:$A,0)),""),FIND(",",IFERROR(INDEX($D:$D,MATCH(V177,$A:$A,0)),""))-1),IFERROR(INDEX($D:$D,MATCH(V177,$A:$A,0)),"")))))</f>
        <v/>
      </c>
      <c r="X177" s="34" t="str">
        <f aca="false">IF(W177="","",IF(IFERROR(INDEX($D:$D,MATCH(W177,$A:$A,0)),"")="","",TRIM(IF(ISNUMBER(FIND(",",IFERROR(INDEX($D:$D,MATCH(W177,$A:$A,0)),""))),LEFT(IFERROR(INDEX($D:$D,MATCH(W177,$A:$A,0)),""),FIND(",",IFERROR(INDEX($D:$D,MATCH(W177,$A:$A,0)),""))-1),IFERROR(INDEX($D:$D,MATCH(W177,$A:$A,0)),"")))))</f>
        <v/>
      </c>
      <c r="Y177" s="34" t="str">
        <f aca="false">IF(X177="","",IF(IFERROR(INDEX($D:$D,MATCH(X177,$A:$A,0)),"")="","",TRIM(IF(ISNUMBER(FIND(",",IFERROR(INDEX($D:$D,MATCH(X177,$A:$A,0)),""))),LEFT(IFERROR(INDEX($D:$D,MATCH(X177,$A:$A,0)),""),FIND(",",IFERROR(INDEX($D:$D,MATCH(X177,$A:$A,0)),""))-1),IFERROR(INDEX($D:$D,MATCH(X177,$A:$A,0)),"")))))</f>
        <v/>
      </c>
      <c r="Z177" s="34" t="str">
        <f aca="false">IF(AND(A177&lt;&gt;"",L177="Retire"),COUNTIF($L$5:L177,"Retire"),"")</f>
        <v/>
      </c>
      <c r="AA177" s="34" t="str">
        <f aca="false">IF(AND(A177&lt;&gt;"",L177="Build"),COUNTIF($L$5:L177,"Build"),"")</f>
        <v/>
      </c>
      <c r="AB177" s="34" t="str">
        <f aca="false">IF(AND(A177&lt;&gt;"",OR(M177="4+",AND(ISNUMBER(M177),M177&gt;=2))),SUMPRODUCT(($A$5:A177&lt;&gt;"")*(($M$5:M177="4+")+(ISNUMBER($M$5:M177)*($M$5:M177&gt;=2)))),"")</f>
        <v/>
      </c>
      <c r="AC177" s="34" t="str">
        <f aca="false">IF(AND(A177&lt;&gt;"",OR(L177="",L177="Undecided",K177="")),SUMPRODUCT(($A$5:A177&lt;&gt;"")*(($L$5:L177="")+($L$5:L177="Undecided")+($K$5:K177=""))&gt;0*1),"")</f>
        <v/>
      </c>
    </row>
    <row r="178" customFormat="false" ht="15" hidden="false" customHeight="false" outlineLevel="0" collapsed="false">
      <c r="A178" s="29"/>
      <c r="B178" s="30"/>
      <c r="C178" s="30"/>
      <c r="D178" s="30"/>
      <c r="E178" s="30"/>
      <c r="F178" s="30"/>
      <c r="G178" s="30"/>
      <c r="H178" s="30"/>
      <c r="I178" s="30"/>
      <c r="J178" s="30"/>
      <c r="K178" s="30"/>
      <c r="L178" s="30"/>
      <c r="M178" s="20" t="str">
        <f aca="false">IF(A178="","",IF(V178="",0,IF(W178="",1,IF(X178="",2,IF(Y178="",3,"4+")))))</f>
        <v/>
      </c>
      <c r="N178" s="20" t="str">
        <f aca="false">IF(A178="","",A178&amp;IF(V178="",""," &lt;- "&amp;V178&amp;IF(W178="",""," &lt;- "&amp;W178&amp;IF(X178="",""," &lt;- "&amp;X178&amp;IF(Y178="",""," &lt;- "&amp;Y178))))&amp;IF(ISNUMBER(FIND(",",D178))," (+ other parents)",""))</f>
        <v/>
      </c>
      <c r="O178" s="20" t="str">
        <f aca="false">IF(A178="","",COUNTIF(Fields!$D:$D,A178))</f>
        <v/>
      </c>
      <c r="P178" s="20" t="str">
        <f aca="false">IF(A178="","",SUMIF(Fields!$D:$D,A178,Fields!$O:$O))</f>
        <v/>
      </c>
      <c r="Q178" s="30"/>
      <c r="R178" s="30"/>
      <c r="S178" s="30"/>
      <c r="T178" s="30"/>
      <c r="U178" s="30"/>
      <c r="V178" s="34" t="str">
        <f aca="false">IF(A178="","",IF(IFERROR(INDEX($D:$D,MATCH(A178,$A:$A,0)),"")="","",TRIM(IF(ISNUMBER(FIND(",",IFERROR(INDEX($D:$D,MATCH(A178,$A:$A,0)),""))),LEFT(IFERROR(INDEX($D:$D,MATCH(A178,$A:$A,0)),""),FIND(",",IFERROR(INDEX($D:$D,MATCH(A178,$A:$A,0)),""))-1),IFERROR(INDEX($D:$D,MATCH(A178,$A:$A,0)),"")))))</f>
        <v/>
      </c>
      <c r="W178" s="34" t="str">
        <f aca="false">IF(V178="","",IF(IFERROR(INDEX($D:$D,MATCH(V178,$A:$A,0)),"")="","",TRIM(IF(ISNUMBER(FIND(",",IFERROR(INDEX($D:$D,MATCH(V178,$A:$A,0)),""))),LEFT(IFERROR(INDEX($D:$D,MATCH(V178,$A:$A,0)),""),FIND(",",IFERROR(INDEX($D:$D,MATCH(V178,$A:$A,0)),""))-1),IFERROR(INDEX($D:$D,MATCH(V178,$A:$A,0)),"")))))</f>
        <v/>
      </c>
      <c r="X178" s="34" t="str">
        <f aca="false">IF(W178="","",IF(IFERROR(INDEX($D:$D,MATCH(W178,$A:$A,0)),"")="","",TRIM(IF(ISNUMBER(FIND(",",IFERROR(INDEX($D:$D,MATCH(W178,$A:$A,0)),""))),LEFT(IFERROR(INDEX($D:$D,MATCH(W178,$A:$A,0)),""),FIND(",",IFERROR(INDEX($D:$D,MATCH(W178,$A:$A,0)),""))-1),IFERROR(INDEX($D:$D,MATCH(W178,$A:$A,0)),"")))))</f>
        <v/>
      </c>
      <c r="Y178" s="34" t="str">
        <f aca="false">IF(X178="","",IF(IFERROR(INDEX($D:$D,MATCH(X178,$A:$A,0)),"")="","",TRIM(IF(ISNUMBER(FIND(",",IFERROR(INDEX($D:$D,MATCH(X178,$A:$A,0)),""))),LEFT(IFERROR(INDEX($D:$D,MATCH(X178,$A:$A,0)),""),FIND(",",IFERROR(INDEX($D:$D,MATCH(X178,$A:$A,0)),""))-1),IFERROR(INDEX($D:$D,MATCH(X178,$A:$A,0)),"")))))</f>
        <v/>
      </c>
      <c r="Z178" s="34" t="str">
        <f aca="false">IF(AND(A178&lt;&gt;"",L178="Retire"),COUNTIF($L$5:L178,"Retire"),"")</f>
        <v/>
      </c>
      <c r="AA178" s="34" t="str">
        <f aca="false">IF(AND(A178&lt;&gt;"",L178="Build"),COUNTIF($L$5:L178,"Build"),"")</f>
        <v/>
      </c>
      <c r="AB178" s="34" t="str">
        <f aca="false">IF(AND(A178&lt;&gt;"",OR(M178="4+",AND(ISNUMBER(M178),M178&gt;=2))),SUMPRODUCT(($A$5:A178&lt;&gt;"")*(($M$5:M178="4+")+(ISNUMBER($M$5:M178)*($M$5:M178&gt;=2)))),"")</f>
        <v/>
      </c>
      <c r="AC178" s="34" t="str">
        <f aca="false">IF(AND(A178&lt;&gt;"",OR(L178="",L178="Undecided",K178="")),SUMPRODUCT(($A$5:A178&lt;&gt;"")*(($L$5:L178="")+($L$5:L178="Undecided")+($K$5:K178=""))&gt;0*1),"")</f>
        <v/>
      </c>
    </row>
    <row r="179" customFormat="false" ht="15" hidden="false" customHeight="false" outlineLevel="0" collapsed="false">
      <c r="A179" s="29"/>
      <c r="B179" s="30"/>
      <c r="C179" s="30"/>
      <c r="D179" s="30"/>
      <c r="E179" s="30"/>
      <c r="F179" s="30"/>
      <c r="G179" s="30"/>
      <c r="H179" s="30"/>
      <c r="I179" s="30"/>
      <c r="J179" s="30"/>
      <c r="K179" s="30"/>
      <c r="L179" s="30"/>
      <c r="M179" s="20" t="str">
        <f aca="false">IF(A179="","",IF(V179="",0,IF(W179="",1,IF(X179="",2,IF(Y179="",3,"4+")))))</f>
        <v/>
      </c>
      <c r="N179" s="20" t="str">
        <f aca="false">IF(A179="","",A179&amp;IF(V179="",""," &lt;- "&amp;V179&amp;IF(W179="",""," &lt;- "&amp;W179&amp;IF(X179="",""," &lt;- "&amp;X179&amp;IF(Y179="",""," &lt;- "&amp;Y179))))&amp;IF(ISNUMBER(FIND(",",D179))," (+ other parents)",""))</f>
        <v/>
      </c>
      <c r="O179" s="20" t="str">
        <f aca="false">IF(A179="","",COUNTIF(Fields!$D:$D,A179))</f>
        <v/>
      </c>
      <c r="P179" s="20" t="str">
        <f aca="false">IF(A179="","",SUMIF(Fields!$D:$D,A179,Fields!$O:$O))</f>
        <v/>
      </c>
      <c r="Q179" s="30"/>
      <c r="R179" s="30"/>
      <c r="S179" s="30"/>
      <c r="T179" s="30"/>
      <c r="U179" s="30"/>
      <c r="V179" s="34" t="str">
        <f aca="false">IF(A179="","",IF(IFERROR(INDEX($D:$D,MATCH(A179,$A:$A,0)),"")="","",TRIM(IF(ISNUMBER(FIND(",",IFERROR(INDEX($D:$D,MATCH(A179,$A:$A,0)),""))),LEFT(IFERROR(INDEX($D:$D,MATCH(A179,$A:$A,0)),""),FIND(",",IFERROR(INDEX($D:$D,MATCH(A179,$A:$A,0)),""))-1),IFERROR(INDEX($D:$D,MATCH(A179,$A:$A,0)),"")))))</f>
        <v/>
      </c>
      <c r="W179" s="34" t="str">
        <f aca="false">IF(V179="","",IF(IFERROR(INDEX($D:$D,MATCH(V179,$A:$A,0)),"")="","",TRIM(IF(ISNUMBER(FIND(",",IFERROR(INDEX($D:$D,MATCH(V179,$A:$A,0)),""))),LEFT(IFERROR(INDEX($D:$D,MATCH(V179,$A:$A,0)),""),FIND(",",IFERROR(INDEX($D:$D,MATCH(V179,$A:$A,0)),""))-1),IFERROR(INDEX($D:$D,MATCH(V179,$A:$A,0)),"")))))</f>
        <v/>
      </c>
      <c r="X179" s="34" t="str">
        <f aca="false">IF(W179="","",IF(IFERROR(INDEX($D:$D,MATCH(W179,$A:$A,0)),"")="","",TRIM(IF(ISNUMBER(FIND(",",IFERROR(INDEX($D:$D,MATCH(W179,$A:$A,0)),""))),LEFT(IFERROR(INDEX($D:$D,MATCH(W179,$A:$A,0)),""),FIND(",",IFERROR(INDEX($D:$D,MATCH(W179,$A:$A,0)),""))-1),IFERROR(INDEX($D:$D,MATCH(W179,$A:$A,0)),"")))))</f>
        <v/>
      </c>
      <c r="Y179" s="34" t="str">
        <f aca="false">IF(X179="","",IF(IFERROR(INDEX($D:$D,MATCH(X179,$A:$A,0)),"")="","",TRIM(IF(ISNUMBER(FIND(",",IFERROR(INDEX($D:$D,MATCH(X179,$A:$A,0)),""))),LEFT(IFERROR(INDEX($D:$D,MATCH(X179,$A:$A,0)),""),FIND(",",IFERROR(INDEX($D:$D,MATCH(X179,$A:$A,0)),""))-1),IFERROR(INDEX($D:$D,MATCH(X179,$A:$A,0)),"")))))</f>
        <v/>
      </c>
      <c r="Z179" s="34" t="str">
        <f aca="false">IF(AND(A179&lt;&gt;"",L179="Retire"),COUNTIF($L$5:L179,"Retire"),"")</f>
        <v/>
      </c>
      <c r="AA179" s="34" t="str">
        <f aca="false">IF(AND(A179&lt;&gt;"",L179="Build"),COUNTIF($L$5:L179,"Build"),"")</f>
        <v/>
      </c>
      <c r="AB179" s="34" t="str">
        <f aca="false">IF(AND(A179&lt;&gt;"",OR(M179="4+",AND(ISNUMBER(M179),M179&gt;=2))),SUMPRODUCT(($A$5:A179&lt;&gt;"")*(($M$5:M179="4+")+(ISNUMBER($M$5:M179)*($M$5:M179&gt;=2)))),"")</f>
        <v/>
      </c>
      <c r="AC179" s="34" t="str">
        <f aca="false">IF(AND(A179&lt;&gt;"",OR(L179="",L179="Undecided",K179="")),SUMPRODUCT(($A$5:A179&lt;&gt;"")*(($L$5:L179="")+($L$5:L179="Undecided")+($K$5:K179=""))&gt;0*1),"")</f>
        <v/>
      </c>
    </row>
    <row r="180" customFormat="false" ht="15" hidden="false" customHeight="false" outlineLevel="0" collapsed="false">
      <c r="A180" s="29"/>
      <c r="B180" s="30"/>
      <c r="C180" s="30"/>
      <c r="D180" s="30"/>
      <c r="E180" s="30"/>
      <c r="F180" s="30"/>
      <c r="G180" s="30"/>
      <c r="H180" s="30"/>
      <c r="I180" s="30"/>
      <c r="J180" s="30"/>
      <c r="K180" s="30"/>
      <c r="L180" s="30"/>
      <c r="M180" s="20" t="str">
        <f aca="false">IF(A180="","",IF(V180="",0,IF(W180="",1,IF(X180="",2,IF(Y180="",3,"4+")))))</f>
        <v/>
      </c>
      <c r="N180" s="20" t="str">
        <f aca="false">IF(A180="","",A180&amp;IF(V180="",""," &lt;- "&amp;V180&amp;IF(W180="",""," &lt;- "&amp;W180&amp;IF(X180="",""," &lt;- "&amp;X180&amp;IF(Y180="",""," &lt;- "&amp;Y180))))&amp;IF(ISNUMBER(FIND(",",D180))," (+ other parents)",""))</f>
        <v/>
      </c>
      <c r="O180" s="20" t="str">
        <f aca="false">IF(A180="","",COUNTIF(Fields!$D:$D,A180))</f>
        <v/>
      </c>
      <c r="P180" s="20" t="str">
        <f aca="false">IF(A180="","",SUMIF(Fields!$D:$D,A180,Fields!$O:$O))</f>
        <v/>
      </c>
      <c r="Q180" s="30"/>
      <c r="R180" s="30"/>
      <c r="S180" s="30"/>
      <c r="T180" s="30"/>
      <c r="U180" s="30"/>
      <c r="V180" s="34" t="str">
        <f aca="false">IF(A180="","",IF(IFERROR(INDEX($D:$D,MATCH(A180,$A:$A,0)),"")="","",TRIM(IF(ISNUMBER(FIND(",",IFERROR(INDEX($D:$D,MATCH(A180,$A:$A,0)),""))),LEFT(IFERROR(INDEX($D:$D,MATCH(A180,$A:$A,0)),""),FIND(",",IFERROR(INDEX($D:$D,MATCH(A180,$A:$A,0)),""))-1),IFERROR(INDEX($D:$D,MATCH(A180,$A:$A,0)),"")))))</f>
        <v/>
      </c>
      <c r="W180" s="34" t="str">
        <f aca="false">IF(V180="","",IF(IFERROR(INDEX($D:$D,MATCH(V180,$A:$A,0)),"")="","",TRIM(IF(ISNUMBER(FIND(",",IFERROR(INDEX($D:$D,MATCH(V180,$A:$A,0)),""))),LEFT(IFERROR(INDEX($D:$D,MATCH(V180,$A:$A,0)),""),FIND(",",IFERROR(INDEX($D:$D,MATCH(V180,$A:$A,0)),""))-1),IFERROR(INDEX($D:$D,MATCH(V180,$A:$A,0)),"")))))</f>
        <v/>
      </c>
      <c r="X180" s="34" t="str">
        <f aca="false">IF(W180="","",IF(IFERROR(INDEX($D:$D,MATCH(W180,$A:$A,0)),"")="","",TRIM(IF(ISNUMBER(FIND(",",IFERROR(INDEX($D:$D,MATCH(W180,$A:$A,0)),""))),LEFT(IFERROR(INDEX($D:$D,MATCH(W180,$A:$A,0)),""),FIND(",",IFERROR(INDEX($D:$D,MATCH(W180,$A:$A,0)),""))-1),IFERROR(INDEX($D:$D,MATCH(W180,$A:$A,0)),"")))))</f>
        <v/>
      </c>
      <c r="Y180" s="34" t="str">
        <f aca="false">IF(X180="","",IF(IFERROR(INDEX($D:$D,MATCH(X180,$A:$A,0)),"")="","",TRIM(IF(ISNUMBER(FIND(",",IFERROR(INDEX($D:$D,MATCH(X180,$A:$A,0)),""))),LEFT(IFERROR(INDEX($D:$D,MATCH(X180,$A:$A,0)),""),FIND(",",IFERROR(INDEX($D:$D,MATCH(X180,$A:$A,0)),""))-1),IFERROR(INDEX($D:$D,MATCH(X180,$A:$A,0)),"")))))</f>
        <v/>
      </c>
      <c r="Z180" s="34" t="str">
        <f aca="false">IF(AND(A180&lt;&gt;"",L180="Retire"),COUNTIF($L$5:L180,"Retire"),"")</f>
        <v/>
      </c>
      <c r="AA180" s="34" t="str">
        <f aca="false">IF(AND(A180&lt;&gt;"",L180="Build"),COUNTIF($L$5:L180,"Build"),"")</f>
        <v/>
      </c>
      <c r="AB180" s="34" t="str">
        <f aca="false">IF(AND(A180&lt;&gt;"",OR(M180="4+",AND(ISNUMBER(M180),M180&gt;=2))),SUMPRODUCT(($A$5:A180&lt;&gt;"")*(($M$5:M180="4+")+(ISNUMBER($M$5:M180)*($M$5:M180&gt;=2)))),"")</f>
        <v/>
      </c>
      <c r="AC180" s="34" t="str">
        <f aca="false">IF(AND(A180&lt;&gt;"",OR(L180="",L180="Undecided",K180="")),SUMPRODUCT(($A$5:A180&lt;&gt;"")*(($L$5:L180="")+($L$5:L180="Undecided")+($K$5:K180=""))&gt;0*1),"")</f>
        <v/>
      </c>
    </row>
    <row r="181" customFormat="false" ht="15" hidden="false" customHeight="false" outlineLevel="0" collapsed="false">
      <c r="A181" s="29"/>
      <c r="B181" s="30"/>
      <c r="C181" s="30"/>
      <c r="D181" s="30"/>
      <c r="E181" s="30"/>
      <c r="F181" s="30"/>
      <c r="G181" s="30"/>
      <c r="H181" s="30"/>
      <c r="I181" s="30"/>
      <c r="J181" s="30"/>
      <c r="K181" s="30"/>
      <c r="L181" s="30"/>
      <c r="M181" s="20" t="str">
        <f aca="false">IF(A181="","",IF(V181="",0,IF(W181="",1,IF(X181="",2,IF(Y181="",3,"4+")))))</f>
        <v/>
      </c>
      <c r="N181" s="20" t="str">
        <f aca="false">IF(A181="","",A181&amp;IF(V181="",""," &lt;- "&amp;V181&amp;IF(W181="",""," &lt;- "&amp;W181&amp;IF(X181="",""," &lt;- "&amp;X181&amp;IF(Y181="",""," &lt;- "&amp;Y181))))&amp;IF(ISNUMBER(FIND(",",D181))," (+ other parents)",""))</f>
        <v/>
      </c>
      <c r="O181" s="20" t="str">
        <f aca="false">IF(A181="","",COUNTIF(Fields!$D:$D,A181))</f>
        <v/>
      </c>
      <c r="P181" s="20" t="str">
        <f aca="false">IF(A181="","",SUMIF(Fields!$D:$D,A181,Fields!$O:$O))</f>
        <v/>
      </c>
      <c r="Q181" s="30"/>
      <c r="R181" s="30"/>
      <c r="S181" s="30"/>
      <c r="T181" s="30"/>
      <c r="U181" s="30"/>
      <c r="V181" s="34" t="str">
        <f aca="false">IF(A181="","",IF(IFERROR(INDEX($D:$D,MATCH(A181,$A:$A,0)),"")="","",TRIM(IF(ISNUMBER(FIND(",",IFERROR(INDEX($D:$D,MATCH(A181,$A:$A,0)),""))),LEFT(IFERROR(INDEX($D:$D,MATCH(A181,$A:$A,0)),""),FIND(",",IFERROR(INDEX($D:$D,MATCH(A181,$A:$A,0)),""))-1),IFERROR(INDEX($D:$D,MATCH(A181,$A:$A,0)),"")))))</f>
        <v/>
      </c>
      <c r="W181" s="34" t="str">
        <f aca="false">IF(V181="","",IF(IFERROR(INDEX($D:$D,MATCH(V181,$A:$A,0)),"")="","",TRIM(IF(ISNUMBER(FIND(",",IFERROR(INDEX($D:$D,MATCH(V181,$A:$A,0)),""))),LEFT(IFERROR(INDEX($D:$D,MATCH(V181,$A:$A,0)),""),FIND(",",IFERROR(INDEX($D:$D,MATCH(V181,$A:$A,0)),""))-1),IFERROR(INDEX($D:$D,MATCH(V181,$A:$A,0)),"")))))</f>
        <v/>
      </c>
      <c r="X181" s="34" t="str">
        <f aca="false">IF(W181="","",IF(IFERROR(INDEX($D:$D,MATCH(W181,$A:$A,0)),"")="","",TRIM(IF(ISNUMBER(FIND(",",IFERROR(INDEX($D:$D,MATCH(W181,$A:$A,0)),""))),LEFT(IFERROR(INDEX($D:$D,MATCH(W181,$A:$A,0)),""),FIND(",",IFERROR(INDEX($D:$D,MATCH(W181,$A:$A,0)),""))-1),IFERROR(INDEX($D:$D,MATCH(W181,$A:$A,0)),"")))))</f>
        <v/>
      </c>
      <c r="Y181" s="34" t="str">
        <f aca="false">IF(X181="","",IF(IFERROR(INDEX($D:$D,MATCH(X181,$A:$A,0)),"")="","",TRIM(IF(ISNUMBER(FIND(",",IFERROR(INDEX($D:$D,MATCH(X181,$A:$A,0)),""))),LEFT(IFERROR(INDEX($D:$D,MATCH(X181,$A:$A,0)),""),FIND(",",IFERROR(INDEX($D:$D,MATCH(X181,$A:$A,0)),""))-1),IFERROR(INDEX($D:$D,MATCH(X181,$A:$A,0)),"")))))</f>
        <v/>
      </c>
      <c r="Z181" s="34" t="str">
        <f aca="false">IF(AND(A181&lt;&gt;"",L181="Retire"),COUNTIF($L$5:L181,"Retire"),"")</f>
        <v/>
      </c>
      <c r="AA181" s="34" t="str">
        <f aca="false">IF(AND(A181&lt;&gt;"",L181="Build"),COUNTIF($L$5:L181,"Build"),"")</f>
        <v/>
      </c>
      <c r="AB181" s="34" t="str">
        <f aca="false">IF(AND(A181&lt;&gt;"",OR(M181="4+",AND(ISNUMBER(M181),M181&gt;=2))),SUMPRODUCT(($A$5:A181&lt;&gt;"")*(($M$5:M181="4+")+(ISNUMBER($M$5:M181)*($M$5:M181&gt;=2)))),"")</f>
        <v/>
      </c>
      <c r="AC181" s="34" t="str">
        <f aca="false">IF(AND(A181&lt;&gt;"",OR(L181="",L181="Undecided",K181="")),SUMPRODUCT(($A$5:A181&lt;&gt;"")*(($L$5:L181="")+($L$5:L181="Undecided")+($K$5:K181=""))&gt;0*1),"")</f>
        <v/>
      </c>
    </row>
    <row r="182" customFormat="false" ht="15" hidden="false" customHeight="false" outlineLevel="0" collapsed="false">
      <c r="A182" s="29"/>
      <c r="B182" s="30"/>
      <c r="C182" s="30"/>
      <c r="D182" s="30"/>
      <c r="E182" s="30"/>
      <c r="F182" s="30"/>
      <c r="G182" s="30"/>
      <c r="H182" s="30"/>
      <c r="I182" s="30"/>
      <c r="J182" s="30"/>
      <c r="K182" s="30"/>
      <c r="L182" s="30"/>
      <c r="M182" s="20" t="str">
        <f aca="false">IF(A182="","",IF(V182="",0,IF(W182="",1,IF(X182="",2,IF(Y182="",3,"4+")))))</f>
        <v/>
      </c>
      <c r="N182" s="20" t="str">
        <f aca="false">IF(A182="","",A182&amp;IF(V182="",""," &lt;- "&amp;V182&amp;IF(W182="",""," &lt;- "&amp;W182&amp;IF(X182="",""," &lt;- "&amp;X182&amp;IF(Y182="",""," &lt;- "&amp;Y182))))&amp;IF(ISNUMBER(FIND(",",D182))," (+ other parents)",""))</f>
        <v/>
      </c>
      <c r="O182" s="20" t="str">
        <f aca="false">IF(A182="","",COUNTIF(Fields!$D:$D,A182))</f>
        <v/>
      </c>
      <c r="P182" s="20" t="str">
        <f aca="false">IF(A182="","",SUMIF(Fields!$D:$D,A182,Fields!$O:$O))</f>
        <v/>
      </c>
      <c r="Q182" s="30"/>
      <c r="R182" s="30"/>
      <c r="S182" s="30"/>
      <c r="T182" s="30"/>
      <c r="U182" s="30"/>
      <c r="V182" s="34" t="str">
        <f aca="false">IF(A182="","",IF(IFERROR(INDEX($D:$D,MATCH(A182,$A:$A,0)),"")="","",TRIM(IF(ISNUMBER(FIND(",",IFERROR(INDEX($D:$D,MATCH(A182,$A:$A,0)),""))),LEFT(IFERROR(INDEX($D:$D,MATCH(A182,$A:$A,0)),""),FIND(",",IFERROR(INDEX($D:$D,MATCH(A182,$A:$A,0)),""))-1),IFERROR(INDEX($D:$D,MATCH(A182,$A:$A,0)),"")))))</f>
        <v/>
      </c>
      <c r="W182" s="34" t="str">
        <f aca="false">IF(V182="","",IF(IFERROR(INDEX($D:$D,MATCH(V182,$A:$A,0)),"")="","",TRIM(IF(ISNUMBER(FIND(",",IFERROR(INDEX($D:$D,MATCH(V182,$A:$A,0)),""))),LEFT(IFERROR(INDEX($D:$D,MATCH(V182,$A:$A,0)),""),FIND(",",IFERROR(INDEX($D:$D,MATCH(V182,$A:$A,0)),""))-1),IFERROR(INDEX($D:$D,MATCH(V182,$A:$A,0)),"")))))</f>
        <v/>
      </c>
      <c r="X182" s="34" t="str">
        <f aca="false">IF(W182="","",IF(IFERROR(INDEX($D:$D,MATCH(W182,$A:$A,0)),"")="","",TRIM(IF(ISNUMBER(FIND(",",IFERROR(INDEX($D:$D,MATCH(W182,$A:$A,0)),""))),LEFT(IFERROR(INDEX($D:$D,MATCH(W182,$A:$A,0)),""),FIND(",",IFERROR(INDEX($D:$D,MATCH(W182,$A:$A,0)),""))-1),IFERROR(INDEX($D:$D,MATCH(W182,$A:$A,0)),"")))))</f>
        <v/>
      </c>
      <c r="Y182" s="34" t="str">
        <f aca="false">IF(X182="","",IF(IFERROR(INDEX($D:$D,MATCH(X182,$A:$A,0)),"")="","",TRIM(IF(ISNUMBER(FIND(",",IFERROR(INDEX($D:$D,MATCH(X182,$A:$A,0)),""))),LEFT(IFERROR(INDEX($D:$D,MATCH(X182,$A:$A,0)),""),FIND(",",IFERROR(INDEX($D:$D,MATCH(X182,$A:$A,0)),""))-1),IFERROR(INDEX($D:$D,MATCH(X182,$A:$A,0)),"")))))</f>
        <v/>
      </c>
      <c r="Z182" s="34" t="str">
        <f aca="false">IF(AND(A182&lt;&gt;"",L182="Retire"),COUNTIF($L$5:L182,"Retire"),"")</f>
        <v/>
      </c>
      <c r="AA182" s="34" t="str">
        <f aca="false">IF(AND(A182&lt;&gt;"",L182="Build"),COUNTIF($L$5:L182,"Build"),"")</f>
        <v/>
      </c>
      <c r="AB182" s="34" t="str">
        <f aca="false">IF(AND(A182&lt;&gt;"",OR(M182="4+",AND(ISNUMBER(M182),M182&gt;=2))),SUMPRODUCT(($A$5:A182&lt;&gt;"")*(($M$5:M182="4+")+(ISNUMBER($M$5:M182)*($M$5:M182&gt;=2)))),"")</f>
        <v/>
      </c>
      <c r="AC182" s="34" t="str">
        <f aca="false">IF(AND(A182&lt;&gt;"",OR(L182="",L182="Undecided",K182="")),SUMPRODUCT(($A$5:A182&lt;&gt;"")*(($L$5:L182="")+($L$5:L182="Undecided")+($K$5:K182=""))&gt;0*1),"")</f>
        <v/>
      </c>
    </row>
    <row r="183" customFormat="false" ht="15" hidden="false" customHeight="false" outlineLevel="0" collapsed="false">
      <c r="A183" s="29"/>
      <c r="B183" s="30"/>
      <c r="C183" s="30"/>
      <c r="D183" s="30"/>
      <c r="E183" s="30"/>
      <c r="F183" s="30"/>
      <c r="G183" s="30"/>
      <c r="H183" s="30"/>
      <c r="I183" s="30"/>
      <c r="J183" s="30"/>
      <c r="K183" s="30"/>
      <c r="L183" s="30"/>
      <c r="M183" s="20" t="str">
        <f aca="false">IF(A183="","",IF(V183="",0,IF(W183="",1,IF(X183="",2,IF(Y183="",3,"4+")))))</f>
        <v/>
      </c>
      <c r="N183" s="20" t="str">
        <f aca="false">IF(A183="","",A183&amp;IF(V183="",""," &lt;- "&amp;V183&amp;IF(W183="",""," &lt;- "&amp;W183&amp;IF(X183="",""," &lt;- "&amp;X183&amp;IF(Y183="",""," &lt;- "&amp;Y183))))&amp;IF(ISNUMBER(FIND(",",D183))," (+ other parents)",""))</f>
        <v/>
      </c>
      <c r="O183" s="20" t="str">
        <f aca="false">IF(A183="","",COUNTIF(Fields!$D:$D,A183))</f>
        <v/>
      </c>
      <c r="P183" s="20" t="str">
        <f aca="false">IF(A183="","",SUMIF(Fields!$D:$D,A183,Fields!$O:$O))</f>
        <v/>
      </c>
      <c r="Q183" s="30"/>
      <c r="R183" s="30"/>
      <c r="S183" s="30"/>
      <c r="T183" s="30"/>
      <c r="U183" s="30"/>
      <c r="V183" s="34" t="str">
        <f aca="false">IF(A183="","",IF(IFERROR(INDEX($D:$D,MATCH(A183,$A:$A,0)),"")="","",TRIM(IF(ISNUMBER(FIND(",",IFERROR(INDEX($D:$D,MATCH(A183,$A:$A,0)),""))),LEFT(IFERROR(INDEX($D:$D,MATCH(A183,$A:$A,0)),""),FIND(",",IFERROR(INDEX($D:$D,MATCH(A183,$A:$A,0)),""))-1),IFERROR(INDEX($D:$D,MATCH(A183,$A:$A,0)),"")))))</f>
        <v/>
      </c>
      <c r="W183" s="34" t="str">
        <f aca="false">IF(V183="","",IF(IFERROR(INDEX($D:$D,MATCH(V183,$A:$A,0)),"")="","",TRIM(IF(ISNUMBER(FIND(",",IFERROR(INDEX($D:$D,MATCH(V183,$A:$A,0)),""))),LEFT(IFERROR(INDEX($D:$D,MATCH(V183,$A:$A,0)),""),FIND(",",IFERROR(INDEX($D:$D,MATCH(V183,$A:$A,0)),""))-1),IFERROR(INDEX($D:$D,MATCH(V183,$A:$A,0)),"")))))</f>
        <v/>
      </c>
      <c r="X183" s="34" t="str">
        <f aca="false">IF(W183="","",IF(IFERROR(INDEX($D:$D,MATCH(W183,$A:$A,0)),"")="","",TRIM(IF(ISNUMBER(FIND(",",IFERROR(INDEX($D:$D,MATCH(W183,$A:$A,0)),""))),LEFT(IFERROR(INDEX($D:$D,MATCH(W183,$A:$A,0)),""),FIND(",",IFERROR(INDEX($D:$D,MATCH(W183,$A:$A,0)),""))-1),IFERROR(INDEX($D:$D,MATCH(W183,$A:$A,0)),"")))))</f>
        <v/>
      </c>
      <c r="Y183" s="34" t="str">
        <f aca="false">IF(X183="","",IF(IFERROR(INDEX($D:$D,MATCH(X183,$A:$A,0)),"")="","",TRIM(IF(ISNUMBER(FIND(",",IFERROR(INDEX($D:$D,MATCH(X183,$A:$A,0)),""))),LEFT(IFERROR(INDEX($D:$D,MATCH(X183,$A:$A,0)),""),FIND(",",IFERROR(INDEX($D:$D,MATCH(X183,$A:$A,0)),""))-1),IFERROR(INDEX($D:$D,MATCH(X183,$A:$A,0)),"")))))</f>
        <v/>
      </c>
      <c r="Z183" s="34" t="str">
        <f aca="false">IF(AND(A183&lt;&gt;"",L183="Retire"),COUNTIF($L$5:L183,"Retire"),"")</f>
        <v/>
      </c>
      <c r="AA183" s="34" t="str">
        <f aca="false">IF(AND(A183&lt;&gt;"",L183="Build"),COUNTIF($L$5:L183,"Build"),"")</f>
        <v/>
      </c>
      <c r="AB183" s="34" t="str">
        <f aca="false">IF(AND(A183&lt;&gt;"",OR(M183="4+",AND(ISNUMBER(M183),M183&gt;=2))),SUMPRODUCT(($A$5:A183&lt;&gt;"")*(($M$5:M183="4+")+(ISNUMBER($M$5:M183)*($M$5:M183&gt;=2)))),"")</f>
        <v/>
      </c>
      <c r="AC183" s="34" t="str">
        <f aca="false">IF(AND(A183&lt;&gt;"",OR(L183="",L183="Undecided",K183="")),SUMPRODUCT(($A$5:A183&lt;&gt;"")*(($L$5:L183="")+($L$5:L183="Undecided")+($K$5:K183=""))&gt;0*1),"")</f>
        <v/>
      </c>
    </row>
    <row r="184" customFormat="false" ht="15" hidden="false" customHeight="false" outlineLevel="0" collapsed="false">
      <c r="A184" s="29"/>
      <c r="B184" s="30"/>
      <c r="C184" s="30"/>
      <c r="D184" s="30"/>
      <c r="E184" s="30"/>
      <c r="F184" s="30"/>
      <c r="G184" s="30"/>
      <c r="H184" s="30"/>
      <c r="I184" s="30"/>
      <c r="J184" s="30"/>
      <c r="K184" s="30"/>
      <c r="L184" s="30"/>
      <c r="M184" s="20" t="str">
        <f aca="false">IF(A184="","",IF(V184="",0,IF(W184="",1,IF(X184="",2,IF(Y184="",3,"4+")))))</f>
        <v/>
      </c>
      <c r="N184" s="20" t="str">
        <f aca="false">IF(A184="","",A184&amp;IF(V184="",""," &lt;- "&amp;V184&amp;IF(W184="",""," &lt;- "&amp;W184&amp;IF(X184="",""," &lt;- "&amp;X184&amp;IF(Y184="",""," &lt;- "&amp;Y184))))&amp;IF(ISNUMBER(FIND(",",D184))," (+ other parents)",""))</f>
        <v/>
      </c>
      <c r="O184" s="20" t="str">
        <f aca="false">IF(A184="","",COUNTIF(Fields!$D:$D,A184))</f>
        <v/>
      </c>
      <c r="P184" s="20" t="str">
        <f aca="false">IF(A184="","",SUMIF(Fields!$D:$D,A184,Fields!$O:$O))</f>
        <v/>
      </c>
      <c r="Q184" s="30"/>
      <c r="R184" s="30"/>
      <c r="S184" s="30"/>
      <c r="T184" s="30"/>
      <c r="U184" s="30"/>
      <c r="V184" s="34" t="str">
        <f aca="false">IF(A184="","",IF(IFERROR(INDEX($D:$D,MATCH(A184,$A:$A,0)),"")="","",TRIM(IF(ISNUMBER(FIND(",",IFERROR(INDEX($D:$D,MATCH(A184,$A:$A,0)),""))),LEFT(IFERROR(INDEX($D:$D,MATCH(A184,$A:$A,0)),""),FIND(",",IFERROR(INDEX($D:$D,MATCH(A184,$A:$A,0)),""))-1),IFERROR(INDEX($D:$D,MATCH(A184,$A:$A,0)),"")))))</f>
        <v/>
      </c>
      <c r="W184" s="34" t="str">
        <f aca="false">IF(V184="","",IF(IFERROR(INDEX($D:$D,MATCH(V184,$A:$A,0)),"")="","",TRIM(IF(ISNUMBER(FIND(",",IFERROR(INDEX($D:$D,MATCH(V184,$A:$A,0)),""))),LEFT(IFERROR(INDEX($D:$D,MATCH(V184,$A:$A,0)),""),FIND(",",IFERROR(INDEX($D:$D,MATCH(V184,$A:$A,0)),""))-1),IFERROR(INDEX($D:$D,MATCH(V184,$A:$A,0)),"")))))</f>
        <v/>
      </c>
      <c r="X184" s="34" t="str">
        <f aca="false">IF(W184="","",IF(IFERROR(INDEX($D:$D,MATCH(W184,$A:$A,0)),"")="","",TRIM(IF(ISNUMBER(FIND(",",IFERROR(INDEX($D:$D,MATCH(W184,$A:$A,0)),""))),LEFT(IFERROR(INDEX($D:$D,MATCH(W184,$A:$A,0)),""),FIND(",",IFERROR(INDEX($D:$D,MATCH(W184,$A:$A,0)),""))-1),IFERROR(INDEX($D:$D,MATCH(W184,$A:$A,0)),"")))))</f>
        <v/>
      </c>
      <c r="Y184" s="34" t="str">
        <f aca="false">IF(X184="","",IF(IFERROR(INDEX($D:$D,MATCH(X184,$A:$A,0)),"")="","",TRIM(IF(ISNUMBER(FIND(",",IFERROR(INDEX($D:$D,MATCH(X184,$A:$A,0)),""))),LEFT(IFERROR(INDEX($D:$D,MATCH(X184,$A:$A,0)),""),FIND(",",IFERROR(INDEX($D:$D,MATCH(X184,$A:$A,0)),""))-1),IFERROR(INDEX($D:$D,MATCH(X184,$A:$A,0)),"")))))</f>
        <v/>
      </c>
      <c r="Z184" s="34" t="str">
        <f aca="false">IF(AND(A184&lt;&gt;"",L184="Retire"),COUNTIF($L$5:L184,"Retire"),"")</f>
        <v/>
      </c>
      <c r="AA184" s="34" t="str">
        <f aca="false">IF(AND(A184&lt;&gt;"",L184="Build"),COUNTIF($L$5:L184,"Build"),"")</f>
        <v/>
      </c>
      <c r="AB184" s="34" t="str">
        <f aca="false">IF(AND(A184&lt;&gt;"",OR(M184="4+",AND(ISNUMBER(M184),M184&gt;=2))),SUMPRODUCT(($A$5:A184&lt;&gt;"")*(($M$5:M184="4+")+(ISNUMBER($M$5:M184)*($M$5:M184&gt;=2)))),"")</f>
        <v/>
      </c>
      <c r="AC184" s="34" t="str">
        <f aca="false">IF(AND(A184&lt;&gt;"",OR(L184="",L184="Undecided",K184="")),SUMPRODUCT(($A$5:A184&lt;&gt;"")*(($L$5:L184="")+($L$5:L184="Undecided")+($K$5:K184=""))&gt;0*1),"")</f>
        <v/>
      </c>
    </row>
    <row r="185" customFormat="false" ht="15" hidden="false" customHeight="false" outlineLevel="0" collapsed="false">
      <c r="A185" s="29"/>
      <c r="B185" s="30"/>
      <c r="C185" s="30"/>
      <c r="D185" s="30"/>
      <c r="E185" s="30"/>
      <c r="F185" s="30"/>
      <c r="G185" s="30"/>
      <c r="H185" s="30"/>
      <c r="I185" s="30"/>
      <c r="J185" s="30"/>
      <c r="K185" s="30"/>
      <c r="L185" s="30"/>
      <c r="M185" s="20" t="str">
        <f aca="false">IF(A185="","",IF(V185="",0,IF(W185="",1,IF(X185="",2,IF(Y185="",3,"4+")))))</f>
        <v/>
      </c>
      <c r="N185" s="20" t="str">
        <f aca="false">IF(A185="","",A185&amp;IF(V185="",""," &lt;- "&amp;V185&amp;IF(W185="",""," &lt;- "&amp;W185&amp;IF(X185="",""," &lt;- "&amp;X185&amp;IF(Y185="",""," &lt;- "&amp;Y185))))&amp;IF(ISNUMBER(FIND(",",D185))," (+ other parents)",""))</f>
        <v/>
      </c>
      <c r="O185" s="20" t="str">
        <f aca="false">IF(A185="","",COUNTIF(Fields!$D:$D,A185))</f>
        <v/>
      </c>
      <c r="P185" s="20" t="str">
        <f aca="false">IF(A185="","",SUMIF(Fields!$D:$D,A185,Fields!$O:$O))</f>
        <v/>
      </c>
      <c r="Q185" s="30"/>
      <c r="R185" s="30"/>
      <c r="S185" s="30"/>
      <c r="T185" s="30"/>
      <c r="U185" s="30"/>
      <c r="V185" s="34" t="str">
        <f aca="false">IF(A185="","",IF(IFERROR(INDEX($D:$D,MATCH(A185,$A:$A,0)),"")="","",TRIM(IF(ISNUMBER(FIND(",",IFERROR(INDEX($D:$D,MATCH(A185,$A:$A,0)),""))),LEFT(IFERROR(INDEX($D:$D,MATCH(A185,$A:$A,0)),""),FIND(",",IFERROR(INDEX($D:$D,MATCH(A185,$A:$A,0)),""))-1),IFERROR(INDEX($D:$D,MATCH(A185,$A:$A,0)),"")))))</f>
        <v/>
      </c>
      <c r="W185" s="34" t="str">
        <f aca="false">IF(V185="","",IF(IFERROR(INDEX($D:$D,MATCH(V185,$A:$A,0)),"")="","",TRIM(IF(ISNUMBER(FIND(",",IFERROR(INDEX($D:$D,MATCH(V185,$A:$A,0)),""))),LEFT(IFERROR(INDEX($D:$D,MATCH(V185,$A:$A,0)),""),FIND(",",IFERROR(INDEX($D:$D,MATCH(V185,$A:$A,0)),""))-1),IFERROR(INDEX($D:$D,MATCH(V185,$A:$A,0)),"")))))</f>
        <v/>
      </c>
      <c r="X185" s="34" t="str">
        <f aca="false">IF(W185="","",IF(IFERROR(INDEX($D:$D,MATCH(W185,$A:$A,0)),"")="","",TRIM(IF(ISNUMBER(FIND(",",IFERROR(INDEX($D:$D,MATCH(W185,$A:$A,0)),""))),LEFT(IFERROR(INDEX($D:$D,MATCH(W185,$A:$A,0)),""),FIND(",",IFERROR(INDEX($D:$D,MATCH(W185,$A:$A,0)),""))-1),IFERROR(INDEX($D:$D,MATCH(W185,$A:$A,0)),"")))))</f>
        <v/>
      </c>
      <c r="Y185" s="34" t="str">
        <f aca="false">IF(X185="","",IF(IFERROR(INDEX($D:$D,MATCH(X185,$A:$A,0)),"")="","",TRIM(IF(ISNUMBER(FIND(",",IFERROR(INDEX($D:$D,MATCH(X185,$A:$A,0)),""))),LEFT(IFERROR(INDEX($D:$D,MATCH(X185,$A:$A,0)),""),FIND(",",IFERROR(INDEX($D:$D,MATCH(X185,$A:$A,0)),""))-1),IFERROR(INDEX($D:$D,MATCH(X185,$A:$A,0)),"")))))</f>
        <v/>
      </c>
      <c r="Z185" s="34" t="str">
        <f aca="false">IF(AND(A185&lt;&gt;"",L185="Retire"),COUNTIF($L$5:L185,"Retire"),"")</f>
        <v/>
      </c>
      <c r="AA185" s="34" t="str">
        <f aca="false">IF(AND(A185&lt;&gt;"",L185="Build"),COUNTIF($L$5:L185,"Build"),"")</f>
        <v/>
      </c>
      <c r="AB185" s="34" t="str">
        <f aca="false">IF(AND(A185&lt;&gt;"",OR(M185="4+",AND(ISNUMBER(M185),M185&gt;=2))),SUMPRODUCT(($A$5:A185&lt;&gt;"")*(($M$5:M185="4+")+(ISNUMBER($M$5:M185)*($M$5:M185&gt;=2)))),"")</f>
        <v/>
      </c>
      <c r="AC185" s="34" t="str">
        <f aca="false">IF(AND(A185&lt;&gt;"",OR(L185="",L185="Undecided",K185="")),SUMPRODUCT(($A$5:A185&lt;&gt;"")*(($L$5:L185="")+($L$5:L185="Undecided")+($K$5:K185=""))&gt;0*1),"")</f>
        <v/>
      </c>
    </row>
    <row r="186" customFormat="false" ht="15" hidden="false" customHeight="false" outlineLevel="0" collapsed="false">
      <c r="A186" s="29"/>
      <c r="B186" s="30"/>
      <c r="C186" s="30"/>
      <c r="D186" s="30"/>
      <c r="E186" s="30"/>
      <c r="F186" s="30"/>
      <c r="G186" s="30"/>
      <c r="H186" s="30"/>
      <c r="I186" s="30"/>
      <c r="J186" s="30"/>
      <c r="K186" s="30"/>
      <c r="L186" s="30"/>
      <c r="M186" s="20" t="str">
        <f aca="false">IF(A186="","",IF(V186="",0,IF(W186="",1,IF(X186="",2,IF(Y186="",3,"4+")))))</f>
        <v/>
      </c>
      <c r="N186" s="20" t="str">
        <f aca="false">IF(A186="","",A186&amp;IF(V186="",""," &lt;- "&amp;V186&amp;IF(W186="",""," &lt;- "&amp;W186&amp;IF(X186="",""," &lt;- "&amp;X186&amp;IF(Y186="",""," &lt;- "&amp;Y186))))&amp;IF(ISNUMBER(FIND(",",D186))," (+ other parents)",""))</f>
        <v/>
      </c>
      <c r="O186" s="20" t="str">
        <f aca="false">IF(A186="","",COUNTIF(Fields!$D:$D,A186))</f>
        <v/>
      </c>
      <c r="P186" s="20" t="str">
        <f aca="false">IF(A186="","",SUMIF(Fields!$D:$D,A186,Fields!$O:$O))</f>
        <v/>
      </c>
      <c r="Q186" s="30"/>
      <c r="R186" s="30"/>
      <c r="S186" s="30"/>
      <c r="T186" s="30"/>
      <c r="U186" s="30"/>
      <c r="V186" s="34" t="str">
        <f aca="false">IF(A186="","",IF(IFERROR(INDEX($D:$D,MATCH(A186,$A:$A,0)),"")="","",TRIM(IF(ISNUMBER(FIND(",",IFERROR(INDEX($D:$D,MATCH(A186,$A:$A,0)),""))),LEFT(IFERROR(INDEX($D:$D,MATCH(A186,$A:$A,0)),""),FIND(",",IFERROR(INDEX($D:$D,MATCH(A186,$A:$A,0)),""))-1),IFERROR(INDEX($D:$D,MATCH(A186,$A:$A,0)),"")))))</f>
        <v/>
      </c>
      <c r="W186" s="34" t="str">
        <f aca="false">IF(V186="","",IF(IFERROR(INDEX($D:$D,MATCH(V186,$A:$A,0)),"")="","",TRIM(IF(ISNUMBER(FIND(",",IFERROR(INDEX($D:$D,MATCH(V186,$A:$A,0)),""))),LEFT(IFERROR(INDEX($D:$D,MATCH(V186,$A:$A,0)),""),FIND(",",IFERROR(INDEX($D:$D,MATCH(V186,$A:$A,0)),""))-1),IFERROR(INDEX($D:$D,MATCH(V186,$A:$A,0)),"")))))</f>
        <v/>
      </c>
      <c r="X186" s="34" t="str">
        <f aca="false">IF(W186="","",IF(IFERROR(INDEX($D:$D,MATCH(W186,$A:$A,0)),"")="","",TRIM(IF(ISNUMBER(FIND(",",IFERROR(INDEX($D:$D,MATCH(W186,$A:$A,0)),""))),LEFT(IFERROR(INDEX($D:$D,MATCH(W186,$A:$A,0)),""),FIND(",",IFERROR(INDEX($D:$D,MATCH(W186,$A:$A,0)),""))-1),IFERROR(INDEX($D:$D,MATCH(W186,$A:$A,0)),"")))))</f>
        <v/>
      </c>
      <c r="Y186" s="34" t="str">
        <f aca="false">IF(X186="","",IF(IFERROR(INDEX($D:$D,MATCH(X186,$A:$A,0)),"")="","",TRIM(IF(ISNUMBER(FIND(",",IFERROR(INDEX($D:$D,MATCH(X186,$A:$A,0)),""))),LEFT(IFERROR(INDEX($D:$D,MATCH(X186,$A:$A,0)),""),FIND(",",IFERROR(INDEX($D:$D,MATCH(X186,$A:$A,0)),""))-1),IFERROR(INDEX($D:$D,MATCH(X186,$A:$A,0)),"")))))</f>
        <v/>
      </c>
      <c r="Z186" s="34" t="str">
        <f aca="false">IF(AND(A186&lt;&gt;"",L186="Retire"),COUNTIF($L$5:L186,"Retire"),"")</f>
        <v/>
      </c>
      <c r="AA186" s="34" t="str">
        <f aca="false">IF(AND(A186&lt;&gt;"",L186="Build"),COUNTIF($L$5:L186,"Build"),"")</f>
        <v/>
      </c>
      <c r="AB186" s="34" t="str">
        <f aca="false">IF(AND(A186&lt;&gt;"",OR(M186="4+",AND(ISNUMBER(M186),M186&gt;=2))),SUMPRODUCT(($A$5:A186&lt;&gt;"")*(($M$5:M186="4+")+(ISNUMBER($M$5:M186)*($M$5:M186&gt;=2)))),"")</f>
        <v/>
      </c>
      <c r="AC186" s="34" t="str">
        <f aca="false">IF(AND(A186&lt;&gt;"",OR(L186="",L186="Undecided",K186="")),SUMPRODUCT(($A$5:A186&lt;&gt;"")*(($L$5:L186="")+($L$5:L186="Undecided")+($K$5:K186=""))&gt;0*1),"")</f>
        <v/>
      </c>
    </row>
    <row r="187" customFormat="false" ht="15" hidden="false" customHeight="false" outlineLevel="0" collapsed="false">
      <c r="A187" s="29"/>
      <c r="B187" s="30"/>
      <c r="C187" s="30"/>
      <c r="D187" s="30"/>
      <c r="E187" s="30"/>
      <c r="F187" s="30"/>
      <c r="G187" s="30"/>
      <c r="H187" s="30"/>
      <c r="I187" s="30"/>
      <c r="J187" s="30"/>
      <c r="K187" s="30"/>
      <c r="L187" s="30"/>
      <c r="M187" s="20" t="str">
        <f aca="false">IF(A187="","",IF(V187="",0,IF(W187="",1,IF(X187="",2,IF(Y187="",3,"4+")))))</f>
        <v/>
      </c>
      <c r="N187" s="20" t="str">
        <f aca="false">IF(A187="","",A187&amp;IF(V187="",""," &lt;- "&amp;V187&amp;IF(W187="",""," &lt;- "&amp;W187&amp;IF(X187="",""," &lt;- "&amp;X187&amp;IF(Y187="",""," &lt;- "&amp;Y187))))&amp;IF(ISNUMBER(FIND(",",D187))," (+ other parents)",""))</f>
        <v/>
      </c>
      <c r="O187" s="20" t="str">
        <f aca="false">IF(A187="","",COUNTIF(Fields!$D:$D,A187))</f>
        <v/>
      </c>
      <c r="P187" s="20" t="str">
        <f aca="false">IF(A187="","",SUMIF(Fields!$D:$D,A187,Fields!$O:$O))</f>
        <v/>
      </c>
      <c r="Q187" s="30"/>
      <c r="R187" s="30"/>
      <c r="S187" s="30"/>
      <c r="T187" s="30"/>
      <c r="U187" s="30"/>
      <c r="V187" s="34" t="str">
        <f aca="false">IF(A187="","",IF(IFERROR(INDEX($D:$D,MATCH(A187,$A:$A,0)),"")="","",TRIM(IF(ISNUMBER(FIND(",",IFERROR(INDEX($D:$D,MATCH(A187,$A:$A,0)),""))),LEFT(IFERROR(INDEX($D:$D,MATCH(A187,$A:$A,0)),""),FIND(",",IFERROR(INDEX($D:$D,MATCH(A187,$A:$A,0)),""))-1),IFERROR(INDEX($D:$D,MATCH(A187,$A:$A,0)),"")))))</f>
        <v/>
      </c>
      <c r="W187" s="34" t="str">
        <f aca="false">IF(V187="","",IF(IFERROR(INDEX($D:$D,MATCH(V187,$A:$A,0)),"")="","",TRIM(IF(ISNUMBER(FIND(",",IFERROR(INDEX($D:$D,MATCH(V187,$A:$A,0)),""))),LEFT(IFERROR(INDEX($D:$D,MATCH(V187,$A:$A,0)),""),FIND(",",IFERROR(INDEX($D:$D,MATCH(V187,$A:$A,0)),""))-1),IFERROR(INDEX($D:$D,MATCH(V187,$A:$A,0)),"")))))</f>
        <v/>
      </c>
      <c r="X187" s="34" t="str">
        <f aca="false">IF(W187="","",IF(IFERROR(INDEX($D:$D,MATCH(W187,$A:$A,0)),"")="","",TRIM(IF(ISNUMBER(FIND(",",IFERROR(INDEX($D:$D,MATCH(W187,$A:$A,0)),""))),LEFT(IFERROR(INDEX($D:$D,MATCH(W187,$A:$A,0)),""),FIND(",",IFERROR(INDEX($D:$D,MATCH(W187,$A:$A,0)),""))-1),IFERROR(INDEX($D:$D,MATCH(W187,$A:$A,0)),"")))))</f>
        <v/>
      </c>
      <c r="Y187" s="34" t="str">
        <f aca="false">IF(X187="","",IF(IFERROR(INDEX($D:$D,MATCH(X187,$A:$A,0)),"")="","",TRIM(IF(ISNUMBER(FIND(",",IFERROR(INDEX($D:$D,MATCH(X187,$A:$A,0)),""))),LEFT(IFERROR(INDEX($D:$D,MATCH(X187,$A:$A,0)),""),FIND(",",IFERROR(INDEX($D:$D,MATCH(X187,$A:$A,0)),""))-1),IFERROR(INDEX($D:$D,MATCH(X187,$A:$A,0)),"")))))</f>
        <v/>
      </c>
      <c r="Z187" s="34" t="str">
        <f aca="false">IF(AND(A187&lt;&gt;"",L187="Retire"),COUNTIF($L$5:L187,"Retire"),"")</f>
        <v/>
      </c>
      <c r="AA187" s="34" t="str">
        <f aca="false">IF(AND(A187&lt;&gt;"",L187="Build"),COUNTIF($L$5:L187,"Build"),"")</f>
        <v/>
      </c>
      <c r="AB187" s="34" t="str">
        <f aca="false">IF(AND(A187&lt;&gt;"",OR(M187="4+",AND(ISNUMBER(M187),M187&gt;=2))),SUMPRODUCT(($A$5:A187&lt;&gt;"")*(($M$5:M187="4+")+(ISNUMBER($M$5:M187)*($M$5:M187&gt;=2)))),"")</f>
        <v/>
      </c>
      <c r="AC187" s="34" t="str">
        <f aca="false">IF(AND(A187&lt;&gt;"",OR(L187="",L187="Undecided",K187="")),SUMPRODUCT(($A$5:A187&lt;&gt;"")*(($L$5:L187="")+($L$5:L187="Undecided")+($K$5:K187=""))&gt;0*1),"")</f>
        <v/>
      </c>
    </row>
    <row r="188" customFormat="false" ht="15" hidden="false" customHeight="false" outlineLevel="0" collapsed="false">
      <c r="A188" s="29"/>
      <c r="B188" s="30"/>
      <c r="C188" s="30"/>
      <c r="D188" s="30"/>
      <c r="E188" s="30"/>
      <c r="F188" s="30"/>
      <c r="G188" s="30"/>
      <c r="H188" s="30"/>
      <c r="I188" s="30"/>
      <c r="J188" s="30"/>
      <c r="K188" s="30"/>
      <c r="L188" s="30"/>
      <c r="M188" s="20" t="str">
        <f aca="false">IF(A188="","",IF(V188="",0,IF(W188="",1,IF(X188="",2,IF(Y188="",3,"4+")))))</f>
        <v/>
      </c>
      <c r="N188" s="20" t="str">
        <f aca="false">IF(A188="","",A188&amp;IF(V188="",""," &lt;- "&amp;V188&amp;IF(W188="",""," &lt;- "&amp;W188&amp;IF(X188="",""," &lt;- "&amp;X188&amp;IF(Y188="",""," &lt;- "&amp;Y188))))&amp;IF(ISNUMBER(FIND(",",D188))," (+ other parents)",""))</f>
        <v/>
      </c>
      <c r="O188" s="20" t="str">
        <f aca="false">IF(A188="","",COUNTIF(Fields!$D:$D,A188))</f>
        <v/>
      </c>
      <c r="P188" s="20" t="str">
        <f aca="false">IF(A188="","",SUMIF(Fields!$D:$D,A188,Fields!$O:$O))</f>
        <v/>
      </c>
      <c r="Q188" s="30"/>
      <c r="R188" s="30"/>
      <c r="S188" s="30"/>
      <c r="T188" s="30"/>
      <c r="U188" s="30"/>
      <c r="V188" s="34" t="str">
        <f aca="false">IF(A188="","",IF(IFERROR(INDEX($D:$D,MATCH(A188,$A:$A,0)),"")="","",TRIM(IF(ISNUMBER(FIND(",",IFERROR(INDEX($D:$D,MATCH(A188,$A:$A,0)),""))),LEFT(IFERROR(INDEX($D:$D,MATCH(A188,$A:$A,0)),""),FIND(",",IFERROR(INDEX($D:$D,MATCH(A188,$A:$A,0)),""))-1),IFERROR(INDEX($D:$D,MATCH(A188,$A:$A,0)),"")))))</f>
        <v/>
      </c>
      <c r="W188" s="34" t="str">
        <f aca="false">IF(V188="","",IF(IFERROR(INDEX($D:$D,MATCH(V188,$A:$A,0)),"")="","",TRIM(IF(ISNUMBER(FIND(",",IFERROR(INDEX($D:$D,MATCH(V188,$A:$A,0)),""))),LEFT(IFERROR(INDEX($D:$D,MATCH(V188,$A:$A,0)),""),FIND(",",IFERROR(INDEX($D:$D,MATCH(V188,$A:$A,0)),""))-1),IFERROR(INDEX($D:$D,MATCH(V188,$A:$A,0)),"")))))</f>
        <v/>
      </c>
      <c r="X188" s="34" t="str">
        <f aca="false">IF(W188="","",IF(IFERROR(INDEX($D:$D,MATCH(W188,$A:$A,0)),"")="","",TRIM(IF(ISNUMBER(FIND(",",IFERROR(INDEX($D:$D,MATCH(W188,$A:$A,0)),""))),LEFT(IFERROR(INDEX($D:$D,MATCH(W188,$A:$A,0)),""),FIND(",",IFERROR(INDEX($D:$D,MATCH(W188,$A:$A,0)),""))-1),IFERROR(INDEX($D:$D,MATCH(W188,$A:$A,0)),"")))))</f>
        <v/>
      </c>
      <c r="Y188" s="34" t="str">
        <f aca="false">IF(X188="","",IF(IFERROR(INDEX($D:$D,MATCH(X188,$A:$A,0)),"")="","",TRIM(IF(ISNUMBER(FIND(",",IFERROR(INDEX($D:$D,MATCH(X188,$A:$A,0)),""))),LEFT(IFERROR(INDEX($D:$D,MATCH(X188,$A:$A,0)),""),FIND(",",IFERROR(INDEX($D:$D,MATCH(X188,$A:$A,0)),""))-1),IFERROR(INDEX($D:$D,MATCH(X188,$A:$A,0)),"")))))</f>
        <v/>
      </c>
      <c r="Z188" s="34" t="str">
        <f aca="false">IF(AND(A188&lt;&gt;"",L188="Retire"),COUNTIF($L$5:L188,"Retire"),"")</f>
        <v/>
      </c>
      <c r="AA188" s="34" t="str">
        <f aca="false">IF(AND(A188&lt;&gt;"",L188="Build"),COUNTIF($L$5:L188,"Build"),"")</f>
        <v/>
      </c>
      <c r="AB188" s="34" t="str">
        <f aca="false">IF(AND(A188&lt;&gt;"",OR(M188="4+",AND(ISNUMBER(M188),M188&gt;=2))),SUMPRODUCT(($A$5:A188&lt;&gt;"")*(($M$5:M188="4+")+(ISNUMBER($M$5:M188)*($M$5:M188&gt;=2)))),"")</f>
        <v/>
      </c>
      <c r="AC188" s="34" t="str">
        <f aca="false">IF(AND(A188&lt;&gt;"",OR(L188="",L188="Undecided",K188="")),SUMPRODUCT(($A$5:A188&lt;&gt;"")*(($L$5:L188="")+($L$5:L188="Undecided")+($K$5:K188=""))&gt;0*1),"")</f>
        <v/>
      </c>
    </row>
    <row r="189" customFormat="false" ht="15" hidden="false" customHeight="false" outlineLevel="0" collapsed="false">
      <c r="A189" s="29"/>
      <c r="B189" s="30"/>
      <c r="C189" s="30"/>
      <c r="D189" s="30"/>
      <c r="E189" s="30"/>
      <c r="F189" s="30"/>
      <c r="G189" s="30"/>
      <c r="H189" s="30"/>
      <c r="I189" s="30"/>
      <c r="J189" s="30"/>
      <c r="K189" s="30"/>
      <c r="L189" s="30"/>
      <c r="M189" s="20" t="str">
        <f aca="false">IF(A189="","",IF(V189="",0,IF(W189="",1,IF(X189="",2,IF(Y189="",3,"4+")))))</f>
        <v/>
      </c>
      <c r="N189" s="20" t="str">
        <f aca="false">IF(A189="","",A189&amp;IF(V189="",""," &lt;- "&amp;V189&amp;IF(W189="",""," &lt;- "&amp;W189&amp;IF(X189="",""," &lt;- "&amp;X189&amp;IF(Y189="",""," &lt;- "&amp;Y189))))&amp;IF(ISNUMBER(FIND(",",D189))," (+ other parents)",""))</f>
        <v/>
      </c>
      <c r="O189" s="20" t="str">
        <f aca="false">IF(A189="","",COUNTIF(Fields!$D:$D,A189))</f>
        <v/>
      </c>
      <c r="P189" s="20" t="str">
        <f aca="false">IF(A189="","",SUMIF(Fields!$D:$D,A189,Fields!$O:$O))</f>
        <v/>
      </c>
      <c r="Q189" s="30"/>
      <c r="R189" s="30"/>
      <c r="S189" s="30"/>
      <c r="T189" s="30"/>
      <c r="U189" s="30"/>
      <c r="V189" s="34" t="str">
        <f aca="false">IF(A189="","",IF(IFERROR(INDEX($D:$D,MATCH(A189,$A:$A,0)),"")="","",TRIM(IF(ISNUMBER(FIND(",",IFERROR(INDEX($D:$D,MATCH(A189,$A:$A,0)),""))),LEFT(IFERROR(INDEX($D:$D,MATCH(A189,$A:$A,0)),""),FIND(",",IFERROR(INDEX($D:$D,MATCH(A189,$A:$A,0)),""))-1),IFERROR(INDEX($D:$D,MATCH(A189,$A:$A,0)),"")))))</f>
        <v/>
      </c>
      <c r="W189" s="34" t="str">
        <f aca="false">IF(V189="","",IF(IFERROR(INDEX($D:$D,MATCH(V189,$A:$A,0)),"")="","",TRIM(IF(ISNUMBER(FIND(",",IFERROR(INDEX($D:$D,MATCH(V189,$A:$A,0)),""))),LEFT(IFERROR(INDEX($D:$D,MATCH(V189,$A:$A,0)),""),FIND(",",IFERROR(INDEX($D:$D,MATCH(V189,$A:$A,0)),""))-1),IFERROR(INDEX($D:$D,MATCH(V189,$A:$A,0)),"")))))</f>
        <v/>
      </c>
      <c r="X189" s="34" t="str">
        <f aca="false">IF(W189="","",IF(IFERROR(INDEX($D:$D,MATCH(W189,$A:$A,0)),"")="","",TRIM(IF(ISNUMBER(FIND(",",IFERROR(INDEX($D:$D,MATCH(W189,$A:$A,0)),""))),LEFT(IFERROR(INDEX($D:$D,MATCH(W189,$A:$A,0)),""),FIND(",",IFERROR(INDEX($D:$D,MATCH(W189,$A:$A,0)),""))-1),IFERROR(INDEX($D:$D,MATCH(W189,$A:$A,0)),"")))))</f>
        <v/>
      </c>
      <c r="Y189" s="34" t="str">
        <f aca="false">IF(X189="","",IF(IFERROR(INDEX($D:$D,MATCH(X189,$A:$A,0)),"")="","",TRIM(IF(ISNUMBER(FIND(",",IFERROR(INDEX($D:$D,MATCH(X189,$A:$A,0)),""))),LEFT(IFERROR(INDEX($D:$D,MATCH(X189,$A:$A,0)),""),FIND(",",IFERROR(INDEX($D:$D,MATCH(X189,$A:$A,0)),""))-1),IFERROR(INDEX($D:$D,MATCH(X189,$A:$A,0)),"")))))</f>
        <v/>
      </c>
      <c r="Z189" s="34" t="str">
        <f aca="false">IF(AND(A189&lt;&gt;"",L189="Retire"),COUNTIF($L$5:L189,"Retire"),"")</f>
        <v/>
      </c>
      <c r="AA189" s="34" t="str">
        <f aca="false">IF(AND(A189&lt;&gt;"",L189="Build"),COUNTIF($L$5:L189,"Build"),"")</f>
        <v/>
      </c>
      <c r="AB189" s="34" t="str">
        <f aca="false">IF(AND(A189&lt;&gt;"",OR(M189="4+",AND(ISNUMBER(M189),M189&gt;=2))),SUMPRODUCT(($A$5:A189&lt;&gt;"")*(($M$5:M189="4+")+(ISNUMBER($M$5:M189)*($M$5:M189&gt;=2)))),"")</f>
        <v/>
      </c>
      <c r="AC189" s="34" t="str">
        <f aca="false">IF(AND(A189&lt;&gt;"",OR(L189="",L189="Undecided",K189="")),SUMPRODUCT(($A$5:A189&lt;&gt;"")*(($L$5:L189="")+($L$5:L189="Undecided")+($K$5:K189=""))&gt;0*1),"")</f>
        <v/>
      </c>
    </row>
    <row r="190" customFormat="false" ht="15" hidden="false" customHeight="false" outlineLevel="0" collapsed="false">
      <c r="A190" s="29"/>
      <c r="B190" s="30"/>
      <c r="C190" s="30"/>
      <c r="D190" s="30"/>
      <c r="E190" s="30"/>
      <c r="F190" s="30"/>
      <c r="G190" s="30"/>
      <c r="H190" s="30"/>
      <c r="I190" s="30"/>
      <c r="J190" s="30"/>
      <c r="K190" s="30"/>
      <c r="L190" s="30"/>
      <c r="M190" s="20" t="str">
        <f aca="false">IF(A190="","",IF(V190="",0,IF(W190="",1,IF(X190="",2,IF(Y190="",3,"4+")))))</f>
        <v/>
      </c>
      <c r="N190" s="20" t="str">
        <f aca="false">IF(A190="","",A190&amp;IF(V190="",""," &lt;- "&amp;V190&amp;IF(W190="",""," &lt;- "&amp;W190&amp;IF(X190="",""," &lt;- "&amp;X190&amp;IF(Y190="",""," &lt;- "&amp;Y190))))&amp;IF(ISNUMBER(FIND(",",D190))," (+ other parents)",""))</f>
        <v/>
      </c>
      <c r="O190" s="20" t="str">
        <f aca="false">IF(A190="","",COUNTIF(Fields!$D:$D,A190))</f>
        <v/>
      </c>
      <c r="P190" s="20" t="str">
        <f aca="false">IF(A190="","",SUMIF(Fields!$D:$D,A190,Fields!$O:$O))</f>
        <v/>
      </c>
      <c r="Q190" s="30"/>
      <c r="R190" s="30"/>
      <c r="S190" s="30"/>
      <c r="T190" s="30"/>
      <c r="U190" s="30"/>
      <c r="V190" s="34" t="str">
        <f aca="false">IF(A190="","",IF(IFERROR(INDEX($D:$D,MATCH(A190,$A:$A,0)),"")="","",TRIM(IF(ISNUMBER(FIND(",",IFERROR(INDEX($D:$D,MATCH(A190,$A:$A,0)),""))),LEFT(IFERROR(INDEX($D:$D,MATCH(A190,$A:$A,0)),""),FIND(",",IFERROR(INDEX($D:$D,MATCH(A190,$A:$A,0)),""))-1),IFERROR(INDEX($D:$D,MATCH(A190,$A:$A,0)),"")))))</f>
        <v/>
      </c>
      <c r="W190" s="34" t="str">
        <f aca="false">IF(V190="","",IF(IFERROR(INDEX($D:$D,MATCH(V190,$A:$A,0)),"")="","",TRIM(IF(ISNUMBER(FIND(",",IFERROR(INDEX($D:$D,MATCH(V190,$A:$A,0)),""))),LEFT(IFERROR(INDEX($D:$D,MATCH(V190,$A:$A,0)),""),FIND(",",IFERROR(INDEX($D:$D,MATCH(V190,$A:$A,0)),""))-1),IFERROR(INDEX($D:$D,MATCH(V190,$A:$A,0)),"")))))</f>
        <v/>
      </c>
      <c r="X190" s="34" t="str">
        <f aca="false">IF(W190="","",IF(IFERROR(INDEX($D:$D,MATCH(W190,$A:$A,0)),"")="","",TRIM(IF(ISNUMBER(FIND(",",IFERROR(INDEX($D:$D,MATCH(W190,$A:$A,0)),""))),LEFT(IFERROR(INDEX($D:$D,MATCH(W190,$A:$A,0)),""),FIND(",",IFERROR(INDEX($D:$D,MATCH(W190,$A:$A,0)),""))-1),IFERROR(INDEX($D:$D,MATCH(W190,$A:$A,0)),"")))))</f>
        <v/>
      </c>
      <c r="Y190" s="34" t="str">
        <f aca="false">IF(X190="","",IF(IFERROR(INDEX($D:$D,MATCH(X190,$A:$A,0)),"")="","",TRIM(IF(ISNUMBER(FIND(",",IFERROR(INDEX($D:$D,MATCH(X190,$A:$A,0)),""))),LEFT(IFERROR(INDEX($D:$D,MATCH(X190,$A:$A,0)),""),FIND(",",IFERROR(INDEX($D:$D,MATCH(X190,$A:$A,0)),""))-1),IFERROR(INDEX($D:$D,MATCH(X190,$A:$A,0)),"")))))</f>
        <v/>
      </c>
      <c r="Z190" s="34" t="str">
        <f aca="false">IF(AND(A190&lt;&gt;"",L190="Retire"),COUNTIF($L$5:L190,"Retire"),"")</f>
        <v/>
      </c>
      <c r="AA190" s="34" t="str">
        <f aca="false">IF(AND(A190&lt;&gt;"",L190="Build"),COUNTIF($L$5:L190,"Build"),"")</f>
        <v/>
      </c>
      <c r="AB190" s="34" t="str">
        <f aca="false">IF(AND(A190&lt;&gt;"",OR(M190="4+",AND(ISNUMBER(M190),M190&gt;=2))),SUMPRODUCT(($A$5:A190&lt;&gt;"")*(($M$5:M190="4+")+(ISNUMBER($M$5:M190)*($M$5:M190&gt;=2)))),"")</f>
        <v/>
      </c>
      <c r="AC190" s="34" t="str">
        <f aca="false">IF(AND(A190&lt;&gt;"",OR(L190="",L190="Undecided",K190="")),SUMPRODUCT(($A$5:A190&lt;&gt;"")*(($L$5:L190="")+($L$5:L190="Undecided")+($K$5:K190=""))&gt;0*1),"")</f>
        <v/>
      </c>
    </row>
    <row r="191" customFormat="false" ht="15" hidden="false" customHeight="false" outlineLevel="0" collapsed="false">
      <c r="A191" s="29"/>
      <c r="B191" s="30"/>
      <c r="C191" s="30"/>
      <c r="D191" s="30"/>
      <c r="E191" s="30"/>
      <c r="F191" s="30"/>
      <c r="G191" s="30"/>
      <c r="H191" s="30"/>
      <c r="I191" s="30"/>
      <c r="J191" s="30"/>
      <c r="K191" s="30"/>
      <c r="L191" s="30"/>
      <c r="M191" s="20" t="str">
        <f aca="false">IF(A191="","",IF(V191="",0,IF(W191="",1,IF(X191="",2,IF(Y191="",3,"4+")))))</f>
        <v/>
      </c>
      <c r="N191" s="20" t="str">
        <f aca="false">IF(A191="","",A191&amp;IF(V191="",""," &lt;- "&amp;V191&amp;IF(W191="",""," &lt;- "&amp;W191&amp;IF(X191="",""," &lt;- "&amp;X191&amp;IF(Y191="",""," &lt;- "&amp;Y191))))&amp;IF(ISNUMBER(FIND(",",D191))," (+ other parents)",""))</f>
        <v/>
      </c>
      <c r="O191" s="20" t="str">
        <f aca="false">IF(A191="","",COUNTIF(Fields!$D:$D,A191))</f>
        <v/>
      </c>
      <c r="P191" s="20" t="str">
        <f aca="false">IF(A191="","",SUMIF(Fields!$D:$D,A191,Fields!$O:$O))</f>
        <v/>
      </c>
      <c r="Q191" s="30"/>
      <c r="R191" s="30"/>
      <c r="S191" s="30"/>
      <c r="T191" s="30"/>
      <c r="U191" s="30"/>
      <c r="V191" s="34" t="str">
        <f aca="false">IF(A191="","",IF(IFERROR(INDEX($D:$D,MATCH(A191,$A:$A,0)),"")="","",TRIM(IF(ISNUMBER(FIND(",",IFERROR(INDEX($D:$D,MATCH(A191,$A:$A,0)),""))),LEFT(IFERROR(INDEX($D:$D,MATCH(A191,$A:$A,0)),""),FIND(",",IFERROR(INDEX($D:$D,MATCH(A191,$A:$A,0)),""))-1),IFERROR(INDEX($D:$D,MATCH(A191,$A:$A,0)),"")))))</f>
        <v/>
      </c>
      <c r="W191" s="34" t="str">
        <f aca="false">IF(V191="","",IF(IFERROR(INDEX($D:$D,MATCH(V191,$A:$A,0)),"")="","",TRIM(IF(ISNUMBER(FIND(",",IFERROR(INDEX($D:$D,MATCH(V191,$A:$A,0)),""))),LEFT(IFERROR(INDEX($D:$D,MATCH(V191,$A:$A,0)),""),FIND(",",IFERROR(INDEX($D:$D,MATCH(V191,$A:$A,0)),""))-1),IFERROR(INDEX($D:$D,MATCH(V191,$A:$A,0)),"")))))</f>
        <v/>
      </c>
      <c r="X191" s="34" t="str">
        <f aca="false">IF(W191="","",IF(IFERROR(INDEX($D:$D,MATCH(W191,$A:$A,0)),"")="","",TRIM(IF(ISNUMBER(FIND(",",IFERROR(INDEX($D:$D,MATCH(W191,$A:$A,0)),""))),LEFT(IFERROR(INDEX($D:$D,MATCH(W191,$A:$A,0)),""),FIND(",",IFERROR(INDEX($D:$D,MATCH(W191,$A:$A,0)),""))-1),IFERROR(INDEX($D:$D,MATCH(W191,$A:$A,0)),"")))))</f>
        <v/>
      </c>
      <c r="Y191" s="34" t="str">
        <f aca="false">IF(X191="","",IF(IFERROR(INDEX($D:$D,MATCH(X191,$A:$A,0)),"")="","",TRIM(IF(ISNUMBER(FIND(",",IFERROR(INDEX($D:$D,MATCH(X191,$A:$A,0)),""))),LEFT(IFERROR(INDEX($D:$D,MATCH(X191,$A:$A,0)),""),FIND(",",IFERROR(INDEX($D:$D,MATCH(X191,$A:$A,0)),""))-1),IFERROR(INDEX($D:$D,MATCH(X191,$A:$A,0)),"")))))</f>
        <v/>
      </c>
      <c r="Z191" s="34" t="str">
        <f aca="false">IF(AND(A191&lt;&gt;"",L191="Retire"),COUNTIF($L$5:L191,"Retire"),"")</f>
        <v/>
      </c>
      <c r="AA191" s="34" t="str">
        <f aca="false">IF(AND(A191&lt;&gt;"",L191="Build"),COUNTIF($L$5:L191,"Build"),"")</f>
        <v/>
      </c>
      <c r="AB191" s="34" t="str">
        <f aca="false">IF(AND(A191&lt;&gt;"",OR(M191="4+",AND(ISNUMBER(M191),M191&gt;=2))),SUMPRODUCT(($A$5:A191&lt;&gt;"")*(($M$5:M191="4+")+(ISNUMBER($M$5:M191)*($M$5:M191&gt;=2)))),"")</f>
        <v/>
      </c>
      <c r="AC191" s="34" t="str">
        <f aca="false">IF(AND(A191&lt;&gt;"",OR(L191="",L191="Undecided",K191="")),SUMPRODUCT(($A$5:A191&lt;&gt;"")*(($L$5:L191="")+($L$5:L191="Undecided")+($K$5:K191=""))&gt;0*1),"")</f>
        <v/>
      </c>
    </row>
    <row r="192" customFormat="false" ht="15" hidden="false" customHeight="false" outlineLevel="0" collapsed="false">
      <c r="A192" s="29"/>
      <c r="B192" s="30"/>
      <c r="C192" s="30"/>
      <c r="D192" s="30"/>
      <c r="E192" s="30"/>
      <c r="F192" s="30"/>
      <c r="G192" s="30"/>
      <c r="H192" s="30"/>
      <c r="I192" s="30"/>
      <c r="J192" s="30"/>
      <c r="K192" s="30"/>
      <c r="L192" s="30"/>
      <c r="M192" s="20" t="str">
        <f aca="false">IF(A192="","",IF(V192="",0,IF(W192="",1,IF(X192="",2,IF(Y192="",3,"4+")))))</f>
        <v/>
      </c>
      <c r="N192" s="20" t="str">
        <f aca="false">IF(A192="","",A192&amp;IF(V192="",""," &lt;- "&amp;V192&amp;IF(W192="",""," &lt;- "&amp;W192&amp;IF(X192="",""," &lt;- "&amp;X192&amp;IF(Y192="",""," &lt;- "&amp;Y192))))&amp;IF(ISNUMBER(FIND(",",D192))," (+ other parents)",""))</f>
        <v/>
      </c>
      <c r="O192" s="20" t="str">
        <f aca="false">IF(A192="","",COUNTIF(Fields!$D:$D,A192))</f>
        <v/>
      </c>
      <c r="P192" s="20" t="str">
        <f aca="false">IF(A192="","",SUMIF(Fields!$D:$D,A192,Fields!$O:$O))</f>
        <v/>
      </c>
      <c r="Q192" s="30"/>
      <c r="R192" s="30"/>
      <c r="S192" s="30"/>
      <c r="T192" s="30"/>
      <c r="U192" s="30"/>
      <c r="V192" s="34" t="str">
        <f aca="false">IF(A192="","",IF(IFERROR(INDEX($D:$D,MATCH(A192,$A:$A,0)),"")="","",TRIM(IF(ISNUMBER(FIND(",",IFERROR(INDEX($D:$D,MATCH(A192,$A:$A,0)),""))),LEFT(IFERROR(INDEX($D:$D,MATCH(A192,$A:$A,0)),""),FIND(",",IFERROR(INDEX($D:$D,MATCH(A192,$A:$A,0)),""))-1),IFERROR(INDEX($D:$D,MATCH(A192,$A:$A,0)),"")))))</f>
        <v/>
      </c>
      <c r="W192" s="34" t="str">
        <f aca="false">IF(V192="","",IF(IFERROR(INDEX($D:$D,MATCH(V192,$A:$A,0)),"")="","",TRIM(IF(ISNUMBER(FIND(",",IFERROR(INDEX($D:$D,MATCH(V192,$A:$A,0)),""))),LEFT(IFERROR(INDEX($D:$D,MATCH(V192,$A:$A,0)),""),FIND(",",IFERROR(INDEX($D:$D,MATCH(V192,$A:$A,0)),""))-1),IFERROR(INDEX($D:$D,MATCH(V192,$A:$A,0)),"")))))</f>
        <v/>
      </c>
      <c r="X192" s="34" t="str">
        <f aca="false">IF(W192="","",IF(IFERROR(INDEX($D:$D,MATCH(W192,$A:$A,0)),"")="","",TRIM(IF(ISNUMBER(FIND(",",IFERROR(INDEX($D:$D,MATCH(W192,$A:$A,0)),""))),LEFT(IFERROR(INDEX($D:$D,MATCH(W192,$A:$A,0)),""),FIND(",",IFERROR(INDEX($D:$D,MATCH(W192,$A:$A,0)),""))-1),IFERROR(INDEX($D:$D,MATCH(W192,$A:$A,0)),"")))))</f>
        <v/>
      </c>
      <c r="Y192" s="34" t="str">
        <f aca="false">IF(X192="","",IF(IFERROR(INDEX($D:$D,MATCH(X192,$A:$A,0)),"")="","",TRIM(IF(ISNUMBER(FIND(",",IFERROR(INDEX($D:$D,MATCH(X192,$A:$A,0)),""))),LEFT(IFERROR(INDEX($D:$D,MATCH(X192,$A:$A,0)),""),FIND(",",IFERROR(INDEX($D:$D,MATCH(X192,$A:$A,0)),""))-1),IFERROR(INDEX($D:$D,MATCH(X192,$A:$A,0)),"")))))</f>
        <v/>
      </c>
      <c r="Z192" s="34" t="str">
        <f aca="false">IF(AND(A192&lt;&gt;"",L192="Retire"),COUNTIF($L$5:L192,"Retire"),"")</f>
        <v/>
      </c>
      <c r="AA192" s="34" t="str">
        <f aca="false">IF(AND(A192&lt;&gt;"",L192="Build"),COUNTIF($L$5:L192,"Build"),"")</f>
        <v/>
      </c>
      <c r="AB192" s="34" t="str">
        <f aca="false">IF(AND(A192&lt;&gt;"",OR(M192="4+",AND(ISNUMBER(M192),M192&gt;=2))),SUMPRODUCT(($A$5:A192&lt;&gt;"")*(($M$5:M192="4+")+(ISNUMBER($M$5:M192)*($M$5:M192&gt;=2)))),"")</f>
        <v/>
      </c>
      <c r="AC192" s="34" t="str">
        <f aca="false">IF(AND(A192&lt;&gt;"",OR(L192="",L192="Undecided",K192="")),SUMPRODUCT(($A$5:A192&lt;&gt;"")*(($L$5:L192="")+($L$5:L192="Undecided")+($K$5:K192=""))&gt;0*1),"")</f>
        <v/>
      </c>
    </row>
    <row r="193" customFormat="false" ht="15" hidden="false" customHeight="false" outlineLevel="0" collapsed="false">
      <c r="A193" s="29"/>
      <c r="B193" s="30"/>
      <c r="C193" s="30"/>
      <c r="D193" s="30"/>
      <c r="E193" s="30"/>
      <c r="F193" s="30"/>
      <c r="G193" s="30"/>
      <c r="H193" s="30"/>
      <c r="I193" s="30"/>
      <c r="J193" s="30"/>
      <c r="K193" s="30"/>
      <c r="L193" s="30"/>
      <c r="M193" s="20" t="str">
        <f aca="false">IF(A193="","",IF(V193="",0,IF(W193="",1,IF(X193="",2,IF(Y193="",3,"4+")))))</f>
        <v/>
      </c>
      <c r="N193" s="20" t="str">
        <f aca="false">IF(A193="","",A193&amp;IF(V193="",""," &lt;- "&amp;V193&amp;IF(W193="",""," &lt;- "&amp;W193&amp;IF(X193="",""," &lt;- "&amp;X193&amp;IF(Y193="",""," &lt;- "&amp;Y193))))&amp;IF(ISNUMBER(FIND(",",D193))," (+ other parents)",""))</f>
        <v/>
      </c>
      <c r="O193" s="20" t="str">
        <f aca="false">IF(A193="","",COUNTIF(Fields!$D:$D,A193))</f>
        <v/>
      </c>
      <c r="P193" s="20" t="str">
        <f aca="false">IF(A193="","",SUMIF(Fields!$D:$D,A193,Fields!$O:$O))</f>
        <v/>
      </c>
      <c r="Q193" s="30"/>
      <c r="R193" s="30"/>
      <c r="S193" s="30"/>
      <c r="T193" s="30"/>
      <c r="U193" s="30"/>
      <c r="V193" s="34" t="str">
        <f aca="false">IF(A193="","",IF(IFERROR(INDEX($D:$D,MATCH(A193,$A:$A,0)),"")="","",TRIM(IF(ISNUMBER(FIND(",",IFERROR(INDEX($D:$D,MATCH(A193,$A:$A,0)),""))),LEFT(IFERROR(INDEX($D:$D,MATCH(A193,$A:$A,0)),""),FIND(",",IFERROR(INDEX($D:$D,MATCH(A193,$A:$A,0)),""))-1),IFERROR(INDEX($D:$D,MATCH(A193,$A:$A,0)),"")))))</f>
        <v/>
      </c>
      <c r="W193" s="34" t="str">
        <f aca="false">IF(V193="","",IF(IFERROR(INDEX($D:$D,MATCH(V193,$A:$A,0)),"")="","",TRIM(IF(ISNUMBER(FIND(",",IFERROR(INDEX($D:$D,MATCH(V193,$A:$A,0)),""))),LEFT(IFERROR(INDEX($D:$D,MATCH(V193,$A:$A,0)),""),FIND(",",IFERROR(INDEX($D:$D,MATCH(V193,$A:$A,0)),""))-1),IFERROR(INDEX($D:$D,MATCH(V193,$A:$A,0)),"")))))</f>
        <v/>
      </c>
      <c r="X193" s="34" t="str">
        <f aca="false">IF(W193="","",IF(IFERROR(INDEX($D:$D,MATCH(W193,$A:$A,0)),"")="","",TRIM(IF(ISNUMBER(FIND(",",IFERROR(INDEX($D:$D,MATCH(W193,$A:$A,0)),""))),LEFT(IFERROR(INDEX($D:$D,MATCH(W193,$A:$A,0)),""),FIND(",",IFERROR(INDEX($D:$D,MATCH(W193,$A:$A,0)),""))-1),IFERROR(INDEX($D:$D,MATCH(W193,$A:$A,0)),"")))))</f>
        <v/>
      </c>
      <c r="Y193" s="34" t="str">
        <f aca="false">IF(X193="","",IF(IFERROR(INDEX($D:$D,MATCH(X193,$A:$A,0)),"")="","",TRIM(IF(ISNUMBER(FIND(",",IFERROR(INDEX($D:$D,MATCH(X193,$A:$A,0)),""))),LEFT(IFERROR(INDEX($D:$D,MATCH(X193,$A:$A,0)),""),FIND(",",IFERROR(INDEX($D:$D,MATCH(X193,$A:$A,0)),""))-1),IFERROR(INDEX($D:$D,MATCH(X193,$A:$A,0)),"")))))</f>
        <v/>
      </c>
      <c r="Z193" s="34" t="str">
        <f aca="false">IF(AND(A193&lt;&gt;"",L193="Retire"),COUNTIF($L$5:L193,"Retire"),"")</f>
        <v/>
      </c>
      <c r="AA193" s="34" t="str">
        <f aca="false">IF(AND(A193&lt;&gt;"",L193="Build"),COUNTIF($L$5:L193,"Build"),"")</f>
        <v/>
      </c>
      <c r="AB193" s="34" t="str">
        <f aca="false">IF(AND(A193&lt;&gt;"",OR(M193="4+",AND(ISNUMBER(M193),M193&gt;=2))),SUMPRODUCT(($A$5:A193&lt;&gt;"")*(($M$5:M193="4+")+(ISNUMBER($M$5:M193)*($M$5:M193&gt;=2)))),"")</f>
        <v/>
      </c>
      <c r="AC193" s="34" t="str">
        <f aca="false">IF(AND(A193&lt;&gt;"",OR(L193="",L193="Undecided",K193="")),SUMPRODUCT(($A$5:A193&lt;&gt;"")*(($L$5:L193="")+($L$5:L193="Undecided")+($K$5:K193=""))&gt;0*1),"")</f>
        <v/>
      </c>
    </row>
    <row r="194" customFormat="false" ht="15" hidden="false" customHeight="false" outlineLevel="0" collapsed="false">
      <c r="A194" s="29"/>
      <c r="B194" s="30"/>
      <c r="C194" s="30"/>
      <c r="D194" s="30"/>
      <c r="E194" s="30"/>
      <c r="F194" s="30"/>
      <c r="G194" s="30"/>
      <c r="H194" s="30"/>
      <c r="I194" s="30"/>
      <c r="J194" s="30"/>
      <c r="K194" s="30"/>
      <c r="L194" s="30"/>
      <c r="M194" s="20" t="str">
        <f aca="false">IF(A194="","",IF(V194="",0,IF(W194="",1,IF(X194="",2,IF(Y194="",3,"4+")))))</f>
        <v/>
      </c>
      <c r="N194" s="20" t="str">
        <f aca="false">IF(A194="","",A194&amp;IF(V194="",""," &lt;- "&amp;V194&amp;IF(W194="",""," &lt;- "&amp;W194&amp;IF(X194="",""," &lt;- "&amp;X194&amp;IF(Y194="",""," &lt;- "&amp;Y194))))&amp;IF(ISNUMBER(FIND(",",D194))," (+ other parents)",""))</f>
        <v/>
      </c>
      <c r="O194" s="20" t="str">
        <f aca="false">IF(A194="","",COUNTIF(Fields!$D:$D,A194))</f>
        <v/>
      </c>
      <c r="P194" s="20" t="str">
        <f aca="false">IF(A194="","",SUMIF(Fields!$D:$D,A194,Fields!$O:$O))</f>
        <v/>
      </c>
      <c r="Q194" s="30"/>
      <c r="R194" s="30"/>
      <c r="S194" s="30"/>
      <c r="T194" s="30"/>
      <c r="U194" s="30"/>
      <c r="V194" s="34" t="str">
        <f aca="false">IF(A194="","",IF(IFERROR(INDEX($D:$D,MATCH(A194,$A:$A,0)),"")="","",TRIM(IF(ISNUMBER(FIND(",",IFERROR(INDEX($D:$D,MATCH(A194,$A:$A,0)),""))),LEFT(IFERROR(INDEX($D:$D,MATCH(A194,$A:$A,0)),""),FIND(",",IFERROR(INDEX($D:$D,MATCH(A194,$A:$A,0)),""))-1),IFERROR(INDEX($D:$D,MATCH(A194,$A:$A,0)),"")))))</f>
        <v/>
      </c>
      <c r="W194" s="34" t="str">
        <f aca="false">IF(V194="","",IF(IFERROR(INDEX($D:$D,MATCH(V194,$A:$A,0)),"")="","",TRIM(IF(ISNUMBER(FIND(",",IFERROR(INDEX($D:$D,MATCH(V194,$A:$A,0)),""))),LEFT(IFERROR(INDEX($D:$D,MATCH(V194,$A:$A,0)),""),FIND(",",IFERROR(INDEX($D:$D,MATCH(V194,$A:$A,0)),""))-1),IFERROR(INDEX($D:$D,MATCH(V194,$A:$A,0)),"")))))</f>
        <v/>
      </c>
      <c r="X194" s="34" t="str">
        <f aca="false">IF(W194="","",IF(IFERROR(INDEX($D:$D,MATCH(W194,$A:$A,0)),"")="","",TRIM(IF(ISNUMBER(FIND(",",IFERROR(INDEX($D:$D,MATCH(W194,$A:$A,0)),""))),LEFT(IFERROR(INDEX($D:$D,MATCH(W194,$A:$A,0)),""),FIND(",",IFERROR(INDEX($D:$D,MATCH(W194,$A:$A,0)),""))-1),IFERROR(INDEX($D:$D,MATCH(W194,$A:$A,0)),"")))))</f>
        <v/>
      </c>
      <c r="Y194" s="34" t="str">
        <f aca="false">IF(X194="","",IF(IFERROR(INDEX($D:$D,MATCH(X194,$A:$A,0)),"")="","",TRIM(IF(ISNUMBER(FIND(",",IFERROR(INDEX($D:$D,MATCH(X194,$A:$A,0)),""))),LEFT(IFERROR(INDEX($D:$D,MATCH(X194,$A:$A,0)),""),FIND(",",IFERROR(INDEX($D:$D,MATCH(X194,$A:$A,0)),""))-1),IFERROR(INDEX($D:$D,MATCH(X194,$A:$A,0)),"")))))</f>
        <v/>
      </c>
      <c r="Z194" s="34" t="str">
        <f aca="false">IF(AND(A194&lt;&gt;"",L194="Retire"),COUNTIF($L$5:L194,"Retire"),"")</f>
        <v/>
      </c>
      <c r="AA194" s="34" t="str">
        <f aca="false">IF(AND(A194&lt;&gt;"",L194="Build"),COUNTIF($L$5:L194,"Build"),"")</f>
        <v/>
      </c>
      <c r="AB194" s="34" t="str">
        <f aca="false">IF(AND(A194&lt;&gt;"",OR(M194="4+",AND(ISNUMBER(M194),M194&gt;=2))),SUMPRODUCT(($A$5:A194&lt;&gt;"")*(($M$5:M194="4+")+(ISNUMBER($M$5:M194)*($M$5:M194&gt;=2)))),"")</f>
        <v/>
      </c>
      <c r="AC194" s="34" t="str">
        <f aca="false">IF(AND(A194&lt;&gt;"",OR(L194="",L194="Undecided",K194="")),SUMPRODUCT(($A$5:A194&lt;&gt;"")*(($L$5:L194="")+($L$5:L194="Undecided")+($K$5:K194=""))&gt;0*1),"")</f>
        <v/>
      </c>
    </row>
    <row r="195" customFormat="false" ht="15" hidden="false" customHeight="false" outlineLevel="0" collapsed="false">
      <c r="A195" s="29"/>
      <c r="B195" s="30"/>
      <c r="C195" s="30"/>
      <c r="D195" s="30"/>
      <c r="E195" s="30"/>
      <c r="F195" s="30"/>
      <c r="G195" s="30"/>
      <c r="H195" s="30"/>
      <c r="I195" s="30"/>
      <c r="J195" s="30"/>
      <c r="K195" s="30"/>
      <c r="L195" s="30"/>
      <c r="M195" s="20" t="str">
        <f aca="false">IF(A195="","",IF(V195="",0,IF(W195="",1,IF(X195="",2,IF(Y195="",3,"4+")))))</f>
        <v/>
      </c>
      <c r="N195" s="20" t="str">
        <f aca="false">IF(A195="","",A195&amp;IF(V195="",""," &lt;- "&amp;V195&amp;IF(W195="",""," &lt;- "&amp;W195&amp;IF(X195="",""," &lt;- "&amp;X195&amp;IF(Y195="",""," &lt;- "&amp;Y195))))&amp;IF(ISNUMBER(FIND(",",D195))," (+ other parents)",""))</f>
        <v/>
      </c>
      <c r="O195" s="20" t="str">
        <f aca="false">IF(A195="","",COUNTIF(Fields!$D:$D,A195))</f>
        <v/>
      </c>
      <c r="P195" s="20" t="str">
        <f aca="false">IF(A195="","",SUMIF(Fields!$D:$D,A195,Fields!$O:$O))</f>
        <v/>
      </c>
      <c r="Q195" s="30"/>
      <c r="R195" s="30"/>
      <c r="S195" s="30"/>
      <c r="T195" s="30"/>
      <c r="U195" s="30"/>
      <c r="V195" s="34" t="str">
        <f aca="false">IF(A195="","",IF(IFERROR(INDEX($D:$D,MATCH(A195,$A:$A,0)),"")="","",TRIM(IF(ISNUMBER(FIND(",",IFERROR(INDEX($D:$D,MATCH(A195,$A:$A,0)),""))),LEFT(IFERROR(INDEX($D:$D,MATCH(A195,$A:$A,0)),""),FIND(",",IFERROR(INDEX($D:$D,MATCH(A195,$A:$A,0)),""))-1),IFERROR(INDEX($D:$D,MATCH(A195,$A:$A,0)),"")))))</f>
        <v/>
      </c>
      <c r="W195" s="34" t="str">
        <f aca="false">IF(V195="","",IF(IFERROR(INDEX($D:$D,MATCH(V195,$A:$A,0)),"")="","",TRIM(IF(ISNUMBER(FIND(",",IFERROR(INDEX($D:$D,MATCH(V195,$A:$A,0)),""))),LEFT(IFERROR(INDEX($D:$D,MATCH(V195,$A:$A,0)),""),FIND(",",IFERROR(INDEX($D:$D,MATCH(V195,$A:$A,0)),""))-1),IFERROR(INDEX($D:$D,MATCH(V195,$A:$A,0)),"")))))</f>
        <v/>
      </c>
      <c r="X195" s="34" t="str">
        <f aca="false">IF(W195="","",IF(IFERROR(INDEX($D:$D,MATCH(W195,$A:$A,0)),"")="","",TRIM(IF(ISNUMBER(FIND(",",IFERROR(INDEX($D:$D,MATCH(W195,$A:$A,0)),""))),LEFT(IFERROR(INDEX($D:$D,MATCH(W195,$A:$A,0)),""),FIND(",",IFERROR(INDEX($D:$D,MATCH(W195,$A:$A,0)),""))-1),IFERROR(INDEX($D:$D,MATCH(W195,$A:$A,0)),"")))))</f>
        <v/>
      </c>
      <c r="Y195" s="34" t="str">
        <f aca="false">IF(X195="","",IF(IFERROR(INDEX($D:$D,MATCH(X195,$A:$A,0)),"")="","",TRIM(IF(ISNUMBER(FIND(",",IFERROR(INDEX($D:$D,MATCH(X195,$A:$A,0)),""))),LEFT(IFERROR(INDEX($D:$D,MATCH(X195,$A:$A,0)),""),FIND(",",IFERROR(INDEX($D:$D,MATCH(X195,$A:$A,0)),""))-1),IFERROR(INDEX($D:$D,MATCH(X195,$A:$A,0)),"")))))</f>
        <v/>
      </c>
      <c r="Z195" s="34" t="str">
        <f aca="false">IF(AND(A195&lt;&gt;"",L195="Retire"),COUNTIF($L$5:L195,"Retire"),"")</f>
        <v/>
      </c>
      <c r="AA195" s="34" t="str">
        <f aca="false">IF(AND(A195&lt;&gt;"",L195="Build"),COUNTIF($L$5:L195,"Build"),"")</f>
        <v/>
      </c>
      <c r="AB195" s="34" t="str">
        <f aca="false">IF(AND(A195&lt;&gt;"",OR(M195="4+",AND(ISNUMBER(M195),M195&gt;=2))),SUMPRODUCT(($A$5:A195&lt;&gt;"")*(($M$5:M195="4+")+(ISNUMBER($M$5:M195)*($M$5:M195&gt;=2)))),"")</f>
        <v/>
      </c>
      <c r="AC195" s="34" t="str">
        <f aca="false">IF(AND(A195&lt;&gt;"",OR(L195="",L195="Undecided",K195="")),SUMPRODUCT(($A$5:A195&lt;&gt;"")*(($L$5:L195="")+($L$5:L195="Undecided")+($K$5:K195=""))&gt;0*1),"")</f>
        <v/>
      </c>
    </row>
    <row r="196" customFormat="false" ht="15" hidden="false" customHeight="false" outlineLevel="0" collapsed="false">
      <c r="A196" s="29"/>
      <c r="B196" s="30"/>
      <c r="C196" s="30"/>
      <c r="D196" s="30"/>
      <c r="E196" s="30"/>
      <c r="F196" s="30"/>
      <c r="G196" s="30"/>
      <c r="H196" s="30"/>
      <c r="I196" s="30"/>
      <c r="J196" s="30"/>
      <c r="K196" s="30"/>
      <c r="L196" s="30"/>
      <c r="M196" s="20" t="str">
        <f aca="false">IF(A196="","",IF(V196="",0,IF(W196="",1,IF(X196="",2,IF(Y196="",3,"4+")))))</f>
        <v/>
      </c>
      <c r="N196" s="20" t="str">
        <f aca="false">IF(A196="","",A196&amp;IF(V196="",""," &lt;- "&amp;V196&amp;IF(W196="",""," &lt;- "&amp;W196&amp;IF(X196="",""," &lt;- "&amp;X196&amp;IF(Y196="",""," &lt;- "&amp;Y196))))&amp;IF(ISNUMBER(FIND(",",D196))," (+ other parents)",""))</f>
        <v/>
      </c>
      <c r="O196" s="20" t="str">
        <f aca="false">IF(A196="","",COUNTIF(Fields!$D:$D,A196))</f>
        <v/>
      </c>
      <c r="P196" s="20" t="str">
        <f aca="false">IF(A196="","",SUMIF(Fields!$D:$D,A196,Fields!$O:$O))</f>
        <v/>
      </c>
      <c r="Q196" s="30"/>
      <c r="R196" s="30"/>
      <c r="S196" s="30"/>
      <c r="T196" s="30"/>
      <c r="U196" s="30"/>
      <c r="V196" s="34" t="str">
        <f aca="false">IF(A196="","",IF(IFERROR(INDEX($D:$D,MATCH(A196,$A:$A,0)),"")="","",TRIM(IF(ISNUMBER(FIND(",",IFERROR(INDEX($D:$D,MATCH(A196,$A:$A,0)),""))),LEFT(IFERROR(INDEX($D:$D,MATCH(A196,$A:$A,0)),""),FIND(",",IFERROR(INDEX($D:$D,MATCH(A196,$A:$A,0)),""))-1),IFERROR(INDEX($D:$D,MATCH(A196,$A:$A,0)),"")))))</f>
        <v/>
      </c>
      <c r="W196" s="34" t="str">
        <f aca="false">IF(V196="","",IF(IFERROR(INDEX($D:$D,MATCH(V196,$A:$A,0)),"")="","",TRIM(IF(ISNUMBER(FIND(",",IFERROR(INDEX($D:$D,MATCH(V196,$A:$A,0)),""))),LEFT(IFERROR(INDEX($D:$D,MATCH(V196,$A:$A,0)),""),FIND(",",IFERROR(INDEX($D:$D,MATCH(V196,$A:$A,0)),""))-1),IFERROR(INDEX($D:$D,MATCH(V196,$A:$A,0)),"")))))</f>
        <v/>
      </c>
      <c r="X196" s="34" t="str">
        <f aca="false">IF(W196="","",IF(IFERROR(INDEX($D:$D,MATCH(W196,$A:$A,0)),"")="","",TRIM(IF(ISNUMBER(FIND(",",IFERROR(INDEX($D:$D,MATCH(W196,$A:$A,0)),""))),LEFT(IFERROR(INDEX($D:$D,MATCH(W196,$A:$A,0)),""),FIND(",",IFERROR(INDEX($D:$D,MATCH(W196,$A:$A,0)),""))-1),IFERROR(INDEX($D:$D,MATCH(W196,$A:$A,0)),"")))))</f>
        <v/>
      </c>
      <c r="Y196" s="34" t="str">
        <f aca="false">IF(X196="","",IF(IFERROR(INDEX($D:$D,MATCH(X196,$A:$A,0)),"")="","",TRIM(IF(ISNUMBER(FIND(",",IFERROR(INDEX($D:$D,MATCH(X196,$A:$A,0)),""))),LEFT(IFERROR(INDEX($D:$D,MATCH(X196,$A:$A,0)),""),FIND(",",IFERROR(INDEX($D:$D,MATCH(X196,$A:$A,0)),""))-1),IFERROR(INDEX($D:$D,MATCH(X196,$A:$A,0)),"")))))</f>
        <v/>
      </c>
      <c r="Z196" s="34" t="str">
        <f aca="false">IF(AND(A196&lt;&gt;"",L196="Retire"),COUNTIF($L$5:L196,"Retire"),"")</f>
        <v/>
      </c>
      <c r="AA196" s="34" t="str">
        <f aca="false">IF(AND(A196&lt;&gt;"",L196="Build"),COUNTIF($L$5:L196,"Build"),"")</f>
        <v/>
      </c>
      <c r="AB196" s="34" t="str">
        <f aca="false">IF(AND(A196&lt;&gt;"",OR(M196="4+",AND(ISNUMBER(M196),M196&gt;=2))),SUMPRODUCT(($A$5:A196&lt;&gt;"")*(($M$5:M196="4+")+(ISNUMBER($M$5:M196)*($M$5:M196&gt;=2)))),"")</f>
        <v/>
      </c>
      <c r="AC196" s="34" t="str">
        <f aca="false">IF(AND(A196&lt;&gt;"",OR(L196="",L196="Undecided",K196="")),SUMPRODUCT(($A$5:A196&lt;&gt;"")*(($L$5:L196="")+($L$5:L196="Undecided")+($K$5:K196=""))&gt;0*1),"")</f>
        <v/>
      </c>
    </row>
    <row r="197" customFormat="false" ht="15" hidden="false" customHeight="false" outlineLevel="0" collapsed="false">
      <c r="A197" s="29"/>
      <c r="B197" s="30"/>
      <c r="C197" s="30"/>
      <c r="D197" s="30"/>
      <c r="E197" s="30"/>
      <c r="F197" s="30"/>
      <c r="G197" s="30"/>
      <c r="H197" s="30"/>
      <c r="I197" s="30"/>
      <c r="J197" s="30"/>
      <c r="K197" s="30"/>
      <c r="L197" s="30"/>
      <c r="M197" s="20" t="str">
        <f aca="false">IF(A197="","",IF(V197="",0,IF(W197="",1,IF(X197="",2,IF(Y197="",3,"4+")))))</f>
        <v/>
      </c>
      <c r="N197" s="20" t="str">
        <f aca="false">IF(A197="","",A197&amp;IF(V197="",""," &lt;- "&amp;V197&amp;IF(W197="",""," &lt;- "&amp;W197&amp;IF(X197="",""," &lt;- "&amp;X197&amp;IF(Y197="",""," &lt;- "&amp;Y197))))&amp;IF(ISNUMBER(FIND(",",D197))," (+ other parents)",""))</f>
        <v/>
      </c>
      <c r="O197" s="20" t="str">
        <f aca="false">IF(A197="","",COUNTIF(Fields!$D:$D,A197))</f>
        <v/>
      </c>
      <c r="P197" s="20" t="str">
        <f aca="false">IF(A197="","",SUMIF(Fields!$D:$D,A197,Fields!$O:$O))</f>
        <v/>
      </c>
      <c r="Q197" s="30"/>
      <c r="R197" s="30"/>
      <c r="S197" s="30"/>
      <c r="T197" s="30"/>
      <c r="U197" s="30"/>
      <c r="V197" s="34" t="str">
        <f aca="false">IF(A197="","",IF(IFERROR(INDEX($D:$D,MATCH(A197,$A:$A,0)),"")="","",TRIM(IF(ISNUMBER(FIND(",",IFERROR(INDEX($D:$D,MATCH(A197,$A:$A,0)),""))),LEFT(IFERROR(INDEX($D:$D,MATCH(A197,$A:$A,0)),""),FIND(",",IFERROR(INDEX($D:$D,MATCH(A197,$A:$A,0)),""))-1),IFERROR(INDEX($D:$D,MATCH(A197,$A:$A,0)),"")))))</f>
        <v/>
      </c>
      <c r="W197" s="34" t="str">
        <f aca="false">IF(V197="","",IF(IFERROR(INDEX($D:$D,MATCH(V197,$A:$A,0)),"")="","",TRIM(IF(ISNUMBER(FIND(",",IFERROR(INDEX($D:$D,MATCH(V197,$A:$A,0)),""))),LEFT(IFERROR(INDEX($D:$D,MATCH(V197,$A:$A,0)),""),FIND(",",IFERROR(INDEX($D:$D,MATCH(V197,$A:$A,0)),""))-1),IFERROR(INDEX($D:$D,MATCH(V197,$A:$A,0)),"")))))</f>
        <v/>
      </c>
      <c r="X197" s="34" t="str">
        <f aca="false">IF(W197="","",IF(IFERROR(INDEX($D:$D,MATCH(W197,$A:$A,0)),"")="","",TRIM(IF(ISNUMBER(FIND(",",IFERROR(INDEX($D:$D,MATCH(W197,$A:$A,0)),""))),LEFT(IFERROR(INDEX($D:$D,MATCH(W197,$A:$A,0)),""),FIND(",",IFERROR(INDEX($D:$D,MATCH(W197,$A:$A,0)),""))-1),IFERROR(INDEX($D:$D,MATCH(W197,$A:$A,0)),"")))))</f>
        <v/>
      </c>
      <c r="Y197" s="34" t="str">
        <f aca="false">IF(X197="","",IF(IFERROR(INDEX($D:$D,MATCH(X197,$A:$A,0)),"")="","",TRIM(IF(ISNUMBER(FIND(",",IFERROR(INDEX($D:$D,MATCH(X197,$A:$A,0)),""))),LEFT(IFERROR(INDEX($D:$D,MATCH(X197,$A:$A,0)),""),FIND(",",IFERROR(INDEX($D:$D,MATCH(X197,$A:$A,0)),""))-1),IFERROR(INDEX($D:$D,MATCH(X197,$A:$A,0)),"")))))</f>
        <v/>
      </c>
      <c r="Z197" s="34" t="str">
        <f aca="false">IF(AND(A197&lt;&gt;"",L197="Retire"),COUNTIF($L$5:L197,"Retire"),"")</f>
        <v/>
      </c>
      <c r="AA197" s="34" t="str">
        <f aca="false">IF(AND(A197&lt;&gt;"",L197="Build"),COUNTIF($L$5:L197,"Build"),"")</f>
        <v/>
      </c>
      <c r="AB197" s="34" t="str">
        <f aca="false">IF(AND(A197&lt;&gt;"",OR(M197="4+",AND(ISNUMBER(M197),M197&gt;=2))),SUMPRODUCT(($A$5:A197&lt;&gt;"")*(($M$5:M197="4+")+(ISNUMBER($M$5:M197)*($M$5:M197&gt;=2)))),"")</f>
        <v/>
      </c>
      <c r="AC197" s="34" t="str">
        <f aca="false">IF(AND(A197&lt;&gt;"",OR(L197="",L197="Undecided",K197="")),SUMPRODUCT(($A$5:A197&lt;&gt;"")*(($L$5:L197="")+($L$5:L197="Undecided")+($K$5:K197=""))&gt;0*1),"")</f>
        <v/>
      </c>
    </row>
    <row r="198" customFormat="false" ht="15" hidden="false" customHeight="false" outlineLevel="0" collapsed="false">
      <c r="A198" s="29"/>
      <c r="B198" s="30"/>
      <c r="C198" s="30"/>
      <c r="D198" s="30"/>
      <c r="E198" s="30"/>
      <c r="F198" s="30"/>
      <c r="G198" s="30"/>
      <c r="H198" s="30"/>
      <c r="I198" s="30"/>
      <c r="J198" s="30"/>
      <c r="K198" s="30"/>
      <c r="L198" s="30"/>
      <c r="M198" s="20" t="str">
        <f aca="false">IF(A198="","",IF(V198="",0,IF(W198="",1,IF(X198="",2,IF(Y198="",3,"4+")))))</f>
        <v/>
      </c>
      <c r="N198" s="20" t="str">
        <f aca="false">IF(A198="","",A198&amp;IF(V198="",""," &lt;- "&amp;V198&amp;IF(W198="",""," &lt;- "&amp;W198&amp;IF(X198="",""," &lt;- "&amp;X198&amp;IF(Y198="",""," &lt;- "&amp;Y198))))&amp;IF(ISNUMBER(FIND(",",D198))," (+ other parents)",""))</f>
        <v/>
      </c>
      <c r="O198" s="20" t="str">
        <f aca="false">IF(A198="","",COUNTIF(Fields!$D:$D,A198))</f>
        <v/>
      </c>
      <c r="P198" s="20" t="str">
        <f aca="false">IF(A198="","",SUMIF(Fields!$D:$D,A198,Fields!$O:$O))</f>
        <v/>
      </c>
      <c r="Q198" s="30"/>
      <c r="R198" s="30"/>
      <c r="S198" s="30"/>
      <c r="T198" s="30"/>
      <c r="U198" s="30"/>
      <c r="V198" s="34" t="str">
        <f aca="false">IF(A198="","",IF(IFERROR(INDEX($D:$D,MATCH(A198,$A:$A,0)),"")="","",TRIM(IF(ISNUMBER(FIND(",",IFERROR(INDEX($D:$D,MATCH(A198,$A:$A,0)),""))),LEFT(IFERROR(INDEX($D:$D,MATCH(A198,$A:$A,0)),""),FIND(",",IFERROR(INDEX($D:$D,MATCH(A198,$A:$A,0)),""))-1),IFERROR(INDEX($D:$D,MATCH(A198,$A:$A,0)),"")))))</f>
        <v/>
      </c>
      <c r="W198" s="34" t="str">
        <f aca="false">IF(V198="","",IF(IFERROR(INDEX($D:$D,MATCH(V198,$A:$A,0)),"")="","",TRIM(IF(ISNUMBER(FIND(",",IFERROR(INDEX($D:$D,MATCH(V198,$A:$A,0)),""))),LEFT(IFERROR(INDEX($D:$D,MATCH(V198,$A:$A,0)),""),FIND(",",IFERROR(INDEX($D:$D,MATCH(V198,$A:$A,0)),""))-1),IFERROR(INDEX($D:$D,MATCH(V198,$A:$A,0)),"")))))</f>
        <v/>
      </c>
      <c r="X198" s="34" t="str">
        <f aca="false">IF(W198="","",IF(IFERROR(INDEX($D:$D,MATCH(W198,$A:$A,0)),"")="","",TRIM(IF(ISNUMBER(FIND(",",IFERROR(INDEX($D:$D,MATCH(W198,$A:$A,0)),""))),LEFT(IFERROR(INDEX($D:$D,MATCH(W198,$A:$A,0)),""),FIND(",",IFERROR(INDEX($D:$D,MATCH(W198,$A:$A,0)),""))-1),IFERROR(INDEX($D:$D,MATCH(W198,$A:$A,0)),"")))))</f>
        <v/>
      </c>
      <c r="Y198" s="34" t="str">
        <f aca="false">IF(X198="","",IF(IFERROR(INDEX($D:$D,MATCH(X198,$A:$A,0)),"")="","",TRIM(IF(ISNUMBER(FIND(",",IFERROR(INDEX($D:$D,MATCH(X198,$A:$A,0)),""))),LEFT(IFERROR(INDEX($D:$D,MATCH(X198,$A:$A,0)),""),FIND(",",IFERROR(INDEX($D:$D,MATCH(X198,$A:$A,0)),""))-1),IFERROR(INDEX($D:$D,MATCH(X198,$A:$A,0)),"")))))</f>
        <v/>
      </c>
      <c r="Z198" s="34" t="str">
        <f aca="false">IF(AND(A198&lt;&gt;"",L198="Retire"),COUNTIF($L$5:L198,"Retire"),"")</f>
        <v/>
      </c>
      <c r="AA198" s="34" t="str">
        <f aca="false">IF(AND(A198&lt;&gt;"",L198="Build"),COUNTIF($L$5:L198,"Build"),"")</f>
        <v/>
      </c>
      <c r="AB198" s="34" t="str">
        <f aca="false">IF(AND(A198&lt;&gt;"",OR(M198="4+",AND(ISNUMBER(M198),M198&gt;=2))),SUMPRODUCT(($A$5:A198&lt;&gt;"")*(($M$5:M198="4+")+(ISNUMBER($M$5:M198)*($M$5:M198&gt;=2)))),"")</f>
        <v/>
      </c>
      <c r="AC198" s="34" t="str">
        <f aca="false">IF(AND(A198&lt;&gt;"",OR(L198="",L198="Undecided",K198="")),SUMPRODUCT(($A$5:A198&lt;&gt;"")*(($L$5:L198="")+($L$5:L198="Undecided")+($K$5:K198=""))&gt;0*1),"")</f>
        <v/>
      </c>
    </row>
    <row r="199" customFormat="false" ht="15" hidden="false" customHeight="false" outlineLevel="0" collapsed="false">
      <c r="A199" s="29"/>
      <c r="B199" s="30"/>
      <c r="C199" s="30"/>
      <c r="D199" s="30"/>
      <c r="E199" s="30"/>
      <c r="F199" s="30"/>
      <c r="G199" s="30"/>
      <c r="H199" s="30"/>
      <c r="I199" s="30"/>
      <c r="J199" s="30"/>
      <c r="K199" s="30"/>
      <c r="L199" s="30"/>
      <c r="M199" s="20" t="str">
        <f aca="false">IF(A199="","",IF(V199="",0,IF(W199="",1,IF(X199="",2,IF(Y199="",3,"4+")))))</f>
        <v/>
      </c>
      <c r="N199" s="20" t="str">
        <f aca="false">IF(A199="","",A199&amp;IF(V199="",""," &lt;- "&amp;V199&amp;IF(W199="",""," &lt;- "&amp;W199&amp;IF(X199="",""," &lt;- "&amp;X199&amp;IF(Y199="",""," &lt;- "&amp;Y199))))&amp;IF(ISNUMBER(FIND(",",D199))," (+ other parents)",""))</f>
        <v/>
      </c>
      <c r="O199" s="20" t="str">
        <f aca="false">IF(A199="","",COUNTIF(Fields!$D:$D,A199))</f>
        <v/>
      </c>
      <c r="P199" s="20" t="str">
        <f aca="false">IF(A199="","",SUMIF(Fields!$D:$D,A199,Fields!$O:$O))</f>
        <v/>
      </c>
      <c r="Q199" s="30"/>
      <c r="R199" s="30"/>
      <c r="S199" s="30"/>
      <c r="T199" s="30"/>
      <c r="U199" s="30"/>
      <c r="V199" s="34" t="str">
        <f aca="false">IF(A199="","",IF(IFERROR(INDEX($D:$D,MATCH(A199,$A:$A,0)),"")="","",TRIM(IF(ISNUMBER(FIND(",",IFERROR(INDEX($D:$D,MATCH(A199,$A:$A,0)),""))),LEFT(IFERROR(INDEX($D:$D,MATCH(A199,$A:$A,0)),""),FIND(",",IFERROR(INDEX($D:$D,MATCH(A199,$A:$A,0)),""))-1),IFERROR(INDEX($D:$D,MATCH(A199,$A:$A,0)),"")))))</f>
        <v/>
      </c>
      <c r="W199" s="34" t="str">
        <f aca="false">IF(V199="","",IF(IFERROR(INDEX($D:$D,MATCH(V199,$A:$A,0)),"")="","",TRIM(IF(ISNUMBER(FIND(",",IFERROR(INDEX($D:$D,MATCH(V199,$A:$A,0)),""))),LEFT(IFERROR(INDEX($D:$D,MATCH(V199,$A:$A,0)),""),FIND(",",IFERROR(INDEX($D:$D,MATCH(V199,$A:$A,0)),""))-1),IFERROR(INDEX($D:$D,MATCH(V199,$A:$A,0)),"")))))</f>
        <v/>
      </c>
      <c r="X199" s="34" t="str">
        <f aca="false">IF(W199="","",IF(IFERROR(INDEX($D:$D,MATCH(W199,$A:$A,0)),"")="","",TRIM(IF(ISNUMBER(FIND(",",IFERROR(INDEX($D:$D,MATCH(W199,$A:$A,0)),""))),LEFT(IFERROR(INDEX($D:$D,MATCH(W199,$A:$A,0)),""),FIND(",",IFERROR(INDEX($D:$D,MATCH(W199,$A:$A,0)),""))-1),IFERROR(INDEX($D:$D,MATCH(W199,$A:$A,0)),"")))))</f>
        <v/>
      </c>
      <c r="Y199" s="34" t="str">
        <f aca="false">IF(X199="","",IF(IFERROR(INDEX($D:$D,MATCH(X199,$A:$A,0)),"")="","",TRIM(IF(ISNUMBER(FIND(",",IFERROR(INDEX($D:$D,MATCH(X199,$A:$A,0)),""))),LEFT(IFERROR(INDEX($D:$D,MATCH(X199,$A:$A,0)),""),FIND(",",IFERROR(INDEX($D:$D,MATCH(X199,$A:$A,0)),""))-1),IFERROR(INDEX($D:$D,MATCH(X199,$A:$A,0)),"")))))</f>
        <v/>
      </c>
      <c r="Z199" s="34" t="str">
        <f aca="false">IF(AND(A199&lt;&gt;"",L199="Retire"),COUNTIF($L$5:L199,"Retire"),"")</f>
        <v/>
      </c>
      <c r="AA199" s="34" t="str">
        <f aca="false">IF(AND(A199&lt;&gt;"",L199="Build"),COUNTIF($L$5:L199,"Build"),"")</f>
        <v/>
      </c>
      <c r="AB199" s="34" t="str">
        <f aca="false">IF(AND(A199&lt;&gt;"",OR(M199="4+",AND(ISNUMBER(M199),M199&gt;=2))),SUMPRODUCT(($A$5:A199&lt;&gt;"")*(($M$5:M199="4+")+(ISNUMBER($M$5:M199)*($M$5:M199&gt;=2)))),"")</f>
        <v/>
      </c>
      <c r="AC199" s="34" t="str">
        <f aca="false">IF(AND(A199&lt;&gt;"",OR(L199="",L199="Undecided",K199="")),SUMPRODUCT(($A$5:A199&lt;&gt;"")*(($L$5:L199="")+($L$5:L199="Undecided")+($K$5:K199=""))&gt;0*1),"")</f>
        <v/>
      </c>
    </row>
    <row r="200" customFormat="false" ht="15" hidden="false" customHeight="false" outlineLevel="0" collapsed="false">
      <c r="A200" s="29"/>
      <c r="B200" s="30"/>
      <c r="C200" s="30"/>
      <c r="D200" s="30"/>
      <c r="E200" s="30"/>
      <c r="F200" s="30"/>
      <c r="G200" s="30"/>
      <c r="H200" s="30"/>
      <c r="I200" s="30"/>
      <c r="J200" s="30"/>
      <c r="K200" s="30"/>
      <c r="L200" s="30"/>
      <c r="M200" s="20" t="str">
        <f aca="false">IF(A200="","",IF(V200="",0,IF(W200="",1,IF(X200="",2,IF(Y200="",3,"4+")))))</f>
        <v/>
      </c>
      <c r="N200" s="20" t="str">
        <f aca="false">IF(A200="","",A200&amp;IF(V200="",""," &lt;- "&amp;V200&amp;IF(W200="",""," &lt;- "&amp;W200&amp;IF(X200="",""," &lt;- "&amp;X200&amp;IF(Y200="",""," &lt;- "&amp;Y200))))&amp;IF(ISNUMBER(FIND(",",D200))," (+ other parents)",""))</f>
        <v/>
      </c>
      <c r="O200" s="20" t="str">
        <f aca="false">IF(A200="","",COUNTIF(Fields!$D:$D,A200))</f>
        <v/>
      </c>
      <c r="P200" s="20" t="str">
        <f aca="false">IF(A200="","",SUMIF(Fields!$D:$D,A200,Fields!$O:$O))</f>
        <v/>
      </c>
      <c r="Q200" s="30"/>
      <c r="R200" s="30"/>
      <c r="S200" s="30"/>
      <c r="T200" s="30"/>
      <c r="U200" s="30"/>
      <c r="V200" s="34" t="str">
        <f aca="false">IF(A200="","",IF(IFERROR(INDEX($D:$D,MATCH(A200,$A:$A,0)),"")="","",TRIM(IF(ISNUMBER(FIND(",",IFERROR(INDEX($D:$D,MATCH(A200,$A:$A,0)),""))),LEFT(IFERROR(INDEX($D:$D,MATCH(A200,$A:$A,0)),""),FIND(",",IFERROR(INDEX($D:$D,MATCH(A200,$A:$A,0)),""))-1),IFERROR(INDEX($D:$D,MATCH(A200,$A:$A,0)),"")))))</f>
        <v/>
      </c>
      <c r="W200" s="34" t="str">
        <f aca="false">IF(V200="","",IF(IFERROR(INDEX($D:$D,MATCH(V200,$A:$A,0)),"")="","",TRIM(IF(ISNUMBER(FIND(",",IFERROR(INDEX($D:$D,MATCH(V200,$A:$A,0)),""))),LEFT(IFERROR(INDEX($D:$D,MATCH(V200,$A:$A,0)),""),FIND(",",IFERROR(INDEX($D:$D,MATCH(V200,$A:$A,0)),""))-1),IFERROR(INDEX($D:$D,MATCH(V200,$A:$A,0)),"")))))</f>
        <v/>
      </c>
      <c r="X200" s="34" t="str">
        <f aca="false">IF(W200="","",IF(IFERROR(INDEX($D:$D,MATCH(W200,$A:$A,0)),"")="","",TRIM(IF(ISNUMBER(FIND(",",IFERROR(INDEX($D:$D,MATCH(W200,$A:$A,0)),""))),LEFT(IFERROR(INDEX($D:$D,MATCH(W200,$A:$A,0)),""),FIND(",",IFERROR(INDEX($D:$D,MATCH(W200,$A:$A,0)),""))-1),IFERROR(INDEX($D:$D,MATCH(W200,$A:$A,0)),"")))))</f>
        <v/>
      </c>
      <c r="Y200" s="34" t="str">
        <f aca="false">IF(X200="","",IF(IFERROR(INDEX($D:$D,MATCH(X200,$A:$A,0)),"")="","",TRIM(IF(ISNUMBER(FIND(",",IFERROR(INDEX($D:$D,MATCH(X200,$A:$A,0)),""))),LEFT(IFERROR(INDEX($D:$D,MATCH(X200,$A:$A,0)),""),FIND(",",IFERROR(INDEX($D:$D,MATCH(X200,$A:$A,0)),""))-1),IFERROR(INDEX($D:$D,MATCH(X200,$A:$A,0)),"")))))</f>
        <v/>
      </c>
      <c r="Z200" s="34" t="str">
        <f aca="false">IF(AND(A200&lt;&gt;"",L200="Retire"),COUNTIF($L$5:L200,"Retire"),"")</f>
        <v/>
      </c>
      <c r="AA200" s="34" t="str">
        <f aca="false">IF(AND(A200&lt;&gt;"",L200="Build"),COUNTIF($L$5:L200,"Build"),"")</f>
        <v/>
      </c>
      <c r="AB200" s="34" t="str">
        <f aca="false">IF(AND(A200&lt;&gt;"",OR(M200="4+",AND(ISNUMBER(M200),M200&gt;=2))),SUMPRODUCT(($A$5:A200&lt;&gt;"")*(($M$5:M200="4+")+(ISNUMBER($M$5:M200)*($M$5:M200&gt;=2)))),"")</f>
        <v/>
      </c>
      <c r="AC200" s="34" t="str">
        <f aca="false">IF(AND(A200&lt;&gt;"",OR(L200="",L200="Undecided",K200="")),SUMPRODUCT(($A$5:A200&lt;&gt;"")*(($L$5:L200="")+($L$5:L200="Undecided")+($K$5:K200=""))&gt;0*1),"")</f>
        <v/>
      </c>
    </row>
    <row r="201" customFormat="false" ht="15" hidden="false" customHeight="false" outlineLevel="0" collapsed="false">
      <c r="A201" s="29"/>
      <c r="B201" s="30"/>
      <c r="C201" s="30"/>
      <c r="D201" s="30"/>
      <c r="E201" s="30"/>
      <c r="F201" s="30"/>
      <c r="G201" s="30"/>
      <c r="H201" s="30"/>
      <c r="I201" s="30"/>
      <c r="J201" s="30"/>
      <c r="K201" s="30"/>
      <c r="L201" s="30"/>
      <c r="M201" s="20" t="str">
        <f aca="false">IF(A201="","",IF(V201="",0,IF(W201="",1,IF(X201="",2,IF(Y201="",3,"4+")))))</f>
        <v/>
      </c>
      <c r="N201" s="20" t="str">
        <f aca="false">IF(A201="","",A201&amp;IF(V201="",""," &lt;- "&amp;V201&amp;IF(W201="",""," &lt;- "&amp;W201&amp;IF(X201="",""," &lt;- "&amp;X201&amp;IF(Y201="",""," &lt;- "&amp;Y201))))&amp;IF(ISNUMBER(FIND(",",D201))," (+ other parents)",""))</f>
        <v/>
      </c>
      <c r="O201" s="20" t="str">
        <f aca="false">IF(A201="","",COUNTIF(Fields!$D:$D,A201))</f>
        <v/>
      </c>
      <c r="P201" s="20" t="str">
        <f aca="false">IF(A201="","",SUMIF(Fields!$D:$D,A201,Fields!$O:$O))</f>
        <v/>
      </c>
      <c r="Q201" s="30"/>
      <c r="R201" s="30"/>
      <c r="S201" s="30"/>
      <c r="T201" s="30"/>
      <c r="U201" s="30"/>
      <c r="V201" s="34" t="str">
        <f aca="false">IF(A201="","",IF(IFERROR(INDEX($D:$D,MATCH(A201,$A:$A,0)),"")="","",TRIM(IF(ISNUMBER(FIND(",",IFERROR(INDEX($D:$D,MATCH(A201,$A:$A,0)),""))),LEFT(IFERROR(INDEX($D:$D,MATCH(A201,$A:$A,0)),""),FIND(",",IFERROR(INDEX($D:$D,MATCH(A201,$A:$A,0)),""))-1),IFERROR(INDEX($D:$D,MATCH(A201,$A:$A,0)),"")))))</f>
        <v/>
      </c>
      <c r="W201" s="34" t="str">
        <f aca="false">IF(V201="","",IF(IFERROR(INDEX($D:$D,MATCH(V201,$A:$A,0)),"")="","",TRIM(IF(ISNUMBER(FIND(",",IFERROR(INDEX($D:$D,MATCH(V201,$A:$A,0)),""))),LEFT(IFERROR(INDEX($D:$D,MATCH(V201,$A:$A,0)),""),FIND(",",IFERROR(INDEX($D:$D,MATCH(V201,$A:$A,0)),""))-1),IFERROR(INDEX($D:$D,MATCH(V201,$A:$A,0)),"")))))</f>
        <v/>
      </c>
      <c r="X201" s="34" t="str">
        <f aca="false">IF(W201="","",IF(IFERROR(INDEX($D:$D,MATCH(W201,$A:$A,0)),"")="","",TRIM(IF(ISNUMBER(FIND(",",IFERROR(INDEX($D:$D,MATCH(W201,$A:$A,0)),""))),LEFT(IFERROR(INDEX($D:$D,MATCH(W201,$A:$A,0)),""),FIND(",",IFERROR(INDEX($D:$D,MATCH(W201,$A:$A,0)),""))-1),IFERROR(INDEX($D:$D,MATCH(W201,$A:$A,0)),"")))))</f>
        <v/>
      </c>
      <c r="Y201" s="34" t="str">
        <f aca="false">IF(X201="","",IF(IFERROR(INDEX($D:$D,MATCH(X201,$A:$A,0)),"")="","",TRIM(IF(ISNUMBER(FIND(",",IFERROR(INDEX($D:$D,MATCH(X201,$A:$A,0)),""))),LEFT(IFERROR(INDEX($D:$D,MATCH(X201,$A:$A,0)),""),FIND(",",IFERROR(INDEX($D:$D,MATCH(X201,$A:$A,0)),""))-1),IFERROR(INDEX($D:$D,MATCH(X201,$A:$A,0)),"")))))</f>
        <v/>
      </c>
      <c r="Z201" s="34" t="str">
        <f aca="false">IF(AND(A201&lt;&gt;"",L201="Retire"),COUNTIF($L$5:L201,"Retire"),"")</f>
        <v/>
      </c>
      <c r="AA201" s="34" t="str">
        <f aca="false">IF(AND(A201&lt;&gt;"",L201="Build"),COUNTIF($L$5:L201,"Build"),"")</f>
        <v/>
      </c>
      <c r="AB201" s="34" t="str">
        <f aca="false">IF(AND(A201&lt;&gt;"",OR(M201="4+",AND(ISNUMBER(M201),M201&gt;=2))),SUMPRODUCT(($A$5:A201&lt;&gt;"")*(($M$5:M201="4+")+(ISNUMBER($M$5:M201)*($M$5:M201&gt;=2)))),"")</f>
        <v/>
      </c>
      <c r="AC201" s="34" t="str">
        <f aca="false">IF(AND(A201&lt;&gt;"",OR(L201="",L201="Undecided",K201="")),SUMPRODUCT(($A$5:A201&lt;&gt;"")*(($L$5:L201="")+($L$5:L201="Undecided")+($K$5:K201=""))&gt;0*1),"")</f>
        <v/>
      </c>
    </row>
    <row r="202" customFormat="false" ht="15" hidden="false" customHeight="false" outlineLevel="0" collapsed="false">
      <c r="A202" s="29"/>
      <c r="B202" s="30"/>
      <c r="C202" s="30"/>
      <c r="D202" s="30"/>
      <c r="E202" s="30"/>
      <c r="F202" s="30"/>
      <c r="G202" s="30"/>
      <c r="H202" s="30"/>
      <c r="I202" s="30"/>
      <c r="J202" s="30"/>
      <c r="K202" s="30"/>
      <c r="L202" s="30"/>
      <c r="M202" s="20" t="str">
        <f aca="false">IF(A202="","",IF(V202="",0,IF(W202="",1,IF(X202="",2,IF(Y202="",3,"4+")))))</f>
        <v/>
      </c>
      <c r="N202" s="20" t="str">
        <f aca="false">IF(A202="","",A202&amp;IF(V202="",""," &lt;- "&amp;V202&amp;IF(W202="",""," &lt;- "&amp;W202&amp;IF(X202="",""," &lt;- "&amp;X202&amp;IF(Y202="",""," &lt;- "&amp;Y202))))&amp;IF(ISNUMBER(FIND(",",D202))," (+ other parents)",""))</f>
        <v/>
      </c>
      <c r="O202" s="20" t="str">
        <f aca="false">IF(A202="","",COUNTIF(Fields!$D:$D,A202))</f>
        <v/>
      </c>
      <c r="P202" s="20" t="str">
        <f aca="false">IF(A202="","",SUMIF(Fields!$D:$D,A202,Fields!$O:$O))</f>
        <v/>
      </c>
      <c r="Q202" s="30"/>
      <c r="R202" s="30"/>
      <c r="S202" s="30"/>
      <c r="T202" s="30"/>
      <c r="U202" s="30"/>
      <c r="V202" s="34" t="str">
        <f aca="false">IF(A202="","",IF(IFERROR(INDEX($D:$D,MATCH(A202,$A:$A,0)),"")="","",TRIM(IF(ISNUMBER(FIND(",",IFERROR(INDEX($D:$D,MATCH(A202,$A:$A,0)),""))),LEFT(IFERROR(INDEX($D:$D,MATCH(A202,$A:$A,0)),""),FIND(",",IFERROR(INDEX($D:$D,MATCH(A202,$A:$A,0)),""))-1),IFERROR(INDEX($D:$D,MATCH(A202,$A:$A,0)),"")))))</f>
        <v/>
      </c>
      <c r="W202" s="34" t="str">
        <f aca="false">IF(V202="","",IF(IFERROR(INDEX($D:$D,MATCH(V202,$A:$A,0)),"")="","",TRIM(IF(ISNUMBER(FIND(",",IFERROR(INDEX($D:$D,MATCH(V202,$A:$A,0)),""))),LEFT(IFERROR(INDEX($D:$D,MATCH(V202,$A:$A,0)),""),FIND(",",IFERROR(INDEX($D:$D,MATCH(V202,$A:$A,0)),""))-1),IFERROR(INDEX($D:$D,MATCH(V202,$A:$A,0)),"")))))</f>
        <v/>
      </c>
      <c r="X202" s="34" t="str">
        <f aca="false">IF(W202="","",IF(IFERROR(INDEX($D:$D,MATCH(W202,$A:$A,0)),"")="","",TRIM(IF(ISNUMBER(FIND(",",IFERROR(INDEX($D:$D,MATCH(W202,$A:$A,0)),""))),LEFT(IFERROR(INDEX($D:$D,MATCH(W202,$A:$A,0)),""),FIND(",",IFERROR(INDEX($D:$D,MATCH(W202,$A:$A,0)),""))-1),IFERROR(INDEX($D:$D,MATCH(W202,$A:$A,0)),"")))))</f>
        <v/>
      </c>
      <c r="Y202" s="34" t="str">
        <f aca="false">IF(X202="","",IF(IFERROR(INDEX($D:$D,MATCH(X202,$A:$A,0)),"")="","",TRIM(IF(ISNUMBER(FIND(",",IFERROR(INDEX($D:$D,MATCH(X202,$A:$A,0)),""))),LEFT(IFERROR(INDEX($D:$D,MATCH(X202,$A:$A,0)),""),FIND(",",IFERROR(INDEX($D:$D,MATCH(X202,$A:$A,0)),""))-1),IFERROR(INDEX($D:$D,MATCH(X202,$A:$A,0)),"")))))</f>
        <v/>
      </c>
      <c r="Z202" s="34" t="str">
        <f aca="false">IF(AND(A202&lt;&gt;"",L202="Retire"),COUNTIF($L$5:L202,"Retire"),"")</f>
        <v/>
      </c>
      <c r="AA202" s="34" t="str">
        <f aca="false">IF(AND(A202&lt;&gt;"",L202="Build"),COUNTIF($L$5:L202,"Build"),"")</f>
        <v/>
      </c>
      <c r="AB202" s="34" t="str">
        <f aca="false">IF(AND(A202&lt;&gt;"",OR(M202="4+",AND(ISNUMBER(M202),M202&gt;=2))),SUMPRODUCT(($A$5:A202&lt;&gt;"")*(($M$5:M202="4+")+(ISNUMBER($M$5:M202)*($M$5:M202&gt;=2)))),"")</f>
        <v/>
      </c>
      <c r="AC202" s="34" t="str">
        <f aca="false">IF(AND(A202&lt;&gt;"",OR(L202="",L202="Undecided",K202="")),SUMPRODUCT(($A$5:A202&lt;&gt;"")*(($L$5:L202="")+($L$5:L202="Undecided")+($K$5:K202=""))&gt;0*1),"")</f>
        <v/>
      </c>
    </row>
    <row r="203" customFormat="false" ht="15" hidden="false" customHeight="false" outlineLevel="0" collapsed="false">
      <c r="A203" s="29"/>
      <c r="B203" s="30"/>
      <c r="C203" s="30"/>
      <c r="D203" s="30"/>
      <c r="E203" s="30"/>
      <c r="F203" s="30"/>
      <c r="G203" s="30"/>
      <c r="H203" s="30"/>
      <c r="I203" s="30"/>
      <c r="J203" s="30"/>
      <c r="K203" s="30"/>
      <c r="L203" s="30"/>
      <c r="M203" s="20" t="str">
        <f aca="false">IF(A203="","",IF(V203="",0,IF(W203="",1,IF(X203="",2,IF(Y203="",3,"4+")))))</f>
        <v/>
      </c>
      <c r="N203" s="20" t="str">
        <f aca="false">IF(A203="","",A203&amp;IF(V203="",""," &lt;- "&amp;V203&amp;IF(W203="",""," &lt;- "&amp;W203&amp;IF(X203="",""," &lt;- "&amp;X203&amp;IF(Y203="",""," &lt;- "&amp;Y203))))&amp;IF(ISNUMBER(FIND(",",D203))," (+ other parents)",""))</f>
        <v/>
      </c>
      <c r="O203" s="20" t="str">
        <f aca="false">IF(A203="","",COUNTIF(Fields!$D:$D,A203))</f>
        <v/>
      </c>
      <c r="P203" s="20" t="str">
        <f aca="false">IF(A203="","",SUMIF(Fields!$D:$D,A203,Fields!$O:$O))</f>
        <v/>
      </c>
      <c r="Q203" s="30"/>
      <c r="R203" s="30"/>
      <c r="S203" s="30"/>
      <c r="T203" s="30"/>
      <c r="U203" s="30"/>
      <c r="V203" s="34" t="str">
        <f aca="false">IF(A203="","",IF(IFERROR(INDEX($D:$D,MATCH(A203,$A:$A,0)),"")="","",TRIM(IF(ISNUMBER(FIND(",",IFERROR(INDEX($D:$D,MATCH(A203,$A:$A,0)),""))),LEFT(IFERROR(INDEX($D:$D,MATCH(A203,$A:$A,0)),""),FIND(",",IFERROR(INDEX($D:$D,MATCH(A203,$A:$A,0)),""))-1),IFERROR(INDEX($D:$D,MATCH(A203,$A:$A,0)),"")))))</f>
        <v/>
      </c>
      <c r="W203" s="34" t="str">
        <f aca="false">IF(V203="","",IF(IFERROR(INDEX($D:$D,MATCH(V203,$A:$A,0)),"")="","",TRIM(IF(ISNUMBER(FIND(",",IFERROR(INDEX($D:$D,MATCH(V203,$A:$A,0)),""))),LEFT(IFERROR(INDEX($D:$D,MATCH(V203,$A:$A,0)),""),FIND(",",IFERROR(INDEX($D:$D,MATCH(V203,$A:$A,0)),""))-1),IFERROR(INDEX($D:$D,MATCH(V203,$A:$A,0)),"")))))</f>
        <v/>
      </c>
      <c r="X203" s="34" t="str">
        <f aca="false">IF(W203="","",IF(IFERROR(INDEX($D:$D,MATCH(W203,$A:$A,0)),"")="","",TRIM(IF(ISNUMBER(FIND(",",IFERROR(INDEX($D:$D,MATCH(W203,$A:$A,0)),""))),LEFT(IFERROR(INDEX($D:$D,MATCH(W203,$A:$A,0)),""),FIND(",",IFERROR(INDEX($D:$D,MATCH(W203,$A:$A,0)),""))-1),IFERROR(INDEX($D:$D,MATCH(W203,$A:$A,0)),"")))))</f>
        <v/>
      </c>
      <c r="Y203" s="34" t="str">
        <f aca="false">IF(X203="","",IF(IFERROR(INDEX($D:$D,MATCH(X203,$A:$A,0)),"")="","",TRIM(IF(ISNUMBER(FIND(",",IFERROR(INDEX($D:$D,MATCH(X203,$A:$A,0)),""))),LEFT(IFERROR(INDEX($D:$D,MATCH(X203,$A:$A,0)),""),FIND(",",IFERROR(INDEX($D:$D,MATCH(X203,$A:$A,0)),""))-1),IFERROR(INDEX($D:$D,MATCH(X203,$A:$A,0)),"")))))</f>
        <v/>
      </c>
      <c r="Z203" s="34" t="str">
        <f aca="false">IF(AND(A203&lt;&gt;"",L203="Retire"),COUNTIF($L$5:L203,"Retire"),"")</f>
        <v/>
      </c>
      <c r="AA203" s="34" t="str">
        <f aca="false">IF(AND(A203&lt;&gt;"",L203="Build"),COUNTIF($L$5:L203,"Build"),"")</f>
        <v/>
      </c>
      <c r="AB203" s="34" t="str">
        <f aca="false">IF(AND(A203&lt;&gt;"",OR(M203="4+",AND(ISNUMBER(M203),M203&gt;=2))),SUMPRODUCT(($A$5:A203&lt;&gt;"")*(($M$5:M203="4+")+(ISNUMBER($M$5:M203)*($M$5:M203&gt;=2)))),"")</f>
        <v/>
      </c>
      <c r="AC203" s="34" t="str">
        <f aca="false">IF(AND(A203&lt;&gt;"",OR(L203="",L203="Undecided",K203="")),SUMPRODUCT(($A$5:A203&lt;&gt;"")*(($L$5:L203="")+($L$5:L203="Undecided")+($K$5:K203=""))&gt;0*1),"")</f>
        <v/>
      </c>
    </row>
    <row r="204" customFormat="false" ht="15" hidden="false" customHeight="false" outlineLevel="0" collapsed="false">
      <c r="A204" s="29"/>
      <c r="B204" s="30"/>
      <c r="C204" s="30"/>
      <c r="D204" s="30"/>
      <c r="E204" s="30"/>
      <c r="F204" s="30"/>
      <c r="G204" s="30"/>
      <c r="H204" s="30"/>
      <c r="I204" s="30"/>
      <c r="J204" s="30"/>
      <c r="K204" s="30"/>
      <c r="L204" s="30"/>
      <c r="M204" s="20" t="str">
        <f aca="false">IF(A204="","",IF(V204="",0,IF(W204="",1,IF(X204="",2,IF(Y204="",3,"4+")))))</f>
        <v/>
      </c>
      <c r="N204" s="20" t="str">
        <f aca="false">IF(A204="","",A204&amp;IF(V204="",""," &lt;- "&amp;V204&amp;IF(W204="",""," &lt;- "&amp;W204&amp;IF(X204="",""," &lt;- "&amp;X204&amp;IF(Y204="",""," &lt;- "&amp;Y204))))&amp;IF(ISNUMBER(FIND(",",D204))," (+ other parents)",""))</f>
        <v/>
      </c>
      <c r="O204" s="20" t="str">
        <f aca="false">IF(A204="","",COUNTIF(Fields!$D:$D,A204))</f>
        <v/>
      </c>
      <c r="P204" s="20" t="str">
        <f aca="false">IF(A204="","",SUMIF(Fields!$D:$D,A204,Fields!$O:$O))</f>
        <v/>
      </c>
      <c r="Q204" s="30"/>
      <c r="R204" s="30"/>
      <c r="S204" s="30"/>
      <c r="T204" s="30"/>
      <c r="U204" s="30"/>
      <c r="V204" s="34" t="str">
        <f aca="false">IF(A204="","",IF(IFERROR(INDEX($D:$D,MATCH(A204,$A:$A,0)),"")="","",TRIM(IF(ISNUMBER(FIND(",",IFERROR(INDEX($D:$D,MATCH(A204,$A:$A,0)),""))),LEFT(IFERROR(INDEX($D:$D,MATCH(A204,$A:$A,0)),""),FIND(",",IFERROR(INDEX($D:$D,MATCH(A204,$A:$A,0)),""))-1),IFERROR(INDEX($D:$D,MATCH(A204,$A:$A,0)),"")))))</f>
        <v/>
      </c>
      <c r="W204" s="34" t="str">
        <f aca="false">IF(V204="","",IF(IFERROR(INDEX($D:$D,MATCH(V204,$A:$A,0)),"")="","",TRIM(IF(ISNUMBER(FIND(",",IFERROR(INDEX($D:$D,MATCH(V204,$A:$A,0)),""))),LEFT(IFERROR(INDEX($D:$D,MATCH(V204,$A:$A,0)),""),FIND(",",IFERROR(INDEX($D:$D,MATCH(V204,$A:$A,0)),""))-1),IFERROR(INDEX($D:$D,MATCH(V204,$A:$A,0)),"")))))</f>
        <v/>
      </c>
      <c r="X204" s="34" t="str">
        <f aca="false">IF(W204="","",IF(IFERROR(INDEX($D:$D,MATCH(W204,$A:$A,0)),"")="","",TRIM(IF(ISNUMBER(FIND(",",IFERROR(INDEX($D:$D,MATCH(W204,$A:$A,0)),""))),LEFT(IFERROR(INDEX($D:$D,MATCH(W204,$A:$A,0)),""),FIND(",",IFERROR(INDEX($D:$D,MATCH(W204,$A:$A,0)),""))-1),IFERROR(INDEX($D:$D,MATCH(W204,$A:$A,0)),"")))))</f>
        <v/>
      </c>
      <c r="Y204" s="34" t="str">
        <f aca="false">IF(X204="","",IF(IFERROR(INDEX($D:$D,MATCH(X204,$A:$A,0)),"")="","",TRIM(IF(ISNUMBER(FIND(",",IFERROR(INDEX($D:$D,MATCH(X204,$A:$A,0)),""))),LEFT(IFERROR(INDEX($D:$D,MATCH(X204,$A:$A,0)),""),FIND(",",IFERROR(INDEX($D:$D,MATCH(X204,$A:$A,0)),""))-1),IFERROR(INDEX($D:$D,MATCH(X204,$A:$A,0)),"")))))</f>
        <v/>
      </c>
      <c r="Z204" s="34" t="str">
        <f aca="false">IF(AND(A204&lt;&gt;"",L204="Retire"),COUNTIF($L$5:L204,"Retire"),"")</f>
        <v/>
      </c>
      <c r="AA204" s="34" t="str">
        <f aca="false">IF(AND(A204&lt;&gt;"",L204="Build"),COUNTIF($L$5:L204,"Build"),"")</f>
        <v/>
      </c>
      <c r="AB204" s="34" t="str">
        <f aca="false">IF(AND(A204&lt;&gt;"",OR(M204="4+",AND(ISNUMBER(M204),M204&gt;=2))),SUMPRODUCT(($A$5:A204&lt;&gt;"")*(($M$5:M204="4+")+(ISNUMBER($M$5:M204)*($M$5:M204&gt;=2)))),"")</f>
        <v/>
      </c>
      <c r="AC204" s="34" t="str">
        <f aca="false">IF(AND(A204&lt;&gt;"",OR(L204="",L204="Undecided",K204="")),SUMPRODUCT(($A$5:A204&lt;&gt;"")*(($L$5:L204="")+($L$5:L204="Undecided")+($K$5:K204=""))&gt;0*1),"")</f>
        <v/>
      </c>
    </row>
    <row r="205" customFormat="false" ht="15" hidden="false" customHeight="false" outlineLevel="0" collapsed="false">
      <c r="A205" s="29"/>
      <c r="B205" s="30"/>
      <c r="C205" s="30"/>
      <c r="D205" s="30"/>
      <c r="E205" s="30"/>
      <c r="F205" s="30"/>
      <c r="G205" s="30"/>
      <c r="H205" s="30"/>
      <c r="I205" s="30"/>
      <c r="J205" s="30"/>
      <c r="K205" s="30"/>
      <c r="L205" s="30"/>
      <c r="M205" s="20" t="str">
        <f aca="false">IF(A205="","",IF(V205="",0,IF(W205="",1,IF(X205="",2,IF(Y205="",3,"4+")))))</f>
        <v/>
      </c>
      <c r="N205" s="20" t="str">
        <f aca="false">IF(A205="","",A205&amp;IF(V205="",""," &lt;- "&amp;V205&amp;IF(W205="",""," &lt;- "&amp;W205&amp;IF(X205="",""," &lt;- "&amp;X205&amp;IF(Y205="",""," &lt;- "&amp;Y205))))&amp;IF(ISNUMBER(FIND(",",D205))," (+ other parents)",""))</f>
        <v/>
      </c>
      <c r="O205" s="20" t="str">
        <f aca="false">IF(A205="","",COUNTIF(Fields!$D:$D,A205))</f>
        <v/>
      </c>
      <c r="P205" s="20" t="str">
        <f aca="false">IF(A205="","",SUMIF(Fields!$D:$D,A205,Fields!$O:$O))</f>
        <v/>
      </c>
      <c r="Q205" s="30"/>
      <c r="R205" s="30"/>
      <c r="S205" s="30"/>
      <c r="T205" s="30"/>
      <c r="U205" s="30"/>
      <c r="V205" s="34" t="str">
        <f aca="false">IF(A205="","",IF(IFERROR(INDEX($D:$D,MATCH(A205,$A:$A,0)),"")="","",TRIM(IF(ISNUMBER(FIND(",",IFERROR(INDEX($D:$D,MATCH(A205,$A:$A,0)),""))),LEFT(IFERROR(INDEX($D:$D,MATCH(A205,$A:$A,0)),""),FIND(",",IFERROR(INDEX($D:$D,MATCH(A205,$A:$A,0)),""))-1),IFERROR(INDEX($D:$D,MATCH(A205,$A:$A,0)),"")))))</f>
        <v/>
      </c>
      <c r="W205" s="34" t="str">
        <f aca="false">IF(V205="","",IF(IFERROR(INDEX($D:$D,MATCH(V205,$A:$A,0)),"")="","",TRIM(IF(ISNUMBER(FIND(",",IFERROR(INDEX($D:$D,MATCH(V205,$A:$A,0)),""))),LEFT(IFERROR(INDEX($D:$D,MATCH(V205,$A:$A,0)),""),FIND(",",IFERROR(INDEX($D:$D,MATCH(V205,$A:$A,0)),""))-1),IFERROR(INDEX($D:$D,MATCH(V205,$A:$A,0)),"")))))</f>
        <v/>
      </c>
      <c r="X205" s="34" t="str">
        <f aca="false">IF(W205="","",IF(IFERROR(INDEX($D:$D,MATCH(W205,$A:$A,0)),"")="","",TRIM(IF(ISNUMBER(FIND(",",IFERROR(INDEX($D:$D,MATCH(W205,$A:$A,0)),""))),LEFT(IFERROR(INDEX($D:$D,MATCH(W205,$A:$A,0)),""),FIND(",",IFERROR(INDEX($D:$D,MATCH(W205,$A:$A,0)),""))-1),IFERROR(INDEX($D:$D,MATCH(W205,$A:$A,0)),"")))))</f>
        <v/>
      </c>
      <c r="Y205" s="34" t="str">
        <f aca="false">IF(X205="","",IF(IFERROR(INDEX($D:$D,MATCH(X205,$A:$A,0)),"")="","",TRIM(IF(ISNUMBER(FIND(",",IFERROR(INDEX($D:$D,MATCH(X205,$A:$A,0)),""))),LEFT(IFERROR(INDEX($D:$D,MATCH(X205,$A:$A,0)),""),FIND(",",IFERROR(INDEX($D:$D,MATCH(X205,$A:$A,0)),""))-1),IFERROR(INDEX($D:$D,MATCH(X205,$A:$A,0)),"")))))</f>
        <v/>
      </c>
      <c r="Z205" s="34" t="str">
        <f aca="false">IF(AND(A205&lt;&gt;"",L205="Retire"),COUNTIF($L$5:L205,"Retire"),"")</f>
        <v/>
      </c>
      <c r="AA205" s="34" t="str">
        <f aca="false">IF(AND(A205&lt;&gt;"",L205="Build"),COUNTIF($L$5:L205,"Build"),"")</f>
        <v/>
      </c>
      <c r="AB205" s="34" t="str">
        <f aca="false">IF(AND(A205&lt;&gt;"",OR(M205="4+",AND(ISNUMBER(M205),M205&gt;=2))),SUMPRODUCT(($A$5:A205&lt;&gt;"")*(($M$5:M205="4+")+(ISNUMBER($M$5:M205)*($M$5:M205&gt;=2)))),"")</f>
        <v/>
      </c>
      <c r="AC205" s="34" t="str">
        <f aca="false">IF(AND(A205&lt;&gt;"",OR(L205="",L205="Undecided",K205="")),SUMPRODUCT(($A$5:A205&lt;&gt;"")*(($L$5:L205="")+($L$5:L205="Undecided")+($K$5:K205=""))&gt;0*1),"")</f>
        <v/>
      </c>
    </row>
    <row r="206" customFormat="false" ht="15" hidden="false" customHeight="false" outlineLevel="0" collapsed="false">
      <c r="A206" s="29"/>
      <c r="B206" s="30"/>
      <c r="C206" s="30"/>
      <c r="D206" s="30"/>
      <c r="E206" s="30"/>
      <c r="F206" s="30"/>
      <c r="G206" s="30"/>
      <c r="H206" s="30"/>
      <c r="I206" s="30"/>
      <c r="J206" s="30"/>
      <c r="K206" s="30"/>
      <c r="L206" s="30"/>
      <c r="M206" s="20" t="str">
        <f aca="false">IF(A206="","",IF(V206="",0,IF(W206="",1,IF(X206="",2,IF(Y206="",3,"4+")))))</f>
        <v/>
      </c>
      <c r="N206" s="20" t="str">
        <f aca="false">IF(A206="","",A206&amp;IF(V206="",""," &lt;- "&amp;V206&amp;IF(W206="",""," &lt;- "&amp;W206&amp;IF(X206="",""," &lt;- "&amp;X206&amp;IF(Y206="",""," &lt;- "&amp;Y206))))&amp;IF(ISNUMBER(FIND(",",D206))," (+ other parents)",""))</f>
        <v/>
      </c>
      <c r="O206" s="20" t="str">
        <f aca="false">IF(A206="","",COUNTIF(Fields!$D:$D,A206))</f>
        <v/>
      </c>
      <c r="P206" s="20" t="str">
        <f aca="false">IF(A206="","",SUMIF(Fields!$D:$D,A206,Fields!$O:$O))</f>
        <v/>
      </c>
      <c r="Q206" s="30"/>
      <c r="R206" s="30"/>
      <c r="S206" s="30"/>
      <c r="T206" s="30"/>
      <c r="U206" s="30"/>
      <c r="V206" s="34" t="str">
        <f aca="false">IF(A206="","",IF(IFERROR(INDEX($D:$D,MATCH(A206,$A:$A,0)),"")="","",TRIM(IF(ISNUMBER(FIND(",",IFERROR(INDEX($D:$D,MATCH(A206,$A:$A,0)),""))),LEFT(IFERROR(INDEX($D:$D,MATCH(A206,$A:$A,0)),""),FIND(",",IFERROR(INDEX($D:$D,MATCH(A206,$A:$A,0)),""))-1),IFERROR(INDEX($D:$D,MATCH(A206,$A:$A,0)),"")))))</f>
        <v/>
      </c>
      <c r="W206" s="34" t="str">
        <f aca="false">IF(V206="","",IF(IFERROR(INDEX($D:$D,MATCH(V206,$A:$A,0)),"")="","",TRIM(IF(ISNUMBER(FIND(",",IFERROR(INDEX($D:$D,MATCH(V206,$A:$A,0)),""))),LEFT(IFERROR(INDEX($D:$D,MATCH(V206,$A:$A,0)),""),FIND(",",IFERROR(INDEX($D:$D,MATCH(V206,$A:$A,0)),""))-1),IFERROR(INDEX($D:$D,MATCH(V206,$A:$A,0)),"")))))</f>
        <v/>
      </c>
      <c r="X206" s="34" t="str">
        <f aca="false">IF(W206="","",IF(IFERROR(INDEX($D:$D,MATCH(W206,$A:$A,0)),"")="","",TRIM(IF(ISNUMBER(FIND(",",IFERROR(INDEX($D:$D,MATCH(W206,$A:$A,0)),""))),LEFT(IFERROR(INDEX($D:$D,MATCH(W206,$A:$A,0)),""),FIND(",",IFERROR(INDEX($D:$D,MATCH(W206,$A:$A,0)),""))-1),IFERROR(INDEX($D:$D,MATCH(W206,$A:$A,0)),"")))))</f>
        <v/>
      </c>
      <c r="Y206" s="34" t="str">
        <f aca="false">IF(X206="","",IF(IFERROR(INDEX($D:$D,MATCH(X206,$A:$A,0)),"")="","",TRIM(IF(ISNUMBER(FIND(",",IFERROR(INDEX($D:$D,MATCH(X206,$A:$A,0)),""))),LEFT(IFERROR(INDEX($D:$D,MATCH(X206,$A:$A,0)),""),FIND(",",IFERROR(INDEX($D:$D,MATCH(X206,$A:$A,0)),""))-1),IFERROR(INDEX($D:$D,MATCH(X206,$A:$A,0)),"")))))</f>
        <v/>
      </c>
      <c r="Z206" s="34" t="str">
        <f aca="false">IF(AND(A206&lt;&gt;"",L206="Retire"),COUNTIF($L$5:L206,"Retire"),"")</f>
        <v/>
      </c>
      <c r="AA206" s="34" t="str">
        <f aca="false">IF(AND(A206&lt;&gt;"",L206="Build"),COUNTIF($L$5:L206,"Build"),"")</f>
        <v/>
      </c>
      <c r="AB206" s="34" t="str">
        <f aca="false">IF(AND(A206&lt;&gt;"",OR(M206="4+",AND(ISNUMBER(M206),M206&gt;=2))),SUMPRODUCT(($A$5:A206&lt;&gt;"")*(($M$5:M206="4+")+(ISNUMBER($M$5:M206)*($M$5:M206&gt;=2)))),"")</f>
        <v/>
      </c>
      <c r="AC206" s="34" t="str">
        <f aca="false">IF(AND(A206&lt;&gt;"",OR(L206="",L206="Undecided",K206="")),SUMPRODUCT(($A$5:A206&lt;&gt;"")*(($L$5:L206="")+($L$5:L206="Undecided")+($K$5:K206=""))&gt;0*1),"")</f>
        <v/>
      </c>
    </row>
    <row r="207" customFormat="false" ht="15" hidden="false" customHeight="false" outlineLevel="0" collapsed="false">
      <c r="A207" s="29"/>
      <c r="B207" s="30"/>
      <c r="C207" s="30"/>
      <c r="D207" s="30"/>
      <c r="E207" s="30"/>
      <c r="F207" s="30"/>
      <c r="G207" s="30"/>
      <c r="H207" s="30"/>
      <c r="I207" s="30"/>
      <c r="J207" s="30"/>
      <c r="K207" s="30"/>
      <c r="L207" s="30"/>
      <c r="M207" s="20" t="str">
        <f aca="false">IF(A207="","",IF(V207="",0,IF(W207="",1,IF(X207="",2,IF(Y207="",3,"4+")))))</f>
        <v/>
      </c>
      <c r="N207" s="20" t="str">
        <f aca="false">IF(A207="","",A207&amp;IF(V207="",""," &lt;- "&amp;V207&amp;IF(W207="",""," &lt;- "&amp;W207&amp;IF(X207="",""," &lt;- "&amp;X207&amp;IF(Y207="",""," &lt;- "&amp;Y207))))&amp;IF(ISNUMBER(FIND(",",D207))," (+ other parents)",""))</f>
        <v/>
      </c>
      <c r="O207" s="20" t="str">
        <f aca="false">IF(A207="","",COUNTIF(Fields!$D:$D,A207))</f>
        <v/>
      </c>
      <c r="P207" s="20" t="str">
        <f aca="false">IF(A207="","",SUMIF(Fields!$D:$D,A207,Fields!$O:$O))</f>
        <v/>
      </c>
      <c r="Q207" s="30"/>
      <c r="R207" s="30"/>
      <c r="S207" s="30"/>
      <c r="T207" s="30"/>
      <c r="U207" s="30"/>
      <c r="V207" s="34" t="str">
        <f aca="false">IF(A207="","",IF(IFERROR(INDEX($D:$D,MATCH(A207,$A:$A,0)),"")="","",TRIM(IF(ISNUMBER(FIND(",",IFERROR(INDEX($D:$D,MATCH(A207,$A:$A,0)),""))),LEFT(IFERROR(INDEX($D:$D,MATCH(A207,$A:$A,0)),""),FIND(",",IFERROR(INDEX($D:$D,MATCH(A207,$A:$A,0)),""))-1),IFERROR(INDEX($D:$D,MATCH(A207,$A:$A,0)),"")))))</f>
        <v/>
      </c>
      <c r="W207" s="34" t="str">
        <f aca="false">IF(V207="","",IF(IFERROR(INDEX($D:$D,MATCH(V207,$A:$A,0)),"")="","",TRIM(IF(ISNUMBER(FIND(",",IFERROR(INDEX($D:$D,MATCH(V207,$A:$A,0)),""))),LEFT(IFERROR(INDEX($D:$D,MATCH(V207,$A:$A,0)),""),FIND(",",IFERROR(INDEX($D:$D,MATCH(V207,$A:$A,0)),""))-1),IFERROR(INDEX($D:$D,MATCH(V207,$A:$A,0)),"")))))</f>
        <v/>
      </c>
      <c r="X207" s="34" t="str">
        <f aca="false">IF(W207="","",IF(IFERROR(INDEX($D:$D,MATCH(W207,$A:$A,0)),"")="","",TRIM(IF(ISNUMBER(FIND(",",IFERROR(INDEX($D:$D,MATCH(W207,$A:$A,0)),""))),LEFT(IFERROR(INDEX($D:$D,MATCH(W207,$A:$A,0)),""),FIND(",",IFERROR(INDEX($D:$D,MATCH(W207,$A:$A,0)),""))-1),IFERROR(INDEX($D:$D,MATCH(W207,$A:$A,0)),"")))))</f>
        <v/>
      </c>
      <c r="Y207" s="34" t="str">
        <f aca="false">IF(X207="","",IF(IFERROR(INDEX($D:$D,MATCH(X207,$A:$A,0)),"")="","",TRIM(IF(ISNUMBER(FIND(",",IFERROR(INDEX($D:$D,MATCH(X207,$A:$A,0)),""))),LEFT(IFERROR(INDEX($D:$D,MATCH(X207,$A:$A,0)),""),FIND(",",IFERROR(INDEX($D:$D,MATCH(X207,$A:$A,0)),""))-1),IFERROR(INDEX($D:$D,MATCH(X207,$A:$A,0)),"")))))</f>
        <v/>
      </c>
      <c r="Z207" s="34" t="str">
        <f aca="false">IF(AND(A207&lt;&gt;"",L207="Retire"),COUNTIF($L$5:L207,"Retire"),"")</f>
        <v/>
      </c>
      <c r="AA207" s="34" t="str">
        <f aca="false">IF(AND(A207&lt;&gt;"",L207="Build"),COUNTIF($L$5:L207,"Build"),"")</f>
        <v/>
      </c>
      <c r="AB207" s="34" t="str">
        <f aca="false">IF(AND(A207&lt;&gt;"",OR(M207="4+",AND(ISNUMBER(M207),M207&gt;=2))),SUMPRODUCT(($A$5:A207&lt;&gt;"")*(($M$5:M207="4+")+(ISNUMBER($M$5:M207)*($M$5:M207&gt;=2)))),"")</f>
        <v/>
      </c>
      <c r="AC207" s="34" t="str">
        <f aca="false">IF(AND(A207&lt;&gt;"",OR(L207="",L207="Undecided",K207="")),SUMPRODUCT(($A$5:A207&lt;&gt;"")*(($L$5:L207="")+($L$5:L207="Undecided")+($K$5:K207=""))&gt;0*1),"")</f>
        <v/>
      </c>
    </row>
    <row r="208" customFormat="false" ht="15" hidden="false" customHeight="false" outlineLevel="0" collapsed="false">
      <c r="A208" s="29"/>
      <c r="B208" s="30"/>
      <c r="C208" s="30"/>
      <c r="D208" s="30"/>
      <c r="E208" s="30"/>
      <c r="F208" s="30"/>
      <c r="G208" s="30"/>
      <c r="H208" s="30"/>
      <c r="I208" s="30"/>
      <c r="J208" s="30"/>
      <c r="K208" s="30"/>
      <c r="L208" s="30"/>
      <c r="M208" s="20" t="str">
        <f aca="false">IF(A208="","",IF(V208="",0,IF(W208="",1,IF(X208="",2,IF(Y208="",3,"4+")))))</f>
        <v/>
      </c>
      <c r="N208" s="20" t="str">
        <f aca="false">IF(A208="","",A208&amp;IF(V208="",""," &lt;- "&amp;V208&amp;IF(W208="",""," &lt;- "&amp;W208&amp;IF(X208="",""," &lt;- "&amp;X208&amp;IF(Y208="",""," &lt;- "&amp;Y208))))&amp;IF(ISNUMBER(FIND(",",D208))," (+ other parents)",""))</f>
        <v/>
      </c>
      <c r="O208" s="20" t="str">
        <f aca="false">IF(A208="","",COUNTIF(Fields!$D:$D,A208))</f>
        <v/>
      </c>
      <c r="P208" s="20" t="str">
        <f aca="false">IF(A208="","",SUMIF(Fields!$D:$D,A208,Fields!$O:$O))</f>
        <v/>
      </c>
      <c r="Q208" s="30"/>
      <c r="R208" s="30"/>
      <c r="S208" s="30"/>
      <c r="T208" s="30"/>
      <c r="U208" s="30"/>
      <c r="V208" s="34" t="str">
        <f aca="false">IF(A208="","",IF(IFERROR(INDEX($D:$D,MATCH(A208,$A:$A,0)),"")="","",TRIM(IF(ISNUMBER(FIND(",",IFERROR(INDEX($D:$D,MATCH(A208,$A:$A,0)),""))),LEFT(IFERROR(INDEX($D:$D,MATCH(A208,$A:$A,0)),""),FIND(",",IFERROR(INDEX($D:$D,MATCH(A208,$A:$A,0)),""))-1),IFERROR(INDEX($D:$D,MATCH(A208,$A:$A,0)),"")))))</f>
        <v/>
      </c>
      <c r="W208" s="34" t="str">
        <f aca="false">IF(V208="","",IF(IFERROR(INDEX($D:$D,MATCH(V208,$A:$A,0)),"")="","",TRIM(IF(ISNUMBER(FIND(",",IFERROR(INDEX($D:$D,MATCH(V208,$A:$A,0)),""))),LEFT(IFERROR(INDEX($D:$D,MATCH(V208,$A:$A,0)),""),FIND(",",IFERROR(INDEX($D:$D,MATCH(V208,$A:$A,0)),""))-1),IFERROR(INDEX($D:$D,MATCH(V208,$A:$A,0)),"")))))</f>
        <v/>
      </c>
      <c r="X208" s="34" t="str">
        <f aca="false">IF(W208="","",IF(IFERROR(INDEX($D:$D,MATCH(W208,$A:$A,0)),"")="","",TRIM(IF(ISNUMBER(FIND(",",IFERROR(INDEX($D:$D,MATCH(W208,$A:$A,0)),""))),LEFT(IFERROR(INDEX($D:$D,MATCH(W208,$A:$A,0)),""),FIND(",",IFERROR(INDEX($D:$D,MATCH(W208,$A:$A,0)),""))-1),IFERROR(INDEX($D:$D,MATCH(W208,$A:$A,0)),"")))))</f>
        <v/>
      </c>
      <c r="Y208" s="34" t="str">
        <f aca="false">IF(X208="","",IF(IFERROR(INDEX($D:$D,MATCH(X208,$A:$A,0)),"")="","",TRIM(IF(ISNUMBER(FIND(",",IFERROR(INDEX($D:$D,MATCH(X208,$A:$A,0)),""))),LEFT(IFERROR(INDEX($D:$D,MATCH(X208,$A:$A,0)),""),FIND(",",IFERROR(INDEX($D:$D,MATCH(X208,$A:$A,0)),""))-1),IFERROR(INDEX($D:$D,MATCH(X208,$A:$A,0)),"")))))</f>
        <v/>
      </c>
      <c r="Z208" s="34" t="str">
        <f aca="false">IF(AND(A208&lt;&gt;"",L208="Retire"),COUNTIF($L$5:L208,"Retire"),"")</f>
        <v/>
      </c>
      <c r="AA208" s="34" t="str">
        <f aca="false">IF(AND(A208&lt;&gt;"",L208="Build"),COUNTIF($L$5:L208,"Build"),"")</f>
        <v/>
      </c>
      <c r="AB208" s="34" t="str">
        <f aca="false">IF(AND(A208&lt;&gt;"",OR(M208="4+",AND(ISNUMBER(M208),M208&gt;=2))),SUMPRODUCT(($A$5:A208&lt;&gt;"")*(($M$5:M208="4+")+(ISNUMBER($M$5:M208)*($M$5:M208&gt;=2)))),"")</f>
        <v/>
      </c>
      <c r="AC208" s="34" t="str">
        <f aca="false">IF(AND(A208&lt;&gt;"",OR(L208="",L208="Undecided",K208="")),SUMPRODUCT(($A$5:A208&lt;&gt;"")*(($L$5:L208="")+($L$5:L208="Undecided")+($K$5:K208=""))&gt;0*1),"")</f>
        <v/>
      </c>
    </row>
    <row r="209" customFormat="false" ht="15" hidden="false" customHeight="false" outlineLevel="0" collapsed="false">
      <c r="A209" s="29"/>
      <c r="B209" s="30"/>
      <c r="C209" s="30"/>
      <c r="D209" s="30"/>
      <c r="E209" s="30"/>
      <c r="F209" s="30"/>
      <c r="G209" s="30"/>
      <c r="H209" s="30"/>
      <c r="I209" s="30"/>
      <c r="J209" s="30"/>
      <c r="K209" s="30"/>
      <c r="L209" s="30"/>
      <c r="M209" s="20" t="str">
        <f aca="false">IF(A209="","",IF(V209="",0,IF(W209="",1,IF(X209="",2,IF(Y209="",3,"4+")))))</f>
        <v/>
      </c>
      <c r="N209" s="20" t="str">
        <f aca="false">IF(A209="","",A209&amp;IF(V209="",""," &lt;- "&amp;V209&amp;IF(W209="",""," &lt;- "&amp;W209&amp;IF(X209="",""," &lt;- "&amp;X209&amp;IF(Y209="",""," &lt;- "&amp;Y209))))&amp;IF(ISNUMBER(FIND(",",D209))," (+ other parents)",""))</f>
        <v/>
      </c>
      <c r="O209" s="20" t="str">
        <f aca="false">IF(A209="","",COUNTIF(Fields!$D:$D,A209))</f>
        <v/>
      </c>
      <c r="P209" s="20" t="str">
        <f aca="false">IF(A209="","",SUMIF(Fields!$D:$D,A209,Fields!$O:$O))</f>
        <v/>
      </c>
      <c r="Q209" s="30"/>
      <c r="R209" s="30"/>
      <c r="S209" s="30"/>
      <c r="T209" s="30"/>
      <c r="U209" s="30"/>
      <c r="V209" s="34" t="str">
        <f aca="false">IF(A209="","",IF(IFERROR(INDEX($D:$D,MATCH(A209,$A:$A,0)),"")="","",TRIM(IF(ISNUMBER(FIND(",",IFERROR(INDEX($D:$D,MATCH(A209,$A:$A,0)),""))),LEFT(IFERROR(INDEX($D:$D,MATCH(A209,$A:$A,0)),""),FIND(",",IFERROR(INDEX($D:$D,MATCH(A209,$A:$A,0)),""))-1),IFERROR(INDEX($D:$D,MATCH(A209,$A:$A,0)),"")))))</f>
        <v/>
      </c>
      <c r="W209" s="34" t="str">
        <f aca="false">IF(V209="","",IF(IFERROR(INDEX($D:$D,MATCH(V209,$A:$A,0)),"")="","",TRIM(IF(ISNUMBER(FIND(",",IFERROR(INDEX($D:$D,MATCH(V209,$A:$A,0)),""))),LEFT(IFERROR(INDEX($D:$D,MATCH(V209,$A:$A,0)),""),FIND(",",IFERROR(INDEX($D:$D,MATCH(V209,$A:$A,0)),""))-1),IFERROR(INDEX($D:$D,MATCH(V209,$A:$A,0)),"")))))</f>
        <v/>
      </c>
      <c r="X209" s="34" t="str">
        <f aca="false">IF(W209="","",IF(IFERROR(INDEX($D:$D,MATCH(W209,$A:$A,0)),"")="","",TRIM(IF(ISNUMBER(FIND(",",IFERROR(INDEX($D:$D,MATCH(W209,$A:$A,0)),""))),LEFT(IFERROR(INDEX($D:$D,MATCH(W209,$A:$A,0)),""),FIND(",",IFERROR(INDEX($D:$D,MATCH(W209,$A:$A,0)),""))-1),IFERROR(INDEX($D:$D,MATCH(W209,$A:$A,0)),"")))))</f>
        <v/>
      </c>
      <c r="Y209" s="34" t="str">
        <f aca="false">IF(X209="","",IF(IFERROR(INDEX($D:$D,MATCH(X209,$A:$A,0)),"")="","",TRIM(IF(ISNUMBER(FIND(",",IFERROR(INDEX($D:$D,MATCH(X209,$A:$A,0)),""))),LEFT(IFERROR(INDEX($D:$D,MATCH(X209,$A:$A,0)),""),FIND(",",IFERROR(INDEX($D:$D,MATCH(X209,$A:$A,0)),""))-1),IFERROR(INDEX($D:$D,MATCH(X209,$A:$A,0)),"")))))</f>
        <v/>
      </c>
      <c r="Z209" s="34" t="str">
        <f aca="false">IF(AND(A209&lt;&gt;"",L209="Retire"),COUNTIF($L$5:L209,"Retire"),"")</f>
        <v/>
      </c>
      <c r="AA209" s="34" t="str">
        <f aca="false">IF(AND(A209&lt;&gt;"",L209="Build"),COUNTIF($L$5:L209,"Build"),"")</f>
        <v/>
      </c>
      <c r="AB209" s="34" t="str">
        <f aca="false">IF(AND(A209&lt;&gt;"",OR(M209="4+",AND(ISNUMBER(M209),M209&gt;=2))),SUMPRODUCT(($A$5:A209&lt;&gt;"")*(($M$5:M209="4+")+(ISNUMBER($M$5:M209)*($M$5:M209&gt;=2)))),"")</f>
        <v/>
      </c>
      <c r="AC209" s="34" t="str">
        <f aca="false">IF(AND(A209&lt;&gt;"",OR(L209="",L209="Undecided",K209="")),SUMPRODUCT(($A$5:A209&lt;&gt;"")*(($L$5:L209="")+($L$5:L209="Undecided")+($K$5:K209=""))&gt;0*1),"")</f>
        <v/>
      </c>
    </row>
    <row r="210" customFormat="false" ht="15" hidden="false" customHeight="false" outlineLevel="0" collapsed="false">
      <c r="A210" s="29"/>
      <c r="B210" s="30"/>
      <c r="C210" s="30"/>
      <c r="D210" s="30"/>
      <c r="E210" s="30"/>
      <c r="F210" s="30"/>
      <c r="G210" s="30"/>
      <c r="H210" s="30"/>
      <c r="I210" s="30"/>
      <c r="J210" s="30"/>
      <c r="K210" s="30"/>
      <c r="L210" s="30"/>
      <c r="M210" s="20" t="str">
        <f aca="false">IF(A210="","",IF(V210="",0,IF(W210="",1,IF(X210="",2,IF(Y210="",3,"4+")))))</f>
        <v/>
      </c>
      <c r="N210" s="20" t="str">
        <f aca="false">IF(A210="","",A210&amp;IF(V210="",""," &lt;- "&amp;V210&amp;IF(W210="",""," &lt;- "&amp;W210&amp;IF(X210="",""," &lt;- "&amp;X210&amp;IF(Y210="",""," &lt;- "&amp;Y210))))&amp;IF(ISNUMBER(FIND(",",D210))," (+ other parents)",""))</f>
        <v/>
      </c>
      <c r="O210" s="20" t="str">
        <f aca="false">IF(A210="","",COUNTIF(Fields!$D:$D,A210))</f>
        <v/>
      </c>
      <c r="P210" s="20" t="str">
        <f aca="false">IF(A210="","",SUMIF(Fields!$D:$D,A210,Fields!$O:$O))</f>
        <v/>
      </c>
      <c r="Q210" s="30"/>
      <c r="R210" s="30"/>
      <c r="S210" s="30"/>
      <c r="T210" s="30"/>
      <c r="U210" s="30"/>
      <c r="V210" s="34" t="str">
        <f aca="false">IF(A210="","",IF(IFERROR(INDEX($D:$D,MATCH(A210,$A:$A,0)),"")="","",TRIM(IF(ISNUMBER(FIND(",",IFERROR(INDEX($D:$D,MATCH(A210,$A:$A,0)),""))),LEFT(IFERROR(INDEX($D:$D,MATCH(A210,$A:$A,0)),""),FIND(",",IFERROR(INDEX($D:$D,MATCH(A210,$A:$A,0)),""))-1),IFERROR(INDEX($D:$D,MATCH(A210,$A:$A,0)),"")))))</f>
        <v/>
      </c>
      <c r="W210" s="34" t="str">
        <f aca="false">IF(V210="","",IF(IFERROR(INDEX($D:$D,MATCH(V210,$A:$A,0)),"")="","",TRIM(IF(ISNUMBER(FIND(",",IFERROR(INDEX($D:$D,MATCH(V210,$A:$A,0)),""))),LEFT(IFERROR(INDEX($D:$D,MATCH(V210,$A:$A,0)),""),FIND(",",IFERROR(INDEX($D:$D,MATCH(V210,$A:$A,0)),""))-1),IFERROR(INDEX($D:$D,MATCH(V210,$A:$A,0)),"")))))</f>
        <v/>
      </c>
      <c r="X210" s="34" t="str">
        <f aca="false">IF(W210="","",IF(IFERROR(INDEX($D:$D,MATCH(W210,$A:$A,0)),"")="","",TRIM(IF(ISNUMBER(FIND(",",IFERROR(INDEX($D:$D,MATCH(W210,$A:$A,0)),""))),LEFT(IFERROR(INDEX($D:$D,MATCH(W210,$A:$A,0)),""),FIND(",",IFERROR(INDEX($D:$D,MATCH(W210,$A:$A,0)),""))-1),IFERROR(INDEX($D:$D,MATCH(W210,$A:$A,0)),"")))))</f>
        <v/>
      </c>
      <c r="Y210" s="34" t="str">
        <f aca="false">IF(X210="","",IF(IFERROR(INDEX($D:$D,MATCH(X210,$A:$A,0)),"")="","",TRIM(IF(ISNUMBER(FIND(",",IFERROR(INDEX($D:$D,MATCH(X210,$A:$A,0)),""))),LEFT(IFERROR(INDEX($D:$D,MATCH(X210,$A:$A,0)),""),FIND(",",IFERROR(INDEX($D:$D,MATCH(X210,$A:$A,0)),""))-1),IFERROR(INDEX($D:$D,MATCH(X210,$A:$A,0)),"")))))</f>
        <v/>
      </c>
      <c r="Z210" s="34" t="str">
        <f aca="false">IF(AND(A210&lt;&gt;"",L210="Retire"),COUNTIF($L$5:L210,"Retire"),"")</f>
        <v/>
      </c>
      <c r="AA210" s="34" t="str">
        <f aca="false">IF(AND(A210&lt;&gt;"",L210="Build"),COUNTIF($L$5:L210,"Build"),"")</f>
        <v/>
      </c>
      <c r="AB210" s="34" t="str">
        <f aca="false">IF(AND(A210&lt;&gt;"",OR(M210="4+",AND(ISNUMBER(M210),M210&gt;=2))),SUMPRODUCT(($A$5:A210&lt;&gt;"")*(($M$5:M210="4+")+(ISNUMBER($M$5:M210)*($M$5:M210&gt;=2)))),"")</f>
        <v/>
      </c>
      <c r="AC210" s="34" t="str">
        <f aca="false">IF(AND(A210&lt;&gt;"",OR(L210="",L210="Undecided",K210="")),SUMPRODUCT(($A$5:A210&lt;&gt;"")*(($L$5:L210="")+($L$5:L210="Undecided")+($K$5:K210=""))&gt;0*1),"")</f>
        <v/>
      </c>
    </row>
    <row r="211" customFormat="false" ht="15" hidden="false" customHeight="false" outlineLevel="0" collapsed="false">
      <c r="A211" s="29"/>
      <c r="B211" s="30"/>
      <c r="C211" s="30"/>
      <c r="D211" s="30"/>
      <c r="E211" s="30"/>
      <c r="F211" s="30"/>
      <c r="G211" s="30"/>
      <c r="H211" s="30"/>
      <c r="I211" s="30"/>
      <c r="J211" s="30"/>
      <c r="K211" s="30"/>
      <c r="L211" s="30"/>
      <c r="M211" s="20" t="str">
        <f aca="false">IF(A211="","",IF(V211="",0,IF(W211="",1,IF(X211="",2,IF(Y211="",3,"4+")))))</f>
        <v/>
      </c>
      <c r="N211" s="20" t="str">
        <f aca="false">IF(A211="","",A211&amp;IF(V211="",""," &lt;- "&amp;V211&amp;IF(W211="",""," &lt;- "&amp;W211&amp;IF(X211="",""," &lt;- "&amp;X211&amp;IF(Y211="",""," &lt;- "&amp;Y211))))&amp;IF(ISNUMBER(FIND(",",D211))," (+ other parents)",""))</f>
        <v/>
      </c>
      <c r="O211" s="20" t="str">
        <f aca="false">IF(A211="","",COUNTIF(Fields!$D:$D,A211))</f>
        <v/>
      </c>
      <c r="P211" s="20" t="str">
        <f aca="false">IF(A211="","",SUMIF(Fields!$D:$D,A211,Fields!$O:$O))</f>
        <v/>
      </c>
      <c r="Q211" s="30"/>
      <c r="R211" s="30"/>
      <c r="S211" s="30"/>
      <c r="T211" s="30"/>
      <c r="U211" s="30"/>
      <c r="V211" s="34" t="str">
        <f aca="false">IF(A211="","",IF(IFERROR(INDEX($D:$D,MATCH(A211,$A:$A,0)),"")="","",TRIM(IF(ISNUMBER(FIND(",",IFERROR(INDEX($D:$D,MATCH(A211,$A:$A,0)),""))),LEFT(IFERROR(INDEX($D:$D,MATCH(A211,$A:$A,0)),""),FIND(",",IFERROR(INDEX($D:$D,MATCH(A211,$A:$A,0)),""))-1),IFERROR(INDEX($D:$D,MATCH(A211,$A:$A,0)),"")))))</f>
        <v/>
      </c>
      <c r="W211" s="34" t="str">
        <f aca="false">IF(V211="","",IF(IFERROR(INDEX($D:$D,MATCH(V211,$A:$A,0)),"")="","",TRIM(IF(ISNUMBER(FIND(",",IFERROR(INDEX($D:$D,MATCH(V211,$A:$A,0)),""))),LEFT(IFERROR(INDEX($D:$D,MATCH(V211,$A:$A,0)),""),FIND(",",IFERROR(INDEX($D:$D,MATCH(V211,$A:$A,0)),""))-1),IFERROR(INDEX($D:$D,MATCH(V211,$A:$A,0)),"")))))</f>
        <v/>
      </c>
      <c r="X211" s="34" t="str">
        <f aca="false">IF(W211="","",IF(IFERROR(INDEX($D:$D,MATCH(W211,$A:$A,0)),"")="","",TRIM(IF(ISNUMBER(FIND(",",IFERROR(INDEX($D:$D,MATCH(W211,$A:$A,0)),""))),LEFT(IFERROR(INDEX($D:$D,MATCH(W211,$A:$A,0)),""),FIND(",",IFERROR(INDEX($D:$D,MATCH(W211,$A:$A,0)),""))-1),IFERROR(INDEX($D:$D,MATCH(W211,$A:$A,0)),"")))))</f>
        <v/>
      </c>
      <c r="Y211" s="34" t="str">
        <f aca="false">IF(X211="","",IF(IFERROR(INDEX($D:$D,MATCH(X211,$A:$A,0)),"")="","",TRIM(IF(ISNUMBER(FIND(",",IFERROR(INDEX($D:$D,MATCH(X211,$A:$A,0)),""))),LEFT(IFERROR(INDEX($D:$D,MATCH(X211,$A:$A,0)),""),FIND(",",IFERROR(INDEX($D:$D,MATCH(X211,$A:$A,0)),""))-1),IFERROR(INDEX($D:$D,MATCH(X211,$A:$A,0)),"")))))</f>
        <v/>
      </c>
      <c r="Z211" s="34" t="str">
        <f aca="false">IF(AND(A211&lt;&gt;"",L211="Retire"),COUNTIF($L$5:L211,"Retire"),"")</f>
        <v/>
      </c>
      <c r="AA211" s="34" t="str">
        <f aca="false">IF(AND(A211&lt;&gt;"",L211="Build"),COUNTIF($L$5:L211,"Build"),"")</f>
        <v/>
      </c>
      <c r="AB211" s="34" t="str">
        <f aca="false">IF(AND(A211&lt;&gt;"",OR(M211="4+",AND(ISNUMBER(M211),M211&gt;=2))),SUMPRODUCT(($A$5:A211&lt;&gt;"")*(($M$5:M211="4+")+(ISNUMBER($M$5:M211)*($M$5:M211&gt;=2)))),"")</f>
        <v/>
      </c>
      <c r="AC211" s="34" t="str">
        <f aca="false">IF(AND(A211&lt;&gt;"",OR(L211="",L211="Undecided",K211="")),SUMPRODUCT(($A$5:A211&lt;&gt;"")*(($L$5:L211="")+($L$5:L211="Undecided")+($K$5:K211=""))&gt;0*1),"")</f>
        <v/>
      </c>
    </row>
    <row r="212" customFormat="false" ht="15" hidden="false" customHeight="false" outlineLevel="0" collapsed="false">
      <c r="A212" s="29"/>
      <c r="B212" s="30"/>
      <c r="C212" s="30"/>
      <c r="D212" s="30"/>
      <c r="E212" s="30"/>
      <c r="F212" s="30"/>
      <c r="G212" s="30"/>
      <c r="H212" s="30"/>
      <c r="I212" s="30"/>
      <c r="J212" s="30"/>
      <c r="K212" s="30"/>
      <c r="L212" s="30"/>
      <c r="M212" s="20" t="str">
        <f aca="false">IF(A212="","",IF(V212="",0,IF(W212="",1,IF(X212="",2,IF(Y212="",3,"4+")))))</f>
        <v/>
      </c>
      <c r="N212" s="20" t="str">
        <f aca="false">IF(A212="","",A212&amp;IF(V212="",""," &lt;- "&amp;V212&amp;IF(W212="",""," &lt;- "&amp;W212&amp;IF(X212="",""," &lt;- "&amp;X212&amp;IF(Y212="",""," &lt;- "&amp;Y212))))&amp;IF(ISNUMBER(FIND(",",D212))," (+ other parents)",""))</f>
        <v/>
      </c>
      <c r="O212" s="20" t="str">
        <f aca="false">IF(A212="","",COUNTIF(Fields!$D:$D,A212))</f>
        <v/>
      </c>
      <c r="P212" s="20" t="str">
        <f aca="false">IF(A212="","",SUMIF(Fields!$D:$D,A212,Fields!$O:$O))</f>
        <v/>
      </c>
      <c r="Q212" s="30"/>
      <c r="R212" s="30"/>
      <c r="S212" s="30"/>
      <c r="T212" s="30"/>
      <c r="U212" s="30"/>
      <c r="V212" s="34" t="str">
        <f aca="false">IF(A212="","",IF(IFERROR(INDEX($D:$D,MATCH(A212,$A:$A,0)),"")="","",TRIM(IF(ISNUMBER(FIND(",",IFERROR(INDEX($D:$D,MATCH(A212,$A:$A,0)),""))),LEFT(IFERROR(INDEX($D:$D,MATCH(A212,$A:$A,0)),""),FIND(",",IFERROR(INDEX($D:$D,MATCH(A212,$A:$A,0)),""))-1),IFERROR(INDEX($D:$D,MATCH(A212,$A:$A,0)),"")))))</f>
        <v/>
      </c>
      <c r="W212" s="34" t="str">
        <f aca="false">IF(V212="","",IF(IFERROR(INDEX($D:$D,MATCH(V212,$A:$A,0)),"")="","",TRIM(IF(ISNUMBER(FIND(",",IFERROR(INDEX($D:$D,MATCH(V212,$A:$A,0)),""))),LEFT(IFERROR(INDEX($D:$D,MATCH(V212,$A:$A,0)),""),FIND(",",IFERROR(INDEX($D:$D,MATCH(V212,$A:$A,0)),""))-1),IFERROR(INDEX($D:$D,MATCH(V212,$A:$A,0)),"")))))</f>
        <v/>
      </c>
      <c r="X212" s="34" t="str">
        <f aca="false">IF(W212="","",IF(IFERROR(INDEX($D:$D,MATCH(W212,$A:$A,0)),"")="","",TRIM(IF(ISNUMBER(FIND(",",IFERROR(INDEX($D:$D,MATCH(W212,$A:$A,0)),""))),LEFT(IFERROR(INDEX($D:$D,MATCH(W212,$A:$A,0)),""),FIND(",",IFERROR(INDEX($D:$D,MATCH(W212,$A:$A,0)),""))-1),IFERROR(INDEX($D:$D,MATCH(W212,$A:$A,0)),"")))))</f>
        <v/>
      </c>
      <c r="Y212" s="34" t="str">
        <f aca="false">IF(X212="","",IF(IFERROR(INDEX($D:$D,MATCH(X212,$A:$A,0)),"")="","",TRIM(IF(ISNUMBER(FIND(",",IFERROR(INDEX($D:$D,MATCH(X212,$A:$A,0)),""))),LEFT(IFERROR(INDEX($D:$D,MATCH(X212,$A:$A,0)),""),FIND(",",IFERROR(INDEX($D:$D,MATCH(X212,$A:$A,0)),""))-1),IFERROR(INDEX($D:$D,MATCH(X212,$A:$A,0)),"")))))</f>
        <v/>
      </c>
      <c r="Z212" s="34" t="str">
        <f aca="false">IF(AND(A212&lt;&gt;"",L212="Retire"),COUNTIF($L$5:L212,"Retire"),"")</f>
        <v/>
      </c>
      <c r="AA212" s="34" t="str">
        <f aca="false">IF(AND(A212&lt;&gt;"",L212="Build"),COUNTIF($L$5:L212,"Build"),"")</f>
        <v/>
      </c>
      <c r="AB212" s="34" t="str">
        <f aca="false">IF(AND(A212&lt;&gt;"",OR(M212="4+",AND(ISNUMBER(M212),M212&gt;=2))),SUMPRODUCT(($A$5:A212&lt;&gt;"")*(($M$5:M212="4+")+(ISNUMBER($M$5:M212)*($M$5:M212&gt;=2)))),"")</f>
        <v/>
      </c>
      <c r="AC212" s="34" t="str">
        <f aca="false">IF(AND(A212&lt;&gt;"",OR(L212="",L212="Undecided",K212="")),SUMPRODUCT(($A$5:A212&lt;&gt;"")*(($L$5:L212="")+($L$5:L212="Undecided")+($K$5:K212=""))&gt;0*1),"")</f>
        <v/>
      </c>
    </row>
    <row r="213" customFormat="false" ht="15" hidden="false" customHeight="false" outlineLevel="0" collapsed="false">
      <c r="A213" s="29"/>
      <c r="B213" s="30"/>
      <c r="C213" s="30"/>
      <c r="D213" s="30"/>
      <c r="E213" s="30"/>
      <c r="F213" s="30"/>
      <c r="G213" s="30"/>
      <c r="H213" s="30"/>
      <c r="I213" s="30"/>
      <c r="J213" s="30"/>
      <c r="K213" s="30"/>
      <c r="L213" s="30"/>
      <c r="M213" s="20" t="str">
        <f aca="false">IF(A213="","",IF(V213="",0,IF(W213="",1,IF(X213="",2,IF(Y213="",3,"4+")))))</f>
        <v/>
      </c>
      <c r="N213" s="20" t="str">
        <f aca="false">IF(A213="","",A213&amp;IF(V213="",""," &lt;- "&amp;V213&amp;IF(W213="",""," &lt;- "&amp;W213&amp;IF(X213="",""," &lt;- "&amp;X213&amp;IF(Y213="",""," &lt;- "&amp;Y213))))&amp;IF(ISNUMBER(FIND(",",D213))," (+ other parents)",""))</f>
        <v/>
      </c>
      <c r="O213" s="20" t="str">
        <f aca="false">IF(A213="","",COUNTIF(Fields!$D:$D,A213))</f>
        <v/>
      </c>
      <c r="P213" s="20" t="str">
        <f aca="false">IF(A213="","",SUMIF(Fields!$D:$D,A213,Fields!$O:$O))</f>
        <v/>
      </c>
      <c r="Q213" s="30"/>
      <c r="R213" s="30"/>
      <c r="S213" s="30"/>
      <c r="T213" s="30"/>
      <c r="U213" s="30"/>
      <c r="V213" s="34" t="str">
        <f aca="false">IF(A213="","",IF(IFERROR(INDEX($D:$D,MATCH(A213,$A:$A,0)),"")="","",TRIM(IF(ISNUMBER(FIND(",",IFERROR(INDEX($D:$D,MATCH(A213,$A:$A,0)),""))),LEFT(IFERROR(INDEX($D:$D,MATCH(A213,$A:$A,0)),""),FIND(",",IFERROR(INDEX($D:$D,MATCH(A213,$A:$A,0)),""))-1),IFERROR(INDEX($D:$D,MATCH(A213,$A:$A,0)),"")))))</f>
        <v/>
      </c>
      <c r="W213" s="34" t="str">
        <f aca="false">IF(V213="","",IF(IFERROR(INDEX($D:$D,MATCH(V213,$A:$A,0)),"")="","",TRIM(IF(ISNUMBER(FIND(",",IFERROR(INDEX($D:$D,MATCH(V213,$A:$A,0)),""))),LEFT(IFERROR(INDEX($D:$D,MATCH(V213,$A:$A,0)),""),FIND(",",IFERROR(INDEX($D:$D,MATCH(V213,$A:$A,0)),""))-1),IFERROR(INDEX($D:$D,MATCH(V213,$A:$A,0)),"")))))</f>
        <v/>
      </c>
      <c r="X213" s="34" t="str">
        <f aca="false">IF(W213="","",IF(IFERROR(INDEX($D:$D,MATCH(W213,$A:$A,0)),"")="","",TRIM(IF(ISNUMBER(FIND(",",IFERROR(INDEX($D:$D,MATCH(W213,$A:$A,0)),""))),LEFT(IFERROR(INDEX($D:$D,MATCH(W213,$A:$A,0)),""),FIND(",",IFERROR(INDEX($D:$D,MATCH(W213,$A:$A,0)),""))-1),IFERROR(INDEX($D:$D,MATCH(W213,$A:$A,0)),"")))))</f>
        <v/>
      </c>
      <c r="Y213" s="34" t="str">
        <f aca="false">IF(X213="","",IF(IFERROR(INDEX($D:$D,MATCH(X213,$A:$A,0)),"")="","",TRIM(IF(ISNUMBER(FIND(",",IFERROR(INDEX($D:$D,MATCH(X213,$A:$A,0)),""))),LEFT(IFERROR(INDEX($D:$D,MATCH(X213,$A:$A,0)),""),FIND(",",IFERROR(INDEX($D:$D,MATCH(X213,$A:$A,0)),""))-1),IFERROR(INDEX($D:$D,MATCH(X213,$A:$A,0)),"")))))</f>
        <v/>
      </c>
      <c r="Z213" s="34" t="str">
        <f aca="false">IF(AND(A213&lt;&gt;"",L213="Retire"),COUNTIF($L$5:L213,"Retire"),"")</f>
        <v/>
      </c>
      <c r="AA213" s="34" t="str">
        <f aca="false">IF(AND(A213&lt;&gt;"",L213="Build"),COUNTIF($L$5:L213,"Build"),"")</f>
        <v/>
      </c>
      <c r="AB213" s="34" t="str">
        <f aca="false">IF(AND(A213&lt;&gt;"",OR(M213="4+",AND(ISNUMBER(M213),M213&gt;=2))),SUMPRODUCT(($A$5:A213&lt;&gt;"")*(($M$5:M213="4+")+(ISNUMBER($M$5:M213)*($M$5:M213&gt;=2)))),"")</f>
        <v/>
      </c>
      <c r="AC213" s="34" t="str">
        <f aca="false">IF(AND(A213&lt;&gt;"",OR(L213="",L213="Undecided",K213="")),SUMPRODUCT(($A$5:A213&lt;&gt;"")*(($L$5:L213="")+($L$5:L213="Undecided")+($K$5:K213=""))&gt;0*1),"")</f>
        <v/>
      </c>
    </row>
    <row r="214" customFormat="false" ht="15" hidden="false" customHeight="false" outlineLevel="0" collapsed="false">
      <c r="A214" s="29"/>
      <c r="B214" s="30"/>
      <c r="C214" s="30"/>
      <c r="D214" s="30"/>
      <c r="E214" s="30"/>
      <c r="F214" s="30"/>
      <c r="G214" s="30"/>
      <c r="H214" s="30"/>
      <c r="I214" s="30"/>
      <c r="J214" s="30"/>
      <c r="K214" s="30"/>
      <c r="L214" s="30"/>
      <c r="M214" s="20" t="str">
        <f aca="false">IF(A214="","",IF(V214="",0,IF(W214="",1,IF(X214="",2,IF(Y214="",3,"4+")))))</f>
        <v/>
      </c>
      <c r="N214" s="20" t="str">
        <f aca="false">IF(A214="","",A214&amp;IF(V214="",""," &lt;- "&amp;V214&amp;IF(W214="",""," &lt;- "&amp;W214&amp;IF(X214="",""," &lt;- "&amp;X214&amp;IF(Y214="",""," &lt;- "&amp;Y214))))&amp;IF(ISNUMBER(FIND(",",D214))," (+ other parents)",""))</f>
        <v/>
      </c>
      <c r="O214" s="20" t="str">
        <f aca="false">IF(A214="","",COUNTIF(Fields!$D:$D,A214))</f>
        <v/>
      </c>
      <c r="P214" s="20" t="str">
        <f aca="false">IF(A214="","",SUMIF(Fields!$D:$D,A214,Fields!$O:$O))</f>
        <v/>
      </c>
      <c r="Q214" s="30"/>
      <c r="R214" s="30"/>
      <c r="S214" s="30"/>
      <c r="T214" s="30"/>
      <c r="U214" s="30"/>
      <c r="V214" s="34" t="str">
        <f aca="false">IF(A214="","",IF(IFERROR(INDEX($D:$D,MATCH(A214,$A:$A,0)),"")="","",TRIM(IF(ISNUMBER(FIND(",",IFERROR(INDEX($D:$D,MATCH(A214,$A:$A,0)),""))),LEFT(IFERROR(INDEX($D:$D,MATCH(A214,$A:$A,0)),""),FIND(",",IFERROR(INDEX($D:$D,MATCH(A214,$A:$A,0)),""))-1),IFERROR(INDEX($D:$D,MATCH(A214,$A:$A,0)),"")))))</f>
        <v/>
      </c>
      <c r="W214" s="34" t="str">
        <f aca="false">IF(V214="","",IF(IFERROR(INDEX($D:$D,MATCH(V214,$A:$A,0)),"")="","",TRIM(IF(ISNUMBER(FIND(",",IFERROR(INDEX($D:$D,MATCH(V214,$A:$A,0)),""))),LEFT(IFERROR(INDEX($D:$D,MATCH(V214,$A:$A,0)),""),FIND(",",IFERROR(INDEX($D:$D,MATCH(V214,$A:$A,0)),""))-1),IFERROR(INDEX($D:$D,MATCH(V214,$A:$A,0)),"")))))</f>
        <v/>
      </c>
      <c r="X214" s="34" t="str">
        <f aca="false">IF(W214="","",IF(IFERROR(INDEX($D:$D,MATCH(W214,$A:$A,0)),"")="","",TRIM(IF(ISNUMBER(FIND(",",IFERROR(INDEX($D:$D,MATCH(W214,$A:$A,0)),""))),LEFT(IFERROR(INDEX($D:$D,MATCH(W214,$A:$A,0)),""),FIND(",",IFERROR(INDEX($D:$D,MATCH(W214,$A:$A,0)),""))-1),IFERROR(INDEX($D:$D,MATCH(W214,$A:$A,0)),"")))))</f>
        <v/>
      </c>
      <c r="Y214" s="34" t="str">
        <f aca="false">IF(X214="","",IF(IFERROR(INDEX($D:$D,MATCH(X214,$A:$A,0)),"")="","",TRIM(IF(ISNUMBER(FIND(",",IFERROR(INDEX($D:$D,MATCH(X214,$A:$A,0)),""))),LEFT(IFERROR(INDEX($D:$D,MATCH(X214,$A:$A,0)),""),FIND(",",IFERROR(INDEX($D:$D,MATCH(X214,$A:$A,0)),""))-1),IFERROR(INDEX($D:$D,MATCH(X214,$A:$A,0)),"")))))</f>
        <v/>
      </c>
      <c r="Z214" s="34" t="str">
        <f aca="false">IF(AND(A214&lt;&gt;"",L214="Retire"),COUNTIF($L$5:L214,"Retire"),"")</f>
        <v/>
      </c>
      <c r="AA214" s="34" t="str">
        <f aca="false">IF(AND(A214&lt;&gt;"",L214="Build"),COUNTIF($L$5:L214,"Build"),"")</f>
        <v/>
      </c>
      <c r="AB214" s="34" t="str">
        <f aca="false">IF(AND(A214&lt;&gt;"",OR(M214="4+",AND(ISNUMBER(M214),M214&gt;=2))),SUMPRODUCT(($A$5:A214&lt;&gt;"")*(($M$5:M214="4+")+(ISNUMBER($M$5:M214)*($M$5:M214&gt;=2)))),"")</f>
        <v/>
      </c>
      <c r="AC214" s="34" t="str">
        <f aca="false">IF(AND(A214&lt;&gt;"",OR(L214="",L214="Undecided",K214="")),SUMPRODUCT(($A$5:A214&lt;&gt;"")*(($L$5:L214="")+($L$5:L214="Undecided")+($K$5:K214=""))&gt;0*1),"")</f>
        <v/>
      </c>
    </row>
    <row r="215" customFormat="false" ht="15" hidden="false" customHeight="false" outlineLevel="0" collapsed="false">
      <c r="A215" s="29"/>
      <c r="B215" s="30"/>
      <c r="C215" s="30"/>
      <c r="D215" s="30"/>
      <c r="E215" s="30"/>
      <c r="F215" s="30"/>
      <c r="G215" s="30"/>
      <c r="H215" s="30"/>
      <c r="I215" s="30"/>
      <c r="J215" s="30"/>
      <c r="K215" s="30"/>
      <c r="L215" s="30"/>
      <c r="M215" s="20" t="str">
        <f aca="false">IF(A215="","",IF(V215="",0,IF(W215="",1,IF(X215="",2,IF(Y215="",3,"4+")))))</f>
        <v/>
      </c>
      <c r="N215" s="20" t="str">
        <f aca="false">IF(A215="","",A215&amp;IF(V215="",""," &lt;- "&amp;V215&amp;IF(W215="",""," &lt;- "&amp;W215&amp;IF(X215="",""," &lt;- "&amp;X215&amp;IF(Y215="",""," &lt;- "&amp;Y215))))&amp;IF(ISNUMBER(FIND(",",D215))," (+ other parents)",""))</f>
        <v/>
      </c>
      <c r="O215" s="20" t="str">
        <f aca="false">IF(A215="","",COUNTIF(Fields!$D:$D,A215))</f>
        <v/>
      </c>
      <c r="P215" s="20" t="str">
        <f aca="false">IF(A215="","",SUMIF(Fields!$D:$D,A215,Fields!$O:$O))</f>
        <v/>
      </c>
      <c r="Q215" s="30"/>
      <c r="R215" s="30"/>
      <c r="S215" s="30"/>
      <c r="T215" s="30"/>
      <c r="U215" s="30"/>
      <c r="V215" s="34" t="str">
        <f aca="false">IF(A215="","",IF(IFERROR(INDEX($D:$D,MATCH(A215,$A:$A,0)),"")="","",TRIM(IF(ISNUMBER(FIND(",",IFERROR(INDEX($D:$D,MATCH(A215,$A:$A,0)),""))),LEFT(IFERROR(INDEX($D:$D,MATCH(A215,$A:$A,0)),""),FIND(",",IFERROR(INDEX($D:$D,MATCH(A215,$A:$A,0)),""))-1),IFERROR(INDEX($D:$D,MATCH(A215,$A:$A,0)),"")))))</f>
        <v/>
      </c>
      <c r="W215" s="34" t="str">
        <f aca="false">IF(V215="","",IF(IFERROR(INDEX($D:$D,MATCH(V215,$A:$A,0)),"")="","",TRIM(IF(ISNUMBER(FIND(",",IFERROR(INDEX($D:$D,MATCH(V215,$A:$A,0)),""))),LEFT(IFERROR(INDEX($D:$D,MATCH(V215,$A:$A,0)),""),FIND(",",IFERROR(INDEX($D:$D,MATCH(V215,$A:$A,0)),""))-1),IFERROR(INDEX($D:$D,MATCH(V215,$A:$A,0)),"")))))</f>
        <v/>
      </c>
      <c r="X215" s="34" t="str">
        <f aca="false">IF(W215="","",IF(IFERROR(INDEX($D:$D,MATCH(W215,$A:$A,0)),"")="","",TRIM(IF(ISNUMBER(FIND(",",IFERROR(INDEX($D:$D,MATCH(W215,$A:$A,0)),""))),LEFT(IFERROR(INDEX($D:$D,MATCH(W215,$A:$A,0)),""),FIND(",",IFERROR(INDEX($D:$D,MATCH(W215,$A:$A,0)),""))-1),IFERROR(INDEX($D:$D,MATCH(W215,$A:$A,0)),"")))))</f>
        <v/>
      </c>
      <c r="Y215" s="34" t="str">
        <f aca="false">IF(X215="","",IF(IFERROR(INDEX($D:$D,MATCH(X215,$A:$A,0)),"")="","",TRIM(IF(ISNUMBER(FIND(",",IFERROR(INDEX($D:$D,MATCH(X215,$A:$A,0)),""))),LEFT(IFERROR(INDEX($D:$D,MATCH(X215,$A:$A,0)),""),FIND(",",IFERROR(INDEX($D:$D,MATCH(X215,$A:$A,0)),""))-1),IFERROR(INDEX($D:$D,MATCH(X215,$A:$A,0)),"")))))</f>
        <v/>
      </c>
      <c r="Z215" s="34" t="str">
        <f aca="false">IF(AND(A215&lt;&gt;"",L215="Retire"),COUNTIF($L$5:L215,"Retire"),"")</f>
        <v/>
      </c>
      <c r="AA215" s="34" t="str">
        <f aca="false">IF(AND(A215&lt;&gt;"",L215="Build"),COUNTIF($L$5:L215,"Build"),"")</f>
        <v/>
      </c>
      <c r="AB215" s="34" t="str">
        <f aca="false">IF(AND(A215&lt;&gt;"",OR(M215="4+",AND(ISNUMBER(M215),M215&gt;=2))),SUMPRODUCT(($A$5:A215&lt;&gt;"")*(($M$5:M215="4+")+(ISNUMBER($M$5:M215)*($M$5:M215&gt;=2)))),"")</f>
        <v/>
      </c>
      <c r="AC215" s="34" t="str">
        <f aca="false">IF(AND(A215&lt;&gt;"",OR(L215="",L215="Undecided",K215="")),SUMPRODUCT(($A$5:A215&lt;&gt;"")*(($L$5:L215="")+($L$5:L215="Undecided")+($K$5:K215=""))&gt;0*1),"")</f>
        <v/>
      </c>
    </row>
    <row r="216" customFormat="false" ht="15" hidden="false" customHeight="false" outlineLevel="0" collapsed="false">
      <c r="A216" s="29"/>
      <c r="B216" s="30"/>
      <c r="C216" s="30"/>
      <c r="D216" s="30"/>
      <c r="E216" s="30"/>
      <c r="F216" s="30"/>
      <c r="G216" s="30"/>
      <c r="H216" s="30"/>
      <c r="I216" s="30"/>
      <c r="J216" s="30"/>
      <c r="K216" s="30"/>
      <c r="L216" s="30"/>
      <c r="M216" s="20" t="str">
        <f aca="false">IF(A216="","",IF(V216="",0,IF(W216="",1,IF(X216="",2,IF(Y216="",3,"4+")))))</f>
        <v/>
      </c>
      <c r="N216" s="20" t="str">
        <f aca="false">IF(A216="","",A216&amp;IF(V216="",""," &lt;- "&amp;V216&amp;IF(W216="",""," &lt;- "&amp;W216&amp;IF(X216="",""," &lt;- "&amp;X216&amp;IF(Y216="",""," &lt;- "&amp;Y216))))&amp;IF(ISNUMBER(FIND(",",D216))," (+ other parents)",""))</f>
        <v/>
      </c>
      <c r="O216" s="20" t="str">
        <f aca="false">IF(A216="","",COUNTIF(Fields!$D:$D,A216))</f>
        <v/>
      </c>
      <c r="P216" s="20" t="str">
        <f aca="false">IF(A216="","",SUMIF(Fields!$D:$D,A216,Fields!$O:$O))</f>
        <v/>
      </c>
      <c r="Q216" s="30"/>
      <c r="R216" s="30"/>
      <c r="S216" s="30"/>
      <c r="T216" s="30"/>
      <c r="U216" s="30"/>
      <c r="V216" s="34" t="str">
        <f aca="false">IF(A216="","",IF(IFERROR(INDEX($D:$D,MATCH(A216,$A:$A,0)),"")="","",TRIM(IF(ISNUMBER(FIND(",",IFERROR(INDEX($D:$D,MATCH(A216,$A:$A,0)),""))),LEFT(IFERROR(INDEX($D:$D,MATCH(A216,$A:$A,0)),""),FIND(",",IFERROR(INDEX($D:$D,MATCH(A216,$A:$A,0)),""))-1),IFERROR(INDEX($D:$D,MATCH(A216,$A:$A,0)),"")))))</f>
        <v/>
      </c>
      <c r="W216" s="34" t="str">
        <f aca="false">IF(V216="","",IF(IFERROR(INDEX($D:$D,MATCH(V216,$A:$A,0)),"")="","",TRIM(IF(ISNUMBER(FIND(",",IFERROR(INDEX($D:$D,MATCH(V216,$A:$A,0)),""))),LEFT(IFERROR(INDEX($D:$D,MATCH(V216,$A:$A,0)),""),FIND(",",IFERROR(INDEX($D:$D,MATCH(V216,$A:$A,0)),""))-1),IFERROR(INDEX($D:$D,MATCH(V216,$A:$A,0)),"")))))</f>
        <v/>
      </c>
      <c r="X216" s="34" t="str">
        <f aca="false">IF(W216="","",IF(IFERROR(INDEX($D:$D,MATCH(W216,$A:$A,0)),"")="","",TRIM(IF(ISNUMBER(FIND(",",IFERROR(INDEX($D:$D,MATCH(W216,$A:$A,0)),""))),LEFT(IFERROR(INDEX($D:$D,MATCH(W216,$A:$A,0)),""),FIND(",",IFERROR(INDEX($D:$D,MATCH(W216,$A:$A,0)),""))-1),IFERROR(INDEX($D:$D,MATCH(W216,$A:$A,0)),"")))))</f>
        <v/>
      </c>
      <c r="Y216" s="34" t="str">
        <f aca="false">IF(X216="","",IF(IFERROR(INDEX($D:$D,MATCH(X216,$A:$A,0)),"")="","",TRIM(IF(ISNUMBER(FIND(",",IFERROR(INDEX($D:$D,MATCH(X216,$A:$A,0)),""))),LEFT(IFERROR(INDEX($D:$D,MATCH(X216,$A:$A,0)),""),FIND(",",IFERROR(INDEX($D:$D,MATCH(X216,$A:$A,0)),""))-1),IFERROR(INDEX($D:$D,MATCH(X216,$A:$A,0)),"")))))</f>
        <v/>
      </c>
      <c r="Z216" s="34" t="str">
        <f aca="false">IF(AND(A216&lt;&gt;"",L216="Retire"),COUNTIF($L$5:L216,"Retire"),"")</f>
        <v/>
      </c>
      <c r="AA216" s="34" t="str">
        <f aca="false">IF(AND(A216&lt;&gt;"",L216="Build"),COUNTIF($L$5:L216,"Build"),"")</f>
        <v/>
      </c>
      <c r="AB216" s="34" t="str">
        <f aca="false">IF(AND(A216&lt;&gt;"",OR(M216="4+",AND(ISNUMBER(M216),M216&gt;=2))),SUMPRODUCT(($A$5:A216&lt;&gt;"")*(($M$5:M216="4+")+(ISNUMBER($M$5:M216)*($M$5:M216&gt;=2)))),"")</f>
        <v/>
      </c>
      <c r="AC216" s="34" t="str">
        <f aca="false">IF(AND(A216&lt;&gt;"",OR(L216="",L216="Undecided",K216="")),SUMPRODUCT(($A$5:A216&lt;&gt;"")*(($L$5:L216="")+($L$5:L216="Undecided")+($K$5:K216=""))&gt;0*1),"")</f>
        <v/>
      </c>
    </row>
    <row r="217" customFormat="false" ht="15" hidden="false" customHeight="false" outlineLevel="0" collapsed="false">
      <c r="A217" s="29"/>
      <c r="B217" s="30"/>
      <c r="C217" s="30"/>
      <c r="D217" s="30"/>
      <c r="E217" s="30"/>
      <c r="F217" s="30"/>
      <c r="G217" s="30"/>
      <c r="H217" s="30"/>
      <c r="I217" s="30"/>
      <c r="J217" s="30"/>
      <c r="K217" s="30"/>
      <c r="L217" s="30"/>
      <c r="M217" s="20" t="str">
        <f aca="false">IF(A217="","",IF(V217="",0,IF(W217="",1,IF(X217="",2,IF(Y217="",3,"4+")))))</f>
        <v/>
      </c>
      <c r="N217" s="20" t="str">
        <f aca="false">IF(A217="","",A217&amp;IF(V217="",""," &lt;- "&amp;V217&amp;IF(W217="",""," &lt;- "&amp;W217&amp;IF(X217="",""," &lt;- "&amp;X217&amp;IF(Y217="",""," &lt;- "&amp;Y217))))&amp;IF(ISNUMBER(FIND(",",D217))," (+ other parents)",""))</f>
        <v/>
      </c>
      <c r="O217" s="20" t="str">
        <f aca="false">IF(A217="","",COUNTIF(Fields!$D:$D,A217))</f>
        <v/>
      </c>
      <c r="P217" s="20" t="str">
        <f aca="false">IF(A217="","",SUMIF(Fields!$D:$D,A217,Fields!$O:$O))</f>
        <v/>
      </c>
      <c r="Q217" s="30"/>
      <c r="R217" s="30"/>
      <c r="S217" s="30"/>
      <c r="T217" s="30"/>
      <c r="U217" s="30"/>
      <c r="V217" s="34" t="str">
        <f aca="false">IF(A217="","",IF(IFERROR(INDEX($D:$D,MATCH(A217,$A:$A,0)),"")="","",TRIM(IF(ISNUMBER(FIND(",",IFERROR(INDEX($D:$D,MATCH(A217,$A:$A,0)),""))),LEFT(IFERROR(INDEX($D:$D,MATCH(A217,$A:$A,0)),""),FIND(",",IFERROR(INDEX($D:$D,MATCH(A217,$A:$A,0)),""))-1),IFERROR(INDEX($D:$D,MATCH(A217,$A:$A,0)),"")))))</f>
        <v/>
      </c>
      <c r="W217" s="34" t="str">
        <f aca="false">IF(V217="","",IF(IFERROR(INDEX($D:$D,MATCH(V217,$A:$A,0)),"")="","",TRIM(IF(ISNUMBER(FIND(",",IFERROR(INDEX($D:$D,MATCH(V217,$A:$A,0)),""))),LEFT(IFERROR(INDEX($D:$D,MATCH(V217,$A:$A,0)),""),FIND(",",IFERROR(INDEX($D:$D,MATCH(V217,$A:$A,0)),""))-1),IFERROR(INDEX($D:$D,MATCH(V217,$A:$A,0)),"")))))</f>
        <v/>
      </c>
      <c r="X217" s="34" t="str">
        <f aca="false">IF(W217="","",IF(IFERROR(INDEX($D:$D,MATCH(W217,$A:$A,0)),"")="","",TRIM(IF(ISNUMBER(FIND(",",IFERROR(INDEX($D:$D,MATCH(W217,$A:$A,0)),""))),LEFT(IFERROR(INDEX($D:$D,MATCH(W217,$A:$A,0)),""),FIND(",",IFERROR(INDEX($D:$D,MATCH(W217,$A:$A,0)),""))-1),IFERROR(INDEX($D:$D,MATCH(W217,$A:$A,0)),"")))))</f>
        <v/>
      </c>
      <c r="Y217" s="34" t="str">
        <f aca="false">IF(X217="","",IF(IFERROR(INDEX($D:$D,MATCH(X217,$A:$A,0)),"")="","",TRIM(IF(ISNUMBER(FIND(",",IFERROR(INDEX($D:$D,MATCH(X217,$A:$A,0)),""))),LEFT(IFERROR(INDEX($D:$D,MATCH(X217,$A:$A,0)),""),FIND(",",IFERROR(INDEX($D:$D,MATCH(X217,$A:$A,0)),""))-1),IFERROR(INDEX($D:$D,MATCH(X217,$A:$A,0)),"")))))</f>
        <v/>
      </c>
      <c r="Z217" s="34" t="str">
        <f aca="false">IF(AND(A217&lt;&gt;"",L217="Retire"),COUNTIF($L$5:L217,"Retire"),"")</f>
        <v/>
      </c>
      <c r="AA217" s="34" t="str">
        <f aca="false">IF(AND(A217&lt;&gt;"",L217="Build"),COUNTIF($L$5:L217,"Build"),"")</f>
        <v/>
      </c>
      <c r="AB217" s="34" t="str">
        <f aca="false">IF(AND(A217&lt;&gt;"",OR(M217="4+",AND(ISNUMBER(M217),M217&gt;=2))),SUMPRODUCT(($A$5:A217&lt;&gt;"")*(($M$5:M217="4+")+(ISNUMBER($M$5:M217)*($M$5:M217&gt;=2)))),"")</f>
        <v/>
      </c>
      <c r="AC217" s="34" t="str">
        <f aca="false">IF(AND(A217&lt;&gt;"",OR(L217="",L217="Undecided",K217="")),SUMPRODUCT(($A$5:A217&lt;&gt;"")*(($L$5:L217="")+($L$5:L217="Undecided")+($K$5:K217=""))&gt;0*1),"")</f>
        <v/>
      </c>
    </row>
    <row r="218" customFormat="false" ht="15" hidden="false" customHeight="false" outlineLevel="0" collapsed="false">
      <c r="A218" s="29"/>
      <c r="B218" s="30"/>
      <c r="C218" s="30"/>
      <c r="D218" s="30"/>
      <c r="E218" s="30"/>
      <c r="F218" s="30"/>
      <c r="G218" s="30"/>
      <c r="H218" s="30"/>
      <c r="I218" s="30"/>
      <c r="J218" s="30"/>
      <c r="K218" s="30"/>
      <c r="L218" s="30"/>
      <c r="M218" s="20" t="str">
        <f aca="false">IF(A218="","",IF(V218="",0,IF(W218="",1,IF(X218="",2,IF(Y218="",3,"4+")))))</f>
        <v/>
      </c>
      <c r="N218" s="20" t="str">
        <f aca="false">IF(A218="","",A218&amp;IF(V218="",""," &lt;- "&amp;V218&amp;IF(W218="",""," &lt;- "&amp;W218&amp;IF(X218="",""," &lt;- "&amp;X218&amp;IF(Y218="",""," &lt;- "&amp;Y218))))&amp;IF(ISNUMBER(FIND(",",D218))," (+ other parents)",""))</f>
        <v/>
      </c>
      <c r="O218" s="20" t="str">
        <f aca="false">IF(A218="","",COUNTIF(Fields!$D:$D,A218))</f>
        <v/>
      </c>
      <c r="P218" s="20" t="str">
        <f aca="false">IF(A218="","",SUMIF(Fields!$D:$D,A218,Fields!$O:$O))</f>
        <v/>
      </c>
      <c r="Q218" s="30"/>
      <c r="R218" s="30"/>
      <c r="S218" s="30"/>
      <c r="T218" s="30"/>
      <c r="U218" s="30"/>
      <c r="V218" s="34" t="str">
        <f aca="false">IF(A218="","",IF(IFERROR(INDEX($D:$D,MATCH(A218,$A:$A,0)),"")="","",TRIM(IF(ISNUMBER(FIND(",",IFERROR(INDEX($D:$D,MATCH(A218,$A:$A,0)),""))),LEFT(IFERROR(INDEX($D:$D,MATCH(A218,$A:$A,0)),""),FIND(",",IFERROR(INDEX($D:$D,MATCH(A218,$A:$A,0)),""))-1),IFERROR(INDEX($D:$D,MATCH(A218,$A:$A,0)),"")))))</f>
        <v/>
      </c>
      <c r="W218" s="34" t="str">
        <f aca="false">IF(V218="","",IF(IFERROR(INDEX($D:$D,MATCH(V218,$A:$A,0)),"")="","",TRIM(IF(ISNUMBER(FIND(",",IFERROR(INDEX($D:$D,MATCH(V218,$A:$A,0)),""))),LEFT(IFERROR(INDEX($D:$D,MATCH(V218,$A:$A,0)),""),FIND(",",IFERROR(INDEX($D:$D,MATCH(V218,$A:$A,0)),""))-1),IFERROR(INDEX($D:$D,MATCH(V218,$A:$A,0)),"")))))</f>
        <v/>
      </c>
      <c r="X218" s="34" t="str">
        <f aca="false">IF(W218="","",IF(IFERROR(INDEX($D:$D,MATCH(W218,$A:$A,0)),"")="","",TRIM(IF(ISNUMBER(FIND(",",IFERROR(INDEX($D:$D,MATCH(W218,$A:$A,0)),""))),LEFT(IFERROR(INDEX($D:$D,MATCH(W218,$A:$A,0)),""),FIND(",",IFERROR(INDEX($D:$D,MATCH(W218,$A:$A,0)),""))-1),IFERROR(INDEX($D:$D,MATCH(W218,$A:$A,0)),"")))))</f>
        <v/>
      </c>
      <c r="Y218" s="34" t="str">
        <f aca="false">IF(X218="","",IF(IFERROR(INDEX($D:$D,MATCH(X218,$A:$A,0)),"")="","",TRIM(IF(ISNUMBER(FIND(",",IFERROR(INDEX($D:$D,MATCH(X218,$A:$A,0)),""))),LEFT(IFERROR(INDEX($D:$D,MATCH(X218,$A:$A,0)),""),FIND(",",IFERROR(INDEX($D:$D,MATCH(X218,$A:$A,0)),""))-1),IFERROR(INDEX($D:$D,MATCH(X218,$A:$A,0)),"")))))</f>
        <v/>
      </c>
      <c r="Z218" s="34" t="str">
        <f aca="false">IF(AND(A218&lt;&gt;"",L218="Retire"),COUNTIF($L$5:L218,"Retire"),"")</f>
        <v/>
      </c>
      <c r="AA218" s="34" t="str">
        <f aca="false">IF(AND(A218&lt;&gt;"",L218="Build"),COUNTIF($L$5:L218,"Build"),"")</f>
        <v/>
      </c>
      <c r="AB218" s="34" t="str">
        <f aca="false">IF(AND(A218&lt;&gt;"",OR(M218="4+",AND(ISNUMBER(M218),M218&gt;=2))),SUMPRODUCT(($A$5:A218&lt;&gt;"")*(($M$5:M218="4+")+(ISNUMBER($M$5:M218)*($M$5:M218&gt;=2)))),"")</f>
        <v/>
      </c>
      <c r="AC218" s="34" t="str">
        <f aca="false">IF(AND(A218&lt;&gt;"",OR(L218="",L218="Undecided",K218="")),SUMPRODUCT(($A$5:A218&lt;&gt;"")*(($L$5:L218="")+($L$5:L218="Undecided")+($K$5:K218=""))&gt;0*1),"")</f>
        <v/>
      </c>
    </row>
    <row r="219" customFormat="false" ht="15" hidden="false" customHeight="false" outlineLevel="0" collapsed="false">
      <c r="A219" s="29"/>
      <c r="B219" s="30"/>
      <c r="C219" s="30"/>
      <c r="D219" s="30"/>
      <c r="E219" s="30"/>
      <c r="F219" s="30"/>
      <c r="G219" s="30"/>
      <c r="H219" s="30"/>
      <c r="I219" s="30"/>
      <c r="J219" s="30"/>
      <c r="K219" s="30"/>
      <c r="L219" s="30"/>
      <c r="M219" s="20" t="str">
        <f aca="false">IF(A219="","",IF(V219="",0,IF(W219="",1,IF(X219="",2,IF(Y219="",3,"4+")))))</f>
        <v/>
      </c>
      <c r="N219" s="20" t="str">
        <f aca="false">IF(A219="","",A219&amp;IF(V219="",""," &lt;- "&amp;V219&amp;IF(W219="",""," &lt;- "&amp;W219&amp;IF(X219="",""," &lt;- "&amp;X219&amp;IF(Y219="",""," &lt;- "&amp;Y219))))&amp;IF(ISNUMBER(FIND(",",D219))," (+ other parents)",""))</f>
        <v/>
      </c>
      <c r="O219" s="20" t="str">
        <f aca="false">IF(A219="","",COUNTIF(Fields!$D:$D,A219))</f>
        <v/>
      </c>
      <c r="P219" s="20" t="str">
        <f aca="false">IF(A219="","",SUMIF(Fields!$D:$D,A219,Fields!$O:$O))</f>
        <v/>
      </c>
      <c r="Q219" s="30"/>
      <c r="R219" s="30"/>
      <c r="S219" s="30"/>
      <c r="T219" s="30"/>
      <c r="U219" s="30"/>
      <c r="V219" s="34" t="str">
        <f aca="false">IF(A219="","",IF(IFERROR(INDEX($D:$D,MATCH(A219,$A:$A,0)),"")="","",TRIM(IF(ISNUMBER(FIND(",",IFERROR(INDEX($D:$D,MATCH(A219,$A:$A,0)),""))),LEFT(IFERROR(INDEX($D:$D,MATCH(A219,$A:$A,0)),""),FIND(",",IFERROR(INDEX($D:$D,MATCH(A219,$A:$A,0)),""))-1),IFERROR(INDEX($D:$D,MATCH(A219,$A:$A,0)),"")))))</f>
        <v/>
      </c>
      <c r="W219" s="34" t="str">
        <f aca="false">IF(V219="","",IF(IFERROR(INDEX($D:$D,MATCH(V219,$A:$A,0)),"")="","",TRIM(IF(ISNUMBER(FIND(",",IFERROR(INDEX($D:$D,MATCH(V219,$A:$A,0)),""))),LEFT(IFERROR(INDEX($D:$D,MATCH(V219,$A:$A,0)),""),FIND(",",IFERROR(INDEX($D:$D,MATCH(V219,$A:$A,0)),""))-1),IFERROR(INDEX($D:$D,MATCH(V219,$A:$A,0)),"")))))</f>
        <v/>
      </c>
      <c r="X219" s="34" t="str">
        <f aca="false">IF(W219="","",IF(IFERROR(INDEX($D:$D,MATCH(W219,$A:$A,0)),"")="","",TRIM(IF(ISNUMBER(FIND(",",IFERROR(INDEX($D:$D,MATCH(W219,$A:$A,0)),""))),LEFT(IFERROR(INDEX($D:$D,MATCH(W219,$A:$A,0)),""),FIND(",",IFERROR(INDEX($D:$D,MATCH(W219,$A:$A,0)),""))-1),IFERROR(INDEX($D:$D,MATCH(W219,$A:$A,0)),"")))))</f>
        <v/>
      </c>
      <c r="Y219" s="34" t="str">
        <f aca="false">IF(X219="","",IF(IFERROR(INDEX($D:$D,MATCH(X219,$A:$A,0)),"")="","",TRIM(IF(ISNUMBER(FIND(",",IFERROR(INDEX($D:$D,MATCH(X219,$A:$A,0)),""))),LEFT(IFERROR(INDEX($D:$D,MATCH(X219,$A:$A,0)),""),FIND(",",IFERROR(INDEX($D:$D,MATCH(X219,$A:$A,0)),""))-1),IFERROR(INDEX($D:$D,MATCH(X219,$A:$A,0)),"")))))</f>
        <v/>
      </c>
      <c r="Z219" s="34" t="str">
        <f aca="false">IF(AND(A219&lt;&gt;"",L219="Retire"),COUNTIF($L$5:L219,"Retire"),"")</f>
        <v/>
      </c>
      <c r="AA219" s="34" t="str">
        <f aca="false">IF(AND(A219&lt;&gt;"",L219="Build"),COUNTIF($L$5:L219,"Build"),"")</f>
        <v/>
      </c>
      <c r="AB219" s="34" t="str">
        <f aca="false">IF(AND(A219&lt;&gt;"",OR(M219="4+",AND(ISNUMBER(M219),M219&gt;=2))),SUMPRODUCT(($A$5:A219&lt;&gt;"")*(($M$5:M219="4+")+(ISNUMBER($M$5:M219)*($M$5:M219&gt;=2)))),"")</f>
        <v/>
      </c>
      <c r="AC219" s="34" t="str">
        <f aca="false">IF(AND(A219&lt;&gt;"",OR(L219="",L219="Undecided",K219="")),SUMPRODUCT(($A$5:A219&lt;&gt;"")*(($L$5:L219="")+($L$5:L219="Undecided")+($K$5:K219=""))&gt;0*1),"")</f>
        <v/>
      </c>
    </row>
    <row r="220" customFormat="false" ht="15" hidden="false" customHeight="false" outlineLevel="0" collapsed="false">
      <c r="A220" s="29"/>
      <c r="B220" s="30"/>
      <c r="C220" s="30"/>
      <c r="D220" s="30"/>
      <c r="E220" s="30"/>
      <c r="F220" s="30"/>
      <c r="G220" s="30"/>
      <c r="H220" s="30"/>
      <c r="I220" s="30"/>
      <c r="J220" s="30"/>
      <c r="K220" s="30"/>
      <c r="L220" s="30"/>
      <c r="M220" s="20" t="str">
        <f aca="false">IF(A220="","",IF(V220="",0,IF(W220="",1,IF(X220="",2,IF(Y220="",3,"4+")))))</f>
        <v/>
      </c>
      <c r="N220" s="20" t="str">
        <f aca="false">IF(A220="","",A220&amp;IF(V220="",""," &lt;- "&amp;V220&amp;IF(W220="",""," &lt;- "&amp;W220&amp;IF(X220="",""," &lt;- "&amp;X220&amp;IF(Y220="",""," &lt;- "&amp;Y220))))&amp;IF(ISNUMBER(FIND(",",D220))," (+ other parents)",""))</f>
        <v/>
      </c>
      <c r="O220" s="20" t="str">
        <f aca="false">IF(A220="","",COUNTIF(Fields!$D:$D,A220))</f>
        <v/>
      </c>
      <c r="P220" s="20" t="str">
        <f aca="false">IF(A220="","",SUMIF(Fields!$D:$D,A220,Fields!$O:$O))</f>
        <v/>
      </c>
      <c r="Q220" s="30"/>
      <c r="R220" s="30"/>
      <c r="S220" s="30"/>
      <c r="T220" s="30"/>
      <c r="U220" s="30"/>
      <c r="V220" s="34" t="str">
        <f aca="false">IF(A220="","",IF(IFERROR(INDEX($D:$D,MATCH(A220,$A:$A,0)),"")="","",TRIM(IF(ISNUMBER(FIND(",",IFERROR(INDEX($D:$D,MATCH(A220,$A:$A,0)),""))),LEFT(IFERROR(INDEX($D:$D,MATCH(A220,$A:$A,0)),""),FIND(",",IFERROR(INDEX($D:$D,MATCH(A220,$A:$A,0)),""))-1),IFERROR(INDEX($D:$D,MATCH(A220,$A:$A,0)),"")))))</f>
        <v/>
      </c>
      <c r="W220" s="34" t="str">
        <f aca="false">IF(V220="","",IF(IFERROR(INDEX($D:$D,MATCH(V220,$A:$A,0)),"")="","",TRIM(IF(ISNUMBER(FIND(",",IFERROR(INDEX($D:$D,MATCH(V220,$A:$A,0)),""))),LEFT(IFERROR(INDEX($D:$D,MATCH(V220,$A:$A,0)),""),FIND(",",IFERROR(INDEX($D:$D,MATCH(V220,$A:$A,0)),""))-1),IFERROR(INDEX($D:$D,MATCH(V220,$A:$A,0)),"")))))</f>
        <v/>
      </c>
      <c r="X220" s="34" t="str">
        <f aca="false">IF(W220="","",IF(IFERROR(INDEX($D:$D,MATCH(W220,$A:$A,0)),"")="","",TRIM(IF(ISNUMBER(FIND(",",IFERROR(INDEX($D:$D,MATCH(W220,$A:$A,0)),""))),LEFT(IFERROR(INDEX($D:$D,MATCH(W220,$A:$A,0)),""),FIND(",",IFERROR(INDEX($D:$D,MATCH(W220,$A:$A,0)),""))-1),IFERROR(INDEX($D:$D,MATCH(W220,$A:$A,0)),"")))))</f>
        <v/>
      </c>
      <c r="Y220" s="34" t="str">
        <f aca="false">IF(X220="","",IF(IFERROR(INDEX($D:$D,MATCH(X220,$A:$A,0)),"")="","",TRIM(IF(ISNUMBER(FIND(",",IFERROR(INDEX($D:$D,MATCH(X220,$A:$A,0)),""))),LEFT(IFERROR(INDEX($D:$D,MATCH(X220,$A:$A,0)),""),FIND(",",IFERROR(INDEX($D:$D,MATCH(X220,$A:$A,0)),""))-1),IFERROR(INDEX($D:$D,MATCH(X220,$A:$A,0)),"")))))</f>
        <v/>
      </c>
      <c r="Z220" s="34" t="str">
        <f aca="false">IF(AND(A220&lt;&gt;"",L220="Retire"),COUNTIF($L$5:L220,"Retire"),"")</f>
        <v/>
      </c>
      <c r="AA220" s="34" t="str">
        <f aca="false">IF(AND(A220&lt;&gt;"",L220="Build"),COUNTIF($L$5:L220,"Build"),"")</f>
        <v/>
      </c>
      <c r="AB220" s="34" t="str">
        <f aca="false">IF(AND(A220&lt;&gt;"",OR(M220="4+",AND(ISNUMBER(M220),M220&gt;=2))),SUMPRODUCT(($A$5:A220&lt;&gt;"")*(($M$5:M220="4+")+(ISNUMBER($M$5:M220)*($M$5:M220&gt;=2)))),"")</f>
        <v/>
      </c>
      <c r="AC220" s="34" t="str">
        <f aca="false">IF(AND(A220&lt;&gt;"",OR(L220="",L220="Undecided",K220="")),SUMPRODUCT(($A$5:A220&lt;&gt;"")*(($L$5:L220="")+($L$5:L220="Undecided")+($K$5:K220=""))&gt;0*1),"")</f>
        <v/>
      </c>
    </row>
    <row r="221" customFormat="false" ht="15" hidden="false" customHeight="false" outlineLevel="0" collapsed="false">
      <c r="A221" s="29"/>
      <c r="B221" s="30"/>
      <c r="C221" s="30"/>
      <c r="D221" s="30"/>
      <c r="E221" s="30"/>
      <c r="F221" s="30"/>
      <c r="G221" s="30"/>
      <c r="H221" s="30"/>
      <c r="I221" s="30"/>
      <c r="J221" s="30"/>
      <c r="K221" s="30"/>
      <c r="L221" s="30"/>
      <c r="M221" s="20" t="str">
        <f aca="false">IF(A221="","",IF(V221="",0,IF(W221="",1,IF(X221="",2,IF(Y221="",3,"4+")))))</f>
        <v/>
      </c>
      <c r="N221" s="20" t="str">
        <f aca="false">IF(A221="","",A221&amp;IF(V221="",""," &lt;- "&amp;V221&amp;IF(W221="",""," &lt;- "&amp;W221&amp;IF(X221="",""," &lt;- "&amp;X221&amp;IF(Y221="",""," &lt;- "&amp;Y221))))&amp;IF(ISNUMBER(FIND(",",D221))," (+ other parents)",""))</f>
        <v/>
      </c>
      <c r="O221" s="20" t="str">
        <f aca="false">IF(A221="","",COUNTIF(Fields!$D:$D,A221))</f>
        <v/>
      </c>
      <c r="P221" s="20" t="str">
        <f aca="false">IF(A221="","",SUMIF(Fields!$D:$D,A221,Fields!$O:$O))</f>
        <v/>
      </c>
      <c r="Q221" s="30"/>
      <c r="R221" s="30"/>
      <c r="S221" s="30"/>
      <c r="T221" s="30"/>
      <c r="U221" s="30"/>
      <c r="V221" s="34" t="str">
        <f aca="false">IF(A221="","",IF(IFERROR(INDEX($D:$D,MATCH(A221,$A:$A,0)),"")="","",TRIM(IF(ISNUMBER(FIND(",",IFERROR(INDEX($D:$D,MATCH(A221,$A:$A,0)),""))),LEFT(IFERROR(INDEX($D:$D,MATCH(A221,$A:$A,0)),""),FIND(",",IFERROR(INDEX($D:$D,MATCH(A221,$A:$A,0)),""))-1),IFERROR(INDEX($D:$D,MATCH(A221,$A:$A,0)),"")))))</f>
        <v/>
      </c>
      <c r="W221" s="34" t="str">
        <f aca="false">IF(V221="","",IF(IFERROR(INDEX($D:$D,MATCH(V221,$A:$A,0)),"")="","",TRIM(IF(ISNUMBER(FIND(",",IFERROR(INDEX($D:$D,MATCH(V221,$A:$A,0)),""))),LEFT(IFERROR(INDEX($D:$D,MATCH(V221,$A:$A,0)),""),FIND(",",IFERROR(INDEX($D:$D,MATCH(V221,$A:$A,0)),""))-1),IFERROR(INDEX($D:$D,MATCH(V221,$A:$A,0)),"")))))</f>
        <v/>
      </c>
      <c r="X221" s="34" t="str">
        <f aca="false">IF(W221="","",IF(IFERROR(INDEX($D:$D,MATCH(W221,$A:$A,0)),"")="","",TRIM(IF(ISNUMBER(FIND(",",IFERROR(INDEX($D:$D,MATCH(W221,$A:$A,0)),""))),LEFT(IFERROR(INDEX($D:$D,MATCH(W221,$A:$A,0)),""),FIND(",",IFERROR(INDEX($D:$D,MATCH(W221,$A:$A,0)),""))-1),IFERROR(INDEX($D:$D,MATCH(W221,$A:$A,0)),"")))))</f>
        <v/>
      </c>
      <c r="Y221" s="34" t="str">
        <f aca="false">IF(X221="","",IF(IFERROR(INDEX($D:$D,MATCH(X221,$A:$A,0)),"")="","",TRIM(IF(ISNUMBER(FIND(",",IFERROR(INDEX($D:$D,MATCH(X221,$A:$A,0)),""))),LEFT(IFERROR(INDEX($D:$D,MATCH(X221,$A:$A,0)),""),FIND(",",IFERROR(INDEX($D:$D,MATCH(X221,$A:$A,0)),""))-1),IFERROR(INDEX($D:$D,MATCH(X221,$A:$A,0)),"")))))</f>
        <v/>
      </c>
      <c r="Z221" s="34" t="str">
        <f aca="false">IF(AND(A221&lt;&gt;"",L221="Retire"),COUNTIF($L$5:L221,"Retire"),"")</f>
        <v/>
      </c>
      <c r="AA221" s="34" t="str">
        <f aca="false">IF(AND(A221&lt;&gt;"",L221="Build"),COUNTIF($L$5:L221,"Build"),"")</f>
        <v/>
      </c>
      <c r="AB221" s="34" t="str">
        <f aca="false">IF(AND(A221&lt;&gt;"",OR(M221="4+",AND(ISNUMBER(M221),M221&gt;=2))),SUMPRODUCT(($A$5:A221&lt;&gt;"")*(($M$5:M221="4+")+(ISNUMBER($M$5:M221)*($M$5:M221&gt;=2)))),"")</f>
        <v/>
      </c>
      <c r="AC221" s="34" t="str">
        <f aca="false">IF(AND(A221&lt;&gt;"",OR(L221="",L221="Undecided",K221="")),SUMPRODUCT(($A$5:A221&lt;&gt;"")*(($L$5:L221="")+($L$5:L221="Undecided")+($K$5:K221=""))&gt;0*1),"")</f>
        <v/>
      </c>
    </row>
    <row r="222" customFormat="false" ht="15" hidden="false" customHeight="false" outlineLevel="0" collapsed="false">
      <c r="A222" s="29"/>
      <c r="B222" s="30"/>
      <c r="C222" s="30"/>
      <c r="D222" s="30"/>
      <c r="E222" s="30"/>
      <c r="F222" s="30"/>
      <c r="G222" s="30"/>
      <c r="H222" s="30"/>
      <c r="I222" s="30"/>
      <c r="J222" s="30"/>
      <c r="K222" s="30"/>
      <c r="L222" s="30"/>
      <c r="M222" s="20" t="str">
        <f aca="false">IF(A222="","",IF(V222="",0,IF(W222="",1,IF(X222="",2,IF(Y222="",3,"4+")))))</f>
        <v/>
      </c>
      <c r="N222" s="20" t="str">
        <f aca="false">IF(A222="","",A222&amp;IF(V222="",""," &lt;- "&amp;V222&amp;IF(W222="",""," &lt;- "&amp;W222&amp;IF(X222="",""," &lt;- "&amp;X222&amp;IF(Y222="",""," &lt;- "&amp;Y222))))&amp;IF(ISNUMBER(FIND(",",D222))," (+ other parents)",""))</f>
        <v/>
      </c>
      <c r="O222" s="20" t="str">
        <f aca="false">IF(A222="","",COUNTIF(Fields!$D:$D,A222))</f>
        <v/>
      </c>
      <c r="P222" s="20" t="str">
        <f aca="false">IF(A222="","",SUMIF(Fields!$D:$D,A222,Fields!$O:$O))</f>
        <v/>
      </c>
      <c r="Q222" s="30"/>
      <c r="R222" s="30"/>
      <c r="S222" s="30"/>
      <c r="T222" s="30"/>
      <c r="U222" s="30"/>
      <c r="V222" s="34" t="str">
        <f aca="false">IF(A222="","",IF(IFERROR(INDEX($D:$D,MATCH(A222,$A:$A,0)),"")="","",TRIM(IF(ISNUMBER(FIND(",",IFERROR(INDEX($D:$D,MATCH(A222,$A:$A,0)),""))),LEFT(IFERROR(INDEX($D:$D,MATCH(A222,$A:$A,0)),""),FIND(",",IFERROR(INDEX($D:$D,MATCH(A222,$A:$A,0)),""))-1),IFERROR(INDEX($D:$D,MATCH(A222,$A:$A,0)),"")))))</f>
        <v/>
      </c>
      <c r="W222" s="34" t="str">
        <f aca="false">IF(V222="","",IF(IFERROR(INDEX($D:$D,MATCH(V222,$A:$A,0)),"")="","",TRIM(IF(ISNUMBER(FIND(",",IFERROR(INDEX($D:$D,MATCH(V222,$A:$A,0)),""))),LEFT(IFERROR(INDEX($D:$D,MATCH(V222,$A:$A,0)),""),FIND(",",IFERROR(INDEX($D:$D,MATCH(V222,$A:$A,0)),""))-1),IFERROR(INDEX($D:$D,MATCH(V222,$A:$A,0)),"")))))</f>
        <v/>
      </c>
      <c r="X222" s="34" t="str">
        <f aca="false">IF(W222="","",IF(IFERROR(INDEX($D:$D,MATCH(W222,$A:$A,0)),"")="","",TRIM(IF(ISNUMBER(FIND(",",IFERROR(INDEX($D:$D,MATCH(W222,$A:$A,0)),""))),LEFT(IFERROR(INDEX($D:$D,MATCH(W222,$A:$A,0)),""),FIND(",",IFERROR(INDEX($D:$D,MATCH(W222,$A:$A,0)),""))-1),IFERROR(INDEX($D:$D,MATCH(W222,$A:$A,0)),"")))))</f>
        <v/>
      </c>
      <c r="Y222" s="34" t="str">
        <f aca="false">IF(X222="","",IF(IFERROR(INDEX($D:$D,MATCH(X222,$A:$A,0)),"")="","",TRIM(IF(ISNUMBER(FIND(",",IFERROR(INDEX($D:$D,MATCH(X222,$A:$A,0)),""))),LEFT(IFERROR(INDEX($D:$D,MATCH(X222,$A:$A,0)),""),FIND(",",IFERROR(INDEX($D:$D,MATCH(X222,$A:$A,0)),""))-1),IFERROR(INDEX($D:$D,MATCH(X222,$A:$A,0)),"")))))</f>
        <v/>
      </c>
      <c r="Z222" s="34" t="str">
        <f aca="false">IF(AND(A222&lt;&gt;"",L222="Retire"),COUNTIF($L$5:L222,"Retire"),"")</f>
        <v/>
      </c>
      <c r="AA222" s="34" t="str">
        <f aca="false">IF(AND(A222&lt;&gt;"",L222="Build"),COUNTIF($L$5:L222,"Build"),"")</f>
        <v/>
      </c>
      <c r="AB222" s="34" t="str">
        <f aca="false">IF(AND(A222&lt;&gt;"",OR(M222="4+",AND(ISNUMBER(M222),M222&gt;=2))),SUMPRODUCT(($A$5:A222&lt;&gt;"")*(($M$5:M222="4+")+(ISNUMBER($M$5:M222)*($M$5:M222&gt;=2)))),"")</f>
        <v/>
      </c>
      <c r="AC222" s="34" t="str">
        <f aca="false">IF(AND(A222&lt;&gt;"",OR(L222="",L222="Undecided",K222="")),SUMPRODUCT(($A$5:A222&lt;&gt;"")*(($L$5:L222="")+($L$5:L222="Undecided")+($K$5:K222=""))&gt;0*1),"")</f>
        <v/>
      </c>
    </row>
    <row r="223" customFormat="false" ht="15" hidden="false" customHeight="false" outlineLevel="0" collapsed="false">
      <c r="A223" s="29"/>
      <c r="B223" s="30"/>
      <c r="C223" s="30"/>
      <c r="D223" s="30"/>
      <c r="E223" s="30"/>
      <c r="F223" s="30"/>
      <c r="G223" s="30"/>
      <c r="H223" s="30"/>
      <c r="I223" s="30"/>
      <c r="J223" s="30"/>
      <c r="K223" s="30"/>
      <c r="L223" s="30"/>
      <c r="M223" s="20" t="str">
        <f aca="false">IF(A223="","",IF(V223="",0,IF(W223="",1,IF(X223="",2,IF(Y223="",3,"4+")))))</f>
        <v/>
      </c>
      <c r="N223" s="20" t="str">
        <f aca="false">IF(A223="","",A223&amp;IF(V223="",""," &lt;- "&amp;V223&amp;IF(W223="",""," &lt;- "&amp;W223&amp;IF(X223="",""," &lt;- "&amp;X223&amp;IF(Y223="",""," &lt;- "&amp;Y223))))&amp;IF(ISNUMBER(FIND(",",D223))," (+ other parents)",""))</f>
        <v/>
      </c>
      <c r="O223" s="20" t="str">
        <f aca="false">IF(A223="","",COUNTIF(Fields!$D:$D,A223))</f>
        <v/>
      </c>
      <c r="P223" s="20" t="str">
        <f aca="false">IF(A223="","",SUMIF(Fields!$D:$D,A223,Fields!$O:$O))</f>
        <v/>
      </c>
      <c r="Q223" s="30"/>
      <c r="R223" s="30"/>
      <c r="S223" s="30"/>
      <c r="T223" s="30"/>
      <c r="U223" s="30"/>
      <c r="V223" s="34" t="str">
        <f aca="false">IF(A223="","",IF(IFERROR(INDEX($D:$D,MATCH(A223,$A:$A,0)),"")="","",TRIM(IF(ISNUMBER(FIND(",",IFERROR(INDEX($D:$D,MATCH(A223,$A:$A,0)),""))),LEFT(IFERROR(INDEX($D:$D,MATCH(A223,$A:$A,0)),""),FIND(",",IFERROR(INDEX($D:$D,MATCH(A223,$A:$A,0)),""))-1),IFERROR(INDEX($D:$D,MATCH(A223,$A:$A,0)),"")))))</f>
        <v/>
      </c>
      <c r="W223" s="34" t="str">
        <f aca="false">IF(V223="","",IF(IFERROR(INDEX($D:$D,MATCH(V223,$A:$A,0)),"")="","",TRIM(IF(ISNUMBER(FIND(",",IFERROR(INDEX($D:$D,MATCH(V223,$A:$A,0)),""))),LEFT(IFERROR(INDEX($D:$D,MATCH(V223,$A:$A,0)),""),FIND(",",IFERROR(INDEX($D:$D,MATCH(V223,$A:$A,0)),""))-1),IFERROR(INDEX($D:$D,MATCH(V223,$A:$A,0)),"")))))</f>
        <v/>
      </c>
      <c r="X223" s="34" t="str">
        <f aca="false">IF(W223="","",IF(IFERROR(INDEX($D:$D,MATCH(W223,$A:$A,0)),"")="","",TRIM(IF(ISNUMBER(FIND(",",IFERROR(INDEX($D:$D,MATCH(W223,$A:$A,0)),""))),LEFT(IFERROR(INDEX($D:$D,MATCH(W223,$A:$A,0)),""),FIND(",",IFERROR(INDEX($D:$D,MATCH(W223,$A:$A,0)),""))-1),IFERROR(INDEX($D:$D,MATCH(W223,$A:$A,0)),"")))))</f>
        <v/>
      </c>
      <c r="Y223" s="34" t="str">
        <f aca="false">IF(X223="","",IF(IFERROR(INDEX($D:$D,MATCH(X223,$A:$A,0)),"")="","",TRIM(IF(ISNUMBER(FIND(",",IFERROR(INDEX($D:$D,MATCH(X223,$A:$A,0)),""))),LEFT(IFERROR(INDEX($D:$D,MATCH(X223,$A:$A,0)),""),FIND(",",IFERROR(INDEX($D:$D,MATCH(X223,$A:$A,0)),""))-1),IFERROR(INDEX($D:$D,MATCH(X223,$A:$A,0)),"")))))</f>
        <v/>
      </c>
      <c r="Z223" s="34" t="str">
        <f aca="false">IF(AND(A223&lt;&gt;"",L223="Retire"),COUNTIF($L$5:L223,"Retire"),"")</f>
        <v/>
      </c>
      <c r="AA223" s="34" t="str">
        <f aca="false">IF(AND(A223&lt;&gt;"",L223="Build"),COUNTIF($L$5:L223,"Build"),"")</f>
        <v/>
      </c>
      <c r="AB223" s="34" t="str">
        <f aca="false">IF(AND(A223&lt;&gt;"",OR(M223="4+",AND(ISNUMBER(M223),M223&gt;=2))),SUMPRODUCT(($A$5:A223&lt;&gt;"")*(($M$5:M223="4+")+(ISNUMBER($M$5:M223)*($M$5:M223&gt;=2)))),"")</f>
        <v/>
      </c>
      <c r="AC223" s="34" t="str">
        <f aca="false">IF(AND(A223&lt;&gt;"",OR(L223="",L223="Undecided",K223="")),SUMPRODUCT(($A$5:A223&lt;&gt;"")*(($L$5:L223="")+($L$5:L223="Undecided")+($K$5:K223=""))&gt;0*1),"")</f>
        <v/>
      </c>
    </row>
    <row r="224" customFormat="false" ht="15" hidden="false" customHeight="false" outlineLevel="0" collapsed="false">
      <c r="A224" s="29"/>
      <c r="B224" s="30"/>
      <c r="C224" s="30"/>
      <c r="D224" s="30"/>
      <c r="E224" s="30"/>
      <c r="F224" s="30"/>
      <c r="G224" s="30"/>
      <c r="H224" s="30"/>
      <c r="I224" s="30"/>
      <c r="J224" s="30"/>
      <c r="K224" s="30"/>
      <c r="L224" s="30"/>
      <c r="M224" s="20" t="str">
        <f aca="false">IF(A224="","",IF(V224="",0,IF(W224="",1,IF(X224="",2,IF(Y224="",3,"4+")))))</f>
        <v/>
      </c>
      <c r="N224" s="20" t="str">
        <f aca="false">IF(A224="","",A224&amp;IF(V224="",""," &lt;- "&amp;V224&amp;IF(W224="",""," &lt;- "&amp;W224&amp;IF(X224="",""," &lt;- "&amp;X224&amp;IF(Y224="",""," &lt;- "&amp;Y224))))&amp;IF(ISNUMBER(FIND(",",D224))," (+ other parents)",""))</f>
        <v/>
      </c>
      <c r="O224" s="20" t="str">
        <f aca="false">IF(A224="","",COUNTIF(Fields!$D:$D,A224))</f>
        <v/>
      </c>
      <c r="P224" s="20" t="str">
        <f aca="false">IF(A224="","",SUMIF(Fields!$D:$D,A224,Fields!$O:$O))</f>
        <v/>
      </c>
      <c r="Q224" s="30"/>
      <c r="R224" s="30"/>
      <c r="S224" s="30"/>
      <c r="T224" s="30"/>
      <c r="U224" s="30"/>
      <c r="V224" s="34" t="str">
        <f aca="false">IF(A224="","",IF(IFERROR(INDEX($D:$D,MATCH(A224,$A:$A,0)),"")="","",TRIM(IF(ISNUMBER(FIND(",",IFERROR(INDEX($D:$D,MATCH(A224,$A:$A,0)),""))),LEFT(IFERROR(INDEX($D:$D,MATCH(A224,$A:$A,0)),""),FIND(",",IFERROR(INDEX($D:$D,MATCH(A224,$A:$A,0)),""))-1),IFERROR(INDEX($D:$D,MATCH(A224,$A:$A,0)),"")))))</f>
        <v/>
      </c>
      <c r="W224" s="34" t="str">
        <f aca="false">IF(V224="","",IF(IFERROR(INDEX($D:$D,MATCH(V224,$A:$A,0)),"")="","",TRIM(IF(ISNUMBER(FIND(",",IFERROR(INDEX($D:$D,MATCH(V224,$A:$A,0)),""))),LEFT(IFERROR(INDEX($D:$D,MATCH(V224,$A:$A,0)),""),FIND(",",IFERROR(INDEX($D:$D,MATCH(V224,$A:$A,0)),""))-1),IFERROR(INDEX($D:$D,MATCH(V224,$A:$A,0)),"")))))</f>
        <v/>
      </c>
      <c r="X224" s="34" t="str">
        <f aca="false">IF(W224="","",IF(IFERROR(INDEX($D:$D,MATCH(W224,$A:$A,0)),"")="","",TRIM(IF(ISNUMBER(FIND(",",IFERROR(INDEX($D:$D,MATCH(W224,$A:$A,0)),""))),LEFT(IFERROR(INDEX($D:$D,MATCH(W224,$A:$A,0)),""),FIND(",",IFERROR(INDEX($D:$D,MATCH(W224,$A:$A,0)),""))-1),IFERROR(INDEX($D:$D,MATCH(W224,$A:$A,0)),"")))))</f>
        <v/>
      </c>
      <c r="Y224" s="34" t="str">
        <f aca="false">IF(X224="","",IF(IFERROR(INDEX($D:$D,MATCH(X224,$A:$A,0)),"")="","",TRIM(IF(ISNUMBER(FIND(",",IFERROR(INDEX($D:$D,MATCH(X224,$A:$A,0)),""))),LEFT(IFERROR(INDEX($D:$D,MATCH(X224,$A:$A,0)),""),FIND(",",IFERROR(INDEX($D:$D,MATCH(X224,$A:$A,0)),""))-1),IFERROR(INDEX($D:$D,MATCH(X224,$A:$A,0)),"")))))</f>
        <v/>
      </c>
      <c r="Z224" s="34" t="str">
        <f aca="false">IF(AND(A224&lt;&gt;"",L224="Retire"),COUNTIF($L$5:L224,"Retire"),"")</f>
        <v/>
      </c>
      <c r="AA224" s="34" t="str">
        <f aca="false">IF(AND(A224&lt;&gt;"",L224="Build"),COUNTIF($L$5:L224,"Build"),"")</f>
        <v/>
      </c>
      <c r="AB224" s="34" t="str">
        <f aca="false">IF(AND(A224&lt;&gt;"",OR(M224="4+",AND(ISNUMBER(M224),M224&gt;=2))),SUMPRODUCT(($A$5:A224&lt;&gt;"")*(($M$5:M224="4+")+(ISNUMBER($M$5:M224)*($M$5:M224&gt;=2)))),"")</f>
        <v/>
      </c>
      <c r="AC224" s="34" t="str">
        <f aca="false">IF(AND(A224&lt;&gt;"",OR(L224="",L224="Undecided",K224="")),SUMPRODUCT(($A$5:A224&lt;&gt;"")*(($L$5:L224="")+($L$5:L224="Undecided")+($K$5:K224=""))&gt;0*1),"")</f>
        <v/>
      </c>
    </row>
    <row r="225" customFormat="false" ht="15" hidden="false" customHeight="false" outlineLevel="0" collapsed="false">
      <c r="A225" s="29"/>
      <c r="B225" s="30"/>
      <c r="C225" s="30"/>
      <c r="D225" s="30"/>
      <c r="E225" s="30"/>
      <c r="F225" s="30"/>
      <c r="G225" s="30"/>
      <c r="H225" s="30"/>
      <c r="I225" s="30"/>
      <c r="J225" s="30"/>
      <c r="K225" s="30"/>
      <c r="L225" s="30"/>
      <c r="M225" s="20" t="str">
        <f aca="false">IF(A225="","",IF(V225="",0,IF(W225="",1,IF(X225="",2,IF(Y225="",3,"4+")))))</f>
        <v/>
      </c>
      <c r="N225" s="20" t="str">
        <f aca="false">IF(A225="","",A225&amp;IF(V225="",""," &lt;- "&amp;V225&amp;IF(W225="",""," &lt;- "&amp;W225&amp;IF(X225="",""," &lt;- "&amp;X225&amp;IF(Y225="",""," &lt;- "&amp;Y225))))&amp;IF(ISNUMBER(FIND(",",D225))," (+ other parents)",""))</f>
        <v/>
      </c>
      <c r="O225" s="20" t="str">
        <f aca="false">IF(A225="","",COUNTIF(Fields!$D:$D,A225))</f>
        <v/>
      </c>
      <c r="P225" s="20" t="str">
        <f aca="false">IF(A225="","",SUMIF(Fields!$D:$D,A225,Fields!$O:$O))</f>
        <v/>
      </c>
      <c r="Q225" s="30"/>
      <c r="R225" s="30"/>
      <c r="S225" s="30"/>
      <c r="T225" s="30"/>
      <c r="U225" s="30"/>
      <c r="V225" s="34" t="str">
        <f aca="false">IF(A225="","",IF(IFERROR(INDEX($D:$D,MATCH(A225,$A:$A,0)),"")="","",TRIM(IF(ISNUMBER(FIND(",",IFERROR(INDEX($D:$D,MATCH(A225,$A:$A,0)),""))),LEFT(IFERROR(INDEX($D:$D,MATCH(A225,$A:$A,0)),""),FIND(",",IFERROR(INDEX($D:$D,MATCH(A225,$A:$A,0)),""))-1),IFERROR(INDEX($D:$D,MATCH(A225,$A:$A,0)),"")))))</f>
        <v/>
      </c>
      <c r="W225" s="34" t="str">
        <f aca="false">IF(V225="","",IF(IFERROR(INDEX($D:$D,MATCH(V225,$A:$A,0)),"")="","",TRIM(IF(ISNUMBER(FIND(",",IFERROR(INDEX($D:$D,MATCH(V225,$A:$A,0)),""))),LEFT(IFERROR(INDEX($D:$D,MATCH(V225,$A:$A,0)),""),FIND(",",IFERROR(INDEX($D:$D,MATCH(V225,$A:$A,0)),""))-1),IFERROR(INDEX($D:$D,MATCH(V225,$A:$A,0)),"")))))</f>
        <v/>
      </c>
      <c r="X225" s="34" t="str">
        <f aca="false">IF(W225="","",IF(IFERROR(INDEX($D:$D,MATCH(W225,$A:$A,0)),"")="","",TRIM(IF(ISNUMBER(FIND(",",IFERROR(INDEX($D:$D,MATCH(W225,$A:$A,0)),""))),LEFT(IFERROR(INDEX($D:$D,MATCH(W225,$A:$A,0)),""),FIND(",",IFERROR(INDEX($D:$D,MATCH(W225,$A:$A,0)),""))-1),IFERROR(INDEX($D:$D,MATCH(W225,$A:$A,0)),"")))))</f>
        <v/>
      </c>
      <c r="Y225" s="34" t="str">
        <f aca="false">IF(X225="","",IF(IFERROR(INDEX($D:$D,MATCH(X225,$A:$A,0)),"")="","",TRIM(IF(ISNUMBER(FIND(",",IFERROR(INDEX($D:$D,MATCH(X225,$A:$A,0)),""))),LEFT(IFERROR(INDEX($D:$D,MATCH(X225,$A:$A,0)),""),FIND(",",IFERROR(INDEX($D:$D,MATCH(X225,$A:$A,0)),""))-1),IFERROR(INDEX($D:$D,MATCH(X225,$A:$A,0)),"")))))</f>
        <v/>
      </c>
      <c r="Z225" s="34" t="str">
        <f aca="false">IF(AND(A225&lt;&gt;"",L225="Retire"),COUNTIF($L$5:L225,"Retire"),"")</f>
        <v/>
      </c>
      <c r="AA225" s="34" t="str">
        <f aca="false">IF(AND(A225&lt;&gt;"",L225="Build"),COUNTIF($L$5:L225,"Build"),"")</f>
        <v/>
      </c>
      <c r="AB225" s="34" t="str">
        <f aca="false">IF(AND(A225&lt;&gt;"",OR(M225="4+",AND(ISNUMBER(M225),M225&gt;=2))),SUMPRODUCT(($A$5:A225&lt;&gt;"")*(($M$5:M225="4+")+(ISNUMBER($M$5:M225)*($M$5:M225&gt;=2)))),"")</f>
        <v/>
      </c>
      <c r="AC225" s="34" t="str">
        <f aca="false">IF(AND(A225&lt;&gt;"",OR(L225="",L225="Undecided",K225="")),SUMPRODUCT(($A$5:A225&lt;&gt;"")*(($L$5:L225="")+($L$5:L225="Undecided")+($K$5:K225=""))&gt;0*1),"")</f>
        <v/>
      </c>
    </row>
    <row r="226" customFormat="false" ht="15" hidden="false" customHeight="false" outlineLevel="0" collapsed="false">
      <c r="A226" s="29"/>
      <c r="B226" s="30"/>
      <c r="C226" s="30"/>
      <c r="D226" s="30"/>
      <c r="E226" s="30"/>
      <c r="F226" s="30"/>
      <c r="G226" s="30"/>
      <c r="H226" s="30"/>
      <c r="I226" s="30"/>
      <c r="J226" s="30"/>
      <c r="K226" s="30"/>
      <c r="L226" s="30"/>
      <c r="M226" s="20" t="str">
        <f aca="false">IF(A226="","",IF(V226="",0,IF(W226="",1,IF(X226="",2,IF(Y226="",3,"4+")))))</f>
        <v/>
      </c>
      <c r="N226" s="20" t="str">
        <f aca="false">IF(A226="","",A226&amp;IF(V226="",""," &lt;- "&amp;V226&amp;IF(W226="",""," &lt;- "&amp;W226&amp;IF(X226="",""," &lt;- "&amp;X226&amp;IF(Y226="",""," &lt;- "&amp;Y226))))&amp;IF(ISNUMBER(FIND(",",D226))," (+ other parents)",""))</f>
        <v/>
      </c>
      <c r="O226" s="20" t="str">
        <f aca="false">IF(A226="","",COUNTIF(Fields!$D:$D,A226))</f>
        <v/>
      </c>
      <c r="P226" s="20" t="str">
        <f aca="false">IF(A226="","",SUMIF(Fields!$D:$D,A226,Fields!$O:$O))</f>
        <v/>
      </c>
      <c r="Q226" s="30"/>
      <c r="R226" s="30"/>
      <c r="S226" s="30"/>
      <c r="T226" s="30"/>
      <c r="U226" s="30"/>
      <c r="V226" s="34" t="str">
        <f aca="false">IF(A226="","",IF(IFERROR(INDEX($D:$D,MATCH(A226,$A:$A,0)),"")="","",TRIM(IF(ISNUMBER(FIND(",",IFERROR(INDEX($D:$D,MATCH(A226,$A:$A,0)),""))),LEFT(IFERROR(INDEX($D:$D,MATCH(A226,$A:$A,0)),""),FIND(",",IFERROR(INDEX($D:$D,MATCH(A226,$A:$A,0)),""))-1),IFERROR(INDEX($D:$D,MATCH(A226,$A:$A,0)),"")))))</f>
        <v/>
      </c>
      <c r="W226" s="34" t="str">
        <f aca="false">IF(V226="","",IF(IFERROR(INDEX($D:$D,MATCH(V226,$A:$A,0)),"")="","",TRIM(IF(ISNUMBER(FIND(",",IFERROR(INDEX($D:$D,MATCH(V226,$A:$A,0)),""))),LEFT(IFERROR(INDEX($D:$D,MATCH(V226,$A:$A,0)),""),FIND(",",IFERROR(INDEX($D:$D,MATCH(V226,$A:$A,0)),""))-1),IFERROR(INDEX($D:$D,MATCH(V226,$A:$A,0)),"")))))</f>
        <v/>
      </c>
      <c r="X226" s="34" t="str">
        <f aca="false">IF(W226="","",IF(IFERROR(INDEX($D:$D,MATCH(W226,$A:$A,0)),"")="","",TRIM(IF(ISNUMBER(FIND(",",IFERROR(INDEX($D:$D,MATCH(W226,$A:$A,0)),""))),LEFT(IFERROR(INDEX($D:$D,MATCH(W226,$A:$A,0)),""),FIND(",",IFERROR(INDEX($D:$D,MATCH(W226,$A:$A,0)),""))-1),IFERROR(INDEX($D:$D,MATCH(W226,$A:$A,0)),"")))))</f>
        <v/>
      </c>
      <c r="Y226" s="34" t="str">
        <f aca="false">IF(X226="","",IF(IFERROR(INDEX($D:$D,MATCH(X226,$A:$A,0)),"")="","",TRIM(IF(ISNUMBER(FIND(",",IFERROR(INDEX($D:$D,MATCH(X226,$A:$A,0)),""))),LEFT(IFERROR(INDEX($D:$D,MATCH(X226,$A:$A,0)),""),FIND(",",IFERROR(INDEX($D:$D,MATCH(X226,$A:$A,0)),""))-1),IFERROR(INDEX($D:$D,MATCH(X226,$A:$A,0)),"")))))</f>
        <v/>
      </c>
      <c r="Z226" s="34" t="str">
        <f aca="false">IF(AND(A226&lt;&gt;"",L226="Retire"),COUNTIF($L$5:L226,"Retire"),"")</f>
        <v/>
      </c>
      <c r="AA226" s="34" t="str">
        <f aca="false">IF(AND(A226&lt;&gt;"",L226="Build"),COUNTIF($L$5:L226,"Build"),"")</f>
        <v/>
      </c>
      <c r="AB226" s="34" t="str">
        <f aca="false">IF(AND(A226&lt;&gt;"",OR(M226="4+",AND(ISNUMBER(M226),M226&gt;=2))),SUMPRODUCT(($A$5:A226&lt;&gt;"")*(($M$5:M226="4+")+(ISNUMBER($M$5:M226)*($M$5:M226&gt;=2)))),"")</f>
        <v/>
      </c>
      <c r="AC226" s="34" t="str">
        <f aca="false">IF(AND(A226&lt;&gt;"",OR(L226="",L226="Undecided",K226="")),SUMPRODUCT(($A$5:A226&lt;&gt;"")*(($L$5:L226="")+($L$5:L226="Undecided")+($K$5:K226=""))&gt;0*1),"")</f>
        <v/>
      </c>
    </row>
    <row r="227" customFormat="false" ht="15" hidden="false" customHeight="false" outlineLevel="0" collapsed="false">
      <c r="A227" s="29"/>
      <c r="B227" s="30"/>
      <c r="C227" s="30"/>
      <c r="D227" s="30"/>
      <c r="E227" s="30"/>
      <c r="F227" s="30"/>
      <c r="G227" s="30"/>
      <c r="H227" s="30"/>
      <c r="I227" s="30"/>
      <c r="J227" s="30"/>
      <c r="K227" s="30"/>
      <c r="L227" s="30"/>
      <c r="M227" s="20" t="str">
        <f aca="false">IF(A227="","",IF(V227="",0,IF(W227="",1,IF(X227="",2,IF(Y227="",3,"4+")))))</f>
        <v/>
      </c>
      <c r="N227" s="20" t="str">
        <f aca="false">IF(A227="","",A227&amp;IF(V227="",""," &lt;- "&amp;V227&amp;IF(W227="",""," &lt;- "&amp;W227&amp;IF(X227="",""," &lt;- "&amp;X227&amp;IF(Y227="",""," &lt;- "&amp;Y227))))&amp;IF(ISNUMBER(FIND(",",D227))," (+ other parents)",""))</f>
        <v/>
      </c>
      <c r="O227" s="20" t="str">
        <f aca="false">IF(A227="","",COUNTIF(Fields!$D:$D,A227))</f>
        <v/>
      </c>
      <c r="P227" s="20" t="str">
        <f aca="false">IF(A227="","",SUMIF(Fields!$D:$D,A227,Fields!$O:$O))</f>
        <v/>
      </c>
      <c r="Q227" s="30"/>
      <c r="R227" s="30"/>
      <c r="S227" s="30"/>
      <c r="T227" s="30"/>
      <c r="U227" s="30"/>
      <c r="V227" s="34" t="str">
        <f aca="false">IF(A227="","",IF(IFERROR(INDEX($D:$D,MATCH(A227,$A:$A,0)),"")="","",TRIM(IF(ISNUMBER(FIND(",",IFERROR(INDEX($D:$D,MATCH(A227,$A:$A,0)),""))),LEFT(IFERROR(INDEX($D:$D,MATCH(A227,$A:$A,0)),""),FIND(",",IFERROR(INDEX($D:$D,MATCH(A227,$A:$A,0)),""))-1),IFERROR(INDEX($D:$D,MATCH(A227,$A:$A,0)),"")))))</f>
        <v/>
      </c>
      <c r="W227" s="34" t="str">
        <f aca="false">IF(V227="","",IF(IFERROR(INDEX($D:$D,MATCH(V227,$A:$A,0)),"")="","",TRIM(IF(ISNUMBER(FIND(",",IFERROR(INDEX($D:$D,MATCH(V227,$A:$A,0)),""))),LEFT(IFERROR(INDEX($D:$D,MATCH(V227,$A:$A,0)),""),FIND(",",IFERROR(INDEX($D:$D,MATCH(V227,$A:$A,0)),""))-1),IFERROR(INDEX($D:$D,MATCH(V227,$A:$A,0)),"")))))</f>
        <v/>
      </c>
      <c r="X227" s="34" t="str">
        <f aca="false">IF(W227="","",IF(IFERROR(INDEX($D:$D,MATCH(W227,$A:$A,0)),"")="","",TRIM(IF(ISNUMBER(FIND(",",IFERROR(INDEX($D:$D,MATCH(W227,$A:$A,0)),""))),LEFT(IFERROR(INDEX($D:$D,MATCH(W227,$A:$A,0)),""),FIND(",",IFERROR(INDEX($D:$D,MATCH(W227,$A:$A,0)),""))-1),IFERROR(INDEX($D:$D,MATCH(W227,$A:$A,0)),"")))))</f>
        <v/>
      </c>
      <c r="Y227" s="34" t="str">
        <f aca="false">IF(X227="","",IF(IFERROR(INDEX($D:$D,MATCH(X227,$A:$A,0)),"")="","",TRIM(IF(ISNUMBER(FIND(",",IFERROR(INDEX($D:$D,MATCH(X227,$A:$A,0)),""))),LEFT(IFERROR(INDEX($D:$D,MATCH(X227,$A:$A,0)),""),FIND(",",IFERROR(INDEX($D:$D,MATCH(X227,$A:$A,0)),""))-1),IFERROR(INDEX($D:$D,MATCH(X227,$A:$A,0)),"")))))</f>
        <v/>
      </c>
      <c r="Z227" s="34" t="str">
        <f aca="false">IF(AND(A227&lt;&gt;"",L227="Retire"),COUNTIF($L$5:L227,"Retire"),"")</f>
        <v/>
      </c>
      <c r="AA227" s="34" t="str">
        <f aca="false">IF(AND(A227&lt;&gt;"",L227="Build"),COUNTIF($L$5:L227,"Build"),"")</f>
        <v/>
      </c>
      <c r="AB227" s="34" t="str">
        <f aca="false">IF(AND(A227&lt;&gt;"",OR(M227="4+",AND(ISNUMBER(M227),M227&gt;=2))),SUMPRODUCT(($A$5:A227&lt;&gt;"")*(($M$5:M227="4+")+(ISNUMBER($M$5:M227)*($M$5:M227&gt;=2)))),"")</f>
        <v/>
      </c>
      <c r="AC227" s="34" t="str">
        <f aca="false">IF(AND(A227&lt;&gt;"",OR(L227="",L227="Undecided",K227="")),SUMPRODUCT(($A$5:A227&lt;&gt;"")*(($L$5:L227="")+($L$5:L227="Undecided")+($K$5:K227=""))&gt;0*1),"")</f>
        <v/>
      </c>
    </row>
    <row r="228" customFormat="false" ht="15" hidden="false" customHeight="false" outlineLevel="0" collapsed="false">
      <c r="A228" s="29"/>
      <c r="B228" s="30"/>
      <c r="C228" s="30"/>
      <c r="D228" s="30"/>
      <c r="E228" s="30"/>
      <c r="F228" s="30"/>
      <c r="G228" s="30"/>
      <c r="H228" s="30"/>
      <c r="I228" s="30"/>
      <c r="J228" s="30"/>
      <c r="K228" s="30"/>
      <c r="L228" s="30"/>
      <c r="M228" s="20" t="str">
        <f aca="false">IF(A228="","",IF(V228="",0,IF(W228="",1,IF(X228="",2,IF(Y228="",3,"4+")))))</f>
        <v/>
      </c>
      <c r="N228" s="20" t="str">
        <f aca="false">IF(A228="","",A228&amp;IF(V228="",""," &lt;- "&amp;V228&amp;IF(W228="",""," &lt;- "&amp;W228&amp;IF(X228="",""," &lt;- "&amp;X228&amp;IF(Y228="",""," &lt;- "&amp;Y228))))&amp;IF(ISNUMBER(FIND(",",D228))," (+ other parents)",""))</f>
        <v/>
      </c>
      <c r="O228" s="20" t="str">
        <f aca="false">IF(A228="","",COUNTIF(Fields!$D:$D,A228))</f>
        <v/>
      </c>
      <c r="P228" s="20" t="str">
        <f aca="false">IF(A228="","",SUMIF(Fields!$D:$D,A228,Fields!$O:$O))</f>
        <v/>
      </c>
      <c r="Q228" s="30"/>
      <c r="R228" s="30"/>
      <c r="S228" s="30"/>
      <c r="T228" s="30"/>
      <c r="U228" s="30"/>
      <c r="V228" s="34" t="str">
        <f aca="false">IF(A228="","",IF(IFERROR(INDEX($D:$D,MATCH(A228,$A:$A,0)),"")="","",TRIM(IF(ISNUMBER(FIND(",",IFERROR(INDEX($D:$D,MATCH(A228,$A:$A,0)),""))),LEFT(IFERROR(INDEX($D:$D,MATCH(A228,$A:$A,0)),""),FIND(",",IFERROR(INDEX($D:$D,MATCH(A228,$A:$A,0)),""))-1),IFERROR(INDEX($D:$D,MATCH(A228,$A:$A,0)),"")))))</f>
        <v/>
      </c>
      <c r="W228" s="34" t="str">
        <f aca="false">IF(V228="","",IF(IFERROR(INDEX($D:$D,MATCH(V228,$A:$A,0)),"")="","",TRIM(IF(ISNUMBER(FIND(",",IFERROR(INDEX($D:$D,MATCH(V228,$A:$A,0)),""))),LEFT(IFERROR(INDEX($D:$D,MATCH(V228,$A:$A,0)),""),FIND(",",IFERROR(INDEX($D:$D,MATCH(V228,$A:$A,0)),""))-1),IFERROR(INDEX($D:$D,MATCH(V228,$A:$A,0)),"")))))</f>
        <v/>
      </c>
      <c r="X228" s="34" t="str">
        <f aca="false">IF(W228="","",IF(IFERROR(INDEX($D:$D,MATCH(W228,$A:$A,0)),"")="","",TRIM(IF(ISNUMBER(FIND(",",IFERROR(INDEX($D:$D,MATCH(W228,$A:$A,0)),""))),LEFT(IFERROR(INDEX($D:$D,MATCH(W228,$A:$A,0)),""),FIND(",",IFERROR(INDEX($D:$D,MATCH(W228,$A:$A,0)),""))-1),IFERROR(INDEX($D:$D,MATCH(W228,$A:$A,0)),"")))))</f>
        <v/>
      </c>
      <c r="Y228" s="34" t="str">
        <f aca="false">IF(X228="","",IF(IFERROR(INDEX($D:$D,MATCH(X228,$A:$A,0)),"")="","",TRIM(IF(ISNUMBER(FIND(",",IFERROR(INDEX($D:$D,MATCH(X228,$A:$A,0)),""))),LEFT(IFERROR(INDEX($D:$D,MATCH(X228,$A:$A,0)),""),FIND(",",IFERROR(INDEX($D:$D,MATCH(X228,$A:$A,0)),""))-1),IFERROR(INDEX($D:$D,MATCH(X228,$A:$A,0)),"")))))</f>
        <v/>
      </c>
      <c r="Z228" s="34" t="str">
        <f aca="false">IF(AND(A228&lt;&gt;"",L228="Retire"),COUNTIF($L$5:L228,"Retire"),"")</f>
        <v/>
      </c>
      <c r="AA228" s="34" t="str">
        <f aca="false">IF(AND(A228&lt;&gt;"",L228="Build"),COUNTIF($L$5:L228,"Build"),"")</f>
        <v/>
      </c>
      <c r="AB228" s="34" t="str">
        <f aca="false">IF(AND(A228&lt;&gt;"",OR(M228="4+",AND(ISNUMBER(M228),M228&gt;=2))),SUMPRODUCT(($A$5:A228&lt;&gt;"")*(($M$5:M228="4+")+(ISNUMBER($M$5:M228)*($M$5:M228&gt;=2)))),"")</f>
        <v/>
      </c>
      <c r="AC228" s="34" t="str">
        <f aca="false">IF(AND(A228&lt;&gt;"",OR(L228="",L228="Undecided",K228="")),SUMPRODUCT(($A$5:A228&lt;&gt;"")*(($L$5:L228="")+($L$5:L228="Undecided")+($K$5:K228=""))&gt;0*1),"")</f>
        <v/>
      </c>
    </row>
    <row r="229" customFormat="false" ht="15" hidden="false" customHeight="false" outlineLevel="0" collapsed="false">
      <c r="A229" s="29"/>
      <c r="B229" s="30"/>
      <c r="C229" s="30"/>
      <c r="D229" s="30"/>
      <c r="E229" s="30"/>
      <c r="F229" s="30"/>
      <c r="G229" s="30"/>
      <c r="H229" s="30"/>
      <c r="I229" s="30"/>
      <c r="J229" s="30"/>
      <c r="K229" s="30"/>
      <c r="L229" s="30"/>
      <c r="M229" s="20" t="str">
        <f aca="false">IF(A229="","",IF(V229="",0,IF(W229="",1,IF(X229="",2,IF(Y229="",3,"4+")))))</f>
        <v/>
      </c>
      <c r="N229" s="20" t="str">
        <f aca="false">IF(A229="","",A229&amp;IF(V229="",""," &lt;- "&amp;V229&amp;IF(W229="",""," &lt;- "&amp;W229&amp;IF(X229="",""," &lt;- "&amp;X229&amp;IF(Y229="",""," &lt;- "&amp;Y229))))&amp;IF(ISNUMBER(FIND(",",D229))," (+ other parents)",""))</f>
        <v/>
      </c>
      <c r="O229" s="20" t="str">
        <f aca="false">IF(A229="","",COUNTIF(Fields!$D:$D,A229))</f>
        <v/>
      </c>
      <c r="P229" s="20" t="str">
        <f aca="false">IF(A229="","",SUMIF(Fields!$D:$D,A229,Fields!$O:$O))</f>
        <v/>
      </c>
      <c r="Q229" s="30"/>
      <c r="R229" s="30"/>
      <c r="S229" s="30"/>
      <c r="T229" s="30"/>
      <c r="U229" s="30"/>
      <c r="V229" s="34" t="str">
        <f aca="false">IF(A229="","",IF(IFERROR(INDEX($D:$D,MATCH(A229,$A:$A,0)),"")="","",TRIM(IF(ISNUMBER(FIND(",",IFERROR(INDEX($D:$D,MATCH(A229,$A:$A,0)),""))),LEFT(IFERROR(INDEX($D:$D,MATCH(A229,$A:$A,0)),""),FIND(",",IFERROR(INDEX($D:$D,MATCH(A229,$A:$A,0)),""))-1),IFERROR(INDEX($D:$D,MATCH(A229,$A:$A,0)),"")))))</f>
        <v/>
      </c>
      <c r="W229" s="34" t="str">
        <f aca="false">IF(V229="","",IF(IFERROR(INDEX($D:$D,MATCH(V229,$A:$A,0)),"")="","",TRIM(IF(ISNUMBER(FIND(",",IFERROR(INDEX($D:$D,MATCH(V229,$A:$A,0)),""))),LEFT(IFERROR(INDEX($D:$D,MATCH(V229,$A:$A,0)),""),FIND(",",IFERROR(INDEX($D:$D,MATCH(V229,$A:$A,0)),""))-1),IFERROR(INDEX($D:$D,MATCH(V229,$A:$A,0)),"")))))</f>
        <v/>
      </c>
      <c r="X229" s="34" t="str">
        <f aca="false">IF(W229="","",IF(IFERROR(INDEX($D:$D,MATCH(W229,$A:$A,0)),"")="","",TRIM(IF(ISNUMBER(FIND(",",IFERROR(INDEX($D:$D,MATCH(W229,$A:$A,0)),""))),LEFT(IFERROR(INDEX($D:$D,MATCH(W229,$A:$A,0)),""),FIND(",",IFERROR(INDEX($D:$D,MATCH(W229,$A:$A,0)),""))-1),IFERROR(INDEX($D:$D,MATCH(W229,$A:$A,0)),"")))))</f>
        <v/>
      </c>
      <c r="Y229" s="34" t="str">
        <f aca="false">IF(X229="","",IF(IFERROR(INDEX($D:$D,MATCH(X229,$A:$A,0)),"")="","",TRIM(IF(ISNUMBER(FIND(",",IFERROR(INDEX($D:$D,MATCH(X229,$A:$A,0)),""))),LEFT(IFERROR(INDEX($D:$D,MATCH(X229,$A:$A,0)),""),FIND(",",IFERROR(INDEX($D:$D,MATCH(X229,$A:$A,0)),""))-1),IFERROR(INDEX($D:$D,MATCH(X229,$A:$A,0)),"")))))</f>
        <v/>
      </c>
      <c r="Z229" s="34" t="str">
        <f aca="false">IF(AND(A229&lt;&gt;"",L229="Retire"),COUNTIF($L$5:L229,"Retire"),"")</f>
        <v/>
      </c>
      <c r="AA229" s="34" t="str">
        <f aca="false">IF(AND(A229&lt;&gt;"",L229="Build"),COUNTIF($L$5:L229,"Build"),"")</f>
        <v/>
      </c>
      <c r="AB229" s="34" t="str">
        <f aca="false">IF(AND(A229&lt;&gt;"",OR(M229="4+",AND(ISNUMBER(M229),M229&gt;=2))),SUMPRODUCT(($A$5:A229&lt;&gt;"")*(($M$5:M229="4+")+(ISNUMBER($M$5:M229)*($M$5:M229&gt;=2)))),"")</f>
        <v/>
      </c>
      <c r="AC229" s="34" t="str">
        <f aca="false">IF(AND(A229&lt;&gt;"",OR(L229="",L229="Undecided",K229="")),SUMPRODUCT(($A$5:A229&lt;&gt;"")*(($L$5:L229="")+($L$5:L229="Undecided")+($K$5:K229=""))&gt;0*1),"")</f>
        <v/>
      </c>
    </row>
    <row r="230" customFormat="false" ht="15" hidden="false" customHeight="false" outlineLevel="0" collapsed="false">
      <c r="A230" s="29"/>
      <c r="B230" s="30"/>
      <c r="C230" s="30"/>
      <c r="D230" s="30"/>
      <c r="E230" s="30"/>
      <c r="F230" s="30"/>
      <c r="G230" s="30"/>
      <c r="H230" s="30"/>
      <c r="I230" s="30"/>
      <c r="J230" s="30"/>
      <c r="K230" s="30"/>
      <c r="L230" s="30"/>
      <c r="M230" s="20" t="str">
        <f aca="false">IF(A230="","",IF(V230="",0,IF(W230="",1,IF(X230="",2,IF(Y230="",3,"4+")))))</f>
        <v/>
      </c>
      <c r="N230" s="20" t="str">
        <f aca="false">IF(A230="","",A230&amp;IF(V230="",""," &lt;- "&amp;V230&amp;IF(W230="",""," &lt;- "&amp;W230&amp;IF(X230="",""," &lt;- "&amp;X230&amp;IF(Y230="",""," &lt;- "&amp;Y230))))&amp;IF(ISNUMBER(FIND(",",D230))," (+ other parents)",""))</f>
        <v/>
      </c>
      <c r="O230" s="20" t="str">
        <f aca="false">IF(A230="","",COUNTIF(Fields!$D:$D,A230))</f>
        <v/>
      </c>
      <c r="P230" s="20" t="str">
        <f aca="false">IF(A230="","",SUMIF(Fields!$D:$D,A230,Fields!$O:$O))</f>
        <v/>
      </c>
      <c r="Q230" s="30"/>
      <c r="R230" s="30"/>
      <c r="S230" s="30"/>
      <c r="T230" s="30"/>
      <c r="U230" s="30"/>
      <c r="V230" s="34" t="str">
        <f aca="false">IF(A230="","",IF(IFERROR(INDEX($D:$D,MATCH(A230,$A:$A,0)),"")="","",TRIM(IF(ISNUMBER(FIND(",",IFERROR(INDEX($D:$D,MATCH(A230,$A:$A,0)),""))),LEFT(IFERROR(INDEX($D:$D,MATCH(A230,$A:$A,0)),""),FIND(",",IFERROR(INDEX($D:$D,MATCH(A230,$A:$A,0)),""))-1),IFERROR(INDEX($D:$D,MATCH(A230,$A:$A,0)),"")))))</f>
        <v/>
      </c>
      <c r="W230" s="34" t="str">
        <f aca="false">IF(V230="","",IF(IFERROR(INDEX($D:$D,MATCH(V230,$A:$A,0)),"")="","",TRIM(IF(ISNUMBER(FIND(",",IFERROR(INDEX($D:$D,MATCH(V230,$A:$A,0)),""))),LEFT(IFERROR(INDEX($D:$D,MATCH(V230,$A:$A,0)),""),FIND(",",IFERROR(INDEX($D:$D,MATCH(V230,$A:$A,0)),""))-1),IFERROR(INDEX($D:$D,MATCH(V230,$A:$A,0)),"")))))</f>
        <v/>
      </c>
      <c r="X230" s="34" t="str">
        <f aca="false">IF(W230="","",IF(IFERROR(INDEX($D:$D,MATCH(W230,$A:$A,0)),"")="","",TRIM(IF(ISNUMBER(FIND(",",IFERROR(INDEX($D:$D,MATCH(W230,$A:$A,0)),""))),LEFT(IFERROR(INDEX($D:$D,MATCH(W230,$A:$A,0)),""),FIND(",",IFERROR(INDEX($D:$D,MATCH(W230,$A:$A,0)),""))-1),IFERROR(INDEX($D:$D,MATCH(W230,$A:$A,0)),"")))))</f>
        <v/>
      </c>
      <c r="Y230" s="34" t="str">
        <f aca="false">IF(X230="","",IF(IFERROR(INDEX($D:$D,MATCH(X230,$A:$A,0)),"")="","",TRIM(IF(ISNUMBER(FIND(",",IFERROR(INDEX($D:$D,MATCH(X230,$A:$A,0)),""))),LEFT(IFERROR(INDEX($D:$D,MATCH(X230,$A:$A,0)),""),FIND(",",IFERROR(INDEX($D:$D,MATCH(X230,$A:$A,0)),""))-1),IFERROR(INDEX($D:$D,MATCH(X230,$A:$A,0)),"")))))</f>
        <v/>
      </c>
      <c r="Z230" s="34" t="str">
        <f aca="false">IF(AND(A230&lt;&gt;"",L230="Retire"),COUNTIF($L$5:L230,"Retire"),"")</f>
        <v/>
      </c>
      <c r="AA230" s="34" t="str">
        <f aca="false">IF(AND(A230&lt;&gt;"",L230="Build"),COUNTIF($L$5:L230,"Build"),"")</f>
        <v/>
      </c>
      <c r="AB230" s="34" t="str">
        <f aca="false">IF(AND(A230&lt;&gt;"",OR(M230="4+",AND(ISNUMBER(M230),M230&gt;=2))),SUMPRODUCT(($A$5:A230&lt;&gt;"")*(($M$5:M230="4+")+(ISNUMBER($M$5:M230)*($M$5:M230&gt;=2)))),"")</f>
        <v/>
      </c>
      <c r="AC230" s="34" t="str">
        <f aca="false">IF(AND(A230&lt;&gt;"",OR(L230="",L230="Undecided",K230="")),SUMPRODUCT(($A$5:A230&lt;&gt;"")*(($L$5:L230="")+($L$5:L230="Undecided")+($K$5:K230=""))&gt;0*1),"")</f>
        <v/>
      </c>
    </row>
    <row r="231" customFormat="false" ht="15" hidden="false" customHeight="false" outlineLevel="0" collapsed="false">
      <c r="A231" s="29"/>
      <c r="B231" s="30"/>
      <c r="C231" s="30"/>
      <c r="D231" s="30"/>
      <c r="E231" s="30"/>
      <c r="F231" s="30"/>
      <c r="G231" s="30"/>
      <c r="H231" s="30"/>
      <c r="I231" s="30"/>
      <c r="J231" s="30"/>
      <c r="K231" s="30"/>
      <c r="L231" s="30"/>
      <c r="M231" s="20" t="str">
        <f aca="false">IF(A231="","",IF(V231="",0,IF(W231="",1,IF(X231="",2,IF(Y231="",3,"4+")))))</f>
        <v/>
      </c>
      <c r="N231" s="20" t="str">
        <f aca="false">IF(A231="","",A231&amp;IF(V231="",""," &lt;- "&amp;V231&amp;IF(W231="",""," &lt;- "&amp;W231&amp;IF(X231="",""," &lt;- "&amp;X231&amp;IF(Y231="",""," &lt;- "&amp;Y231))))&amp;IF(ISNUMBER(FIND(",",D231))," (+ other parents)",""))</f>
        <v/>
      </c>
      <c r="O231" s="20" t="str">
        <f aca="false">IF(A231="","",COUNTIF(Fields!$D:$D,A231))</f>
        <v/>
      </c>
      <c r="P231" s="20" t="str">
        <f aca="false">IF(A231="","",SUMIF(Fields!$D:$D,A231,Fields!$O:$O))</f>
        <v/>
      </c>
      <c r="Q231" s="30"/>
      <c r="R231" s="30"/>
      <c r="S231" s="30"/>
      <c r="T231" s="30"/>
      <c r="U231" s="30"/>
      <c r="V231" s="34" t="str">
        <f aca="false">IF(A231="","",IF(IFERROR(INDEX($D:$D,MATCH(A231,$A:$A,0)),"")="","",TRIM(IF(ISNUMBER(FIND(",",IFERROR(INDEX($D:$D,MATCH(A231,$A:$A,0)),""))),LEFT(IFERROR(INDEX($D:$D,MATCH(A231,$A:$A,0)),""),FIND(",",IFERROR(INDEX($D:$D,MATCH(A231,$A:$A,0)),""))-1),IFERROR(INDEX($D:$D,MATCH(A231,$A:$A,0)),"")))))</f>
        <v/>
      </c>
      <c r="W231" s="34" t="str">
        <f aca="false">IF(V231="","",IF(IFERROR(INDEX($D:$D,MATCH(V231,$A:$A,0)),"")="","",TRIM(IF(ISNUMBER(FIND(",",IFERROR(INDEX($D:$D,MATCH(V231,$A:$A,0)),""))),LEFT(IFERROR(INDEX($D:$D,MATCH(V231,$A:$A,0)),""),FIND(",",IFERROR(INDEX($D:$D,MATCH(V231,$A:$A,0)),""))-1),IFERROR(INDEX($D:$D,MATCH(V231,$A:$A,0)),"")))))</f>
        <v/>
      </c>
      <c r="X231" s="34" t="str">
        <f aca="false">IF(W231="","",IF(IFERROR(INDEX($D:$D,MATCH(W231,$A:$A,0)),"")="","",TRIM(IF(ISNUMBER(FIND(",",IFERROR(INDEX($D:$D,MATCH(W231,$A:$A,0)),""))),LEFT(IFERROR(INDEX($D:$D,MATCH(W231,$A:$A,0)),""),FIND(",",IFERROR(INDEX($D:$D,MATCH(W231,$A:$A,0)),""))-1),IFERROR(INDEX($D:$D,MATCH(W231,$A:$A,0)),"")))))</f>
        <v/>
      </c>
      <c r="Y231" s="34" t="str">
        <f aca="false">IF(X231="","",IF(IFERROR(INDEX($D:$D,MATCH(X231,$A:$A,0)),"")="","",TRIM(IF(ISNUMBER(FIND(",",IFERROR(INDEX($D:$D,MATCH(X231,$A:$A,0)),""))),LEFT(IFERROR(INDEX($D:$D,MATCH(X231,$A:$A,0)),""),FIND(",",IFERROR(INDEX($D:$D,MATCH(X231,$A:$A,0)),""))-1),IFERROR(INDEX($D:$D,MATCH(X231,$A:$A,0)),"")))))</f>
        <v/>
      </c>
      <c r="Z231" s="34" t="str">
        <f aca="false">IF(AND(A231&lt;&gt;"",L231="Retire"),COUNTIF($L$5:L231,"Retire"),"")</f>
        <v/>
      </c>
      <c r="AA231" s="34" t="str">
        <f aca="false">IF(AND(A231&lt;&gt;"",L231="Build"),COUNTIF($L$5:L231,"Build"),"")</f>
        <v/>
      </c>
      <c r="AB231" s="34" t="str">
        <f aca="false">IF(AND(A231&lt;&gt;"",OR(M231="4+",AND(ISNUMBER(M231),M231&gt;=2))),SUMPRODUCT(($A$5:A231&lt;&gt;"")*(($M$5:M231="4+")+(ISNUMBER($M$5:M231)*($M$5:M231&gt;=2)))),"")</f>
        <v/>
      </c>
      <c r="AC231" s="34" t="str">
        <f aca="false">IF(AND(A231&lt;&gt;"",OR(L231="",L231="Undecided",K231="")),SUMPRODUCT(($A$5:A231&lt;&gt;"")*(($L$5:L231="")+($L$5:L231="Undecided")+($K$5:K231=""))&gt;0*1),"")</f>
        <v/>
      </c>
    </row>
    <row r="232" customFormat="false" ht="15" hidden="false" customHeight="false" outlineLevel="0" collapsed="false">
      <c r="A232" s="29"/>
      <c r="B232" s="30"/>
      <c r="C232" s="30"/>
      <c r="D232" s="30"/>
      <c r="E232" s="30"/>
      <c r="F232" s="30"/>
      <c r="G232" s="30"/>
      <c r="H232" s="30"/>
      <c r="I232" s="30"/>
      <c r="J232" s="30"/>
      <c r="K232" s="30"/>
      <c r="L232" s="30"/>
      <c r="M232" s="20" t="str">
        <f aca="false">IF(A232="","",IF(V232="",0,IF(W232="",1,IF(X232="",2,IF(Y232="",3,"4+")))))</f>
        <v/>
      </c>
      <c r="N232" s="20" t="str">
        <f aca="false">IF(A232="","",A232&amp;IF(V232="",""," &lt;- "&amp;V232&amp;IF(W232="",""," &lt;- "&amp;W232&amp;IF(X232="",""," &lt;- "&amp;X232&amp;IF(Y232="",""," &lt;- "&amp;Y232))))&amp;IF(ISNUMBER(FIND(",",D232))," (+ other parents)",""))</f>
        <v/>
      </c>
      <c r="O232" s="20" t="str">
        <f aca="false">IF(A232="","",COUNTIF(Fields!$D:$D,A232))</f>
        <v/>
      </c>
      <c r="P232" s="20" t="str">
        <f aca="false">IF(A232="","",SUMIF(Fields!$D:$D,A232,Fields!$O:$O))</f>
        <v/>
      </c>
      <c r="Q232" s="30"/>
      <c r="R232" s="30"/>
      <c r="S232" s="30"/>
      <c r="T232" s="30"/>
      <c r="U232" s="30"/>
      <c r="V232" s="34" t="str">
        <f aca="false">IF(A232="","",IF(IFERROR(INDEX($D:$D,MATCH(A232,$A:$A,0)),"")="","",TRIM(IF(ISNUMBER(FIND(",",IFERROR(INDEX($D:$D,MATCH(A232,$A:$A,0)),""))),LEFT(IFERROR(INDEX($D:$D,MATCH(A232,$A:$A,0)),""),FIND(",",IFERROR(INDEX($D:$D,MATCH(A232,$A:$A,0)),""))-1),IFERROR(INDEX($D:$D,MATCH(A232,$A:$A,0)),"")))))</f>
        <v/>
      </c>
      <c r="W232" s="34" t="str">
        <f aca="false">IF(V232="","",IF(IFERROR(INDEX($D:$D,MATCH(V232,$A:$A,0)),"")="","",TRIM(IF(ISNUMBER(FIND(",",IFERROR(INDEX($D:$D,MATCH(V232,$A:$A,0)),""))),LEFT(IFERROR(INDEX($D:$D,MATCH(V232,$A:$A,0)),""),FIND(",",IFERROR(INDEX($D:$D,MATCH(V232,$A:$A,0)),""))-1),IFERROR(INDEX($D:$D,MATCH(V232,$A:$A,0)),"")))))</f>
        <v/>
      </c>
      <c r="X232" s="34" t="str">
        <f aca="false">IF(W232="","",IF(IFERROR(INDEX($D:$D,MATCH(W232,$A:$A,0)),"")="","",TRIM(IF(ISNUMBER(FIND(",",IFERROR(INDEX($D:$D,MATCH(W232,$A:$A,0)),""))),LEFT(IFERROR(INDEX($D:$D,MATCH(W232,$A:$A,0)),""),FIND(",",IFERROR(INDEX($D:$D,MATCH(W232,$A:$A,0)),""))-1),IFERROR(INDEX($D:$D,MATCH(W232,$A:$A,0)),"")))))</f>
        <v/>
      </c>
      <c r="Y232" s="34" t="str">
        <f aca="false">IF(X232="","",IF(IFERROR(INDEX($D:$D,MATCH(X232,$A:$A,0)),"")="","",TRIM(IF(ISNUMBER(FIND(",",IFERROR(INDEX($D:$D,MATCH(X232,$A:$A,0)),""))),LEFT(IFERROR(INDEX($D:$D,MATCH(X232,$A:$A,0)),""),FIND(",",IFERROR(INDEX($D:$D,MATCH(X232,$A:$A,0)),""))-1),IFERROR(INDEX($D:$D,MATCH(X232,$A:$A,0)),"")))))</f>
        <v/>
      </c>
      <c r="Z232" s="34" t="str">
        <f aca="false">IF(AND(A232&lt;&gt;"",L232="Retire"),COUNTIF($L$5:L232,"Retire"),"")</f>
        <v/>
      </c>
      <c r="AA232" s="34" t="str">
        <f aca="false">IF(AND(A232&lt;&gt;"",L232="Build"),COUNTIF($L$5:L232,"Build"),"")</f>
        <v/>
      </c>
      <c r="AB232" s="34" t="str">
        <f aca="false">IF(AND(A232&lt;&gt;"",OR(M232="4+",AND(ISNUMBER(M232),M232&gt;=2))),SUMPRODUCT(($A$5:A232&lt;&gt;"")*(($M$5:M232="4+")+(ISNUMBER($M$5:M232)*($M$5:M232&gt;=2)))),"")</f>
        <v/>
      </c>
      <c r="AC232" s="34" t="str">
        <f aca="false">IF(AND(A232&lt;&gt;"",OR(L232="",L232="Undecided",K232="")),SUMPRODUCT(($A$5:A232&lt;&gt;"")*(($L$5:L232="")+($L$5:L232="Undecided")+($K$5:K232=""))&gt;0*1),"")</f>
        <v/>
      </c>
    </row>
    <row r="233" customFormat="false" ht="15" hidden="false" customHeight="false" outlineLevel="0" collapsed="false">
      <c r="A233" s="29"/>
      <c r="B233" s="30"/>
      <c r="C233" s="30"/>
      <c r="D233" s="30"/>
      <c r="E233" s="30"/>
      <c r="F233" s="30"/>
      <c r="G233" s="30"/>
      <c r="H233" s="30"/>
      <c r="I233" s="30"/>
      <c r="J233" s="30"/>
      <c r="K233" s="30"/>
      <c r="L233" s="30"/>
      <c r="M233" s="20" t="str">
        <f aca="false">IF(A233="","",IF(V233="",0,IF(W233="",1,IF(X233="",2,IF(Y233="",3,"4+")))))</f>
        <v/>
      </c>
      <c r="N233" s="20" t="str">
        <f aca="false">IF(A233="","",A233&amp;IF(V233="",""," &lt;- "&amp;V233&amp;IF(W233="",""," &lt;- "&amp;W233&amp;IF(X233="",""," &lt;- "&amp;X233&amp;IF(Y233="",""," &lt;- "&amp;Y233))))&amp;IF(ISNUMBER(FIND(",",D233))," (+ other parents)",""))</f>
        <v/>
      </c>
      <c r="O233" s="20" t="str">
        <f aca="false">IF(A233="","",COUNTIF(Fields!$D:$D,A233))</f>
        <v/>
      </c>
      <c r="P233" s="20" t="str">
        <f aca="false">IF(A233="","",SUMIF(Fields!$D:$D,A233,Fields!$O:$O))</f>
        <v/>
      </c>
      <c r="Q233" s="30"/>
      <c r="R233" s="30"/>
      <c r="S233" s="30"/>
      <c r="T233" s="30"/>
      <c r="U233" s="30"/>
      <c r="V233" s="34" t="str">
        <f aca="false">IF(A233="","",IF(IFERROR(INDEX($D:$D,MATCH(A233,$A:$A,0)),"")="","",TRIM(IF(ISNUMBER(FIND(",",IFERROR(INDEX($D:$D,MATCH(A233,$A:$A,0)),""))),LEFT(IFERROR(INDEX($D:$D,MATCH(A233,$A:$A,0)),""),FIND(",",IFERROR(INDEX($D:$D,MATCH(A233,$A:$A,0)),""))-1),IFERROR(INDEX($D:$D,MATCH(A233,$A:$A,0)),"")))))</f>
        <v/>
      </c>
      <c r="W233" s="34" t="str">
        <f aca="false">IF(V233="","",IF(IFERROR(INDEX($D:$D,MATCH(V233,$A:$A,0)),"")="","",TRIM(IF(ISNUMBER(FIND(",",IFERROR(INDEX($D:$D,MATCH(V233,$A:$A,0)),""))),LEFT(IFERROR(INDEX($D:$D,MATCH(V233,$A:$A,0)),""),FIND(",",IFERROR(INDEX($D:$D,MATCH(V233,$A:$A,0)),""))-1),IFERROR(INDEX($D:$D,MATCH(V233,$A:$A,0)),"")))))</f>
        <v/>
      </c>
      <c r="X233" s="34" t="str">
        <f aca="false">IF(W233="","",IF(IFERROR(INDEX($D:$D,MATCH(W233,$A:$A,0)),"")="","",TRIM(IF(ISNUMBER(FIND(",",IFERROR(INDEX($D:$D,MATCH(W233,$A:$A,0)),""))),LEFT(IFERROR(INDEX($D:$D,MATCH(W233,$A:$A,0)),""),FIND(",",IFERROR(INDEX($D:$D,MATCH(W233,$A:$A,0)),""))-1),IFERROR(INDEX($D:$D,MATCH(W233,$A:$A,0)),"")))))</f>
        <v/>
      </c>
      <c r="Y233" s="34" t="str">
        <f aca="false">IF(X233="","",IF(IFERROR(INDEX($D:$D,MATCH(X233,$A:$A,0)),"")="","",TRIM(IF(ISNUMBER(FIND(",",IFERROR(INDEX($D:$D,MATCH(X233,$A:$A,0)),""))),LEFT(IFERROR(INDEX($D:$D,MATCH(X233,$A:$A,0)),""),FIND(",",IFERROR(INDEX($D:$D,MATCH(X233,$A:$A,0)),""))-1),IFERROR(INDEX($D:$D,MATCH(X233,$A:$A,0)),"")))))</f>
        <v/>
      </c>
      <c r="Z233" s="34" t="str">
        <f aca="false">IF(AND(A233&lt;&gt;"",L233="Retire"),COUNTIF($L$5:L233,"Retire"),"")</f>
        <v/>
      </c>
      <c r="AA233" s="34" t="str">
        <f aca="false">IF(AND(A233&lt;&gt;"",L233="Build"),COUNTIF($L$5:L233,"Build"),"")</f>
        <v/>
      </c>
      <c r="AB233" s="34" t="str">
        <f aca="false">IF(AND(A233&lt;&gt;"",OR(M233="4+",AND(ISNUMBER(M233),M233&gt;=2))),SUMPRODUCT(($A$5:A233&lt;&gt;"")*(($M$5:M233="4+")+(ISNUMBER($M$5:M233)*($M$5:M233&gt;=2)))),"")</f>
        <v/>
      </c>
      <c r="AC233" s="34" t="str">
        <f aca="false">IF(AND(A233&lt;&gt;"",OR(L233="",L233="Undecided",K233="")),SUMPRODUCT(($A$5:A233&lt;&gt;"")*(($L$5:L233="")+($L$5:L233="Undecided")+($K$5:K233=""))&gt;0*1),"")</f>
        <v/>
      </c>
    </row>
    <row r="234" customFormat="false" ht="15" hidden="false" customHeight="false" outlineLevel="0" collapsed="false">
      <c r="A234" s="29"/>
      <c r="B234" s="30"/>
      <c r="C234" s="30"/>
      <c r="D234" s="30"/>
      <c r="E234" s="30"/>
      <c r="F234" s="30"/>
      <c r="G234" s="30"/>
      <c r="H234" s="30"/>
      <c r="I234" s="30"/>
      <c r="J234" s="30"/>
      <c r="K234" s="30"/>
      <c r="L234" s="30"/>
      <c r="M234" s="20" t="str">
        <f aca="false">IF(A234="","",IF(V234="",0,IF(W234="",1,IF(X234="",2,IF(Y234="",3,"4+")))))</f>
        <v/>
      </c>
      <c r="N234" s="20" t="str">
        <f aca="false">IF(A234="","",A234&amp;IF(V234="",""," &lt;- "&amp;V234&amp;IF(W234="",""," &lt;- "&amp;W234&amp;IF(X234="",""," &lt;- "&amp;X234&amp;IF(Y234="",""," &lt;- "&amp;Y234))))&amp;IF(ISNUMBER(FIND(",",D234))," (+ other parents)",""))</f>
        <v/>
      </c>
      <c r="O234" s="20" t="str">
        <f aca="false">IF(A234="","",COUNTIF(Fields!$D:$D,A234))</f>
        <v/>
      </c>
      <c r="P234" s="20" t="str">
        <f aca="false">IF(A234="","",SUMIF(Fields!$D:$D,A234,Fields!$O:$O))</f>
        <v/>
      </c>
      <c r="Q234" s="30"/>
      <c r="R234" s="30"/>
      <c r="S234" s="30"/>
      <c r="T234" s="30"/>
      <c r="U234" s="30"/>
      <c r="V234" s="34" t="str">
        <f aca="false">IF(A234="","",IF(IFERROR(INDEX($D:$D,MATCH(A234,$A:$A,0)),"")="","",TRIM(IF(ISNUMBER(FIND(",",IFERROR(INDEX($D:$D,MATCH(A234,$A:$A,0)),""))),LEFT(IFERROR(INDEX($D:$D,MATCH(A234,$A:$A,0)),""),FIND(",",IFERROR(INDEX($D:$D,MATCH(A234,$A:$A,0)),""))-1),IFERROR(INDEX($D:$D,MATCH(A234,$A:$A,0)),"")))))</f>
        <v/>
      </c>
      <c r="W234" s="34" t="str">
        <f aca="false">IF(V234="","",IF(IFERROR(INDEX($D:$D,MATCH(V234,$A:$A,0)),"")="","",TRIM(IF(ISNUMBER(FIND(",",IFERROR(INDEX($D:$D,MATCH(V234,$A:$A,0)),""))),LEFT(IFERROR(INDEX($D:$D,MATCH(V234,$A:$A,0)),""),FIND(",",IFERROR(INDEX($D:$D,MATCH(V234,$A:$A,0)),""))-1),IFERROR(INDEX($D:$D,MATCH(V234,$A:$A,0)),"")))))</f>
        <v/>
      </c>
      <c r="X234" s="34" t="str">
        <f aca="false">IF(W234="","",IF(IFERROR(INDEX($D:$D,MATCH(W234,$A:$A,0)),"")="","",TRIM(IF(ISNUMBER(FIND(",",IFERROR(INDEX($D:$D,MATCH(W234,$A:$A,0)),""))),LEFT(IFERROR(INDEX($D:$D,MATCH(W234,$A:$A,0)),""),FIND(",",IFERROR(INDEX($D:$D,MATCH(W234,$A:$A,0)),""))-1),IFERROR(INDEX($D:$D,MATCH(W234,$A:$A,0)),"")))))</f>
        <v/>
      </c>
      <c r="Y234" s="34" t="str">
        <f aca="false">IF(X234="","",IF(IFERROR(INDEX($D:$D,MATCH(X234,$A:$A,0)),"")="","",TRIM(IF(ISNUMBER(FIND(",",IFERROR(INDEX($D:$D,MATCH(X234,$A:$A,0)),""))),LEFT(IFERROR(INDEX($D:$D,MATCH(X234,$A:$A,0)),""),FIND(",",IFERROR(INDEX($D:$D,MATCH(X234,$A:$A,0)),""))-1),IFERROR(INDEX($D:$D,MATCH(X234,$A:$A,0)),"")))))</f>
        <v/>
      </c>
      <c r="Z234" s="34" t="str">
        <f aca="false">IF(AND(A234&lt;&gt;"",L234="Retire"),COUNTIF($L$5:L234,"Retire"),"")</f>
        <v/>
      </c>
      <c r="AA234" s="34" t="str">
        <f aca="false">IF(AND(A234&lt;&gt;"",L234="Build"),COUNTIF($L$5:L234,"Build"),"")</f>
        <v/>
      </c>
      <c r="AB234" s="34" t="str">
        <f aca="false">IF(AND(A234&lt;&gt;"",OR(M234="4+",AND(ISNUMBER(M234),M234&gt;=2))),SUMPRODUCT(($A$5:A234&lt;&gt;"")*(($M$5:M234="4+")+(ISNUMBER($M$5:M234)*($M$5:M234&gt;=2)))),"")</f>
        <v/>
      </c>
      <c r="AC234" s="34" t="str">
        <f aca="false">IF(AND(A234&lt;&gt;"",OR(L234="",L234="Undecided",K234="")),SUMPRODUCT(($A$5:A234&lt;&gt;"")*(($L$5:L234="")+($L$5:L234="Undecided")+($K$5:K234=""))&gt;0*1),"")</f>
        <v/>
      </c>
    </row>
    <row r="235" customFormat="false" ht="15" hidden="false" customHeight="false" outlineLevel="0" collapsed="false">
      <c r="A235" s="29"/>
      <c r="B235" s="30"/>
      <c r="C235" s="30"/>
      <c r="D235" s="30"/>
      <c r="E235" s="30"/>
      <c r="F235" s="30"/>
      <c r="G235" s="30"/>
      <c r="H235" s="30"/>
      <c r="I235" s="30"/>
      <c r="J235" s="30"/>
      <c r="K235" s="30"/>
      <c r="L235" s="30"/>
      <c r="M235" s="20" t="str">
        <f aca="false">IF(A235="","",IF(V235="",0,IF(W235="",1,IF(X235="",2,IF(Y235="",3,"4+")))))</f>
        <v/>
      </c>
      <c r="N235" s="20" t="str">
        <f aca="false">IF(A235="","",A235&amp;IF(V235="",""," &lt;- "&amp;V235&amp;IF(W235="",""," &lt;- "&amp;W235&amp;IF(X235="",""," &lt;- "&amp;X235&amp;IF(Y235="",""," &lt;- "&amp;Y235))))&amp;IF(ISNUMBER(FIND(",",D235))," (+ other parents)",""))</f>
        <v/>
      </c>
      <c r="O235" s="20" t="str">
        <f aca="false">IF(A235="","",COUNTIF(Fields!$D:$D,A235))</f>
        <v/>
      </c>
      <c r="P235" s="20" t="str">
        <f aca="false">IF(A235="","",SUMIF(Fields!$D:$D,A235,Fields!$O:$O))</f>
        <v/>
      </c>
      <c r="Q235" s="30"/>
      <c r="R235" s="30"/>
      <c r="S235" s="30"/>
      <c r="T235" s="30"/>
      <c r="U235" s="30"/>
      <c r="V235" s="34" t="str">
        <f aca="false">IF(A235="","",IF(IFERROR(INDEX($D:$D,MATCH(A235,$A:$A,0)),"")="","",TRIM(IF(ISNUMBER(FIND(",",IFERROR(INDEX($D:$D,MATCH(A235,$A:$A,0)),""))),LEFT(IFERROR(INDEX($D:$D,MATCH(A235,$A:$A,0)),""),FIND(",",IFERROR(INDEX($D:$D,MATCH(A235,$A:$A,0)),""))-1),IFERROR(INDEX($D:$D,MATCH(A235,$A:$A,0)),"")))))</f>
        <v/>
      </c>
      <c r="W235" s="34" t="str">
        <f aca="false">IF(V235="","",IF(IFERROR(INDEX($D:$D,MATCH(V235,$A:$A,0)),"")="","",TRIM(IF(ISNUMBER(FIND(",",IFERROR(INDEX($D:$D,MATCH(V235,$A:$A,0)),""))),LEFT(IFERROR(INDEX($D:$D,MATCH(V235,$A:$A,0)),""),FIND(",",IFERROR(INDEX($D:$D,MATCH(V235,$A:$A,0)),""))-1),IFERROR(INDEX($D:$D,MATCH(V235,$A:$A,0)),"")))))</f>
        <v/>
      </c>
      <c r="X235" s="34" t="str">
        <f aca="false">IF(W235="","",IF(IFERROR(INDEX($D:$D,MATCH(W235,$A:$A,0)),"")="","",TRIM(IF(ISNUMBER(FIND(",",IFERROR(INDEX($D:$D,MATCH(W235,$A:$A,0)),""))),LEFT(IFERROR(INDEX($D:$D,MATCH(W235,$A:$A,0)),""),FIND(",",IFERROR(INDEX($D:$D,MATCH(W235,$A:$A,0)),""))-1),IFERROR(INDEX($D:$D,MATCH(W235,$A:$A,0)),"")))))</f>
        <v/>
      </c>
      <c r="Y235" s="34" t="str">
        <f aca="false">IF(X235="","",IF(IFERROR(INDEX($D:$D,MATCH(X235,$A:$A,0)),"")="","",TRIM(IF(ISNUMBER(FIND(",",IFERROR(INDEX($D:$D,MATCH(X235,$A:$A,0)),""))),LEFT(IFERROR(INDEX($D:$D,MATCH(X235,$A:$A,0)),""),FIND(",",IFERROR(INDEX($D:$D,MATCH(X235,$A:$A,0)),""))-1),IFERROR(INDEX($D:$D,MATCH(X235,$A:$A,0)),"")))))</f>
        <v/>
      </c>
      <c r="Z235" s="34" t="str">
        <f aca="false">IF(AND(A235&lt;&gt;"",L235="Retire"),COUNTIF($L$5:L235,"Retire"),"")</f>
        <v/>
      </c>
      <c r="AA235" s="34" t="str">
        <f aca="false">IF(AND(A235&lt;&gt;"",L235="Build"),COUNTIF($L$5:L235,"Build"),"")</f>
        <v/>
      </c>
      <c r="AB235" s="34" t="str">
        <f aca="false">IF(AND(A235&lt;&gt;"",OR(M235="4+",AND(ISNUMBER(M235),M235&gt;=2))),SUMPRODUCT(($A$5:A235&lt;&gt;"")*(($M$5:M235="4+")+(ISNUMBER($M$5:M235)*($M$5:M235&gt;=2)))),"")</f>
        <v/>
      </c>
      <c r="AC235" s="34" t="str">
        <f aca="false">IF(AND(A235&lt;&gt;"",OR(L235="",L235="Undecided",K235="")),SUMPRODUCT(($A$5:A235&lt;&gt;"")*(($L$5:L235="")+($L$5:L235="Undecided")+($K$5:K235=""))&gt;0*1),"")</f>
        <v/>
      </c>
    </row>
    <row r="236" customFormat="false" ht="15" hidden="false" customHeight="false" outlineLevel="0" collapsed="false">
      <c r="A236" s="29"/>
      <c r="B236" s="30"/>
      <c r="C236" s="30"/>
      <c r="D236" s="30"/>
      <c r="E236" s="30"/>
      <c r="F236" s="30"/>
      <c r="G236" s="30"/>
      <c r="H236" s="30"/>
      <c r="I236" s="30"/>
      <c r="J236" s="30"/>
      <c r="K236" s="30"/>
      <c r="L236" s="30"/>
      <c r="M236" s="20" t="str">
        <f aca="false">IF(A236="","",IF(V236="",0,IF(W236="",1,IF(X236="",2,IF(Y236="",3,"4+")))))</f>
        <v/>
      </c>
      <c r="N236" s="20" t="str">
        <f aca="false">IF(A236="","",A236&amp;IF(V236="",""," &lt;- "&amp;V236&amp;IF(W236="",""," &lt;- "&amp;W236&amp;IF(X236="",""," &lt;- "&amp;X236&amp;IF(Y236="",""," &lt;- "&amp;Y236))))&amp;IF(ISNUMBER(FIND(",",D236))," (+ other parents)",""))</f>
        <v/>
      </c>
      <c r="O236" s="20" t="str">
        <f aca="false">IF(A236="","",COUNTIF(Fields!$D:$D,A236))</f>
        <v/>
      </c>
      <c r="P236" s="20" t="str">
        <f aca="false">IF(A236="","",SUMIF(Fields!$D:$D,A236,Fields!$O:$O))</f>
        <v/>
      </c>
      <c r="Q236" s="30"/>
      <c r="R236" s="30"/>
      <c r="S236" s="30"/>
      <c r="T236" s="30"/>
      <c r="U236" s="30"/>
      <c r="V236" s="34" t="str">
        <f aca="false">IF(A236="","",IF(IFERROR(INDEX($D:$D,MATCH(A236,$A:$A,0)),"")="","",TRIM(IF(ISNUMBER(FIND(",",IFERROR(INDEX($D:$D,MATCH(A236,$A:$A,0)),""))),LEFT(IFERROR(INDEX($D:$D,MATCH(A236,$A:$A,0)),""),FIND(",",IFERROR(INDEX($D:$D,MATCH(A236,$A:$A,0)),""))-1),IFERROR(INDEX($D:$D,MATCH(A236,$A:$A,0)),"")))))</f>
        <v/>
      </c>
      <c r="W236" s="34" t="str">
        <f aca="false">IF(V236="","",IF(IFERROR(INDEX($D:$D,MATCH(V236,$A:$A,0)),"")="","",TRIM(IF(ISNUMBER(FIND(",",IFERROR(INDEX($D:$D,MATCH(V236,$A:$A,0)),""))),LEFT(IFERROR(INDEX($D:$D,MATCH(V236,$A:$A,0)),""),FIND(",",IFERROR(INDEX($D:$D,MATCH(V236,$A:$A,0)),""))-1),IFERROR(INDEX($D:$D,MATCH(V236,$A:$A,0)),"")))))</f>
        <v/>
      </c>
      <c r="X236" s="34" t="str">
        <f aca="false">IF(W236="","",IF(IFERROR(INDEX($D:$D,MATCH(W236,$A:$A,0)),"")="","",TRIM(IF(ISNUMBER(FIND(",",IFERROR(INDEX($D:$D,MATCH(W236,$A:$A,0)),""))),LEFT(IFERROR(INDEX($D:$D,MATCH(W236,$A:$A,0)),""),FIND(",",IFERROR(INDEX($D:$D,MATCH(W236,$A:$A,0)),""))-1),IFERROR(INDEX($D:$D,MATCH(W236,$A:$A,0)),"")))))</f>
        <v/>
      </c>
      <c r="Y236" s="34" t="str">
        <f aca="false">IF(X236="","",IF(IFERROR(INDEX($D:$D,MATCH(X236,$A:$A,0)),"")="","",TRIM(IF(ISNUMBER(FIND(",",IFERROR(INDEX($D:$D,MATCH(X236,$A:$A,0)),""))),LEFT(IFERROR(INDEX($D:$D,MATCH(X236,$A:$A,0)),""),FIND(",",IFERROR(INDEX($D:$D,MATCH(X236,$A:$A,0)),""))-1),IFERROR(INDEX($D:$D,MATCH(X236,$A:$A,0)),"")))))</f>
        <v/>
      </c>
      <c r="Z236" s="34" t="str">
        <f aca="false">IF(AND(A236&lt;&gt;"",L236="Retire"),COUNTIF($L$5:L236,"Retire"),"")</f>
        <v/>
      </c>
      <c r="AA236" s="34" t="str">
        <f aca="false">IF(AND(A236&lt;&gt;"",L236="Build"),COUNTIF($L$5:L236,"Build"),"")</f>
        <v/>
      </c>
      <c r="AB236" s="34" t="str">
        <f aca="false">IF(AND(A236&lt;&gt;"",OR(M236="4+",AND(ISNUMBER(M236),M236&gt;=2))),SUMPRODUCT(($A$5:A236&lt;&gt;"")*(($M$5:M236="4+")+(ISNUMBER($M$5:M236)*($M$5:M236&gt;=2)))),"")</f>
        <v/>
      </c>
      <c r="AC236" s="34" t="str">
        <f aca="false">IF(AND(A236&lt;&gt;"",OR(L236="",L236="Undecided",K236="")),SUMPRODUCT(($A$5:A236&lt;&gt;"")*(($L$5:L236="")+($L$5:L236="Undecided")+($K$5:K236=""))&gt;0*1),"")</f>
        <v/>
      </c>
    </row>
    <row r="237" customFormat="false" ht="15" hidden="false" customHeight="false" outlineLevel="0" collapsed="false">
      <c r="A237" s="29"/>
      <c r="B237" s="30"/>
      <c r="C237" s="30"/>
      <c r="D237" s="30"/>
      <c r="E237" s="30"/>
      <c r="F237" s="30"/>
      <c r="G237" s="30"/>
      <c r="H237" s="30"/>
      <c r="I237" s="30"/>
      <c r="J237" s="30"/>
      <c r="K237" s="30"/>
      <c r="L237" s="30"/>
      <c r="M237" s="20" t="str">
        <f aca="false">IF(A237="","",IF(V237="",0,IF(W237="",1,IF(X237="",2,IF(Y237="",3,"4+")))))</f>
        <v/>
      </c>
      <c r="N237" s="20" t="str">
        <f aca="false">IF(A237="","",A237&amp;IF(V237="",""," &lt;- "&amp;V237&amp;IF(W237="",""," &lt;- "&amp;W237&amp;IF(X237="",""," &lt;- "&amp;X237&amp;IF(Y237="",""," &lt;- "&amp;Y237))))&amp;IF(ISNUMBER(FIND(",",D237))," (+ other parents)",""))</f>
        <v/>
      </c>
      <c r="O237" s="20" t="str">
        <f aca="false">IF(A237="","",COUNTIF(Fields!$D:$D,A237))</f>
        <v/>
      </c>
      <c r="P237" s="20" t="str">
        <f aca="false">IF(A237="","",SUMIF(Fields!$D:$D,A237,Fields!$O:$O))</f>
        <v/>
      </c>
      <c r="Q237" s="30"/>
      <c r="R237" s="30"/>
      <c r="S237" s="30"/>
      <c r="T237" s="30"/>
      <c r="U237" s="30"/>
      <c r="V237" s="34" t="str">
        <f aca="false">IF(A237="","",IF(IFERROR(INDEX($D:$D,MATCH(A237,$A:$A,0)),"")="","",TRIM(IF(ISNUMBER(FIND(",",IFERROR(INDEX($D:$D,MATCH(A237,$A:$A,0)),""))),LEFT(IFERROR(INDEX($D:$D,MATCH(A237,$A:$A,0)),""),FIND(",",IFERROR(INDEX($D:$D,MATCH(A237,$A:$A,0)),""))-1),IFERROR(INDEX($D:$D,MATCH(A237,$A:$A,0)),"")))))</f>
        <v/>
      </c>
      <c r="W237" s="34" t="str">
        <f aca="false">IF(V237="","",IF(IFERROR(INDEX($D:$D,MATCH(V237,$A:$A,0)),"")="","",TRIM(IF(ISNUMBER(FIND(",",IFERROR(INDEX($D:$D,MATCH(V237,$A:$A,0)),""))),LEFT(IFERROR(INDEX($D:$D,MATCH(V237,$A:$A,0)),""),FIND(",",IFERROR(INDEX($D:$D,MATCH(V237,$A:$A,0)),""))-1),IFERROR(INDEX($D:$D,MATCH(V237,$A:$A,0)),"")))))</f>
        <v/>
      </c>
      <c r="X237" s="34" t="str">
        <f aca="false">IF(W237="","",IF(IFERROR(INDEX($D:$D,MATCH(W237,$A:$A,0)),"")="","",TRIM(IF(ISNUMBER(FIND(",",IFERROR(INDEX($D:$D,MATCH(W237,$A:$A,0)),""))),LEFT(IFERROR(INDEX($D:$D,MATCH(W237,$A:$A,0)),""),FIND(",",IFERROR(INDEX($D:$D,MATCH(W237,$A:$A,0)),""))-1),IFERROR(INDEX($D:$D,MATCH(W237,$A:$A,0)),"")))))</f>
        <v/>
      </c>
      <c r="Y237" s="34" t="str">
        <f aca="false">IF(X237="","",IF(IFERROR(INDEX($D:$D,MATCH(X237,$A:$A,0)),"")="","",TRIM(IF(ISNUMBER(FIND(",",IFERROR(INDEX($D:$D,MATCH(X237,$A:$A,0)),""))),LEFT(IFERROR(INDEX($D:$D,MATCH(X237,$A:$A,0)),""),FIND(",",IFERROR(INDEX($D:$D,MATCH(X237,$A:$A,0)),""))-1),IFERROR(INDEX($D:$D,MATCH(X237,$A:$A,0)),"")))))</f>
        <v/>
      </c>
      <c r="Z237" s="34" t="str">
        <f aca="false">IF(AND(A237&lt;&gt;"",L237="Retire"),COUNTIF($L$5:L237,"Retire"),"")</f>
        <v/>
      </c>
      <c r="AA237" s="34" t="str">
        <f aca="false">IF(AND(A237&lt;&gt;"",L237="Build"),COUNTIF($L$5:L237,"Build"),"")</f>
        <v/>
      </c>
      <c r="AB237" s="34" t="str">
        <f aca="false">IF(AND(A237&lt;&gt;"",OR(M237="4+",AND(ISNUMBER(M237),M237&gt;=2))),SUMPRODUCT(($A$5:A237&lt;&gt;"")*(($M$5:M237="4+")+(ISNUMBER($M$5:M237)*($M$5:M237&gt;=2)))),"")</f>
        <v/>
      </c>
      <c r="AC237" s="34" t="str">
        <f aca="false">IF(AND(A237&lt;&gt;"",OR(L237="",L237="Undecided",K237="")),SUMPRODUCT(($A$5:A237&lt;&gt;"")*(($L$5:L237="")+($L$5:L237="Undecided")+($K$5:K237=""))&gt;0*1),"")</f>
        <v/>
      </c>
    </row>
    <row r="238" customFormat="false" ht="15" hidden="false" customHeight="false" outlineLevel="0" collapsed="false">
      <c r="A238" s="29"/>
      <c r="B238" s="30"/>
      <c r="C238" s="30"/>
      <c r="D238" s="30"/>
      <c r="E238" s="30"/>
      <c r="F238" s="30"/>
      <c r="G238" s="30"/>
      <c r="H238" s="30"/>
      <c r="I238" s="30"/>
      <c r="J238" s="30"/>
      <c r="K238" s="30"/>
      <c r="L238" s="30"/>
      <c r="M238" s="20" t="str">
        <f aca="false">IF(A238="","",IF(V238="",0,IF(W238="",1,IF(X238="",2,IF(Y238="",3,"4+")))))</f>
        <v/>
      </c>
      <c r="N238" s="20" t="str">
        <f aca="false">IF(A238="","",A238&amp;IF(V238="",""," &lt;- "&amp;V238&amp;IF(W238="",""," &lt;- "&amp;W238&amp;IF(X238="",""," &lt;- "&amp;X238&amp;IF(Y238="",""," &lt;- "&amp;Y238))))&amp;IF(ISNUMBER(FIND(",",D238))," (+ other parents)",""))</f>
        <v/>
      </c>
      <c r="O238" s="20" t="str">
        <f aca="false">IF(A238="","",COUNTIF(Fields!$D:$D,A238))</f>
        <v/>
      </c>
      <c r="P238" s="20" t="str">
        <f aca="false">IF(A238="","",SUMIF(Fields!$D:$D,A238,Fields!$O:$O))</f>
        <v/>
      </c>
      <c r="Q238" s="30"/>
      <c r="R238" s="30"/>
      <c r="S238" s="30"/>
      <c r="T238" s="30"/>
      <c r="U238" s="30"/>
      <c r="V238" s="34" t="str">
        <f aca="false">IF(A238="","",IF(IFERROR(INDEX($D:$D,MATCH(A238,$A:$A,0)),"")="","",TRIM(IF(ISNUMBER(FIND(",",IFERROR(INDEX($D:$D,MATCH(A238,$A:$A,0)),""))),LEFT(IFERROR(INDEX($D:$D,MATCH(A238,$A:$A,0)),""),FIND(",",IFERROR(INDEX($D:$D,MATCH(A238,$A:$A,0)),""))-1),IFERROR(INDEX($D:$D,MATCH(A238,$A:$A,0)),"")))))</f>
        <v/>
      </c>
      <c r="W238" s="34" t="str">
        <f aca="false">IF(V238="","",IF(IFERROR(INDEX($D:$D,MATCH(V238,$A:$A,0)),"")="","",TRIM(IF(ISNUMBER(FIND(",",IFERROR(INDEX($D:$D,MATCH(V238,$A:$A,0)),""))),LEFT(IFERROR(INDEX($D:$D,MATCH(V238,$A:$A,0)),""),FIND(",",IFERROR(INDEX($D:$D,MATCH(V238,$A:$A,0)),""))-1),IFERROR(INDEX($D:$D,MATCH(V238,$A:$A,0)),"")))))</f>
        <v/>
      </c>
      <c r="X238" s="34" t="str">
        <f aca="false">IF(W238="","",IF(IFERROR(INDEX($D:$D,MATCH(W238,$A:$A,0)),"")="","",TRIM(IF(ISNUMBER(FIND(",",IFERROR(INDEX($D:$D,MATCH(W238,$A:$A,0)),""))),LEFT(IFERROR(INDEX($D:$D,MATCH(W238,$A:$A,0)),""),FIND(",",IFERROR(INDEX($D:$D,MATCH(W238,$A:$A,0)),""))-1),IFERROR(INDEX($D:$D,MATCH(W238,$A:$A,0)),"")))))</f>
        <v/>
      </c>
      <c r="Y238" s="34" t="str">
        <f aca="false">IF(X238="","",IF(IFERROR(INDEX($D:$D,MATCH(X238,$A:$A,0)),"")="","",TRIM(IF(ISNUMBER(FIND(",",IFERROR(INDEX($D:$D,MATCH(X238,$A:$A,0)),""))),LEFT(IFERROR(INDEX($D:$D,MATCH(X238,$A:$A,0)),""),FIND(",",IFERROR(INDEX($D:$D,MATCH(X238,$A:$A,0)),""))-1),IFERROR(INDEX($D:$D,MATCH(X238,$A:$A,0)),"")))))</f>
        <v/>
      </c>
      <c r="Z238" s="34" t="str">
        <f aca="false">IF(AND(A238&lt;&gt;"",L238="Retire"),COUNTIF($L$5:L238,"Retire"),"")</f>
        <v/>
      </c>
      <c r="AA238" s="34" t="str">
        <f aca="false">IF(AND(A238&lt;&gt;"",L238="Build"),COUNTIF($L$5:L238,"Build"),"")</f>
        <v/>
      </c>
      <c r="AB238" s="34" t="str">
        <f aca="false">IF(AND(A238&lt;&gt;"",OR(M238="4+",AND(ISNUMBER(M238),M238&gt;=2))),SUMPRODUCT(($A$5:A238&lt;&gt;"")*(($M$5:M238="4+")+(ISNUMBER($M$5:M238)*($M$5:M238&gt;=2)))),"")</f>
        <v/>
      </c>
      <c r="AC238" s="34" t="str">
        <f aca="false">IF(AND(A238&lt;&gt;"",OR(L238="",L238="Undecided",K238="")),SUMPRODUCT(($A$5:A238&lt;&gt;"")*(($L$5:L238="")+($L$5:L238="Undecided")+($K$5:K238=""))&gt;0*1),"")</f>
        <v/>
      </c>
    </row>
    <row r="239" customFormat="false" ht="15" hidden="false" customHeight="false" outlineLevel="0" collapsed="false">
      <c r="A239" s="29"/>
      <c r="B239" s="30"/>
      <c r="C239" s="30"/>
      <c r="D239" s="30"/>
      <c r="E239" s="30"/>
      <c r="F239" s="30"/>
      <c r="G239" s="30"/>
      <c r="H239" s="30"/>
      <c r="I239" s="30"/>
      <c r="J239" s="30"/>
      <c r="K239" s="30"/>
      <c r="L239" s="30"/>
      <c r="M239" s="20" t="str">
        <f aca="false">IF(A239="","",IF(V239="",0,IF(W239="",1,IF(X239="",2,IF(Y239="",3,"4+")))))</f>
        <v/>
      </c>
      <c r="N239" s="20" t="str">
        <f aca="false">IF(A239="","",A239&amp;IF(V239="",""," &lt;- "&amp;V239&amp;IF(W239="",""," &lt;- "&amp;W239&amp;IF(X239="",""," &lt;- "&amp;X239&amp;IF(Y239="",""," &lt;- "&amp;Y239))))&amp;IF(ISNUMBER(FIND(",",D239))," (+ other parents)",""))</f>
        <v/>
      </c>
      <c r="O239" s="20" t="str">
        <f aca="false">IF(A239="","",COUNTIF(Fields!$D:$D,A239))</f>
        <v/>
      </c>
      <c r="P239" s="20" t="str">
        <f aca="false">IF(A239="","",SUMIF(Fields!$D:$D,A239,Fields!$O:$O))</f>
        <v/>
      </c>
      <c r="Q239" s="30"/>
      <c r="R239" s="30"/>
      <c r="S239" s="30"/>
      <c r="T239" s="30"/>
      <c r="U239" s="30"/>
      <c r="V239" s="34" t="str">
        <f aca="false">IF(A239="","",IF(IFERROR(INDEX($D:$D,MATCH(A239,$A:$A,0)),"")="","",TRIM(IF(ISNUMBER(FIND(",",IFERROR(INDEX($D:$D,MATCH(A239,$A:$A,0)),""))),LEFT(IFERROR(INDEX($D:$D,MATCH(A239,$A:$A,0)),""),FIND(",",IFERROR(INDEX($D:$D,MATCH(A239,$A:$A,0)),""))-1),IFERROR(INDEX($D:$D,MATCH(A239,$A:$A,0)),"")))))</f>
        <v/>
      </c>
      <c r="W239" s="34" t="str">
        <f aca="false">IF(V239="","",IF(IFERROR(INDEX($D:$D,MATCH(V239,$A:$A,0)),"")="","",TRIM(IF(ISNUMBER(FIND(",",IFERROR(INDEX($D:$D,MATCH(V239,$A:$A,0)),""))),LEFT(IFERROR(INDEX($D:$D,MATCH(V239,$A:$A,0)),""),FIND(",",IFERROR(INDEX($D:$D,MATCH(V239,$A:$A,0)),""))-1),IFERROR(INDEX($D:$D,MATCH(V239,$A:$A,0)),"")))))</f>
        <v/>
      </c>
      <c r="X239" s="34" t="str">
        <f aca="false">IF(W239="","",IF(IFERROR(INDEX($D:$D,MATCH(W239,$A:$A,0)),"")="","",TRIM(IF(ISNUMBER(FIND(",",IFERROR(INDEX($D:$D,MATCH(W239,$A:$A,0)),""))),LEFT(IFERROR(INDEX($D:$D,MATCH(W239,$A:$A,0)),""),FIND(",",IFERROR(INDEX($D:$D,MATCH(W239,$A:$A,0)),""))-1),IFERROR(INDEX($D:$D,MATCH(W239,$A:$A,0)),"")))))</f>
        <v/>
      </c>
      <c r="Y239" s="34" t="str">
        <f aca="false">IF(X239="","",IF(IFERROR(INDEX($D:$D,MATCH(X239,$A:$A,0)),"")="","",TRIM(IF(ISNUMBER(FIND(",",IFERROR(INDEX($D:$D,MATCH(X239,$A:$A,0)),""))),LEFT(IFERROR(INDEX($D:$D,MATCH(X239,$A:$A,0)),""),FIND(",",IFERROR(INDEX($D:$D,MATCH(X239,$A:$A,0)),""))-1),IFERROR(INDEX($D:$D,MATCH(X239,$A:$A,0)),"")))))</f>
        <v/>
      </c>
      <c r="Z239" s="34" t="str">
        <f aca="false">IF(AND(A239&lt;&gt;"",L239="Retire"),COUNTIF($L$5:L239,"Retire"),"")</f>
        <v/>
      </c>
      <c r="AA239" s="34" t="str">
        <f aca="false">IF(AND(A239&lt;&gt;"",L239="Build"),COUNTIF($L$5:L239,"Build"),"")</f>
        <v/>
      </c>
      <c r="AB239" s="34" t="str">
        <f aca="false">IF(AND(A239&lt;&gt;"",OR(M239="4+",AND(ISNUMBER(M239),M239&gt;=2))),SUMPRODUCT(($A$5:A239&lt;&gt;"")*(($M$5:M239="4+")+(ISNUMBER($M$5:M239)*($M$5:M239&gt;=2)))),"")</f>
        <v/>
      </c>
      <c r="AC239" s="34" t="str">
        <f aca="false">IF(AND(A239&lt;&gt;"",OR(L239="",L239="Undecided",K239="")),SUMPRODUCT(($A$5:A239&lt;&gt;"")*(($L$5:L239="")+($L$5:L239="Undecided")+($K$5:K239=""))&gt;0*1),"")</f>
        <v/>
      </c>
    </row>
    <row r="240" customFormat="false" ht="15" hidden="false" customHeight="false" outlineLevel="0" collapsed="false">
      <c r="A240" s="29"/>
      <c r="B240" s="30"/>
      <c r="C240" s="30"/>
      <c r="D240" s="30"/>
      <c r="E240" s="30"/>
      <c r="F240" s="30"/>
      <c r="G240" s="30"/>
      <c r="H240" s="30"/>
      <c r="I240" s="30"/>
      <c r="J240" s="30"/>
      <c r="K240" s="30"/>
      <c r="L240" s="30"/>
      <c r="M240" s="20" t="str">
        <f aca="false">IF(A240="","",IF(V240="",0,IF(W240="",1,IF(X240="",2,IF(Y240="",3,"4+")))))</f>
        <v/>
      </c>
      <c r="N240" s="20" t="str">
        <f aca="false">IF(A240="","",A240&amp;IF(V240="",""," &lt;- "&amp;V240&amp;IF(W240="",""," &lt;- "&amp;W240&amp;IF(X240="",""," &lt;- "&amp;X240&amp;IF(Y240="",""," &lt;- "&amp;Y240))))&amp;IF(ISNUMBER(FIND(",",D240))," (+ other parents)",""))</f>
        <v/>
      </c>
      <c r="O240" s="20" t="str">
        <f aca="false">IF(A240="","",COUNTIF(Fields!$D:$D,A240))</f>
        <v/>
      </c>
      <c r="P240" s="20" t="str">
        <f aca="false">IF(A240="","",SUMIF(Fields!$D:$D,A240,Fields!$O:$O))</f>
        <v/>
      </c>
      <c r="Q240" s="30"/>
      <c r="R240" s="30"/>
      <c r="S240" s="30"/>
      <c r="T240" s="30"/>
      <c r="U240" s="30"/>
      <c r="V240" s="34" t="str">
        <f aca="false">IF(A240="","",IF(IFERROR(INDEX($D:$D,MATCH(A240,$A:$A,0)),"")="","",TRIM(IF(ISNUMBER(FIND(",",IFERROR(INDEX($D:$D,MATCH(A240,$A:$A,0)),""))),LEFT(IFERROR(INDEX($D:$D,MATCH(A240,$A:$A,0)),""),FIND(",",IFERROR(INDEX($D:$D,MATCH(A240,$A:$A,0)),""))-1),IFERROR(INDEX($D:$D,MATCH(A240,$A:$A,0)),"")))))</f>
        <v/>
      </c>
      <c r="W240" s="34" t="str">
        <f aca="false">IF(V240="","",IF(IFERROR(INDEX($D:$D,MATCH(V240,$A:$A,0)),"")="","",TRIM(IF(ISNUMBER(FIND(",",IFERROR(INDEX($D:$D,MATCH(V240,$A:$A,0)),""))),LEFT(IFERROR(INDEX($D:$D,MATCH(V240,$A:$A,0)),""),FIND(",",IFERROR(INDEX($D:$D,MATCH(V240,$A:$A,0)),""))-1),IFERROR(INDEX($D:$D,MATCH(V240,$A:$A,0)),"")))))</f>
        <v/>
      </c>
      <c r="X240" s="34" t="str">
        <f aca="false">IF(W240="","",IF(IFERROR(INDEX($D:$D,MATCH(W240,$A:$A,0)),"")="","",TRIM(IF(ISNUMBER(FIND(",",IFERROR(INDEX($D:$D,MATCH(W240,$A:$A,0)),""))),LEFT(IFERROR(INDEX($D:$D,MATCH(W240,$A:$A,0)),""),FIND(",",IFERROR(INDEX($D:$D,MATCH(W240,$A:$A,0)),""))-1),IFERROR(INDEX($D:$D,MATCH(W240,$A:$A,0)),"")))))</f>
        <v/>
      </c>
      <c r="Y240" s="34" t="str">
        <f aca="false">IF(X240="","",IF(IFERROR(INDEX($D:$D,MATCH(X240,$A:$A,0)),"")="","",TRIM(IF(ISNUMBER(FIND(",",IFERROR(INDEX($D:$D,MATCH(X240,$A:$A,0)),""))),LEFT(IFERROR(INDEX($D:$D,MATCH(X240,$A:$A,0)),""),FIND(",",IFERROR(INDEX($D:$D,MATCH(X240,$A:$A,0)),""))-1),IFERROR(INDEX($D:$D,MATCH(X240,$A:$A,0)),"")))))</f>
        <v/>
      </c>
      <c r="Z240" s="34" t="str">
        <f aca="false">IF(AND(A240&lt;&gt;"",L240="Retire"),COUNTIF($L$5:L240,"Retire"),"")</f>
        <v/>
      </c>
      <c r="AA240" s="34" t="str">
        <f aca="false">IF(AND(A240&lt;&gt;"",L240="Build"),COUNTIF($L$5:L240,"Build"),"")</f>
        <v/>
      </c>
      <c r="AB240" s="34" t="str">
        <f aca="false">IF(AND(A240&lt;&gt;"",OR(M240="4+",AND(ISNUMBER(M240),M240&gt;=2))),SUMPRODUCT(($A$5:A240&lt;&gt;"")*(($M$5:M240="4+")+(ISNUMBER($M$5:M240)*($M$5:M240&gt;=2)))),"")</f>
        <v/>
      </c>
      <c r="AC240" s="34" t="str">
        <f aca="false">IF(AND(A240&lt;&gt;"",OR(L240="",L240="Undecided",K240="")),SUMPRODUCT(($A$5:A240&lt;&gt;"")*(($L$5:L240="")+($L$5:L240="Undecided")+($K$5:K240=""))&gt;0*1),"")</f>
        <v/>
      </c>
    </row>
    <row r="241" customFormat="false" ht="15" hidden="false" customHeight="false" outlineLevel="0" collapsed="false">
      <c r="A241" s="29"/>
      <c r="B241" s="30"/>
      <c r="C241" s="30"/>
      <c r="D241" s="30"/>
      <c r="E241" s="30"/>
      <c r="F241" s="30"/>
      <c r="G241" s="30"/>
      <c r="H241" s="30"/>
      <c r="I241" s="30"/>
      <c r="J241" s="30"/>
      <c r="K241" s="30"/>
      <c r="L241" s="30"/>
      <c r="M241" s="20" t="str">
        <f aca="false">IF(A241="","",IF(V241="",0,IF(W241="",1,IF(X241="",2,IF(Y241="",3,"4+")))))</f>
        <v/>
      </c>
      <c r="N241" s="20" t="str">
        <f aca="false">IF(A241="","",A241&amp;IF(V241="",""," &lt;- "&amp;V241&amp;IF(W241="",""," &lt;- "&amp;W241&amp;IF(X241="",""," &lt;- "&amp;X241&amp;IF(Y241="",""," &lt;- "&amp;Y241))))&amp;IF(ISNUMBER(FIND(",",D241))," (+ other parents)",""))</f>
        <v/>
      </c>
      <c r="O241" s="20" t="str">
        <f aca="false">IF(A241="","",COUNTIF(Fields!$D:$D,A241))</f>
        <v/>
      </c>
      <c r="P241" s="20" t="str">
        <f aca="false">IF(A241="","",SUMIF(Fields!$D:$D,A241,Fields!$O:$O))</f>
        <v/>
      </c>
      <c r="Q241" s="30"/>
      <c r="R241" s="30"/>
      <c r="S241" s="30"/>
      <c r="T241" s="30"/>
      <c r="U241" s="30"/>
      <c r="V241" s="34" t="str">
        <f aca="false">IF(A241="","",IF(IFERROR(INDEX($D:$D,MATCH(A241,$A:$A,0)),"")="","",TRIM(IF(ISNUMBER(FIND(",",IFERROR(INDEX($D:$D,MATCH(A241,$A:$A,0)),""))),LEFT(IFERROR(INDEX($D:$D,MATCH(A241,$A:$A,0)),""),FIND(",",IFERROR(INDEX($D:$D,MATCH(A241,$A:$A,0)),""))-1),IFERROR(INDEX($D:$D,MATCH(A241,$A:$A,0)),"")))))</f>
        <v/>
      </c>
      <c r="W241" s="34" t="str">
        <f aca="false">IF(V241="","",IF(IFERROR(INDEX($D:$D,MATCH(V241,$A:$A,0)),"")="","",TRIM(IF(ISNUMBER(FIND(",",IFERROR(INDEX($D:$D,MATCH(V241,$A:$A,0)),""))),LEFT(IFERROR(INDEX($D:$D,MATCH(V241,$A:$A,0)),""),FIND(",",IFERROR(INDEX($D:$D,MATCH(V241,$A:$A,0)),""))-1),IFERROR(INDEX($D:$D,MATCH(V241,$A:$A,0)),"")))))</f>
        <v/>
      </c>
      <c r="X241" s="34" t="str">
        <f aca="false">IF(W241="","",IF(IFERROR(INDEX($D:$D,MATCH(W241,$A:$A,0)),"")="","",TRIM(IF(ISNUMBER(FIND(",",IFERROR(INDEX($D:$D,MATCH(W241,$A:$A,0)),""))),LEFT(IFERROR(INDEX($D:$D,MATCH(W241,$A:$A,0)),""),FIND(",",IFERROR(INDEX($D:$D,MATCH(W241,$A:$A,0)),""))-1),IFERROR(INDEX($D:$D,MATCH(W241,$A:$A,0)),"")))))</f>
        <v/>
      </c>
      <c r="Y241" s="34" t="str">
        <f aca="false">IF(X241="","",IF(IFERROR(INDEX($D:$D,MATCH(X241,$A:$A,0)),"")="","",TRIM(IF(ISNUMBER(FIND(",",IFERROR(INDEX($D:$D,MATCH(X241,$A:$A,0)),""))),LEFT(IFERROR(INDEX($D:$D,MATCH(X241,$A:$A,0)),""),FIND(",",IFERROR(INDEX($D:$D,MATCH(X241,$A:$A,0)),""))-1),IFERROR(INDEX($D:$D,MATCH(X241,$A:$A,0)),"")))))</f>
        <v/>
      </c>
      <c r="Z241" s="34" t="str">
        <f aca="false">IF(AND(A241&lt;&gt;"",L241="Retire"),COUNTIF($L$5:L241,"Retire"),"")</f>
        <v/>
      </c>
      <c r="AA241" s="34" t="str">
        <f aca="false">IF(AND(A241&lt;&gt;"",L241="Build"),COUNTIF($L$5:L241,"Build"),"")</f>
        <v/>
      </c>
      <c r="AB241" s="34" t="str">
        <f aca="false">IF(AND(A241&lt;&gt;"",OR(M241="4+",AND(ISNUMBER(M241),M241&gt;=2))),SUMPRODUCT(($A$5:A241&lt;&gt;"")*(($M$5:M241="4+")+(ISNUMBER($M$5:M241)*($M$5:M241&gt;=2)))),"")</f>
        <v/>
      </c>
      <c r="AC241" s="34" t="str">
        <f aca="false">IF(AND(A241&lt;&gt;"",OR(L241="",L241="Undecided",K241="")),SUMPRODUCT(($A$5:A241&lt;&gt;"")*(($L$5:L241="")+($L$5:L241="Undecided")+($K$5:K241=""))&gt;0*1),"")</f>
        <v/>
      </c>
    </row>
    <row r="242" customFormat="false" ht="15" hidden="false" customHeight="false" outlineLevel="0" collapsed="false">
      <c r="A242" s="29"/>
      <c r="B242" s="30"/>
      <c r="C242" s="30"/>
      <c r="D242" s="30"/>
      <c r="E242" s="30"/>
      <c r="F242" s="30"/>
      <c r="G242" s="30"/>
      <c r="H242" s="30"/>
      <c r="I242" s="30"/>
      <c r="J242" s="30"/>
      <c r="K242" s="30"/>
      <c r="L242" s="30"/>
      <c r="M242" s="20" t="str">
        <f aca="false">IF(A242="","",IF(V242="",0,IF(W242="",1,IF(X242="",2,IF(Y242="",3,"4+")))))</f>
        <v/>
      </c>
      <c r="N242" s="20" t="str">
        <f aca="false">IF(A242="","",A242&amp;IF(V242="",""," &lt;- "&amp;V242&amp;IF(W242="",""," &lt;- "&amp;W242&amp;IF(X242="",""," &lt;- "&amp;X242&amp;IF(Y242="",""," &lt;- "&amp;Y242))))&amp;IF(ISNUMBER(FIND(",",D242))," (+ other parents)",""))</f>
        <v/>
      </c>
      <c r="O242" s="20" t="str">
        <f aca="false">IF(A242="","",COUNTIF(Fields!$D:$D,A242))</f>
        <v/>
      </c>
      <c r="P242" s="20" t="str">
        <f aca="false">IF(A242="","",SUMIF(Fields!$D:$D,A242,Fields!$O:$O))</f>
        <v/>
      </c>
      <c r="Q242" s="30"/>
      <c r="R242" s="30"/>
      <c r="S242" s="30"/>
      <c r="T242" s="30"/>
      <c r="U242" s="30"/>
      <c r="V242" s="34" t="str">
        <f aca="false">IF(A242="","",IF(IFERROR(INDEX($D:$D,MATCH(A242,$A:$A,0)),"")="","",TRIM(IF(ISNUMBER(FIND(",",IFERROR(INDEX($D:$D,MATCH(A242,$A:$A,0)),""))),LEFT(IFERROR(INDEX($D:$D,MATCH(A242,$A:$A,0)),""),FIND(",",IFERROR(INDEX($D:$D,MATCH(A242,$A:$A,0)),""))-1),IFERROR(INDEX($D:$D,MATCH(A242,$A:$A,0)),"")))))</f>
        <v/>
      </c>
      <c r="W242" s="34" t="str">
        <f aca="false">IF(V242="","",IF(IFERROR(INDEX($D:$D,MATCH(V242,$A:$A,0)),"")="","",TRIM(IF(ISNUMBER(FIND(",",IFERROR(INDEX($D:$D,MATCH(V242,$A:$A,0)),""))),LEFT(IFERROR(INDEX($D:$D,MATCH(V242,$A:$A,0)),""),FIND(",",IFERROR(INDEX($D:$D,MATCH(V242,$A:$A,0)),""))-1),IFERROR(INDEX($D:$D,MATCH(V242,$A:$A,0)),"")))))</f>
        <v/>
      </c>
      <c r="X242" s="34" t="str">
        <f aca="false">IF(W242="","",IF(IFERROR(INDEX($D:$D,MATCH(W242,$A:$A,0)),"")="","",TRIM(IF(ISNUMBER(FIND(",",IFERROR(INDEX($D:$D,MATCH(W242,$A:$A,0)),""))),LEFT(IFERROR(INDEX($D:$D,MATCH(W242,$A:$A,0)),""),FIND(",",IFERROR(INDEX($D:$D,MATCH(W242,$A:$A,0)),""))-1),IFERROR(INDEX($D:$D,MATCH(W242,$A:$A,0)),"")))))</f>
        <v/>
      </c>
      <c r="Y242" s="34" t="str">
        <f aca="false">IF(X242="","",IF(IFERROR(INDEX($D:$D,MATCH(X242,$A:$A,0)),"")="","",TRIM(IF(ISNUMBER(FIND(",",IFERROR(INDEX($D:$D,MATCH(X242,$A:$A,0)),""))),LEFT(IFERROR(INDEX($D:$D,MATCH(X242,$A:$A,0)),""),FIND(",",IFERROR(INDEX($D:$D,MATCH(X242,$A:$A,0)),""))-1),IFERROR(INDEX($D:$D,MATCH(X242,$A:$A,0)),"")))))</f>
        <v/>
      </c>
      <c r="Z242" s="34" t="str">
        <f aca="false">IF(AND(A242&lt;&gt;"",L242="Retire"),COUNTIF($L$5:L242,"Retire"),"")</f>
        <v/>
      </c>
      <c r="AA242" s="34" t="str">
        <f aca="false">IF(AND(A242&lt;&gt;"",L242="Build"),COUNTIF($L$5:L242,"Build"),"")</f>
        <v/>
      </c>
      <c r="AB242" s="34" t="str">
        <f aca="false">IF(AND(A242&lt;&gt;"",OR(M242="4+",AND(ISNUMBER(M242),M242&gt;=2))),SUMPRODUCT(($A$5:A242&lt;&gt;"")*(($M$5:M242="4+")+(ISNUMBER($M$5:M242)*($M$5:M242&gt;=2)))),"")</f>
        <v/>
      </c>
      <c r="AC242" s="34" t="str">
        <f aca="false">IF(AND(A242&lt;&gt;"",OR(L242="",L242="Undecided",K242="")),SUMPRODUCT(($A$5:A242&lt;&gt;"")*(($L$5:L242="")+($L$5:L242="Undecided")+($K$5:K242=""))&gt;0*1),"")</f>
        <v/>
      </c>
    </row>
    <row r="243" customFormat="false" ht="15" hidden="false" customHeight="false" outlineLevel="0" collapsed="false">
      <c r="A243" s="29"/>
      <c r="B243" s="30"/>
      <c r="C243" s="30"/>
      <c r="D243" s="30"/>
      <c r="E243" s="30"/>
      <c r="F243" s="30"/>
      <c r="G243" s="30"/>
      <c r="H243" s="30"/>
      <c r="I243" s="30"/>
      <c r="J243" s="30"/>
      <c r="K243" s="30"/>
      <c r="L243" s="30"/>
      <c r="M243" s="20" t="str">
        <f aca="false">IF(A243="","",IF(V243="",0,IF(W243="",1,IF(X243="",2,IF(Y243="",3,"4+")))))</f>
        <v/>
      </c>
      <c r="N243" s="20" t="str">
        <f aca="false">IF(A243="","",A243&amp;IF(V243="",""," &lt;- "&amp;V243&amp;IF(W243="",""," &lt;- "&amp;W243&amp;IF(X243="",""," &lt;- "&amp;X243&amp;IF(Y243="",""," &lt;- "&amp;Y243))))&amp;IF(ISNUMBER(FIND(",",D243))," (+ other parents)",""))</f>
        <v/>
      </c>
      <c r="O243" s="20" t="str">
        <f aca="false">IF(A243="","",COUNTIF(Fields!$D:$D,A243))</f>
        <v/>
      </c>
      <c r="P243" s="20" t="str">
        <f aca="false">IF(A243="","",SUMIF(Fields!$D:$D,A243,Fields!$O:$O))</f>
        <v/>
      </c>
      <c r="Q243" s="30"/>
      <c r="R243" s="30"/>
      <c r="S243" s="30"/>
      <c r="T243" s="30"/>
      <c r="U243" s="30"/>
      <c r="V243" s="34" t="str">
        <f aca="false">IF(A243="","",IF(IFERROR(INDEX($D:$D,MATCH(A243,$A:$A,0)),"")="","",TRIM(IF(ISNUMBER(FIND(",",IFERROR(INDEX($D:$D,MATCH(A243,$A:$A,0)),""))),LEFT(IFERROR(INDEX($D:$D,MATCH(A243,$A:$A,0)),""),FIND(",",IFERROR(INDEX($D:$D,MATCH(A243,$A:$A,0)),""))-1),IFERROR(INDEX($D:$D,MATCH(A243,$A:$A,0)),"")))))</f>
        <v/>
      </c>
      <c r="W243" s="34" t="str">
        <f aca="false">IF(V243="","",IF(IFERROR(INDEX($D:$D,MATCH(V243,$A:$A,0)),"")="","",TRIM(IF(ISNUMBER(FIND(",",IFERROR(INDEX($D:$D,MATCH(V243,$A:$A,0)),""))),LEFT(IFERROR(INDEX($D:$D,MATCH(V243,$A:$A,0)),""),FIND(",",IFERROR(INDEX($D:$D,MATCH(V243,$A:$A,0)),""))-1),IFERROR(INDEX($D:$D,MATCH(V243,$A:$A,0)),"")))))</f>
        <v/>
      </c>
      <c r="X243" s="34" t="str">
        <f aca="false">IF(W243="","",IF(IFERROR(INDEX($D:$D,MATCH(W243,$A:$A,0)),"")="","",TRIM(IF(ISNUMBER(FIND(",",IFERROR(INDEX($D:$D,MATCH(W243,$A:$A,0)),""))),LEFT(IFERROR(INDEX($D:$D,MATCH(W243,$A:$A,0)),""),FIND(",",IFERROR(INDEX($D:$D,MATCH(W243,$A:$A,0)),""))-1),IFERROR(INDEX($D:$D,MATCH(W243,$A:$A,0)),"")))))</f>
        <v/>
      </c>
      <c r="Y243" s="34" t="str">
        <f aca="false">IF(X243="","",IF(IFERROR(INDEX($D:$D,MATCH(X243,$A:$A,0)),"")="","",TRIM(IF(ISNUMBER(FIND(",",IFERROR(INDEX($D:$D,MATCH(X243,$A:$A,0)),""))),LEFT(IFERROR(INDEX($D:$D,MATCH(X243,$A:$A,0)),""),FIND(",",IFERROR(INDEX($D:$D,MATCH(X243,$A:$A,0)),""))-1),IFERROR(INDEX($D:$D,MATCH(X243,$A:$A,0)),"")))))</f>
        <v/>
      </c>
      <c r="Z243" s="34" t="str">
        <f aca="false">IF(AND(A243&lt;&gt;"",L243="Retire"),COUNTIF($L$5:L243,"Retire"),"")</f>
        <v/>
      </c>
      <c r="AA243" s="34" t="str">
        <f aca="false">IF(AND(A243&lt;&gt;"",L243="Build"),COUNTIF($L$5:L243,"Build"),"")</f>
        <v/>
      </c>
      <c r="AB243" s="34" t="str">
        <f aca="false">IF(AND(A243&lt;&gt;"",OR(M243="4+",AND(ISNUMBER(M243),M243&gt;=2))),SUMPRODUCT(($A$5:A243&lt;&gt;"")*(($M$5:M243="4+")+(ISNUMBER($M$5:M243)*($M$5:M243&gt;=2)))),"")</f>
        <v/>
      </c>
      <c r="AC243" s="34" t="str">
        <f aca="false">IF(AND(A243&lt;&gt;"",OR(L243="",L243="Undecided",K243="")),SUMPRODUCT(($A$5:A243&lt;&gt;"")*(($L$5:L243="")+($L$5:L243="Undecided")+($K$5:K243=""))&gt;0*1),"")</f>
        <v/>
      </c>
    </row>
    <row r="244" customFormat="false" ht="15" hidden="false" customHeight="false" outlineLevel="0" collapsed="false">
      <c r="A244" s="29"/>
      <c r="B244" s="30"/>
      <c r="C244" s="30"/>
      <c r="D244" s="30"/>
      <c r="E244" s="30"/>
      <c r="F244" s="30"/>
      <c r="G244" s="30"/>
      <c r="H244" s="30"/>
      <c r="I244" s="30"/>
      <c r="J244" s="30"/>
      <c r="K244" s="30"/>
      <c r="L244" s="30"/>
      <c r="M244" s="20" t="str">
        <f aca="false">IF(A244="","",IF(V244="",0,IF(W244="",1,IF(X244="",2,IF(Y244="",3,"4+")))))</f>
        <v/>
      </c>
      <c r="N244" s="20" t="str">
        <f aca="false">IF(A244="","",A244&amp;IF(V244="",""," &lt;- "&amp;V244&amp;IF(W244="",""," &lt;- "&amp;W244&amp;IF(X244="",""," &lt;- "&amp;X244&amp;IF(Y244="",""," &lt;- "&amp;Y244))))&amp;IF(ISNUMBER(FIND(",",D244))," (+ other parents)",""))</f>
        <v/>
      </c>
      <c r="O244" s="20" t="str">
        <f aca="false">IF(A244="","",COUNTIF(Fields!$D:$D,A244))</f>
        <v/>
      </c>
      <c r="P244" s="20" t="str">
        <f aca="false">IF(A244="","",SUMIF(Fields!$D:$D,A244,Fields!$O:$O))</f>
        <v/>
      </c>
      <c r="Q244" s="30"/>
      <c r="R244" s="30"/>
      <c r="S244" s="30"/>
      <c r="T244" s="30"/>
      <c r="U244" s="30"/>
      <c r="V244" s="34" t="str">
        <f aca="false">IF(A244="","",IF(IFERROR(INDEX($D:$D,MATCH(A244,$A:$A,0)),"")="","",TRIM(IF(ISNUMBER(FIND(",",IFERROR(INDEX($D:$D,MATCH(A244,$A:$A,0)),""))),LEFT(IFERROR(INDEX($D:$D,MATCH(A244,$A:$A,0)),""),FIND(",",IFERROR(INDEX($D:$D,MATCH(A244,$A:$A,0)),""))-1),IFERROR(INDEX($D:$D,MATCH(A244,$A:$A,0)),"")))))</f>
        <v/>
      </c>
      <c r="W244" s="34" t="str">
        <f aca="false">IF(V244="","",IF(IFERROR(INDEX($D:$D,MATCH(V244,$A:$A,0)),"")="","",TRIM(IF(ISNUMBER(FIND(",",IFERROR(INDEX($D:$D,MATCH(V244,$A:$A,0)),""))),LEFT(IFERROR(INDEX($D:$D,MATCH(V244,$A:$A,0)),""),FIND(",",IFERROR(INDEX($D:$D,MATCH(V244,$A:$A,0)),""))-1),IFERROR(INDEX($D:$D,MATCH(V244,$A:$A,0)),"")))))</f>
        <v/>
      </c>
      <c r="X244" s="34" t="str">
        <f aca="false">IF(W244="","",IF(IFERROR(INDEX($D:$D,MATCH(W244,$A:$A,0)),"")="","",TRIM(IF(ISNUMBER(FIND(",",IFERROR(INDEX($D:$D,MATCH(W244,$A:$A,0)),""))),LEFT(IFERROR(INDEX($D:$D,MATCH(W244,$A:$A,0)),""),FIND(",",IFERROR(INDEX($D:$D,MATCH(W244,$A:$A,0)),""))-1),IFERROR(INDEX($D:$D,MATCH(W244,$A:$A,0)),"")))))</f>
        <v/>
      </c>
      <c r="Y244" s="34" t="str">
        <f aca="false">IF(X244="","",IF(IFERROR(INDEX($D:$D,MATCH(X244,$A:$A,0)),"")="","",TRIM(IF(ISNUMBER(FIND(",",IFERROR(INDEX($D:$D,MATCH(X244,$A:$A,0)),""))),LEFT(IFERROR(INDEX($D:$D,MATCH(X244,$A:$A,0)),""),FIND(",",IFERROR(INDEX($D:$D,MATCH(X244,$A:$A,0)),""))-1),IFERROR(INDEX($D:$D,MATCH(X244,$A:$A,0)),"")))))</f>
        <v/>
      </c>
      <c r="Z244" s="34" t="str">
        <f aca="false">IF(AND(A244&lt;&gt;"",L244="Retire"),COUNTIF($L$5:L244,"Retire"),"")</f>
        <v/>
      </c>
      <c r="AA244" s="34" t="str">
        <f aca="false">IF(AND(A244&lt;&gt;"",L244="Build"),COUNTIF($L$5:L244,"Build"),"")</f>
        <v/>
      </c>
      <c r="AB244" s="34" t="str">
        <f aca="false">IF(AND(A244&lt;&gt;"",OR(M244="4+",AND(ISNUMBER(M244),M244&gt;=2))),SUMPRODUCT(($A$5:A244&lt;&gt;"")*(($M$5:M244="4+")+(ISNUMBER($M$5:M244)*($M$5:M244&gt;=2)))),"")</f>
        <v/>
      </c>
      <c r="AC244" s="34" t="str">
        <f aca="false">IF(AND(A244&lt;&gt;"",OR(L244="",L244="Undecided",K244="")),SUMPRODUCT(($A$5:A244&lt;&gt;"")*(($L$5:L244="")+($L$5:L244="Undecided")+($K$5:K244=""))&gt;0*1),"")</f>
        <v/>
      </c>
    </row>
    <row r="245" customFormat="false" ht="15" hidden="false" customHeight="false" outlineLevel="0" collapsed="false">
      <c r="A245" s="29"/>
      <c r="B245" s="30"/>
      <c r="C245" s="30"/>
      <c r="D245" s="30"/>
      <c r="E245" s="30"/>
      <c r="F245" s="30"/>
      <c r="G245" s="30"/>
      <c r="H245" s="30"/>
      <c r="I245" s="30"/>
      <c r="J245" s="30"/>
      <c r="K245" s="30"/>
      <c r="L245" s="30"/>
      <c r="M245" s="20" t="str">
        <f aca="false">IF(A245="","",IF(V245="",0,IF(W245="",1,IF(X245="",2,IF(Y245="",3,"4+")))))</f>
        <v/>
      </c>
      <c r="N245" s="20" t="str">
        <f aca="false">IF(A245="","",A245&amp;IF(V245="",""," &lt;- "&amp;V245&amp;IF(W245="",""," &lt;- "&amp;W245&amp;IF(X245="",""," &lt;- "&amp;X245&amp;IF(Y245="",""," &lt;- "&amp;Y245))))&amp;IF(ISNUMBER(FIND(",",D245))," (+ other parents)",""))</f>
        <v/>
      </c>
      <c r="O245" s="20" t="str">
        <f aca="false">IF(A245="","",COUNTIF(Fields!$D:$D,A245))</f>
        <v/>
      </c>
      <c r="P245" s="20" t="str">
        <f aca="false">IF(A245="","",SUMIF(Fields!$D:$D,A245,Fields!$O:$O))</f>
        <v/>
      </c>
      <c r="Q245" s="30"/>
      <c r="R245" s="30"/>
      <c r="S245" s="30"/>
      <c r="T245" s="30"/>
      <c r="U245" s="30"/>
      <c r="V245" s="34" t="str">
        <f aca="false">IF(A245="","",IF(IFERROR(INDEX($D:$D,MATCH(A245,$A:$A,0)),"")="","",TRIM(IF(ISNUMBER(FIND(",",IFERROR(INDEX($D:$D,MATCH(A245,$A:$A,0)),""))),LEFT(IFERROR(INDEX($D:$D,MATCH(A245,$A:$A,0)),""),FIND(",",IFERROR(INDEX($D:$D,MATCH(A245,$A:$A,0)),""))-1),IFERROR(INDEX($D:$D,MATCH(A245,$A:$A,0)),"")))))</f>
        <v/>
      </c>
      <c r="W245" s="34" t="str">
        <f aca="false">IF(V245="","",IF(IFERROR(INDEX($D:$D,MATCH(V245,$A:$A,0)),"")="","",TRIM(IF(ISNUMBER(FIND(",",IFERROR(INDEX($D:$D,MATCH(V245,$A:$A,0)),""))),LEFT(IFERROR(INDEX($D:$D,MATCH(V245,$A:$A,0)),""),FIND(",",IFERROR(INDEX($D:$D,MATCH(V245,$A:$A,0)),""))-1),IFERROR(INDEX($D:$D,MATCH(V245,$A:$A,0)),"")))))</f>
        <v/>
      </c>
      <c r="X245" s="34" t="str">
        <f aca="false">IF(W245="","",IF(IFERROR(INDEX($D:$D,MATCH(W245,$A:$A,0)),"")="","",TRIM(IF(ISNUMBER(FIND(",",IFERROR(INDEX($D:$D,MATCH(W245,$A:$A,0)),""))),LEFT(IFERROR(INDEX($D:$D,MATCH(W245,$A:$A,0)),""),FIND(",",IFERROR(INDEX($D:$D,MATCH(W245,$A:$A,0)),""))-1),IFERROR(INDEX($D:$D,MATCH(W245,$A:$A,0)),"")))))</f>
        <v/>
      </c>
      <c r="Y245" s="34" t="str">
        <f aca="false">IF(X245="","",IF(IFERROR(INDEX($D:$D,MATCH(X245,$A:$A,0)),"")="","",TRIM(IF(ISNUMBER(FIND(",",IFERROR(INDEX($D:$D,MATCH(X245,$A:$A,0)),""))),LEFT(IFERROR(INDEX($D:$D,MATCH(X245,$A:$A,0)),""),FIND(",",IFERROR(INDEX($D:$D,MATCH(X245,$A:$A,0)),""))-1),IFERROR(INDEX($D:$D,MATCH(X245,$A:$A,0)),"")))))</f>
        <v/>
      </c>
      <c r="Z245" s="34" t="str">
        <f aca="false">IF(AND(A245&lt;&gt;"",L245="Retire"),COUNTIF($L$5:L245,"Retire"),"")</f>
        <v/>
      </c>
      <c r="AA245" s="34" t="str">
        <f aca="false">IF(AND(A245&lt;&gt;"",L245="Build"),COUNTIF($L$5:L245,"Build"),"")</f>
        <v/>
      </c>
      <c r="AB245" s="34" t="str">
        <f aca="false">IF(AND(A245&lt;&gt;"",OR(M245="4+",AND(ISNUMBER(M245),M245&gt;=2))),SUMPRODUCT(($A$5:A245&lt;&gt;"")*(($M$5:M245="4+")+(ISNUMBER($M$5:M245)*($M$5:M245&gt;=2)))),"")</f>
        <v/>
      </c>
      <c r="AC245" s="34" t="str">
        <f aca="false">IF(AND(A245&lt;&gt;"",OR(L245="",L245="Undecided",K245="")),SUMPRODUCT(($A$5:A245&lt;&gt;"")*(($L$5:L245="")+($L$5:L245="Undecided")+($K$5:K245=""))&gt;0*1),"")</f>
        <v/>
      </c>
    </row>
    <row r="246" customFormat="false" ht="15" hidden="false" customHeight="false" outlineLevel="0" collapsed="false">
      <c r="A246" s="29"/>
      <c r="B246" s="30"/>
      <c r="C246" s="30"/>
      <c r="D246" s="30"/>
      <c r="E246" s="30"/>
      <c r="F246" s="30"/>
      <c r="G246" s="30"/>
      <c r="H246" s="30"/>
      <c r="I246" s="30"/>
      <c r="J246" s="30"/>
      <c r="K246" s="30"/>
      <c r="L246" s="30"/>
      <c r="M246" s="20" t="str">
        <f aca="false">IF(A246="","",IF(V246="",0,IF(W246="",1,IF(X246="",2,IF(Y246="",3,"4+")))))</f>
        <v/>
      </c>
      <c r="N246" s="20" t="str">
        <f aca="false">IF(A246="","",A246&amp;IF(V246="",""," &lt;- "&amp;V246&amp;IF(W246="",""," &lt;- "&amp;W246&amp;IF(X246="",""," &lt;- "&amp;X246&amp;IF(Y246="",""," &lt;- "&amp;Y246))))&amp;IF(ISNUMBER(FIND(",",D246))," (+ other parents)",""))</f>
        <v/>
      </c>
      <c r="O246" s="20" t="str">
        <f aca="false">IF(A246="","",COUNTIF(Fields!$D:$D,A246))</f>
        <v/>
      </c>
      <c r="P246" s="20" t="str">
        <f aca="false">IF(A246="","",SUMIF(Fields!$D:$D,A246,Fields!$O:$O))</f>
        <v/>
      </c>
      <c r="Q246" s="30"/>
      <c r="R246" s="30"/>
      <c r="S246" s="30"/>
      <c r="T246" s="30"/>
      <c r="U246" s="30"/>
      <c r="V246" s="34" t="str">
        <f aca="false">IF(A246="","",IF(IFERROR(INDEX($D:$D,MATCH(A246,$A:$A,0)),"")="","",TRIM(IF(ISNUMBER(FIND(",",IFERROR(INDEX($D:$D,MATCH(A246,$A:$A,0)),""))),LEFT(IFERROR(INDEX($D:$D,MATCH(A246,$A:$A,0)),""),FIND(",",IFERROR(INDEX($D:$D,MATCH(A246,$A:$A,0)),""))-1),IFERROR(INDEX($D:$D,MATCH(A246,$A:$A,0)),"")))))</f>
        <v/>
      </c>
      <c r="W246" s="34" t="str">
        <f aca="false">IF(V246="","",IF(IFERROR(INDEX($D:$D,MATCH(V246,$A:$A,0)),"")="","",TRIM(IF(ISNUMBER(FIND(",",IFERROR(INDEX($D:$D,MATCH(V246,$A:$A,0)),""))),LEFT(IFERROR(INDEX($D:$D,MATCH(V246,$A:$A,0)),""),FIND(",",IFERROR(INDEX($D:$D,MATCH(V246,$A:$A,0)),""))-1),IFERROR(INDEX($D:$D,MATCH(V246,$A:$A,0)),"")))))</f>
        <v/>
      </c>
      <c r="X246" s="34" t="str">
        <f aca="false">IF(W246="","",IF(IFERROR(INDEX($D:$D,MATCH(W246,$A:$A,0)),"")="","",TRIM(IF(ISNUMBER(FIND(",",IFERROR(INDEX($D:$D,MATCH(W246,$A:$A,0)),""))),LEFT(IFERROR(INDEX($D:$D,MATCH(W246,$A:$A,0)),""),FIND(",",IFERROR(INDEX($D:$D,MATCH(W246,$A:$A,0)),""))-1),IFERROR(INDEX($D:$D,MATCH(W246,$A:$A,0)),"")))))</f>
        <v/>
      </c>
      <c r="Y246" s="34" t="str">
        <f aca="false">IF(X246="","",IF(IFERROR(INDEX($D:$D,MATCH(X246,$A:$A,0)),"")="","",TRIM(IF(ISNUMBER(FIND(",",IFERROR(INDEX($D:$D,MATCH(X246,$A:$A,0)),""))),LEFT(IFERROR(INDEX($D:$D,MATCH(X246,$A:$A,0)),""),FIND(",",IFERROR(INDEX($D:$D,MATCH(X246,$A:$A,0)),""))-1),IFERROR(INDEX($D:$D,MATCH(X246,$A:$A,0)),"")))))</f>
        <v/>
      </c>
      <c r="Z246" s="34" t="str">
        <f aca="false">IF(AND(A246&lt;&gt;"",L246="Retire"),COUNTIF($L$5:L246,"Retire"),"")</f>
        <v/>
      </c>
      <c r="AA246" s="34" t="str">
        <f aca="false">IF(AND(A246&lt;&gt;"",L246="Build"),COUNTIF($L$5:L246,"Build"),"")</f>
        <v/>
      </c>
      <c r="AB246" s="34" t="str">
        <f aca="false">IF(AND(A246&lt;&gt;"",OR(M246="4+",AND(ISNUMBER(M246),M246&gt;=2))),SUMPRODUCT(($A$5:A246&lt;&gt;"")*(($M$5:M246="4+")+(ISNUMBER($M$5:M246)*($M$5:M246&gt;=2)))),"")</f>
        <v/>
      </c>
      <c r="AC246" s="34" t="str">
        <f aca="false">IF(AND(A246&lt;&gt;"",OR(L246="",L246="Undecided",K246="")),SUMPRODUCT(($A$5:A246&lt;&gt;"")*(($L$5:L246="")+($L$5:L246="Undecided")+($K$5:K246=""))&gt;0*1),"")</f>
        <v/>
      </c>
    </row>
    <row r="247" customFormat="false" ht="15" hidden="false" customHeight="false" outlineLevel="0" collapsed="false">
      <c r="A247" s="29"/>
      <c r="B247" s="30"/>
      <c r="C247" s="30"/>
      <c r="D247" s="30"/>
      <c r="E247" s="30"/>
      <c r="F247" s="30"/>
      <c r="G247" s="30"/>
      <c r="H247" s="30"/>
      <c r="I247" s="30"/>
      <c r="J247" s="30"/>
      <c r="K247" s="30"/>
      <c r="L247" s="30"/>
      <c r="M247" s="20" t="str">
        <f aca="false">IF(A247="","",IF(V247="",0,IF(W247="",1,IF(X247="",2,IF(Y247="",3,"4+")))))</f>
        <v/>
      </c>
      <c r="N247" s="20" t="str">
        <f aca="false">IF(A247="","",A247&amp;IF(V247="",""," &lt;- "&amp;V247&amp;IF(W247="",""," &lt;- "&amp;W247&amp;IF(X247="",""," &lt;- "&amp;X247&amp;IF(Y247="",""," &lt;- "&amp;Y247))))&amp;IF(ISNUMBER(FIND(",",D247))," (+ other parents)",""))</f>
        <v/>
      </c>
      <c r="O247" s="20" t="str">
        <f aca="false">IF(A247="","",COUNTIF(Fields!$D:$D,A247))</f>
        <v/>
      </c>
      <c r="P247" s="20" t="str">
        <f aca="false">IF(A247="","",SUMIF(Fields!$D:$D,A247,Fields!$O:$O))</f>
        <v/>
      </c>
      <c r="Q247" s="30"/>
      <c r="R247" s="30"/>
      <c r="S247" s="30"/>
      <c r="T247" s="30"/>
      <c r="U247" s="30"/>
      <c r="V247" s="34" t="str">
        <f aca="false">IF(A247="","",IF(IFERROR(INDEX($D:$D,MATCH(A247,$A:$A,0)),"")="","",TRIM(IF(ISNUMBER(FIND(",",IFERROR(INDEX($D:$D,MATCH(A247,$A:$A,0)),""))),LEFT(IFERROR(INDEX($D:$D,MATCH(A247,$A:$A,0)),""),FIND(",",IFERROR(INDEX($D:$D,MATCH(A247,$A:$A,0)),""))-1),IFERROR(INDEX($D:$D,MATCH(A247,$A:$A,0)),"")))))</f>
        <v/>
      </c>
      <c r="W247" s="34" t="str">
        <f aca="false">IF(V247="","",IF(IFERROR(INDEX($D:$D,MATCH(V247,$A:$A,0)),"")="","",TRIM(IF(ISNUMBER(FIND(",",IFERROR(INDEX($D:$D,MATCH(V247,$A:$A,0)),""))),LEFT(IFERROR(INDEX($D:$D,MATCH(V247,$A:$A,0)),""),FIND(",",IFERROR(INDEX($D:$D,MATCH(V247,$A:$A,0)),""))-1),IFERROR(INDEX($D:$D,MATCH(V247,$A:$A,0)),"")))))</f>
        <v/>
      </c>
      <c r="X247" s="34" t="str">
        <f aca="false">IF(W247="","",IF(IFERROR(INDEX($D:$D,MATCH(W247,$A:$A,0)),"")="","",TRIM(IF(ISNUMBER(FIND(",",IFERROR(INDEX($D:$D,MATCH(W247,$A:$A,0)),""))),LEFT(IFERROR(INDEX($D:$D,MATCH(W247,$A:$A,0)),""),FIND(",",IFERROR(INDEX($D:$D,MATCH(W247,$A:$A,0)),""))-1),IFERROR(INDEX($D:$D,MATCH(W247,$A:$A,0)),"")))))</f>
        <v/>
      </c>
      <c r="Y247" s="34" t="str">
        <f aca="false">IF(X247="","",IF(IFERROR(INDEX($D:$D,MATCH(X247,$A:$A,0)),"")="","",TRIM(IF(ISNUMBER(FIND(",",IFERROR(INDEX($D:$D,MATCH(X247,$A:$A,0)),""))),LEFT(IFERROR(INDEX($D:$D,MATCH(X247,$A:$A,0)),""),FIND(",",IFERROR(INDEX($D:$D,MATCH(X247,$A:$A,0)),""))-1),IFERROR(INDEX($D:$D,MATCH(X247,$A:$A,0)),"")))))</f>
        <v/>
      </c>
      <c r="Z247" s="34" t="str">
        <f aca="false">IF(AND(A247&lt;&gt;"",L247="Retire"),COUNTIF($L$5:L247,"Retire"),"")</f>
        <v/>
      </c>
      <c r="AA247" s="34" t="str">
        <f aca="false">IF(AND(A247&lt;&gt;"",L247="Build"),COUNTIF($L$5:L247,"Build"),"")</f>
        <v/>
      </c>
      <c r="AB247" s="34" t="str">
        <f aca="false">IF(AND(A247&lt;&gt;"",OR(M247="4+",AND(ISNUMBER(M247),M247&gt;=2))),SUMPRODUCT(($A$5:A247&lt;&gt;"")*(($M$5:M247="4+")+(ISNUMBER($M$5:M247)*($M$5:M247&gt;=2)))),"")</f>
        <v/>
      </c>
      <c r="AC247" s="34" t="str">
        <f aca="false">IF(AND(A247&lt;&gt;"",OR(L247="",L247="Undecided",K247="")),SUMPRODUCT(($A$5:A247&lt;&gt;"")*(($L$5:L247="")+($L$5:L247="Undecided")+($K$5:K247=""))&gt;0*1),"")</f>
        <v/>
      </c>
    </row>
    <row r="248" customFormat="false" ht="15" hidden="false" customHeight="false" outlineLevel="0" collapsed="false">
      <c r="A248" s="29"/>
      <c r="B248" s="30"/>
      <c r="C248" s="30"/>
      <c r="D248" s="30"/>
      <c r="E248" s="30"/>
      <c r="F248" s="30"/>
      <c r="G248" s="30"/>
      <c r="H248" s="30"/>
      <c r="I248" s="30"/>
      <c r="J248" s="30"/>
      <c r="K248" s="30"/>
      <c r="L248" s="30"/>
      <c r="M248" s="20" t="str">
        <f aca="false">IF(A248="","",IF(V248="",0,IF(W248="",1,IF(X248="",2,IF(Y248="",3,"4+")))))</f>
        <v/>
      </c>
      <c r="N248" s="20" t="str">
        <f aca="false">IF(A248="","",A248&amp;IF(V248="",""," &lt;- "&amp;V248&amp;IF(W248="",""," &lt;- "&amp;W248&amp;IF(X248="",""," &lt;- "&amp;X248&amp;IF(Y248="",""," &lt;- "&amp;Y248))))&amp;IF(ISNUMBER(FIND(",",D248))," (+ other parents)",""))</f>
        <v/>
      </c>
      <c r="O248" s="20" t="str">
        <f aca="false">IF(A248="","",COUNTIF(Fields!$D:$D,A248))</f>
        <v/>
      </c>
      <c r="P248" s="20" t="str">
        <f aca="false">IF(A248="","",SUMIF(Fields!$D:$D,A248,Fields!$O:$O))</f>
        <v/>
      </c>
      <c r="Q248" s="30"/>
      <c r="R248" s="30"/>
      <c r="S248" s="30"/>
      <c r="T248" s="30"/>
      <c r="U248" s="30"/>
      <c r="V248" s="34" t="str">
        <f aca="false">IF(A248="","",IF(IFERROR(INDEX($D:$D,MATCH(A248,$A:$A,0)),"")="","",TRIM(IF(ISNUMBER(FIND(",",IFERROR(INDEX($D:$D,MATCH(A248,$A:$A,0)),""))),LEFT(IFERROR(INDEX($D:$D,MATCH(A248,$A:$A,0)),""),FIND(",",IFERROR(INDEX($D:$D,MATCH(A248,$A:$A,0)),""))-1),IFERROR(INDEX($D:$D,MATCH(A248,$A:$A,0)),"")))))</f>
        <v/>
      </c>
      <c r="W248" s="34" t="str">
        <f aca="false">IF(V248="","",IF(IFERROR(INDEX($D:$D,MATCH(V248,$A:$A,0)),"")="","",TRIM(IF(ISNUMBER(FIND(",",IFERROR(INDEX($D:$D,MATCH(V248,$A:$A,0)),""))),LEFT(IFERROR(INDEX($D:$D,MATCH(V248,$A:$A,0)),""),FIND(",",IFERROR(INDEX($D:$D,MATCH(V248,$A:$A,0)),""))-1),IFERROR(INDEX($D:$D,MATCH(V248,$A:$A,0)),"")))))</f>
        <v/>
      </c>
      <c r="X248" s="34" t="str">
        <f aca="false">IF(W248="","",IF(IFERROR(INDEX($D:$D,MATCH(W248,$A:$A,0)),"")="","",TRIM(IF(ISNUMBER(FIND(",",IFERROR(INDEX($D:$D,MATCH(W248,$A:$A,0)),""))),LEFT(IFERROR(INDEX($D:$D,MATCH(W248,$A:$A,0)),""),FIND(",",IFERROR(INDEX($D:$D,MATCH(W248,$A:$A,0)),""))-1),IFERROR(INDEX($D:$D,MATCH(W248,$A:$A,0)),"")))))</f>
        <v/>
      </c>
      <c r="Y248" s="34" t="str">
        <f aca="false">IF(X248="","",IF(IFERROR(INDEX($D:$D,MATCH(X248,$A:$A,0)),"")="","",TRIM(IF(ISNUMBER(FIND(",",IFERROR(INDEX($D:$D,MATCH(X248,$A:$A,0)),""))),LEFT(IFERROR(INDEX($D:$D,MATCH(X248,$A:$A,0)),""),FIND(",",IFERROR(INDEX($D:$D,MATCH(X248,$A:$A,0)),""))-1),IFERROR(INDEX($D:$D,MATCH(X248,$A:$A,0)),"")))))</f>
        <v/>
      </c>
      <c r="Z248" s="34" t="str">
        <f aca="false">IF(AND(A248&lt;&gt;"",L248="Retire"),COUNTIF($L$5:L248,"Retire"),"")</f>
        <v/>
      </c>
      <c r="AA248" s="34" t="str">
        <f aca="false">IF(AND(A248&lt;&gt;"",L248="Build"),COUNTIF($L$5:L248,"Build"),"")</f>
        <v/>
      </c>
      <c r="AB248" s="34" t="str">
        <f aca="false">IF(AND(A248&lt;&gt;"",OR(M248="4+",AND(ISNUMBER(M248),M248&gt;=2))),SUMPRODUCT(($A$5:A248&lt;&gt;"")*(($M$5:M248="4+")+(ISNUMBER($M$5:M248)*($M$5:M248&gt;=2)))),"")</f>
        <v/>
      </c>
      <c r="AC248" s="34" t="str">
        <f aca="false">IF(AND(A248&lt;&gt;"",OR(L248="",L248="Undecided",K248="")),SUMPRODUCT(($A$5:A248&lt;&gt;"")*(($L$5:L248="")+($L$5:L248="Undecided")+($K$5:K248=""))&gt;0*1),"")</f>
        <v/>
      </c>
    </row>
    <row r="249" customFormat="false" ht="15" hidden="false" customHeight="false" outlineLevel="0" collapsed="false">
      <c r="A249" s="29"/>
      <c r="B249" s="30"/>
      <c r="C249" s="30"/>
      <c r="D249" s="30"/>
      <c r="E249" s="30"/>
      <c r="F249" s="30"/>
      <c r="G249" s="30"/>
      <c r="H249" s="30"/>
      <c r="I249" s="30"/>
      <c r="J249" s="30"/>
      <c r="K249" s="30"/>
      <c r="L249" s="30"/>
      <c r="M249" s="20" t="str">
        <f aca="false">IF(A249="","",IF(V249="",0,IF(W249="",1,IF(X249="",2,IF(Y249="",3,"4+")))))</f>
        <v/>
      </c>
      <c r="N249" s="20" t="str">
        <f aca="false">IF(A249="","",A249&amp;IF(V249="",""," &lt;- "&amp;V249&amp;IF(W249="",""," &lt;- "&amp;W249&amp;IF(X249="",""," &lt;- "&amp;X249&amp;IF(Y249="",""," &lt;- "&amp;Y249))))&amp;IF(ISNUMBER(FIND(",",D249))," (+ other parents)",""))</f>
        <v/>
      </c>
      <c r="O249" s="20" t="str">
        <f aca="false">IF(A249="","",COUNTIF(Fields!$D:$D,A249))</f>
        <v/>
      </c>
      <c r="P249" s="20" t="str">
        <f aca="false">IF(A249="","",SUMIF(Fields!$D:$D,A249,Fields!$O:$O))</f>
        <v/>
      </c>
      <c r="Q249" s="30"/>
      <c r="R249" s="30"/>
      <c r="S249" s="30"/>
      <c r="T249" s="30"/>
      <c r="U249" s="30"/>
      <c r="V249" s="34" t="str">
        <f aca="false">IF(A249="","",IF(IFERROR(INDEX($D:$D,MATCH(A249,$A:$A,0)),"")="","",TRIM(IF(ISNUMBER(FIND(",",IFERROR(INDEX($D:$D,MATCH(A249,$A:$A,0)),""))),LEFT(IFERROR(INDEX($D:$D,MATCH(A249,$A:$A,0)),""),FIND(",",IFERROR(INDEX($D:$D,MATCH(A249,$A:$A,0)),""))-1),IFERROR(INDEX($D:$D,MATCH(A249,$A:$A,0)),"")))))</f>
        <v/>
      </c>
      <c r="W249" s="34" t="str">
        <f aca="false">IF(V249="","",IF(IFERROR(INDEX($D:$D,MATCH(V249,$A:$A,0)),"")="","",TRIM(IF(ISNUMBER(FIND(",",IFERROR(INDEX($D:$D,MATCH(V249,$A:$A,0)),""))),LEFT(IFERROR(INDEX($D:$D,MATCH(V249,$A:$A,0)),""),FIND(",",IFERROR(INDEX($D:$D,MATCH(V249,$A:$A,0)),""))-1),IFERROR(INDEX($D:$D,MATCH(V249,$A:$A,0)),"")))))</f>
        <v/>
      </c>
      <c r="X249" s="34" t="str">
        <f aca="false">IF(W249="","",IF(IFERROR(INDEX($D:$D,MATCH(W249,$A:$A,0)),"")="","",TRIM(IF(ISNUMBER(FIND(",",IFERROR(INDEX($D:$D,MATCH(W249,$A:$A,0)),""))),LEFT(IFERROR(INDEX($D:$D,MATCH(W249,$A:$A,0)),""),FIND(",",IFERROR(INDEX($D:$D,MATCH(W249,$A:$A,0)),""))-1),IFERROR(INDEX($D:$D,MATCH(W249,$A:$A,0)),"")))))</f>
        <v/>
      </c>
      <c r="Y249" s="34" t="str">
        <f aca="false">IF(X249="","",IF(IFERROR(INDEX($D:$D,MATCH(X249,$A:$A,0)),"")="","",TRIM(IF(ISNUMBER(FIND(",",IFERROR(INDEX($D:$D,MATCH(X249,$A:$A,0)),""))),LEFT(IFERROR(INDEX($D:$D,MATCH(X249,$A:$A,0)),""),FIND(",",IFERROR(INDEX($D:$D,MATCH(X249,$A:$A,0)),""))-1),IFERROR(INDEX($D:$D,MATCH(X249,$A:$A,0)),"")))))</f>
        <v/>
      </c>
      <c r="Z249" s="34" t="str">
        <f aca="false">IF(AND(A249&lt;&gt;"",L249="Retire"),COUNTIF($L$5:L249,"Retire"),"")</f>
        <v/>
      </c>
      <c r="AA249" s="34" t="str">
        <f aca="false">IF(AND(A249&lt;&gt;"",L249="Build"),COUNTIF($L$5:L249,"Build"),"")</f>
        <v/>
      </c>
      <c r="AB249" s="34" t="str">
        <f aca="false">IF(AND(A249&lt;&gt;"",OR(M249="4+",AND(ISNUMBER(M249),M249&gt;=2))),SUMPRODUCT(($A$5:A249&lt;&gt;"")*(($M$5:M249="4+")+(ISNUMBER($M$5:M249)*($M$5:M249&gt;=2)))),"")</f>
        <v/>
      </c>
      <c r="AC249" s="34" t="str">
        <f aca="false">IF(AND(A249&lt;&gt;"",OR(L249="",L249="Undecided",K249="")),SUMPRODUCT(($A$5:A249&lt;&gt;"")*(($L$5:L249="")+($L$5:L249="Undecided")+($K$5:K249=""))&gt;0*1),"")</f>
        <v/>
      </c>
    </row>
    <row r="250" customFormat="false" ht="15" hidden="false" customHeight="false" outlineLevel="0" collapsed="false">
      <c r="A250" s="29"/>
      <c r="B250" s="30"/>
      <c r="C250" s="30"/>
      <c r="D250" s="30"/>
      <c r="E250" s="30"/>
      <c r="F250" s="30"/>
      <c r="G250" s="30"/>
      <c r="H250" s="30"/>
      <c r="I250" s="30"/>
      <c r="J250" s="30"/>
      <c r="K250" s="30"/>
      <c r="L250" s="30"/>
      <c r="M250" s="20" t="str">
        <f aca="false">IF(A250="","",IF(V250="",0,IF(W250="",1,IF(X250="",2,IF(Y250="",3,"4+")))))</f>
        <v/>
      </c>
      <c r="N250" s="20" t="str">
        <f aca="false">IF(A250="","",A250&amp;IF(V250="",""," &lt;- "&amp;V250&amp;IF(W250="",""," &lt;- "&amp;W250&amp;IF(X250="",""," &lt;- "&amp;X250&amp;IF(Y250="",""," &lt;- "&amp;Y250))))&amp;IF(ISNUMBER(FIND(",",D250))," (+ other parents)",""))</f>
        <v/>
      </c>
      <c r="O250" s="20" t="str">
        <f aca="false">IF(A250="","",COUNTIF(Fields!$D:$D,A250))</f>
        <v/>
      </c>
      <c r="P250" s="20" t="str">
        <f aca="false">IF(A250="","",SUMIF(Fields!$D:$D,A250,Fields!$O:$O))</f>
        <v/>
      </c>
      <c r="Q250" s="30"/>
      <c r="R250" s="30"/>
      <c r="S250" s="30"/>
      <c r="T250" s="30"/>
      <c r="U250" s="30"/>
      <c r="V250" s="34" t="str">
        <f aca="false">IF(A250="","",IF(IFERROR(INDEX($D:$D,MATCH(A250,$A:$A,0)),"")="","",TRIM(IF(ISNUMBER(FIND(",",IFERROR(INDEX($D:$D,MATCH(A250,$A:$A,0)),""))),LEFT(IFERROR(INDEX($D:$D,MATCH(A250,$A:$A,0)),""),FIND(",",IFERROR(INDEX($D:$D,MATCH(A250,$A:$A,0)),""))-1),IFERROR(INDEX($D:$D,MATCH(A250,$A:$A,0)),"")))))</f>
        <v/>
      </c>
      <c r="W250" s="34" t="str">
        <f aca="false">IF(V250="","",IF(IFERROR(INDEX($D:$D,MATCH(V250,$A:$A,0)),"")="","",TRIM(IF(ISNUMBER(FIND(",",IFERROR(INDEX($D:$D,MATCH(V250,$A:$A,0)),""))),LEFT(IFERROR(INDEX($D:$D,MATCH(V250,$A:$A,0)),""),FIND(",",IFERROR(INDEX($D:$D,MATCH(V250,$A:$A,0)),""))-1),IFERROR(INDEX($D:$D,MATCH(V250,$A:$A,0)),"")))))</f>
        <v/>
      </c>
      <c r="X250" s="34" t="str">
        <f aca="false">IF(W250="","",IF(IFERROR(INDEX($D:$D,MATCH(W250,$A:$A,0)),"")="","",TRIM(IF(ISNUMBER(FIND(",",IFERROR(INDEX($D:$D,MATCH(W250,$A:$A,0)),""))),LEFT(IFERROR(INDEX($D:$D,MATCH(W250,$A:$A,0)),""),FIND(",",IFERROR(INDEX($D:$D,MATCH(W250,$A:$A,0)),""))-1),IFERROR(INDEX($D:$D,MATCH(W250,$A:$A,0)),"")))))</f>
        <v/>
      </c>
      <c r="Y250" s="34" t="str">
        <f aca="false">IF(X250="","",IF(IFERROR(INDEX($D:$D,MATCH(X250,$A:$A,0)),"")="","",TRIM(IF(ISNUMBER(FIND(",",IFERROR(INDEX($D:$D,MATCH(X250,$A:$A,0)),""))),LEFT(IFERROR(INDEX($D:$D,MATCH(X250,$A:$A,0)),""),FIND(",",IFERROR(INDEX($D:$D,MATCH(X250,$A:$A,0)),""))-1),IFERROR(INDEX($D:$D,MATCH(X250,$A:$A,0)),"")))))</f>
        <v/>
      </c>
      <c r="Z250" s="34" t="str">
        <f aca="false">IF(AND(A250&lt;&gt;"",L250="Retire"),COUNTIF($L$5:L250,"Retire"),"")</f>
        <v/>
      </c>
      <c r="AA250" s="34" t="str">
        <f aca="false">IF(AND(A250&lt;&gt;"",L250="Build"),COUNTIF($L$5:L250,"Build"),"")</f>
        <v/>
      </c>
      <c r="AB250" s="34" t="str">
        <f aca="false">IF(AND(A250&lt;&gt;"",OR(M250="4+",AND(ISNUMBER(M250),M250&gt;=2))),SUMPRODUCT(($A$5:A250&lt;&gt;"")*(($M$5:M250="4+")+(ISNUMBER($M$5:M250)*($M$5:M250&gt;=2)))),"")</f>
        <v/>
      </c>
      <c r="AC250" s="34" t="str">
        <f aca="false">IF(AND(A250&lt;&gt;"",OR(L250="",L250="Undecided",K250="")),SUMPRODUCT(($A$5:A250&lt;&gt;"")*(($L$5:L250="")+($L$5:L250="Undecided")+($K$5:K250=""))&gt;0*1),"")</f>
        <v/>
      </c>
    </row>
    <row r="251" customFormat="false" ht="15" hidden="false" customHeight="false" outlineLevel="0" collapsed="false">
      <c r="A251" s="29"/>
      <c r="B251" s="30"/>
      <c r="C251" s="30"/>
      <c r="D251" s="30"/>
      <c r="E251" s="30"/>
      <c r="F251" s="30"/>
      <c r="G251" s="30"/>
      <c r="H251" s="30"/>
      <c r="I251" s="30"/>
      <c r="J251" s="30"/>
      <c r="K251" s="30"/>
      <c r="L251" s="30"/>
      <c r="M251" s="20" t="str">
        <f aca="false">IF(A251="","",IF(V251="",0,IF(W251="",1,IF(X251="",2,IF(Y251="",3,"4+")))))</f>
        <v/>
      </c>
      <c r="N251" s="20" t="str">
        <f aca="false">IF(A251="","",A251&amp;IF(V251="",""," &lt;- "&amp;V251&amp;IF(W251="",""," &lt;- "&amp;W251&amp;IF(X251="",""," &lt;- "&amp;X251&amp;IF(Y251="",""," &lt;- "&amp;Y251))))&amp;IF(ISNUMBER(FIND(",",D251))," (+ other parents)",""))</f>
        <v/>
      </c>
      <c r="O251" s="20" t="str">
        <f aca="false">IF(A251="","",COUNTIF(Fields!$D:$D,A251))</f>
        <v/>
      </c>
      <c r="P251" s="20" t="str">
        <f aca="false">IF(A251="","",SUMIF(Fields!$D:$D,A251,Fields!$O:$O))</f>
        <v/>
      </c>
      <c r="Q251" s="30"/>
      <c r="R251" s="30"/>
      <c r="S251" s="30"/>
      <c r="T251" s="30"/>
      <c r="U251" s="30"/>
      <c r="V251" s="34" t="str">
        <f aca="false">IF(A251="","",IF(IFERROR(INDEX($D:$D,MATCH(A251,$A:$A,0)),"")="","",TRIM(IF(ISNUMBER(FIND(",",IFERROR(INDEX($D:$D,MATCH(A251,$A:$A,0)),""))),LEFT(IFERROR(INDEX($D:$D,MATCH(A251,$A:$A,0)),""),FIND(",",IFERROR(INDEX($D:$D,MATCH(A251,$A:$A,0)),""))-1),IFERROR(INDEX($D:$D,MATCH(A251,$A:$A,0)),"")))))</f>
        <v/>
      </c>
      <c r="W251" s="34" t="str">
        <f aca="false">IF(V251="","",IF(IFERROR(INDEX($D:$D,MATCH(V251,$A:$A,0)),"")="","",TRIM(IF(ISNUMBER(FIND(",",IFERROR(INDEX($D:$D,MATCH(V251,$A:$A,0)),""))),LEFT(IFERROR(INDEX($D:$D,MATCH(V251,$A:$A,0)),""),FIND(",",IFERROR(INDEX($D:$D,MATCH(V251,$A:$A,0)),""))-1),IFERROR(INDEX($D:$D,MATCH(V251,$A:$A,0)),"")))))</f>
        <v/>
      </c>
      <c r="X251" s="34" t="str">
        <f aca="false">IF(W251="","",IF(IFERROR(INDEX($D:$D,MATCH(W251,$A:$A,0)),"")="","",TRIM(IF(ISNUMBER(FIND(",",IFERROR(INDEX($D:$D,MATCH(W251,$A:$A,0)),""))),LEFT(IFERROR(INDEX($D:$D,MATCH(W251,$A:$A,0)),""),FIND(",",IFERROR(INDEX($D:$D,MATCH(W251,$A:$A,0)),""))-1),IFERROR(INDEX($D:$D,MATCH(W251,$A:$A,0)),"")))))</f>
        <v/>
      </c>
      <c r="Y251" s="34" t="str">
        <f aca="false">IF(X251="","",IF(IFERROR(INDEX($D:$D,MATCH(X251,$A:$A,0)),"")="","",TRIM(IF(ISNUMBER(FIND(",",IFERROR(INDEX($D:$D,MATCH(X251,$A:$A,0)),""))),LEFT(IFERROR(INDEX($D:$D,MATCH(X251,$A:$A,0)),""),FIND(",",IFERROR(INDEX($D:$D,MATCH(X251,$A:$A,0)),""))-1),IFERROR(INDEX($D:$D,MATCH(X251,$A:$A,0)),"")))))</f>
        <v/>
      </c>
      <c r="Z251" s="34" t="str">
        <f aca="false">IF(AND(A251&lt;&gt;"",L251="Retire"),COUNTIF($L$5:L251,"Retire"),"")</f>
        <v/>
      </c>
      <c r="AA251" s="34" t="str">
        <f aca="false">IF(AND(A251&lt;&gt;"",L251="Build"),COUNTIF($L$5:L251,"Build"),"")</f>
        <v/>
      </c>
      <c r="AB251" s="34" t="str">
        <f aca="false">IF(AND(A251&lt;&gt;"",OR(M251="4+",AND(ISNUMBER(M251),M251&gt;=2))),SUMPRODUCT(($A$5:A251&lt;&gt;"")*(($M$5:M251="4+")+(ISNUMBER($M$5:M251)*($M$5:M251&gt;=2)))),"")</f>
        <v/>
      </c>
      <c r="AC251" s="34" t="str">
        <f aca="false">IF(AND(A251&lt;&gt;"",OR(L251="",L251="Undecided",K251="")),SUMPRODUCT(($A$5:A251&lt;&gt;"")*(($L$5:L251="")+($L$5:L251="Undecided")+($K$5:K251=""))&gt;0*1),"")</f>
        <v/>
      </c>
    </row>
    <row r="252" customFormat="false" ht="15" hidden="false" customHeight="false" outlineLevel="0" collapsed="false">
      <c r="A252" s="29"/>
      <c r="B252" s="30"/>
      <c r="C252" s="30"/>
      <c r="D252" s="30"/>
      <c r="E252" s="30"/>
      <c r="F252" s="30"/>
      <c r="G252" s="30"/>
      <c r="H252" s="30"/>
      <c r="I252" s="30"/>
      <c r="J252" s="30"/>
      <c r="K252" s="30"/>
      <c r="L252" s="30"/>
      <c r="M252" s="20" t="str">
        <f aca="false">IF(A252="","",IF(V252="",0,IF(W252="",1,IF(X252="",2,IF(Y252="",3,"4+")))))</f>
        <v/>
      </c>
      <c r="N252" s="20" t="str">
        <f aca="false">IF(A252="","",A252&amp;IF(V252="",""," &lt;- "&amp;V252&amp;IF(W252="",""," &lt;- "&amp;W252&amp;IF(X252="",""," &lt;- "&amp;X252&amp;IF(Y252="",""," &lt;- "&amp;Y252))))&amp;IF(ISNUMBER(FIND(",",D252))," (+ other parents)",""))</f>
        <v/>
      </c>
      <c r="O252" s="20" t="str">
        <f aca="false">IF(A252="","",COUNTIF(Fields!$D:$D,A252))</f>
        <v/>
      </c>
      <c r="P252" s="20" t="str">
        <f aca="false">IF(A252="","",SUMIF(Fields!$D:$D,A252,Fields!$O:$O))</f>
        <v/>
      </c>
      <c r="Q252" s="30"/>
      <c r="R252" s="30"/>
      <c r="S252" s="30"/>
      <c r="T252" s="30"/>
      <c r="U252" s="30"/>
      <c r="V252" s="34" t="str">
        <f aca="false">IF(A252="","",IF(IFERROR(INDEX($D:$D,MATCH(A252,$A:$A,0)),"")="","",TRIM(IF(ISNUMBER(FIND(",",IFERROR(INDEX($D:$D,MATCH(A252,$A:$A,0)),""))),LEFT(IFERROR(INDEX($D:$D,MATCH(A252,$A:$A,0)),""),FIND(",",IFERROR(INDEX($D:$D,MATCH(A252,$A:$A,0)),""))-1),IFERROR(INDEX($D:$D,MATCH(A252,$A:$A,0)),"")))))</f>
        <v/>
      </c>
      <c r="W252" s="34" t="str">
        <f aca="false">IF(V252="","",IF(IFERROR(INDEX($D:$D,MATCH(V252,$A:$A,0)),"")="","",TRIM(IF(ISNUMBER(FIND(",",IFERROR(INDEX($D:$D,MATCH(V252,$A:$A,0)),""))),LEFT(IFERROR(INDEX($D:$D,MATCH(V252,$A:$A,0)),""),FIND(",",IFERROR(INDEX($D:$D,MATCH(V252,$A:$A,0)),""))-1),IFERROR(INDEX($D:$D,MATCH(V252,$A:$A,0)),"")))))</f>
        <v/>
      </c>
      <c r="X252" s="34" t="str">
        <f aca="false">IF(W252="","",IF(IFERROR(INDEX($D:$D,MATCH(W252,$A:$A,0)),"")="","",TRIM(IF(ISNUMBER(FIND(",",IFERROR(INDEX($D:$D,MATCH(W252,$A:$A,0)),""))),LEFT(IFERROR(INDEX($D:$D,MATCH(W252,$A:$A,0)),""),FIND(",",IFERROR(INDEX($D:$D,MATCH(W252,$A:$A,0)),""))-1),IFERROR(INDEX($D:$D,MATCH(W252,$A:$A,0)),"")))))</f>
        <v/>
      </c>
      <c r="Y252" s="34" t="str">
        <f aca="false">IF(X252="","",IF(IFERROR(INDEX($D:$D,MATCH(X252,$A:$A,0)),"")="","",TRIM(IF(ISNUMBER(FIND(",",IFERROR(INDEX($D:$D,MATCH(X252,$A:$A,0)),""))),LEFT(IFERROR(INDEX($D:$D,MATCH(X252,$A:$A,0)),""),FIND(",",IFERROR(INDEX($D:$D,MATCH(X252,$A:$A,0)),""))-1),IFERROR(INDEX($D:$D,MATCH(X252,$A:$A,0)),"")))))</f>
        <v/>
      </c>
      <c r="Z252" s="34" t="str">
        <f aca="false">IF(AND(A252&lt;&gt;"",L252="Retire"),COUNTIF($L$5:L252,"Retire"),"")</f>
        <v/>
      </c>
      <c r="AA252" s="34" t="str">
        <f aca="false">IF(AND(A252&lt;&gt;"",L252="Build"),COUNTIF($L$5:L252,"Build"),"")</f>
        <v/>
      </c>
      <c r="AB252" s="34" t="str">
        <f aca="false">IF(AND(A252&lt;&gt;"",OR(M252="4+",AND(ISNUMBER(M252),M252&gt;=2))),SUMPRODUCT(($A$5:A252&lt;&gt;"")*(($M$5:M252="4+")+(ISNUMBER($M$5:M252)*($M$5:M252&gt;=2)))),"")</f>
        <v/>
      </c>
      <c r="AC252" s="34" t="str">
        <f aca="false">IF(AND(A252&lt;&gt;"",OR(L252="",L252="Undecided",K252="")),SUMPRODUCT(($A$5:A252&lt;&gt;"")*(($L$5:L252="")+($L$5:L252="Undecided")+($K$5:K252=""))&gt;0*1),"")</f>
        <v/>
      </c>
    </row>
    <row r="253" customFormat="false" ht="15" hidden="false" customHeight="false" outlineLevel="0" collapsed="false">
      <c r="A253" s="29"/>
      <c r="B253" s="30"/>
      <c r="C253" s="30"/>
      <c r="D253" s="30"/>
      <c r="E253" s="30"/>
      <c r="F253" s="30"/>
      <c r="G253" s="30"/>
      <c r="H253" s="30"/>
      <c r="I253" s="30"/>
      <c r="J253" s="30"/>
      <c r="K253" s="30"/>
      <c r="L253" s="30"/>
      <c r="M253" s="20" t="str">
        <f aca="false">IF(A253="","",IF(V253="",0,IF(W253="",1,IF(X253="",2,IF(Y253="",3,"4+")))))</f>
        <v/>
      </c>
      <c r="N253" s="20" t="str">
        <f aca="false">IF(A253="","",A253&amp;IF(V253="",""," &lt;- "&amp;V253&amp;IF(W253="",""," &lt;- "&amp;W253&amp;IF(X253="",""," &lt;- "&amp;X253&amp;IF(Y253="",""," &lt;- "&amp;Y253))))&amp;IF(ISNUMBER(FIND(",",D253))," (+ other parents)",""))</f>
        <v/>
      </c>
      <c r="O253" s="20" t="str">
        <f aca="false">IF(A253="","",COUNTIF(Fields!$D:$D,A253))</f>
        <v/>
      </c>
      <c r="P253" s="20" t="str">
        <f aca="false">IF(A253="","",SUMIF(Fields!$D:$D,A253,Fields!$O:$O))</f>
        <v/>
      </c>
      <c r="Q253" s="30"/>
      <c r="R253" s="30"/>
      <c r="S253" s="30"/>
      <c r="T253" s="30"/>
      <c r="U253" s="30"/>
      <c r="V253" s="34" t="str">
        <f aca="false">IF(A253="","",IF(IFERROR(INDEX($D:$D,MATCH(A253,$A:$A,0)),"")="","",TRIM(IF(ISNUMBER(FIND(",",IFERROR(INDEX($D:$D,MATCH(A253,$A:$A,0)),""))),LEFT(IFERROR(INDEX($D:$D,MATCH(A253,$A:$A,0)),""),FIND(",",IFERROR(INDEX($D:$D,MATCH(A253,$A:$A,0)),""))-1),IFERROR(INDEX($D:$D,MATCH(A253,$A:$A,0)),"")))))</f>
        <v/>
      </c>
      <c r="W253" s="34" t="str">
        <f aca="false">IF(V253="","",IF(IFERROR(INDEX($D:$D,MATCH(V253,$A:$A,0)),"")="","",TRIM(IF(ISNUMBER(FIND(",",IFERROR(INDEX($D:$D,MATCH(V253,$A:$A,0)),""))),LEFT(IFERROR(INDEX($D:$D,MATCH(V253,$A:$A,0)),""),FIND(",",IFERROR(INDEX($D:$D,MATCH(V253,$A:$A,0)),""))-1),IFERROR(INDEX($D:$D,MATCH(V253,$A:$A,0)),"")))))</f>
        <v/>
      </c>
      <c r="X253" s="34" t="str">
        <f aca="false">IF(W253="","",IF(IFERROR(INDEX($D:$D,MATCH(W253,$A:$A,0)),"")="","",TRIM(IF(ISNUMBER(FIND(",",IFERROR(INDEX($D:$D,MATCH(W253,$A:$A,0)),""))),LEFT(IFERROR(INDEX($D:$D,MATCH(W253,$A:$A,0)),""),FIND(",",IFERROR(INDEX($D:$D,MATCH(W253,$A:$A,0)),""))-1),IFERROR(INDEX($D:$D,MATCH(W253,$A:$A,0)),"")))))</f>
        <v/>
      </c>
      <c r="Y253" s="34" t="str">
        <f aca="false">IF(X253="","",IF(IFERROR(INDEX($D:$D,MATCH(X253,$A:$A,0)),"")="","",TRIM(IF(ISNUMBER(FIND(",",IFERROR(INDEX($D:$D,MATCH(X253,$A:$A,0)),""))),LEFT(IFERROR(INDEX($D:$D,MATCH(X253,$A:$A,0)),""),FIND(",",IFERROR(INDEX($D:$D,MATCH(X253,$A:$A,0)),""))-1),IFERROR(INDEX($D:$D,MATCH(X253,$A:$A,0)),"")))))</f>
        <v/>
      </c>
      <c r="Z253" s="34" t="str">
        <f aca="false">IF(AND(A253&lt;&gt;"",L253="Retire"),COUNTIF($L$5:L253,"Retire"),"")</f>
        <v/>
      </c>
      <c r="AA253" s="34" t="str">
        <f aca="false">IF(AND(A253&lt;&gt;"",L253="Build"),COUNTIF($L$5:L253,"Build"),"")</f>
        <v/>
      </c>
      <c r="AB253" s="34" t="str">
        <f aca="false">IF(AND(A253&lt;&gt;"",OR(M253="4+",AND(ISNUMBER(M253),M253&gt;=2))),SUMPRODUCT(($A$5:A253&lt;&gt;"")*(($M$5:M253="4+")+(ISNUMBER($M$5:M253)*($M$5:M253&gt;=2)))),"")</f>
        <v/>
      </c>
      <c r="AC253" s="34" t="str">
        <f aca="false">IF(AND(A253&lt;&gt;"",OR(L253="",L253="Undecided",K253="")),SUMPRODUCT(($A$5:A253&lt;&gt;"")*(($L$5:L253="")+($L$5:L253="Undecided")+($K$5:K253=""))&gt;0*1),"")</f>
        <v/>
      </c>
    </row>
    <row r="254" customFormat="false" ht="15" hidden="false" customHeight="false" outlineLevel="0" collapsed="false">
      <c r="A254" s="29"/>
      <c r="B254" s="30"/>
      <c r="C254" s="30"/>
      <c r="D254" s="30"/>
      <c r="E254" s="30"/>
      <c r="F254" s="30"/>
      <c r="G254" s="30"/>
      <c r="H254" s="30"/>
      <c r="I254" s="30"/>
      <c r="J254" s="30"/>
      <c r="K254" s="30"/>
      <c r="L254" s="30"/>
      <c r="M254" s="20" t="str">
        <f aca="false">IF(A254="","",IF(V254="",0,IF(W254="",1,IF(X254="",2,IF(Y254="",3,"4+")))))</f>
        <v/>
      </c>
      <c r="N254" s="20" t="str">
        <f aca="false">IF(A254="","",A254&amp;IF(V254="",""," &lt;- "&amp;V254&amp;IF(W254="",""," &lt;- "&amp;W254&amp;IF(X254="",""," &lt;- "&amp;X254&amp;IF(Y254="",""," &lt;- "&amp;Y254))))&amp;IF(ISNUMBER(FIND(",",D254))," (+ other parents)",""))</f>
        <v/>
      </c>
      <c r="O254" s="20" t="str">
        <f aca="false">IF(A254="","",COUNTIF(Fields!$D:$D,A254))</f>
        <v/>
      </c>
      <c r="P254" s="20" t="str">
        <f aca="false">IF(A254="","",SUMIF(Fields!$D:$D,A254,Fields!$O:$O))</f>
        <v/>
      </c>
      <c r="Q254" s="30"/>
      <c r="R254" s="30"/>
      <c r="S254" s="30"/>
      <c r="T254" s="30"/>
      <c r="U254" s="30"/>
      <c r="V254" s="34" t="str">
        <f aca="false">IF(A254="","",IF(IFERROR(INDEX($D:$D,MATCH(A254,$A:$A,0)),"")="","",TRIM(IF(ISNUMBER(FIND(",",IFERROR(INDEX($D:$D,MATCH(A254,$A:$A,0)),""))),LEFT(IFERROR(INDEX($D:$D,MATCH(A254,$A:$A,0)),""),FIND(",",IFERROR(INDEX($D:$D,MATCH(A254,$A:$A,0)),""))-1),IFERROR(INDEX($D:$D,MATCH(A254,$A:$A,0)),"")))))</f>
        <v/>
      </c>
      <c r="W254" s="34" t="str">
        <f aca="false">IF(V254="","",IF(IFERROR(INDEX($D:$D,MATCH(V254,$A:$A,0)),"")="","",TRIM(IF(ISNUMBER(FIND(",",IFERROR(INDEX($D:$D,MATCH(V254,$A:$A,0)),""))),LEFT(IFERROR(INDEX($D:$D,MATCH(V254,$A:$A,0)),""),FIND(",",IFERROR(INDEX($D:$D,MATCH(V254,$A:$A,0)),""))-1),IFERROR(INDEX($D:$D,MATCH(V254,$A:$A,0)),"")))))</f>
        <v/>
      </c>
      <c r="X254" s="34" t="str">
        <f aca="false">IF(W254="","",IF(IFERROR(INDEX($D:$D,MATCH(W254,$A:$A,0)),"")="","",TRIM(IF(ISNUMBER(FIND(",",IFERROR(INDEX($D:$D,MATCH(W254,$A:$A,0)),""))),LEFT(IFERROR(INDEX($D:$D,MATCH(W254,$A:$A,0)),""),FIND(",",IFERROR(INDEX($D:$D,MATCH(W254,$A:$A,0)),""))-1),IFERROR(INDEX($D:$D,MATCH(W254,$A:$A,0)),"")))))</f>
        <v/>
      </c>
      <c r="Y254" s="34" t="str">
        <f aca="false">IF(X254="","",IF(IFERROR(INDEX($D:$D,MATCH(X254,$A:$A,0)),"")="","",TRIM(IF(ISNUMBER(FIND(",",IFERROR(INDEX($D:$D,MATCH(X254,$A:$A,0)),""))),LEFT(IFERROR(INDEX($D:$D,MATCH(X254,$A:$A,0)),""),FIND(",",IFERROR(INDEX($D:$D,MATCH(X254,$A:$A,0)),""))-1),IFERROR(INDEX($D:$D,MATCH(X254,$A:$A,0)),"")))))</f>
        <v/>
      </c>
      <c r="Z254" s="34" t="str">
        <f aca="false">IF(AND(A254&lt;&gt;"",L254="Retire"),COUNTIF($L$5:L254,"Retire"),"")</f>
        <v/>
      </c>
      <c r="AA254" s="34" t="str">
        <f aca="false">IF(AND(A254&lt;&gt;"",L254="Build"),COUNTIF($L$5:L254,"Build"),"")</f>
        <v/>
      </c>
      <c r="AB254" s="34" t="str">
        <f aca="false">IF(AND(A254&lt;&gt;"",OR(M254="4+",AND(ISNUMBER(M254),M254&gt;=2))),SUMPRODUCT(($A$5:A254&lt;&gt;"")*(($M$5:M254="4+")+(ISNUMBER($M$5:M254)*($M$5:M254&gt;=2)))),"")</f>
        <v/>
      </c>
      <c r="AC254" s="34" t="str">
        <f aca="false">IF(AND(A254&lt;&gt;"",OR(L254="",L254="Undecided",K254="")),SUMPRODUCT(($A$5:A254&lt;&gt;"")*(($L$5:L254="")+($L$5:L254="Undecided")+($K$5:K254=""))&gt;0*1),"")</f>
        <v/>
      </c>
    </row>
  </sheetData>
  <autoFilter ref="A4:AC254"/>
  <conditionalFormatting sqref="L5:L254">
    <cfRule type="cellIs" priority="2" operator="equal" aboveAverage="0" equalAverage="0" bottom="0" percent="0" rank="0" text="" dxfId="16">
      <formula>"Retire"</formula>
    </cfRule>
    <cfRule type="cellIs" priority="3" operator="equal" aboveAverage="0" equalAverage="0" bottom="0" percent="0" rank="0" text="" dxfId="14">
      <formula>"Build"</formula>
    </cfRule>
    <cfRule type="cellIs" priority="4" operator="equal" aboveAverage="0" equalAverage="0" bottom="0" percent="0" rank="0" text="" dxfId="15">
      <formula>"Fix upstream"</formula>
    </cfRule>
    <cfRule type="cellIs" priority="5" operator="equal" aboveAverage="0" equalAverage="0" bottom="0" percent="0" rank="0" text="" dxfId="17">
      <formula>"Move to business rules"</formula>
    </cfRule>
    <cfRule type="cellIs" priority="6" operator="equal" aboveAverage="0" equalAverage="0" bottom="0" percent="0" rank="0" text="" dxfId="17">
      <formula>"Merge into certified table"</formula>
    </cfRule>
  </conditionalFormatting>
  <conditionalFormatting sqref="M5:M254">
    <cfRule type="cellIs" priority="7" operator="greaterThanOrEqual" aboveAverage="0" equalAverage="0" bottom="0" percent="0" rank="0" text="" dxfId="16">
      <formula>2</formula>
    </cfRule>
    <cfRule type="cellIs" priority="8" operator="equal" aboveAverage="0" equalAverage="0" bottom="0" percent="0" rank="0" text="" dxfId="16">
      <formula>"4+"</formula>
    </cfRule>
  </conditionalFormatting>
  <dataValidations count="6">
    <dataValidation allowBlank="true" errorStyle="stop" operator="between" showDropDown="false" showErrorMessage="false" showInputMessage="false" sqref="C5:C84" type="list">
      <formula1>"HRDW,Team custom,Platform,Other"</formula1>
      <formula2>0</formula2>
    </dataValidation>
    <dataValidation allowBlank="true" errorStyle="stop" operator="between" showDropDown="false" showErrorMessage="false" showInputMessage="false" sqref="I5:I84" type="list">
      <formula1>"Real time,Daily,Weekly,Monthly,On request,Unknown"</formula1>
      <formula2>0</formula2>
    </dataValidation>
    <dataValidation allowBlank="true" errorStyle="stop" operator="between" showDropDown="false" showErrorMessage="false" showInputMessage="false" sqref="J5:J84" type="list">
      <formula1>"Active,Proposed,Retire,Unknown"</formula1>
      <formula2>0</formula2>
    </dataValidation>
    <dataValidation allowBlank="true" errorStyle="stop" operator="between" showDropDown="false" showErrorMessage="false" showInputMessage="false" sqref="K5:K84" type="list">
      <formula1>"Source tables,Business rules,Certified tables,Reporting"</formula1>
      <formula2>0</formula2>
    </dataValidation>
    <dataValidation allowBlank="true" errorStyle="stop" operator="between" showDropDown="false" showErrorMessage="false" showInputMessage="false" sqref="L5:L84" type="list">
      <formula1>"Keep as is,Build,Fix upstream,Move to business rules,Merge into certified table,Retire,Undecided"</formula1>
      <formula2>0</formula2>
    </dataValidation>
    <dataValidation allowBlank="true" errorStyle="stop" operator="between" showDropDown="false" showErrorMessage="false" showInputMessage="false" sqref="S5:S84" type="list">
      <formula1>"Found,Inferred,Guessed,Human"</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A5C"/>
    <pageSetUpPr fitToPage="true"/>
  </sheetPr>
  <dimension ref="A1:V6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8"/>
    <col collapsed="false" customWidth="true" hidden="false" outlineLevel="0" max="4" min="3" style="0" width="10"/>
    <col collapsed="false" customWidth="true" hidden="false" outlineLevel="0" max="5" min="5" style="0" width="26"/>
    <col collapsed="false" customWidth="true" hidden="false" outlineLevel="0" max="6" min="6" style="0" width="12"/>
    <col collapsed="false" customWidth="true" hidden="false" outlineLevel="0" max="7" min="7" style="0" width="16"/>
    <col collapsed="false" customWidth="true" hidden="false" outlineLevel="0" max="8" min="8" style="0" width="50"/>
    <col collapsed="false" customWidth="true" hidden="false" outlineLevel="0" max="9" min="9" style="0" width="12"/>
    <col collapsed="false" customWidth="true" hidden="false" outlineLevel="0" max="10" min="10" style="0" width="15"/>
    <col collapsed="false" customWidth="true" hidden="false" outlineLevel="0" max="11" min="11" style="0" width="24"/>
    <col collapsed="false" customWidth="true" hidden="false" outlineLevel="0" max="13" min="12" style="0" width="34"/>
    <col collapsed="false" customWidth="true" hidden="false" outlineLevel="0" max="15" min="14" style="0" width="10"/>
    <col collapsed="false" customWidth="true" hidden="false" outlineLevel="0" max="16" min="16" style="0" width="26"/>
    <col collapsed="false" customWidth="true" hidden="false" outlineLevel="0" max="17" min="17" style="0" width="11"/>
    <col collapsed="false" customWidth="true" hidden="false" outlineLevel="0" max="18" min="18" style="0" width="12"/>
    <col collapsed="false" customWidth="true" hidden="false" outlineLevel="0" max="19" min="19" style="0" width="14"/>
    <col collapsed="false" customWidth="true" hidden="false" outlineLevel="0" max="22" min="20" style="0" width="8"/>
  </cols>
  <sheetData>
    <row r="1" customFormat="false" ht="17.35" hidden="false" customHeight="false" outlineLevel="0" collapsed="false">
      <c r="A1" s="1" t="s">
        <v>13</v>
      </c>
    </row>
    <row r="2" customFormat="false" ht="15" hidden="false" customHeight="false" outlineLevel="0" collapsed="false">
      <c r="A2" s="2" t="s">
        <v>442</v>
      </c>
    </row>
    <row r="4" customFormat="false" ht="31.5" hidden="false" customHeight="true" outlineLevel="0" collapsed="false">
      <c r="A4" s="21" t="s">
        <v>114</v>
      </c>
      <c r="B4" s="21" t="s">
        <v>115</v>
      </c>
      <c r="C4" s="21" t="s">
        <v>148</v>
      </c>
      <c r="D4" s="21" t="s">
        <v>92</v>
      </c>
      <c r="E4" s="21" t="s">
        <v>93</v>
      </c>
      <c r="F4" s="21" t="s">
        <v>94</v>
      </c>
      <c r="G4" s="21" t="s">
        <v>275</v>
      </c>
      <c r="H4" s="21" t="s">
        <v>278</v>
      </c>
      <c r="I4" s="21" t="s">
        <v>281</v>
      </c>
      <c r="J4" s="21" t="s">
        <v>68</v>
      </c>
      <c r="K4" s="21" t="s">
        <v>69</v>
      </c>
      <c r="L4" s="21" t="s">
        <v>285</v>
      </c>
      <c r="M4" s="21" t="s">
        <v>130</v>
      </c>
      <c r="N4" s="21" t="s">
        <v>118</v>
      </c>
      <c r="O4" s="21" t="s">
        <v>119</v>
      </c>
      <c r="P4" s="21" t="s">
        <v>171</v>
      </c>
      <c r="Q4" s="21" t="s">
        <v>174</v>
      </c>
      <c r="R4" s="21" t="s">
        <v>177</v>
      </c>
      <c r="S4" s="21" t="s">
        <v>180</v>
      </c>
      <c r="T4" s="31" t="s">
        <v>443</v>
      </c>
      <c r="U4" s="31" t="s">
        <v>444</v>
      </c>
      <c r="V4" s="31" t="s">
        <v>415</v>
      </c>
    </row>
    <row r="5" customFormat="false" ht="15" hidden="false" customHeight="false" outlineLevel="0" collapsed="false">
      <c r="A5" s="29" t="s">
        <v>291</v>
      </c>
      <c r="B5" s="30" t="s">
        <v>292</v>
      </c>
      <c r="C5" s="30" t="s">
        <v>445</v>
      </c>
      <c r="D5" s="29" t="s">
        <v>305</v>
      </c>
      <c r="E5" s="20" t="str">
        <f aca="false">IF(D5="","",IFERROR(INDEX(Tables!$B:$B,MATCH(D5,Tables!$A:$A,0)),"ID not found"))</f>
        <v>HRDW requisition table</v>
      </c>
      <c r="F5" s="20" t="str">
        <f aca="false">IF(D5="","",IFERROR(INDEX(Tables!$C:$C,MATCH(D5,Tables!$A:$A,0)),""))</f>
        <v>HRDW</v>
      </c>
      <c r="G5" s="30"/>
      <c r="H5" s="30"/>
      <c r="I5" s="30" t="s">
        <v>446</v>
      </c>
      <c r="J5" s="30" t="s">
        <v>71</v>
      </c>
      <c r="K5" s="30" t="s">
        <v>72</v>
      </c>
      <c r="L5" s="30"/>
      <c r="M5" s="30" t="s">
        <v>374</v>
      </c>
      <c r="N5" s="20" t="n">
        <f aca="false">IF(A5="","",COUNTIF('Metric to Field'!$B:$B,A5))</f>
        <v>1</v>
      </c>
      <c r="O5" s="20" t="n">
        <f aca="false">IF(A5="","",SUMIF('Metric to Field'!$B:$B,A5,'Metric to Field'!$F:$F))</f>
        <v>2</v>
      </c>
      <c r="P5" s="30" t="s">
        <v>173</v>
      </c>
      <c r="Q5" s="30" t="s">
        <v>176</v>
      </c>
      <c r="R5" s="30" t="s">
        <v>179</v>
      </c>
      <c r="S5" s="30"/>
      <c r="T5" s="34" t="str">
        <f aca="false">IF(AND(A5&lt;&gt;"",K5="Fix upstream"),COUNTIF($K$5:K5,"Fix upstream"),"")</f>
        <v/>
      </c>
      <c r="U5" s="34" t="str">
        <f aca="false">IF(AND(A5&lt;&gt;"",OR(K5="Move to business rules",K5="Merge into certified table")),COUNTIF($K$5:K5,"Move to business rules")+COUNTIF($K$5:K5,"Merge into certified table"),"")</f>
        <v/>
      </c>
      <c r="V5" s="34" t="str">
        <f aca="false">IF(AND(A5&lt;&gt;"",OR(K5="",K5="Undecided",J5="")),SUMPRODUCT(($A$5:A5&lt;&gt;"")*((($K$5:K5="")+($K$5:K5="Undecided")+($J$5:J5=""))&gt;0)),"")</f>
        <v/>
      </c>
    </row>
    <row r="6" customFormat="false" ht="15" hidden="false" customHeight="false" outlineLevel="0" collapsed="false">
      <c r="A6" s="29" t="s">
        <v>447</v>
      </c>
      <c r="B6" s="30" t="s">
        <v>448</v>
      </c>
      <c r="C6" s="30" t="s">
        <v>445</v>
      </c>
      <c r="D6" s="29" t="s">
        <v>421</v>
      </c>
      <c r="E6" s="20" t="str">
        <f aca="false">IF(D6="","",IFERROR(INDEX(Tables!$B:$B,MATCH(D6,Tables!$A:$A,0)),"ID not found"))</f>
        <v>HRDW offer table</v>
      </c>
      <c r="F6" s="20" t="str">
        <f aca="false">IF(D6="","",IFERROR(INDEX(Tables!$C:$C,MATCH(D6,Tables!$A:$A,0)),""))</f>
        <v>HRDW</v>
      </c>
      <c r="G6" s="30"/>
      <c r="H6" s="30"/>
      <c r="I6" s="30" t="s">
        <v>446</v>
      </c>
      <c r="J6" s="30" t="s">
        <v>71</v>
      </c>
      <c r="K6" s="30" t="s">
        <v>72</v>
      </c>
      <c r="L6" s="30"/>
      <c r="M6" s="30" t="s">
        <v>374</v>
      </c>
      <c r="N6" s="20" t="n">
        <f aca="false">IF(A6="","",COUNTIF('Metric to Field'!$B:$B,A6))</f>
        <v>2</v>
      </c>
      <c r="O6" s="20" t="n">
        <f aca="false">IF(A6="","",SUMIF('Metric to Field'!$B:$B,A6,'Metric to Field'!$F:$F))</f>
        <v>4</v>
      </c>
      <c r="P6" s="30" t="s">
        <v>173</v>
      </c>
      <c r="Q6" s="30" t="s">
        <v>176</v>
      </c>
      <c r="R6" s="30" t="s">
        <v>179</v>
      </c>
      <c r="S6" s="30"/>
      <c r="T6" s="34" t="str">
        <f aca="false">IF(AND(A6&lt;&gt;"",K6="Fix upstream"),COUNTIF($K$5:K6,"Fix upstream"),"")</f>
        <v/>
      </c>
      <c r="U6" s="34" t="str">
        <f aca="false">IF(AND(A6&lt;&gt;"",OR(K6="Move to business rules",K6="Merge into certified table")),COUNTIF($K$5:K6,"Move to business rules")+COUNTIF($K$5:K6,"Merge into certified table"),"")</f>
        <v/>
      </c>
      <c r="V6" s="34" t="str">
        <f aca="false">IF(AND(A6&lt;&gt;"",OR(K6="",K6="Undecided",J6="")),SUMPRODUCT(($A$5:A6&lt;&gt;"")*((($K$5:K6="")+($K$5:K6="Undecided")+($J$5:J6=""))&gt;0)),"")</f>
        <v/>
      </c>
    </row>
    <row r="7" customFormat="false" ht="23.85" hidden="false" customHeight="false" outlineLevel="0" collapsed="false">
      <c r="A7" s="29" t="s">
        <v>449</v>
      </c>
      <c r="B7" s="30" t="s">
        <v>450</v>
      </c>
      <c r="C7" s="30" t="s">
        <v>445</v>
      </c>
      <c r="D7" s="29" t="s">
        <v>305</v>
      </c>
      <c r="E7" s="20" t="str">
        <f aca="false">IF(D7="","",IFERROR(INDEX(Tables!$B:$B,MATCH(D7,Tables!$A:$A,0)),"ID not found"))</f>
        <v>HRDW requisition table</v>
      </c>
      <c r="F7" s="20" t="str">
        <f aca="false">IF(D7="","",IFERROR(INDEX(Tables!$C:$C,MATCH(D7,Tables!$A:$A,0)),""))</f>
        <v>HRDW</v>
      </c>
      <c r="G7" s="30"/>
      <c r="H7" s="30"/>
      <c r="I7" s="30" t="s">
        <v>117</v>
      </c>
      <c r="J7" s="30" t="s">
        <v>71</v>
      </c>
      <c r="K7" s="30" t="s">
        <v>78</v>
      </c>
      <c r="L7" s="30" t="s">
        <v>451</v>
      </c>
      <c r="M7" s="30" t="s">
        <v>374</v>
      </c>
      <c r="N7" s="20" t="n">
        <f aca="false">IF(A7="","",COUNTIF('Metric to Field'!$B:$B,A7))</f>
        <v>2</v>
      </c>
      <c r="O7" s="20" t="n">
        <f aca="false">IF(A7="","",SUMIF('Metric to Field'!$B:$B,A7,'Metric to Field'!$F:$F))</f>
        <v>3</v>
      </c>
      <c r="P7" s="30"/>
      <c r="Q7" s="30" t="s">
        <v>372</v>
      </c>
      <c r="R7" s="30" t="s">
        <v>179</v>
      </c>
      <c r="S7" s="30"/>
      <c r="T7" s="34" t="n">
        <f aca="false">IF(AND(A7&lt;&gt;"",K7="Fix upstream"),COUNTIF($K$5:K7,"Fix upstream"),"")</f>
        <v>1</v>
      </c>
      <c r="U7" s="34" t="str">
        <f aca="false">IF(AND(A7&lt;&gt;"",OR(K7="Move to business rules",K7="Merge into certified table")),COUNTIF($K$5:K7,"Move to business rules")+COUNTIF($K$5:K7,"Merge into certified table"),"")</f>
        <v/>
      </c>
      <c r="V7" s="34" t="str">
        <f aca="false">IF(AND(A7&lt;&gt;"",OR(K7="",K7="Undecided",J7="")),SUMPRODUCT(($A$5:A7&lt;&gt;"")*((($K$5:K7="")+($K$5:K7="Undecided")+($J$5:J7=""))&gt;0)),"")</f>
        <v/>
      </c>
    </row>
    <row r="8" customFormat="false" ht="15" hidden="false" customHeight="false" outlineLevel="0" collapsed="false">
      <c r="A8" s="29" t="s">
        <v>452</v>
      </c>
      <c r="B8" s="30" t="s">
        <v>453</v>
      </c>
      <c r="C8" s="30" t="s">
        <v>445</v>
      </c>
      <c r="D8" s="29" t="s">
        <v>305</v>
      </c>
      <c r="E8" s="20" t="str">
        <f aca="false">IF(D8="","",IFERROR(INDEX(Tables!$B:$B,MATCH(D8,Tables!$A:$A,0)),"ID not found"))</f>
        <v>HRDW requisition table</v>
      </c>
      <c r="F8" s="20" t="str">
        <f aca="false">IF(D8="","",IFERROR(INDEX(Tables!$C:$C,MATCH(D8,Tables!$A:$A,0)),""))</f>
        <v>HRDW</v>
      </c>
      <c r="G8" s="30"/>
      <c r="H8" s="30"/>
      <c r="I8" s="30" t="s">
        <v>446</v>
      </c>
      <c r="J8" s="30" t="s">
        <v>71</v>
      </c>
      <c r="K8" s="30" t="s">
        <v>72</v>
      </c>
      <c r="L8" s="30"/>
      <c r="M8" s="30" t="s">
        <v>374</v>
      </c>
      <c r="N8" s="20" t="n">
        <f aca="false">IF(A8="","",COUNTIF('Metric to Field'!$B:$B,A8))</f>
        <v>1</v>
      </c>
      <c r="O8" s="20" t="n">
        <f aca="false">IF(A8="","",SUMIF('Metric to Field'!$B:$B,A8,'Metric to Field'!$F:$F))</f>
        <v>2</v>
      </c>
      <c r="P8" s="30" t="s">
        <v>173</v>
      </c>
      <c r="Q8" s="30" t="s">
        <v>176</v>
      </c>
      <c r="R8" s="30" t="s">
        <v>179</v>
      </c>
      <c r="S8" s="30"/>
      <c r="T8" s="34" t="str">
        <f aca="false">IF(AND(A8&lt;&gt;"",K8="Fix upstream"),COUNTIF($K$5:K8,"Fix upstream"),"")</f>
        <v/>
      </c>
      <c r="U8" s="34" t="str">
        <f aca="false">IF(AND(A8&lt;&gt;"",OR(K8="Move to business rules",K8="Merge into certified table")),COUNTIF($K$5:K8,"Move to business rules")+COUNTIF($K$5:K8,"Merge into certified table"),"")</f>
        <v/>
      </c>
      <c r="V8" s="34" t="str">
        <f aca="false">IF(AND(A8&lt;&gt;"",OR(K8="",K8="Undecided",J8="")),SUMPRODUCT(($A$5:A8&lt;&gt;"")*((($K$5:K8="")+($K$5:K8="Undecided")+($J$5:J8=""))&gt;0)),"")</f>
        <v/>
      </c>
    </row>
    <row r="9" customFormat="false" ht="35.05" hidden="false" customHeight="false" outlineLevel="0" collapsed="false">
      <c r="A9" s="29" t="s">
        <v>454</v>
      </c>
      <c r="B9" s="30" t="s">
        <v>455</v>
      </c>
      <c r="C9" s="30" t="s">
        <v>270</v>
      </c>
      <c r="D9" s="29" t="s">
        <v>237</v>
      </c>
      <c r="E9" s="20" t="str">
        <f aca="false">IF(D9="","",IFERROR(INDEX(Tables!$B:$B,MATCH(D9,Tables!$A:$A,0)),"ID not found"))</f>
        <v>Requisition linkage table</v>
      </c>
      <c r="F9" s="20" t="str">
        <f aca="false">IF(D9="","",IFERROR(INDEX(Tables!$C:$C,MATCH(D9,Tables!$A:$A,0)),""))</f>
        <v>Team custom</v>
      </c>
      <c r="G9" s="30" t="s">
        <v>456</v>
      </c>
      <c r="H9" s="30" t="s">
        <v>457</v>
      </c>
      <c r="I9" s="30" t="s">
        <v>458</v>
      </c>
      <c r="J9" s="30" t="s">
        <v>74</v>
      </c>
      <c r="K9" s="30" t="s">
        <v>72</v>
      </c>
      <c r="L9" s="30"/>
      <c r="M9" s="30" t="s">
        <v>459</v>
      </c>
      <c r="N9" s="20" t="n">
        <f aca="false">IF(A9="","",COUNTIF('Metric to Field'!$B:$B,A9))</f>
        <v>1</v>
      </c>
      <c r="O9" s="20" t="n">
        <f aca="false">IF(A9="","",SUMIF('Metric to Field'!$B:$B,A9,'Metric to Field'!$F:$F))</f>
        <v>2</v>
      </c>
      <c r="P9" s="30" t="s">
        <v>426</v>
      </c>
      <c r="Q9" s="30" t="s">
        <v>176</v>
      </c>
      <c r="R9" s="30" t="s">
        <v>179</v>
      </c>
      <c r="S9" s="30"/>
      <c r="T9" s="34" t="str">
        <f aca="false">IF(AND(A9&lt;&gt;"",K9="Fix upstream"),COUNTIF($K$5:K9,"Fix upstream"),"")</f>
        <v/>
      </c>
      <c r="U9" s="34" t="str">
        <f aca="false">IF(AND(A9&lt;&gt;"",OR(K9="Move to business rules",K9="Merge into certified table")),COUNTIF($K$5:K9,"Move to business rules")+COUNTIF($K$5:K9,"Merge into certified table"),"")</f>
        <v/>
      </c>
      <c r="V9" s="34" t="str">
        <f aca="false">IF(AND(A9&lt;&gt;"",OR(K9="",K9="Undecided",J9="")),SUMPRODUCT(($A$5:A9&lt;&gt;"")*((($K$5:K9="")+($K$5:K9="Undecided")+($J$5:J9=""))&gt;0)),"")</f>
        <v/>
      </c>
    </row>
    <row r="10" customFormat="false" ht="15" hidden="false" customHeight="false" outlineLevel="0" collapsed="false">
      <c r="A10" s="29" t="s">
        <v>456</v>
      </c>
      <c r="B10" s="30" t="s">
        <v>460</v>
      </c>
      <c r="C10" s="30" t="s">
        <v>445</v>
      </c>
      <c r="D10" s="29" t="s">
        <v>418</v>
      </c>
      <c r="E10" s="20" t="str">
        <f aca="false">IF(D10="","",IFERROR(INDEX(Tables!$B:$B,MATCH(D10,Tables!$A:$A,0)),"ID not found"))</f>
        <v>HRDW requisition history table</v>
      </c>
      <c r="F10" s="20" t="str">
        <f aca="false">IF(D10="","",IFERROR(INDEX(Tables!$C:$C,MATCH(D10,Tables!$A:$A,0)),""))</f>
        <v>HRDW</v>
      </c>
      <c r="G10" s="30"/>
      <c r="H10" s="30"/>
      <c r="I10" s="30" t="s">
        <v>458</v>
      </c>
      <c r="J10" s="30" t="s">
        <v>71</v>
      </c>
      <c r="K10" s="30" t="s">
        <v>72</v>
      </c>
      <c r="L10" s="30"/>
      <c r="M10" s="30" t="s">
        <v>374</v>
      </c>
      <c r="N10" s="20" t="n">
        <f aca="false">IF(A10="","",COUNTIF('Metric to Field'!$B:$B,A10))</f>
        <v>0</v>
      </c>
      <c r="O10" s="20" t="n">
        <f aca="false">IF(A10="","",SUMIF('Metric to Field'!$B:$B,A10,'Metric to Field'!$F:$F))</f>
        <v>0</v>
      </c>
      <c r="P10" s="30"/>
      <c r="Q10" s="30" t="s">
        <v>372</v>
      </c>
      <c r="R10" s="30" t="s">
        <v>179</v>
      </c>
      <c r="S10" s="30"/>
      <c r="T10" s="34" t="str">
        <f aca="false">IF(AND(A10&lt;&gt;"",K10="Fix upstream"),COUNTIF($K$5:K10,"Fix upstream"),"")</f>
        <v/>
      </c>
      <c r="U10" s="34" t="str">
        <f aca="false">IF(AND(A10&lt;&gt;"",OR(K10="Move to business rules",K10="Merge into certified table")),COUNTIF($K$5:K10,"Move to business rules")+COUNTIF($K$5:K10,"Merge into certified table"),"")</f>
        <v/>
      </c>
      <c r="V10" s="34" t="str">
        <f aca="false">IF(AND(A10&lt;&gt;"",OR(K10="",K10="Undecided",J10="")),SUMPRODUCT(($A$5:A10&lt;&gt;"")*((($K$5:K10="")+($K$5:K10="Undecided")+($J$5:J10=""))&gt;0)),"")</f>
        <v/>
      </c>
    </row>
    <row r="11" customFormat="false" ht="15" hidden="false" customHeight="false" outlineLevel="0" collapsed="false">
      <c r="A11" s="29" t="s">
        <v>461</v>
      </c>
      <c r="B11" s="30" t="s">
        <v>462</v>
      </c>
      <c r="C11" s="30" t="s">
        <v>445</v>
      </c>
      <c r="D11" s="29" t="s">
        <v>418</v>
      </c>
      <c r="E11" s="20" t="str">
        <f aca="false">IF(D11="","",IFERROR(INDEX(Tables!$B:$B,MATCH(D11,Tables!$A:$A,0)),"ID not found"))</f>
        <v>HRDW requisition history table</v>
      </c>
      <c r="F11" s="20" t="str">
        <f aca="false">IF(D11="","",IFERROR(INDEX(Tables!$C:$C,MATCH(D11,Tables!$A:$A,0)),""))</f>
        <v>HRDW</v>
      </c>
      <c r="G11" s="30"/>
      <c r="H11" s="30"/>
      <c r="I11" s="30" t="s">
        <v>446</v>
      </c>
      <c r="J11" s="30" t="s">
        <v>71</v>
      </c>
      <c r="K11" s="30" t="s">
        <v>72</v>
      </c>
      <c r="L11" s="30"/>
      <c r="M11" s="30" t="s">
        <v>374</v>
      </c>
      <c r="N11" s="20" t="n">
        <f aca="false">IF(A11="","",COUNTIF('Metric to Field'!$B:$B,A11))</f>
        <v>0</v>
      </c>
      <c r="O11" s="20" t="n">
        <f aca="false">IF(A11="","",SUMIF('Metric to Field'!$B:$B,A11,'Metric to Field'!$F:$F))</f>
        <v>0</v>
      </c>
      <c r="P11" s="30"/>
      <c r="Q11" s="30" t="s">
        <v>372</v>
      </c>
      <c r="R11" s="30" t="s">
        <v>179</v>
      </c>
      <c r="S11" s="30"/>
      <c r="T11" s="34" t="str">
        <f aca="false">IF(AND(A11&lt;&gt;"",K11="Fix upstream"),COUNTIF($K$5:K11,"Fix upstream"),"")</f>
        <v/>
      </c>
      <c r="U11" s="34" t="str">
        <f aca="false">IF(AND(A11&lt;&gt;"",OR(K11="Move to business rules",K11="Merge into certified table")),COUNTIF($K$5:K11,"Move to business rules")+COUNTIF($K$5:K11,"Merge into certified table"),"")</f>
        <v/>
      </c>
      <c r="V11" s="34" t="str">
        <f aca="false">IF(AND(A11&lt;&gt;"",OR(K11="",K11="Undecided",J11="")),SUMPRODUCT(($A$5:A11&lt;&gt;"")*((($K$5:K11="")+($K$5:K11="Undecided")+($J$5:J11=""))&gt;0)),"")</f>
        <v/>
      </c>
    </row>
    <row r="12" customFormat="false" ht="35.05" hidden="false" customHeight="false" outlineLevel="0" collapsed="false">
      <c r="A12" s="29" t="s">
        <v>266</v>
      </c>
      <c r="B12" s="30" t="s">
        <v>268</v>
      </c>
      <c r="C12" s="30" t="s">
        <v>270</v>
      </c>
      <c r="D12" s="29" t="s">
        <v>272</v>
      </c>
      <c r="E12" s="20" t="str">
        <f aca="false">IF(D12="","",IFERROR(INDEX(Tables!$B:$B,MATCH(D12,Tables!$A:$A,0)),"ID not found"))</f>
        <v>Recruiter scorecard base</v>
      </c>
      <c r="F12" s="20" t="str">
        <f aca="false">IF(D12="","",IFERROR(INDEX(Tables!$C:$C,MATCH(D12,Tables!$A:$A,0)),""))</f>
        <v>Team custom</v>
      </c>
      <c r="G12" s="30" t="s">
        <v>277</v>
      </c>
      <c r="H12" s="30" t="s">
        <v>463</v>
      </c>
      <c r="I12" s="30" t="s">
        <v>458</v>
      </c>
      <c r="J12" s="30" t="s">
        <v>74</v>
      </c>
      <c r="K12" s="30" t="s">
        <v>81</v>
      </c>
      <c r="L12" s="30"/>
      <c r="M12" s="30" t="s">
        <v>464</v>
      </c>
      <c r="N12" s="20" t="n">
        <f aca="false">IF(A12="","",COUNTIF('Metric to Field'!$B:$B,A12))</f>
        <v>1</v>
      </c>
      <c r="O12" s="20" t="n">
        <f aca="false">IF(A12="","",SUMIF('Metric to Field'!$B:$B,A12,'Metric to Field'!$F:$F))</f>
        <v>2</v>
      </c>
      <c r="P12" s="30" t="s">
        <v>430</v>
      </c>
      <c r="Q12" s="30" t="s">
        <v>176</v>
      </c>
      <c r="R12" s="30" t="s">
        <v>179</v>
      </c>
      <c r="S12" s="30"/>
      <c r="T12" s="34" t="str">
        <f aca="false">IF(AND(A12&lt;&gt;"",K12="Fix upstream"),COUNTIF($K$5:K12,"Fix upstream"),"")</f>
        <v/>
      </c>
      <c r="U12" s="34" t="n">
        <f aca="false">IF(AND(A12&lt;&gt;"",OR(K12="Move to business rules",K12="Merge into certified table")),COUNTIF($K$5:K12,"Move to business rules")+COUNTIF($K$5:K12,"Merge into certified table"),"")</f>
        <v>1</v>
      </c>
      <c r="V12" s="34" t="str">
        <f aca="false">IF(AND(A12&lt;&gt;"",OR(K12="",K12="Undecided",J12="")),SUMPRODUCT(($A$5:A12&lt;&gt;"")*((($K$5:K12="")+($K$5:K12="Undecided")+($J$5:J12=""))&gt;0)),"")</f>
        <v/>
      </c>
    </row>
    <row r="13" customFormat="false" ht="15" hidden="false" customHeight="false" outlineLevel="0" collapsed="false">
      <c r="A13" s="29" t="s">
        <v>465</v>
      </c>
      <c r="B13" s="30" t="s">
        <v>466</v>
      </c>
      <c r="C13" s="30" t="s">
        <v>445</v>
      </c>
      <c r="D13" s="29" t="s">
        <v>305</v>
      </c>
      <c r="E13" s="20" t="str">
        <f aca="false">IF(D13="","",IFERROR(INDEX(Tables!$B:$B,MATCH(D13,Tables!$A:$A,0)),"ID not found"))</f>
        <v>HRDW requisition table</v>
      </c>
      <c r="F13" s="20" t="str">
        <f aca="false">IF(D13="","",IFERROR(INDEX(Tables!$C:$C,MATCH(D13,Tables!$A:$A,0)),""))</f>
        <v>HRDW</v>
      </c>
      <c r="G13" s="30"/>
      <c r="H13" s="30"/>
      <c r="I13" s="30" t="s">
        <v>446</v>
      </c>
      <c r="J13" s="30" t="s">
        <v>71</v>
      </c>
      <c r="K13" s="30" t="s">
        <v>72</v>
      </c>
      <c r="L13" s="30"/>
      <c r="M13" s="30" t="s">
        <v>374</v>
      </c>
      <c r="N13" s="20" t="n">
        <f aca="false">IF(A13="","",COUNTIF('Metric to Field'!$B:$B,A13))</f>
        <v>1</v>
      </c>
      <c r="O13" s="20" t="n">
        <f aca="false">IF(A13="","",SUMIF('Metric to Field'!$B:$B,A13,'Metric to Field'!$F:$F))</f>
        <v>1</v>
      </c>
      <c r="P13" s="30" t="s">
        <v>385</v>
      </c>
      <c r="Q13" s="30" t="s">
        <v>176</v>
      </c>
      <c r="R13" s="30" t="s">
        <v>179</v>
      </c>
      <c r="S13" s="30"/>
      <c r="T13" s="34" t="str">
        <f aca="false">IF(AND(A13&lt;&gt;"",K13="Fix upstream"),COUNTIF($K$5:K13,"Fix upstream"),"")</f>
        <v/>
      </c>
      <c r="U13" s="34" t="str">
        <f aca="false">IF(AND(A13&lt;&gt;"",OR(K13="Move to business rules",K13="Merge into certified table")),COUNTIF($K$5:K13,"Move to business rules")+COUNTIF($K$5:K13,"Merge into certified table"),"")</f>
        <v/>
      </c>
      <c r="V13" s="34" t="str">
        <f aca="false">IF(AND(A13&lt;&gt;"",OR(K13="",K13="Undecided",J13="")),SUMPRODUCT(($A$5:A13&lt;&gt;"")*((($K$5:K13="")+($K$5:K13="Undecided")+($J$5:J13=""))&gt;0)),"")</f>
        <v/>
      </c>
    </row>
    <row r="14" customFormat="false" ht="15" hidden="false" customHeight="false" outlineLevel="0" collapsed="false">
      <c r="A14" s="29" t="s">
        <v>467</v>
      </c>
      <c r="B14" s="30" t="s">
        <v>468</v>
      </c>
      <c r="C14" s="30" t="s">
        <v>445</v>
      </c>
      <c r="D14" s="29" t="s">
        <v>421</v>
      </c>
      <c r="E14" s="20" t="str">
        <f aca="false">IF(D14="","",IFERROR(INDEX(Tables!$B:$B,MATCH(D14,Tables!$A:$A,0)),"ID not found"))</f>
        <v>HRDW offer table</v>
      </c>
      <c r="F14" s="20" t="str">
        <f aca="false">IF(D14="","",IFERROR(INDEX(Tables!$C:$C,MATCH(D14,Tables!$A:$A,0)),""))</f>
        <v>HRDW</v>
      </c>
      <c r="G14" s="30"/>
      <c r="H14" s="30"/>
      <c r="I14" s="30" t="s">
        <v>446</v>
      </c>
      <c r="J14" s="30" t="s">
        <v>71</v>
      </c>
      <c r="K14" s="30" t="s">
        <v>72</v>
      </c>
      <c r="L14" s="30"/>
      <c r="M14" s="30" t="s">
        <v>374</v>
      </c>
      <c r="N14" s="20" t="n">
        <f aca="false">IF(A14="","",COUNTIF('Metric to Field'!$B:$B,A14))</f>
        <v>1</v>
      </c>
      <c r="O14" s="20" t="n">
        <f aca="false">IF(A14="","",SUMIF('Metric to Field'!$B:$B,A14,'Metric to Field'!$F:$F))</f>
        <v>1</v>
      </c>
      <c r="P14" s="30" t="s">
        <v>385</v>
      </c>
      <c r="Q14" s="30" t="s">
        <v>176</v>
      </c>
      <c r="R14" s="30" t="s">
        <v>179</v>
      </c>
      <c r="S14" s="30"/>
      <c r="T14" s="34" t="str">
        <f aca="false">IF(AND(A14&lt;&gt;"",K14="Fix upstream"),COUNTIF($K$5:K14,"Fix upstream"),"")</f>
        <v/>
      </c>
      <c r="U14" s="34" t="str">
        <f aca="false">IF(AND(A14&lt;&gt;"",OR(K14="Move to business rules",K14="Merge into certified table")),COUNTIF($K$5:K14,"Move to business rules")+COUNTIF($K$5:K14,"Merge into certified table"),"")</f>
        <v/>
      </c>
      <c r="V14" s="34" t="str">
        <f aca="false">IF(AND(A14&lt;&gt;"",OR(K14="",K14="Undecided",J14="")),SUMPRODUCT(($A$5:A14&lt;&gt;"")*((($K$5:K14="")+($K$5:K14="Undecided")+($J$5:J14=""))&gt;0)),"")</f>
        <v/>
      </c>
    </row>
    <row r="15" customFormat="false" ht="15" hidden="false" customHeight="false" outlineLevel="0" collapsed="false">
      <c r="A15" s="29"/>
      <c r="B15" s="30"/>
      <c r="C15" s="30"/>
      <c r="D15" s="29"/>
      <c r="E15" s="20" t="str">
        <f aca="false">IF(D15="","",IFERROR(INDEX(Tables!$B:$B,MATCH(D15,Tables!$A:$A,0)),"ID not found"))</f>
        <v/>
      </c>
      <c r="F15" s="20" t="str">
        <f aca="false">IF(D15="","",IFERROR(INDEX(Tables!$C:$C,MATCH(D15,Tables!$A:$A,0)),""))</f>
        <v/>
      </c>
      <c r="G15" s="30"/>
      <c r="H15" s="30"/>
      <c r="I15" s="30"/>
      <c r="J15" s="30"/>
      <c r="K15" s="30"/>
      <c r="L15" s="30"/>
      <c r="M15" s="30"/>
      <c r="N15" s="20" t="str">
        <f aca="false">IF(A15="","",COUNTIF('Metric to Field'!$B:$B,A15))</f>
        <v/>
      </c>
      <c r="O15" s="20" t="str">
        <f aca="false">IF(A15="","",SUMIF('Metric to Field'!$B:$B,A15,'Metric to Field'!$F:$F))</f>
        <v/>
      </c>
      <c r="P15" s="30"/>
      <c r="Q15" s="30"/>
      <c r="R15" s="30"/>
      <c r="S15" s="30"/>
      <c r="T15" s="34" t="str">
        <f aca="false">IF(AND(A15&lt;&gt;"",K15="Fix upstream"),COUNTIF($K$5:K15,"Fix upstream"),"")</f>
        <v/>
      </c>
      <c r="U15" s="34" t="str">
        <f aca="false">IF(AND(A15&lt;&gt;"",OR(K15="Move to business rules",K15="Merge into certified table")),COUNTIF($K$5:K15,"Move to business rules")+COUNTIF($K$5:K15,"Merge into certified table"),"")</f>
        <v/>
      </c>
      <c r="V15" s="34" t="str">
        <f aca="false">IF(AND(A15&lt;&gt;"",OR(K15="",K15="Undecided",J15="")),SUMPRODUCT(($A$5:A15&lt;&gt;"")*((($K$5:K15="")+($K$5:K15="Undecided")+($J$5:J15=""))&gt;0)),"")</f>
        <v/>
      </c>
    </row>
    <row r="16" customFormat="false" ht="15" hidden="false" customHeight="false" outlineLevel="0" collapsed="false">
      <c r="A16" s="29"/>
      <c r="B16" s="30"/>
      <c r="C16" s="30"/>
      <c r="D16" s="29"/>
      <c r="E16" s="20" t="str">
        <f aca="false">IF(D16="","",IFERROR(INDEX(Tables!$B:$B,MATCH(D16,Tables!$A:$A,0)),"ID not found"))</f>
        <v/>
      </c>
      <c r="F16" s="20" t="str">
        <f aca="false">IF(D16="","",IFERROR(INDEX(Tables!$C:$C,MATCH(D16,Tables!$A:$A,0)),""))</f>
        <v/>
      </c>
      <c r="G16" s="30"/>
      <c r="H16" s="30"/>
      <c r="I16" s="30"/>
      <c r="J16" s="30"/>
      <c r="K16" s="30"/>
      <c r="L16" s="30"/>
      <c r="M16" s="30"/>
      <c r="N16" s="20" t="str">
        <f aca="false">IF(A16="","",COUNTIF('Metric to Field'!$B:$B,A16))</f>
        <v/>
      </c>
      <c r="O16" s="20" t="str">
        <f aca="false">IF(A16="","",SUMIF('Metric to Field'!$B:$B,A16,'Metric to Field'!$F:$F))</f>
        <v/>
      </c>
      <c r="P16" s="30"/>
      <c r="Q16" s="30"/>
      <c r="R16" s="30"/>
      <c r="S16" s="30"/>
      <c r="T16" s="34" t="str">
        <f aca="false">IF(AND(A16&lt;&gt;"",K16="Fix upstream"),COUNTIF($K$5:K16,"Fix upstream"),"")</f>
        <v/>
      </c>
      <c r="U16" s="34" t="str">
        <f aca="false">IF(AND(A16&lt;&gt;"",OR(K16="Move to business rules",K16="Merge into certified table")),COUNTIF($K$5:K16,"Move to business rules")+COUNTIF($K$5:K16,"Merge into certified table"),"")</f>
        <v/>
      </c>
      <c r="V16" s="34" t="str">
        <f aca="false">IF(AND(A16&lt;&gt;"",OR(K16="",K16="Undecided",J16="")),SUMPRODUCT(($A$5:A16&lt;&gt;"")*((($K$5:K16="")+($K$5:K16="Undecided")+($J$5:J16=""))&gt;0)),"")</f>
        <v/>
      </c>
    </row>
    <row r="17" customFormat="false" ht="15" hidden="false" customHeight="false" outlineLevel="0" collapsed="false">
      <c r="A17" s="29"/>
      <c r="B17" s="30"/>
      <c r="C17" s="30"/>
      <c r="D17" s="29"/>
      <c r="E17" s="20" t="str">
        <f aca="false">IF(D17="","",IFERROR(INDEX(Tables!$B:$B,MATCH(D17,Tables!$A:$A,0)),"ID not found"))</f>
        <v/>
      </c>
      <c r="F17" s="20" t="str">
        <f aca="false">IF(D17="","",IFERROR(INDEX(Tables!$C:$C,MATCH(D17,Tables!$A:$A,0)),""))</f>
        <v/>
      </c>
      <c r="G17" s="30"/>
      <c r="H17" s="30"/>
      <c r="I17" s="30"/>
      <c r="J17" s="30"/>
      <c r="K17" s="30"/>
      <c r="L17" s="30"/>
      <c r="M17" s="30"/>
      <c r="N17" s="20" t="str">
        <f aca="false">IF(A17="","",COUNTIF('Metric to Field'!$B:$B,A17))</f>
        <v/>
      </c>
      <c r="O17" s="20" t="str">
        <f aca="false">IF(A17="","",SUMIF('Metric to Field'!$B:$B,A17,'Metric to Field'!$F:$F))</f>
        <v/>
      </c>
      <c r="P17" s="30"/>
      <c r="Q17" s="30"/>
      <c r="R17" s="30"/>
      <c r="S17" s="30"/>
      <c r="T17" s="34" t="str">
        <f aca="false">IF(AND(A17&lt;&gt;"",K17="Fix upstream"),COUNTIF($K$5:K17,"Fix upstream"),"")</f>
        <v/>
      </c>
      <c r="U17" s="34" t="str">
        <f aca="false">IF(AND(A17&lt;&gt;"",OR(K17="Move to business rules",K17="Merge into certified table")),COUNTIF($K$5:K17,"Move to business rules")+COUNTIF($K$5:K17,"Merge into certified table"),"")</f>
        <v/>
      </c>
      <c r="V17" s="34" t="str">
        <f aca="false">IF(AND(A17&lt;&gt;"",OR(K17="",K17="Undecided",J17="")),SUMPRODUCT(($A$5:A17&lt;&gt;"")*((($K$5:K17="")+($K$5:K17="Undecided")+($J$5:J17=""))&gt;0)),"")</f>
        <v/>
      </c>
    </row>
    <row r="18" customFormat="false" ht="15" hidden="false" customHeight="false" outlineLevel="0" collapsed="false">
      <c r="A18" s="29"/>
      <c r="B18" s="30"/>
      <c r="C18" s="30"/>
      <c r="D18" s="29"/>
      <c r="E18" s="20" t="str">
        <f aca="false">IF(D18="","",IFERROR(INDEX(Tables!$B:$B,MATCH(D18,Tables!$A:$A,0)),"ID not found"))</f>
        <v/>
      </c>
      <c r="F18" s="20" t="str">
        <f aca="false">IF(D18="","",IFERROR(INDEX(Tables!$C:$C,MATCH(D18,Tables!$A:$A,0)),""))</f>
        <v/>
      </c>
      <c r="G18" s="30"/>
      <c r="H18" s="30"/>
      <c r="I18" s="30"/>
      <c r="J18" s="30"/>
      <c r="K18" s="30"/>
      <c r="L18" s="30"/>
      <c r="M18" s="30"/>
      <c r="N18" s="20" t="str">
        <f aca="false">IF(A18="","",COUNTIF('Metric to Field'!$B:$B,A18))</f>
        <v/>
      </c>
      <c r="O18" s="20" t="str">
        <f aca="false">IF(A18="","",SUMIF('Metric to Field'!$B:$B,A18,'Metric to Field'!$F:$F))</f>
        <v/>
      </c>
      <c r="P18" s="30"/>
      <c r="Q18" s="30"/>
      <c r="R18" s="30"/>
      <c r="S18" s="30"/>
      <c r="T18" s="34" t="str">
        <f aca="false">IF(AND(A18&lt;&gt;"",K18="Fix upstream"),COUNTIF($K$5:K18,"Fix upstream"),"")</f>
        <v/>
      </c>
      <c r="U18" s="34" t="str">
        <f aca="false">IF(AND(A18&lt;&gt;"",OR(K18="Move to business rules",K18="Merge into certified table")),COUNTIF($K$5:K18,"Move to business rules")+COUNTIF($K$5:K18,"Merge into certified table"),"")</f>
        <v/>
      </c>
      <c r="V18" s="34" t="str">
        <f aca="false">IF(AND(A18&lt;&gt;"",OR(K18="",K18="Undecided",J18="")),SUMPRODUCT(($A$5:A18&lt;&gt;"")*((($K$5:K18="")+($K$5:K18="Undecided")+($J$5:J18=""))&gt;0)),"")</f>
        <v/>
      </c>
    </row>
    <row r="19" customFormat="false" ht="15" hidden="false" customHeight="false" outlineLevel="0" collapsed="false">
      <c r="A19" s="29"/>
      <c r="B19" s="30"/>
      <c r="C19" s="30"/>
      <c r="D19" s="29"/>
      <c r="E19" s="20" t="str">
        <f aca="false">IF(D19="","",IFERROR(INDEX(Tables!$B:$B,MATCH(D19,Tables!$A:$A,0)),"ID not found"))</f>
        <v/>
      </c>
      <c r="F19" s="20" t="str">
        <f aca="false">IF(D19="","",IFERROR(INDEX(Tables!$C:$C,MATCH(D19,Tables!$A:$A,0)),""))</f>
        <v/>
      </c>
      <c r="G19" s="30"/>
      <c r="H19" s="30"/>
      <c r="I19" s="30"/>
      <c r="J19" s="30"/>
      <c r="K19" s="30"/>
      <c r="L19" s="30"/>
      <c r="M19" s="30"/>
      <c r="N19" s="20" t="str">
        <f aca="false">IF(A19="","",COUNTIF('Metric to Field'!$B:$B,A19))</f>
        <v/>
      </c>
      <c r="O19" s="20" t="str">
        <f aca="false">IF(A19="","",SUMIF('Metric to Field'!$B:$B,A19,'Metric to Field'!$F:$F))</f>
        <v/>
      </c>
      <c r="P19" s="30"/>
      <c r="Q19" s="30"/>
      <c r="R19" s="30"/>
      <c r="S19" s="30"/>
      <c r="T19" s="34" t="str">
        <f aca="false">IF(AND(A19&lt;&gt;"",K19="Fix upstream"),COUNTIF($K$5:K19,"Fix upstream"),"")</f>
        <v/>
      </c>
      <c r="U19" s="34" t="str">
        <f aca="false">IF(AND(A19&lt;&gt;"",OR(K19="Move to business rules",K19="Merge into certified table")),COUNTIF($K$5:K19,"Move to business rules")+COUNTIF($K$5:K19,"Merge into certified table"),"")</f>
        <v/>
      </c>
      <c r="V19" s="34" t="str">
        <f aca="false">IF(AND(A19&lt;&gt;"",OR(K19="",K19="Undecided",J19="")),SUMPRODUCT(($A$5:A19&lt;&gt;"")*((($K$5:K19="")+($K$5:K19="Undecided")+($J$5:J19=""))&gt;0)),"")</f>
        <v/>
      </c>
    </row>
    <row r="20" customFormat="false" ht="15" hidden="false" customHeight="false" outlineLevel="0" collapsed="false">
      <c r="A20" s="29"/>
      <c r="B20" s="30"/>
      <c r="C20" s="30"/>
      <c r="D20" s="29"/>
      <c r="E20" s="20" t="str">
        <f aca="false">IF(D20="","",IFERROR(INDEX(Tables!$B:$B,MATCH(D20,Tables!$A:$A,0)),"ID not found"))</f>
        <v/>
      </c>
      <c r="F20" s="20" t="str">
        <f aca="false">IF(D20="","",IFERROR(INDEX(Tables!$C:$C,MATCH(D20,Tables!$A:$A,0)),""))</f>
        <v/>
      </c>
      <c r="G20" s="30"/>
      <c r="H20" s="30"/>
      <c r="I20" s="30"/>
      <c r="J20" s="30"/>
      <c r="K20" s="30"/>
      <c r="L20" s="30"/>
      <c r="M20" s="30"/>
      <c r="N20" s="20" t="str">
        <f aca="false">IF(A20="","",COUNTIF('Metric to Field'!$B:$B,A20))</f>
        <v/>
      </c>
      <c r="O20" s="20" t="str">
        <f aca="false">IF(A20="","",SUMIF('Metric to Field'!$B:$B,A20,'Metric to Field'!$F:$F))</f>
        <v/>
      </c>
      <c r="P20" s="30"/>
      <c r="Q20" s="30"/>
      <c r="R20" s="30"/>
      <c r="S20" s="30"/>
      <c r="T20" s="34" t="str">
        <f aca="false">IF(AND(A20&lt;&gt;"",K20="Fix upstream"),COUNTIF($K$5:K20,"Fix upstream"),"")</f>
        <v/>
      </c>
      <c r="U20" s="34" t="str">
        <f aca="false">IF(AND(A20&lt;&gt;"",OR(K20="Move to business rules",K20="Merge into certified table")),COUNTIF($K$5:K20,"Move to business rules")+COUNTIF($K$5:K20,"Merge into certified table"),"")</f>
        <v/>
      </c>
      <c r="V20" s="34" t="str">
        <f aca="false">IF(AND(A20&lt;&gt;"",OR(K20="",K20="Undecided",J20="")),SUMPRODUCT(($A$5:A20&lt;&gt;"")*((($K$5:K20="")+($K$5:K20="Undecided")+($J$5:J20=""))&gt;0)),"")</f>
        <v/>
      </c>
    </row>
    <row r="21" customFormat="false" ht="15" hidden="false" customHeight="false" outlineLevel="0" collapsed="false">
      <c r="A21" s="29"/>
      <c r="B21" s="30"/>
      <c r="C21" s="30"/>
      <c r="D21" s="29"/>
      <c r="E21" s="20" t="str">
        <f aca="false">IF(D21="","",IFERROR(INDEX(Tables!$B:$B,MATCH(D21,Tables!$A:$A,0)),"ID not found"))</f>
        <v/>
      </c>
      <c r="F21" s="20" t="str">
        <f aca="false">IF(D21="","",IFERROR(INDEX(Tables!$C:$C,MATCH(D21,Tables!$A:$A,0)),""))</f>
        <v/>
      </c>
      <c r="G21" s="30"/>
      <c r="H21" s="30"/>
      <c r="I21" s="30"/>
      <c r="J21" s="30"/>
      <c r="K21" s="30"/>
      <c r="L21" s="30"/>
      <c r="M21" s="30"/>
      <c r="N21" s="20" t="str">
        <f aca="false">IF(A21="","",COUNTIF('Metric to Field'!$B:$B,A21))</f>
        <v/>
      </c>
      <c r="O21" s="20" t="str">
        <f aca="false">IF(A21="","",SUMIF('Metric to Field'!$B:$B,A21,'Metric to Field'!$F:$F))</f>
        <v/>
      </c>
      <c r="P21" s="30"/>
      <c r="Q21" s="30"/>
      <c r="R21" s="30"/>
      <c r="S21" s="30"/>
      <c r="T21" s="34" t="str">
        <f aca="false">IF(AND(A21&lt;&gt;"",K21="Fix upstream"),COUNTIF($K$5:K21,"Fix upstream"),"")</f>
        <v/>
      </c>
      <c r="U21" s="34" t="str">
        <f aca="false">IF(AND(A21&lt;&gt;"",OR(K21="Move to business rules",K21="Merge into certified table")),COUNTIF($K$5:K21,"Move to business rules")+COUNTIF($K$5:K21,"Merge into certified table"),"")</f>
        <v/>
      </c>
      <c r="V21" s="34" t="str">
        <f aca="false">IF(AND(A21&lt;&gt;"",OR(K21="",K21="Undecided",J21="")),SUMPRODUCT(($A$5:A21&lt;&gt;"")*((($K$5:K21="")+($K$5:K21="Undecided")+($J$5:J21=""))&gt;0)),"")</f>
        <v/>
      </c>
    </row>
    <row r="22" customFormat="false" ht="15" hidden="false" customHeight="false" outlineLevel="0" collapsed="false">
      <c r="A22" s="29"/>
      <c r="B22" s="30"/>
      <c r="C22" s="30"/>
      <c r="D22" s="29"/>
      <c r="E22" s="20" t="str">
        <f aca="false">IF(D22="","",IFERROR(INDEX(Tables!$B:$B,MATCH(D22,Tables!$A:$A,0)),"ID not found"))</f>
        <v/>
      </c>
      <c r="F22" s="20" t="str">
        <f aca="false">IF(D22="","",IFERROR(INDEX(Tables!$C:$C,MATCH(D22,Tables!$A:$A,0)),""))</f>
        <v/>
      </c>
      <c r="G22" s="30"/>
      <c r="H22" s="30"/>
      <c r="I22" s="30"/>
      <c r="J22" s="30"/>
      <c r="K22" s="30"/>
      <c r="L22" s="30"/>
      <c r="M22" s="30"/>
      <c r="N22" s="20" t="str">
        <f aca="false">IF(A22="","",COUNTIF('Metric to Field'!$B:$B,A22))</f>
        <v/>
      </c>
      <c r="O22" s="20" t="str">
        <f aca="false">IF(A22="","",SUMIF('Metric to Field'!$B:$B,A22,'Metric to Field'!$F:$F))</f>
        <v/>
      </c>
      <c r="P22" s="30"/>
      <c r="Q22" s="30"/>
      <c r="R22" s="30"/>
      <c r="S22" s="30"/>
      <c r="T22" s="34" t="str">
        <f aca="false">IF(AND(A22&lt;&gt;"",K22="Fix upstream"),COUNTIF($K$5:K22,"Fix upstream"),"")</f>
        <v/>
      </c>
      <c r="U22" s="34" t="str">
        <f aca="false">IF(AND(A22&lt;&gt;"",OR(K22="Move to business rules",K22="Merge into certified table")),COUNTIF($K$5:K22,"Move to business rules")+COUNTIF($K$5:K22,"Merge into certified table"),"")</f>
        <v/>
      </c>
      <c r="V22" s="34" t="str">
        <f aca="false">IF(AND(A22&lt;&gt;"",OR(K22="",K22="Undecided",J22="")),SUMPRODUCT(($A$5:A22&lt;&gt;"")*((($K$5:K22="")+($K$5:K22="Undecided")+($J$5:J22=""))&gt;0)),"")</f>
        <v/>
      </c>
    </row>
    <row r="23" customFormat="false" ht="15" hidden="false" customHeight="false" outlineLevel="0" collapsed="false">
      <c r="A23" s="29"/>
      <c r="B23" s="30"/>
      <c r="C23" s="30"/>
      <c r="D23" s="29"/>
      <c r="E23" s="20" t="str">
        <f aca="false">IF(D23="","",IFERROR(INDEX(Tables!$B:$B,MATCH(D23,Tables!$A:$A,0)),"ID not found"))</f>
        <v/>
      </c>
      <c r="F23" s="20" t="str">
        <f aca="false">IF(D23="","",IFERROR(INDEX(Tables!$C:$C,MATCH(D23,Tables!$A:$A,0)),""))</f>
        <v/>
      </c>
      <c r="G23" s="30"/>
      <c r="H23" s="30"/>
      <c r="I23" s="30"/>
      <c r="J23" s="30"/>
      <c r="K23" s="30"/>
      <c r="L23" s="30"/>
      <c r="M23" s="30"/>
      <c r="N23" s="20" t="str">
        <f aca="false">IF(A23="","",COUNTIF('Metric to Field'!$B:$B,A23))</f>
        <v/>
      </c>
      <c r="O23" s="20" t="str">
        <f aca="false">IF(A23="","",SUMIF('Metric to Field'!$B:$B,A23,'Metric to Field'!$F:$F))</f>
        <v/>
      </c>
      <c r="P23" s="30"/>
      <c r="Q23" s="30"/>
      <c r="R23" s="30"/>
      <c r="S23" s="30"/>
      <c r="T23" s="34" t="str">
        <f aca="false">IF(AND(A23&lt;&gt;"",K23="Fix upstream"),COUNTIF($K$5:K23,"Fix upstream"),"")</f>
        <v/>
      </c>
      <c r="U23" s="34" t="str">
        <f aca="false">IF(AND(A23&lt;&gt;"",OR(K23="Move to business rules",K23="Merge into certified table")),COUNTIF($K$5:K23,"Move to business rules")+COUNTIF($K$5:K23,"Merge into certified table"),"")</f>
        <v/>
      </c>
      <c r="V23" s="34" t="str">
        <f aca="false">IF(AND(A23&lt;&gt;"",OR(K23="",K23="Undecided",J23="")),SUMPRODUCT(($A$5:A23&lt;&gt;"")*((($K$5:K23="")+($K$5:K23="Undecided")+($J$5:J23=""))&gt;0)),"")</f>
        <v/>
      </c>
    </row>
    <row r="24" customFormat="false" ht="15" hidden="false" customHeight="false" outlineLevel="0" collapsed="false">
      <c r="A24" s="29"/>
      <c r="B24" s="30"/>
      <c r="C24" s="30"/>
      <c r="D24" s="29"/>
      <c r="E24" s="20" t="str">
        <f aca="false">IF(D24="","",IFERROR(INDEX(Tables!$B:$B,MATCH(D24,Tables!$A:$A,0)),"ID not found"))</f>
        <v/>
      </c>
      <c r="F24" s="20" t="str">
        <f aca="false">IF(D24="","",IFERROR(INDEX(Tables!$C:$C,MATCH(D24,Tables!$A:$A,0)),""))</f>
        <v/>
      </c>
      <c r="G24" s="30"/>
      <c r="H24" s="30"/>
      <c r="I24" s="30"/>
      <c r="J24" s="30"/>
      <c r="K24" s="30"/>
      <c r="L24" s="30"/>
      <c r="M24" s="30"/>
      <c r="N24" s="20" t="str">
        <f aca="false">IF(A24="","",COUNTIF('Metric to Field'!$B:$B,A24))</f>
        <v/>
      </c>
      <c r="O24" s="20" t="str">
        <f aca="false">IF(A24="","",SUMIF('Metric to Field'!$B:$B,A24,'Metric to Field'!$F:$F))</f>
        <v/>
      </c>
      <c r="P24" s="30"/>
      <c r="Q24" s="30"/>
      <c r="R24" s="30"/>
      <c r="S24" s="30"/>
      <c r="T24" s="34" t="str">
        <f aca="false">IF(AND(A24&lt;&gt;"",K24="Fix upstream"),COUNTIF($K$5:K24,"Fix upstream"),"")</f>
        <v/>
      </c>
      <c r="U24" s="34" t="str">
        <f aca="false">IF(AND(A24&lt;&gt;"",OR(K24="Move to business rules",K24="Merge into certified table")),COUNTIF($K$5:K24,"Move to business rules")+COUNTIF($K$5:K24,"Merge into certified table"),"")</f>
        <v/>
      </c>
      <c r="V24" s="34" t="str">
        <f aca="false">IF(AND(A24&lt;&gt;"",OR(K24="",K24="Undecided",J24="")),SUMPRODUCT(($A$5:A24&lt;&gt;"")*((($K$5:K24="")+($K$5:K24="Undecided")+($J$5:J24=""))&gt;0)),"")</f>
        <v/>
      </c>
    </row>
    <row r="25" customFormat="false" ht="15" hidden="false" customHeight="false" outlineLevel="0" collapsed="false">
      <c r="A25" s="29"/>
      <c r="B25" s="30"/>
      <c r="C25" s="30"/>
      <c r="D25" s="29"/>
      <c r="E25" s="20" t="str">
        <f aca="false">IF(D25="","",IFERROR(INDEX(Tables!$B:$B,MATCH(D25,Tables!$A:$A,0)),"ID not found"))</f>
        <v/>
      </c>
      <c r="F25" s="20" t="str">
        <f aca="false">IF(D25="","",IFERROR(INDEX(Tables!$C:$C,MATCH(D25,Tables!$A:$A,0)),""))</f>
        <v/>
      </c>
      <c r="G25" s="30"/>
      <c r="H25" s="30"/>
      <c r="I25" s="30"/>
      <c r="J25" s="30"/>
      <c r="K25" s="30"/>
      <c r="L25" s="30"/>
      <c r="M25" s="30"/>
      <c r="N25" s="20" t="str">
        <f aca="false">IF(A25="","",COUNTIF('Metric to Field'!$B:$B,A25))</f>
        <v/>
      </c>
      <c r="O25" s="20" t="str">
        <f aca="false">IF(A25="","",SUMIF('Metric to Field'!$B:$B,A25,'Metric to Field'!$F:$F))</f>
        <v/>
      </c>
      <c r="P25" s="30"/>
      <c r="Q25" s="30"/>
      <c r="R25" s="30"/>
      <c r="S25" s="30"/>
      <c r="T25" s="34" t="str">
        <f aca="false">IF(AND(A25&lt;&gt;"",K25="Fix upstream"),COUNTIF($K$5:K25,"Fix upstream"),"")</f>
        <v/>
      </c>
      <c r="U25" s="34" t="str">
        <f aca="false">IF(AND(A25&lt;&gt;"",OR(K25="Move to business rules",K25="Merge into certified table")),COUNTIF($K$5:K25,"Move to business rules")+COUNTIF($K$5:K25,"Merge into certified table"),"")</f>
        <v/>
      </c>
      <c r="V25" s="34" t="str">
        <f aca="false">IF(AND(A25&lt;&gt;"",OR(K25="",K25="Undecided",J25="")),SUMPRODUCT(($A$5:A25&lt;&gt;"")*((($K$5:K25="")+($K$5:K25="Undecided")+($J$5:J25=""))&gt;0)),"")</f>
        <v/>
      </c>
    </row>
    <row r="26" customFormat="false" ht="15" hidden="false" customHeight="false" outlineLevel="0" collapsed="false">
      <c r="A26" s="29"/>
      <c r="B26" s="30"/>
      <c r="C26" s="30"/>
      <c r="D26" s="29"/>
      <c r="E26" s="20" t="str">
        <f aca="false">IF(D26="","",IFERROR(INDEX(Tables!$B:$B,MATCH(D26,Tables!$A:$A,0)),"ID not found"))</f>
        <v/>
      </c>
      <c r="F26" s="20" t="str">
        <f aca="false">IF(D26="","",IFERROR(INDEX(Tables!$C:$C,MATCH(D26,Tables!$A:$A,0)),""))</f>
        <v/>
      </c>
      <c r="G26" s="30"/>
      <c r="H26" s="30"/>
      <c r="I26" s="30"/>
      <c r="J26" s="30"/>
      <c r="K26" s="30"/>
      <c r="L26" s="30"/>
      <c r="M26" s="30"/>
      <c r="N26" s="20" t="str">
        <f aca="false">IF(A26="","",COUNTIF('Metric to Field'!$B:$B,A26))</f>
        <v/>
      </c>
      <c r="O26" s="20" t="str">
        <f aca="false">IF(A26="","",SUMIF('Metric to Field'!$B:$B,A26,'Metric to Field'!$F:$F))</f>
        <v/>
      </c>
      <c r="P26" s="30"/>
      <c r="Q26" s="30"/>
      <c r="R26" s="30"/>
      <c r="S26" s="30"/>
      <c r="T26" s="34" t="str">
        <f aca="false">IF(AND(A26&lt;&gt;"",K26="Fix upstream"),COUNTIF($K$5:K26,"Fix upstream"),"")</f>
        <v/>
      </c>
      <c r="U26" s="34" t="str">
        <f aca="false">IF(AND(A26&lt;&gt;"",OR(K26="Move to business rules",K26="Merge into certified table")),COUNTIF($K$5:K26,"Move to business rules")+COUNTIF($K$5:K26,"Merge into certified table"),"")</f>
        <v/>
      </c>
      <c r="V26" s="34" t="str">
        <f aca="false">IF(AND(A26&lt;&gt;"",OR(K26="",K26="Undecided",J26="")),SUMPRODUCT(($A$5:A26&lt;&gt;"")*((($K$5:K26="")+($K$5:K26="Undecided")+($J$5:J26=""))&gt;0)),"")</f>
        <v/>
      </c>
    </row>
    <row r="27" customFormat="false" ht="15" hidden="false" customHeight="false" outlineLevel="0" collapsed="false">
      <c r="A27" s="29"/>
      <c r="B27" s="30"/>
      <c r="C27" s="30"/>
      <c r="D27" s="29"/>
      <c r="E27" s="20" t="str">
        <f aca="false">IF(D27="","",IFERROR(INDEX(Tables!$B:$B,MATCH(D27,Tables!$A:$A,0)),"ID not found"))</f>
        <v/>
      </c>
      <c r="F27" s="20" t="str">
        <f aca="false">IF(D27="","",IFERROR(INDEX(Tables!$C:$C,MATCH(D27,Tables!$A:$A,0)),""))</f>
        <v/>
      </c>
      <c r="G27" s="30"/>
      <c r="H27" s="30"/>
      <c r="I27" s="30"/>
      <c r="J27" s="30"/>
      <c r="K27" s="30"/>
      <c r="L27" s="30"/>
      <c r="M27" s="30"/>
      <c r="N27" s="20" t="str">
        <f aca="false">IF(A27="","",COUNTIF('Metric to Field'!$B:$B,A27))</f>
        <v/>
      </c>
      <c r="O27" s="20" t="str">
        <f aca="false">IF(A27="","",SUMIF('Metric to Field'!$B:$B,A27,'Metric to Field'!$F:$F))</f>
        <v/>
      </c>
      <c r="P27" s="30"/>
      <c r="Q27" s="30"/>
      <c r="R27" s="30"/>
      <c r="S27" s="30"/>
      <c r="T27" s="34" t="str">
        <f aca="false">IF(AND(A27&lt;&gt;"",K27="Fix upstream"),COUNTIF($K$5:K27,"Fix upstream"),"")</f>
        <v/>
      </c>
      <c r="U27" s="34" t="str">
        <f aca="false">IF(AND(A27&lt;&gt;"",OR(K27="Move to business rules",K27="Merge into certified table")),COUNTIF($K$5:K27,"Move to business rules")+COUNTIF($K$5:K27,"Merge into certified table"),"")</f>
        <v/>
      </c>
      <c r="V27" s="34" t="str">
        <f aca="false">IF(AND(A27&lt;&gt;"",OR(K27="",K27="Undecided",J27="")),SUMPRODUCT(($A$5:A27&lt;&gt;"")*((($K$5:K27="")+($K$5:K27="Undecided")+($J$5:J27=""))&gt;0)),"")</f>
        <v/>
      </c>
    </row>
    <row r="28" customFormat="false" ht="15" hidden="false" customHeight="false" outlineLevel="0" collapsed="false">
      <c r="A28" s="29"/>
      <c r="B28" s="30"/>
      <c r="C28" s="30"/>
      <c r="D28" s="29"/>
      <c r="E28" s="20" t="str">
        <f aca="false">IF(D28="","",IFERROR(INDEX(Tables!$B:$B,MATCH(D28,Tables!$A:$A,0)),"ID not found"))</f>
        <v/>
      </c>
      <c r="F28" s="20" t="str">
        <f aca="false">IF(D28="","",IFERROR(INDEX(Tables!$C:$C,MATCH(D28,Tables!$A:$A,0)),""))</f>
        <v/>
      </c>
      <c r="G28" s="30"/>
      <c r="H28" s="30"/>
      <c r="I28" s="30"/>
      <c r="J28" s="30"/>
      <c r="K28" s="30"/>
      <c r="L28" s="30"/>
      <c r="M28" s="30"/>
      <c r="N28" s="20" t="str">
        <f aca="false">IF(A28="","",COUNTIF('Metric to Field'!$B:$B,A28))</f>
        <v/>
      </c>
      <c r="O28" s="20" t="str">
        <f aca="false">IF(A28="","",SUMIF('Metric to Field'!$B:$B,A28,'Metric to Field'!$F:$F))</f>
        <v/>
      </c>
      <c r="P28" s="30"/>
      <c r="Q28" s="30"/>
      <c r="R28" s="30"/>
      <c r="S28" s="30"/>
      <c r="T28" s="34" t="str">
        <f aca="false">IF(AND(A28&lt;&gt;"",K28="Fix upstream"),COUNTIF($K$5:K28,"Fix upstream"),"")</f>
        <v/>
      </c>
      <c r="U28" s="34" t="str">
        <f aca="false">IF(AND(A28&lt;&gt;"",OR(K28="Move to business rules",K28="Merge into certified table")),COUNTIF($K$5:K28,"Move to business rules")+COUNTIF($K$5:K28,"Merge into certified table"),"")</f>
        <v/>
      </c>
      <c r="V28" s="34" t="str">
        <f aca="false">IF(AND(A28&lt;&gt;"",OR(K28="",K28="Undecided",J28="")),SUMPRODUCT(($A$5:A28&lt;&gt;"")*((($K$5:K28="")+($K$5:K28="Undecided")+($J$5:J28=""))&gt;0)),"")</f>
        <v/>
      </c>
    </row>
    <row r="29" customFormat="false" ht="15" hidden="false" customHeight="false" outlineLevel="0" collapsed="false">
      <c r="A29" s="29"/>
      <c r="B29" s="30"/>
      <c r="C29" s="30"/>
      <c r="D29" s="29"/>
      <c r="E29" s="20" t="str">
        <f aca="false">IF(D29="","",IFERROR(INDEX(Tables!$B:$B,MATCH(D29,Tables!$A:$A,0)),"ID not found"))</f>
        <v/>
      </c>
      <c r="F29" s="20" t="str">
        <f aca="false">IF(D29="","",IFERROR(INDEX(Tables!$C:$C,MATCH(D29,Tables!$A:$A,0)),""))</f>
        <v/>
      </c>
      <c r="G29" s="30"/>
      <c r="H29" s="30"/>
      <c r="I29" s="30"/>
      <c r="J29" s="30"/>
      <c r="K29" s="30"/>
      <c r="L29" s="30"/>
      <c r="M29" s="30"/>
      <c r="N29" s="20" t="str">
        <f aca="false">IF(A29="","",COUNTIF('Metric to Field'!$B:$B,A29))</f>
        <v/>
      </c>
      <c r="O29" s="20" t="str">
        <f aca="false">IF(A29="","",SUMIF('Metric to Field'!$B:$B,A29,'Metric to Field'!$F:$F))</f>
        <v/>
      </c>
      <c r="P29" s="30"/>
      <c r="Q29" s="30"/>
      <c r="R29" s="30"/>
      <c r="S29" s="30"/>
      <c r="T29" s="34" t="str">
        <f aca="false">IF(AND(A29&lt;&gt;"",K29="Fix upstream"),COUNTIF($K$5:K29,"Fix upstream"),"")</f>
        <v/>
      </c>
      <c r="U29" s="34" t="str">
        <f aca="false">IF(AND(A29&lt;&gt;"",OR(K29="Move to business rules",K29="Merge into certified table")),COUNTIF($K$5:K29,"Move to business rules")+COUNTIF($K$5:K29,"Merge into certified table"),"")</f>
        <v/>
      </c>
      <c r="V29" s="34" t="str">
        <f aca="false">IF(AND(A29&lt;&gt;"",OR(K29="",K29="Undecided",J29="")),SUMPRODUCT(($A$5:A29&lt;&gt;"")*((($K$5:K29="")+($K$5:K29="Undecided")+($J$5:J29=""))&gt;0)),"")</f>
        <v/>
      </c>
    </row>
    <row r="30" customFormat="false" ht="15" hidden="false" customHeight="false" outlineLevel="0" collapsed="false">
      <c r="A30" s="29"/>
      <c r="B30" s="30"/>
      <c r="C30" s="30"/>
      <c r="D30" s="29"/>
      <c r="E30" s="20" t="str">
        <f aca="false">IF(D30="","",IFERROR(INDEX(Tables!$B:$B,MATCH(D30,Tables!$A:$A,0)),"ID not found"))</f>
        <v/>
      </c>
      <c r="F30" s="20" t="str">
        <f aca="false">IF(D30="","",IFERROR(INDEX(Tables!$C:$C,MATCH(D30,Tables!$A:$A,0)),""))</f>
        <v/>
      </c>
      <c r="G30" s="30"/>
      <c r="H30" s="30"/>
      <c r="I30" s="30"/>
      <c r="J30" s="30"/>
      <c r="K30" s="30"/>
      <c r="L30" s="30"/>
      <c r="M30" s="30"/>
      <c r="N30" s="20" t="str">
        <f aca="false">IF(A30="","",COUNTIF('Metric to Field'!$B:$B,A30))</f>
        <v/>
      </c>
      <c r="O30" s="20" t="str">
        <f aca="false">IF(A30="","",SUMIF('Metric to Field'!$B:$B,A30,'Metric to Field'!$F:$F))</f>
        <v/>
      </c>
      <c r="P30" s="30"/>
      <c r="Q30" s="30"/>
      <c r="R30" s="30"/>
      <c r="S30" s="30"/>
      <c r="T30" s="34" t="str">
        <f aca="false">IF(AND(A30&lt;&gt;"",K30="Fix upstream"),COUNTIF($K$5:K30,"Fix upstream"),"")</f>
        <v/>
      </c>
      <c r="U30" s="34" t="str">
        <f aca="false">IF(AND(A30&lt;&gt;"",OR(K30="Move to business rules",K30="Merge into certified table")),COUNTIF($K$5:K30,"Move to business rules")+COUNTIF($K$5:K30,"Merge into certified table"),"")</f>
        <v/>
      </c>
      <c r="V30" s="34" t="str">
        <f aca="false">IF(AND(A30&lt;&gt;"",OR(K30="",K30="Undecided",J30="")),SUMPRODUCT(($A$5:A30&lt;&gt;"")*((($K$5:K30="")+($K$5:K30="Undecided")+($J$5:J30=""))&gt;0)),"")</f>
        <v/>
      </c>
    </row>
    <row r="31" customFormat="false" ht="15" hidden="false" customHeight="false" outlineLevel="0" collapsed="false">
      <c r="A31" s="29"/>
      <c r="B31" s="30"/>
      <c r="C31" s="30"/>
      <c r="D31" s="29"/>
      <c r="E31" s="20" t="str">
        <f aca="false">IF(D31="","",IFERROR(INDEX(Tables!$B:$B,MATCH(D31,Tables!$A:$A,0)),"ID not found"))</f>
        <v/>
      </c>
      <c r="F31" s="20" t="str">
        <f aca="false">IF(D31="","",IFERROR(INDEX(Tables!$C:$C,MATCH(D31,Tables!$A:$A,0)),""))</f>
        <v/>
      </c>
      <c r="G31" s="30"/>
      <c r="H31" s="30"/>
      <c r="I31" s="30"/>
      <c r="J31" s="30"/>
      <c r="K31" s="30"/>
      <c r="L31" s="30"/>
      <c r="M31" s="30"/>
      <c r="N31" s="20" t="str">
        <f aca="false">IF(A31="","",COUNTIF('Metric to Field'!$B:$B,A31))</f>
        <v/>
      </c>
      <c r="O31" s="20" t="str">
        <f aca="false">IF(A31="","",SUMIF('Metric to Field'!$B:$B,A31,'Metric to Field'!$F:$F))</f>
        <v/>
      </c>
      <c r="P31" s="30"/>
      <c r="Q31" s="30"/>
      <c r="R31" s="30"/>
      <c r="S31" s="30"/>
      <c r="T31" s="34" t="str">
        <f aca="false">IF(AND(A31&lt;&gt;"",K31="Fix upstream"),COUNTIF($K$5:K31,"Fix upstream"),"")</f>
        <v/>
      </c>
      <c r="U31" s="34" t="str">
        <f aca="false">IF(AND(A31&lt;&gt;"",OR(K31="Move to business rules",K31="Merge into certified table")),COUNTIF($K$5:K31,"Move to business rules")+COUNTIF($K$5:K31,"Merge into certified table"),"")</f>
        <v/>
      </c>
      <c r="V31" s="34" t="str">
        <f aca="false">IF(AND(A31&lt;&gt;"",OR(K31="",K31="Undecided",J31="")),SUMPRODUCT(($A$5:A31&lt;&gt;"")*((($K$5:K31="")+($K$5:K31="Undecided")+($J$5:J31=""))&gt;0)),"")</f>
        <v/>
      </c>
    </row>
    <row r="32" customFormat="false" ht="15" hidden="false" customHeight="false" outlineLevel="0" collapsed="false">
      <c r="A32" s="29"/>
      <c r="B32" s="30"/>
      <c r="C32" s="30"/>
      <c r="D32" s="29"/>
      <c r="E32" s="20" t="str">
        <f aca="false">IF(D32="","",IFERROR(INDEX(Tables!$B:$B,MATCH(D32,Tables!$A:$A,0)),"ID not found"))</f>
        <v/>
      </c>
      <c r="F32" s="20" t="str">
        <f aca="false">IF(D32="","",IFERROR(INDEX(Tables!$C:$C,MATCH(D32,Tables!$A:$A,0)),""))</f>
        <v/>
      </c>
      <c r="G32" s="30"/>
      <c r="H32" s="30"/>
      <c r="I32" s="30"/>
      <c r="J32" s="30"/>
      <c r="K32" s="30"/>
      <c r="L32" s="30"/>
      <c r="M32" s="30"/>
      <c r="N32" s="20" t="str">
        <f aca="false">IF(A32="","",COUNTIF('Metric to Field'!$B:$B,A32))</f>
        <v/>
      </c>
      <c r="O32" s="20" t="str">
        <f aca="false">IF(A32="","",SUMIF('Metric to Field'!$B:$B,A32,'Metric to Field'!$F:$F))</f>
        <v/>
      </c>
      <c r="P32" s="30"/>
      <c r="Q32" s="30"/>
      <c r="R32" s="30"/>
      <c r="S32" s="30"/>
      <c r="T32" s="34" t="str">
        <f aca="false">IF(AND(A32&lt;&gt;"",K32="Fix upstream"),COUNTIF($K$5:K32,"Fix upstream"),"")</f>
        <v/>
      </c>
      <c r="U32" s="34" t="str">
        <f aca="false">IF(AND(A32&lt;&gt;"",OR(K32="Move to business rules",K32="Merge into certified table")),COUNTIF($K$5:K32,"Move to business rules")+COUNTIF($K$5:K32,"Merge into certified table"),"")</f>
        <v/>
      </c>
      <c r="V32" s="34" t="str">
        <f aca="false">IF(AND(A32&lt;&gt;"",OR(K32="",K32="Undecided",J32="")),SUMPRODUCT(($A$5:A32&lt;&gt;"")*((($K$5:K32="")+($K$5:K32="Undecided")+($J$5:J32=""))&gt;0)),"")</f>
        <v/>
      </c>
    </row>
    <row r="33" customFormat="false" ht="15" hidden="false" customHeight="false" outlineLevel="0" collapsed="false">
      <c r="A33" s="29"/>
      <c r="B33" s="30"/>
      <c r="C33" s="30"/>
      <c r="D33" s="29"/>
      <c r="E33" s="20" t="str">
        <f aca="false">IF(D33="","",IFERROR(INDEX(Tables!$B:$B,MATCH(D33,Tables!$A:$A,0)),"ID not found"))</f>
        <v/>
      </c>
      <c r="F33" s="20" t="str">
        <f aca="false">IF(D33="","",IFERROR(INDEX(Tables!$C:$C,MATCH(D33,Tables!$A:$A,0)),""))</f>
        <v/>
      </c>
      <c r="G33" s="30"/>
      <c r="H33" s="30"/>
      <c r="I33" s="30"/>
      <c r="J33" s="30"/>
      <c r="K33" s="30"/>
      <c r="L33" s="30"/>
      <c r="M33" s="30"/>
      <c r="N33" s="20" t="str">
        <f aca="false">IF(A33="","",COUNTIF('Metric to Field'!$B:$B,A33))</f>
        <v/>
      </c>
      <c r="O33" s="20" t="str">
        <f aca="false">IF(A33="","",SUMIF('Metric to Field'!$B:$B,A33,'Metric to Field'!$F:$F))</f>
        <v/>
      </c>
      <c r="P33" s="30"/>
      <c r="Q33" s="30"/>
      <c r="R33" s="30"/>
      <c r="S33" s="30"/>
      <c r="T33" s="34" t="str">
        <f aca="false">IF(AND(A33&lt;&gt;"",K33="Fix upstream"),COUNTIF($K$5:K33,"Fix upstream"),"")</f>
        <v/>
      </c>
      <c r="U33" s="34" t="str">
        <f aca="false">IF(AND(A33&lt;&gt;"",OR(K33="Move to business rules",K33="Merge into certified table")),COUNTIF($K$5:K33,"Move to business rules")+COUNTIF($K$5:K33,"Merge into certified table"),"")</f>
        <v/>
      </c>
      <c r="V33" s="34" t="str">
        <f aca="false">IF(AND(A33&lt;&gt;"",OR(K33="",K33="Undecided",J33="")),SUMPRODUCT(($A$5:A33&lt;&gt;"")*((($K$5:K33="")+($K$5:K33="Undecided")+($J$5:J33=""))&gt;0)),"")</f>
        <v/>
      </c>
    </row>
    <row r="34" customFormat="false" ht="15" hidden="false" customHeight="false" outlineLevel="0" collapsed="false">
      <c r="A34" s="29"/>
      <c r="B34" s="30"/>
      <c r="C34" s="30"/>
      <c r="D34" s="29"/>
      <c r="E34" s="20" t="str">
        <f aca="false">IF(D34="","",IFERROR(INDEX(Tables!$B:$B,MATCH(D34,Tables!$A:$A,0)),"ID not found"))</f>
        <v/>
      </c>
      <c r="F34" s="20" t="str">
        <f aca="false">IF(D34="","",IFERROR(INDEX(Tables!$C:$C,MATCH(D34,Tables!$A:$A,0)),""))</f>
        <v/>
      </c>
      <c r="G34" s="30"/>
      <c r="H34" s="30"/>
      <c r="I34" s="30"/>
      <c r="J34" s="30"/>
      <c r="K34" s="30"/>
      <c r="L34" s="30"/>
      <c r="M34" s="30"/>
      <c r="N34" s="20" t="str">
        <f aca="false">IF(A34="","",COUNTIF('Metric to Field'!$B:$B,A34))</f>
        <v/>
      </c>
      <c r="O34" s="20" t="str">
        <f aca="false">IF(A34="","",SUMIF('Metric to Field'!$B:$B,A34,'Metric to Field'!$F:$F))</f>
        <v/>
      </c>
      <c r="P34" s="30"/>
      <c r="Q34" s="30"/>
      <c r="R34" s="30"/>
      <c r="S34" s="30"/>
      <c r="T34" s="34" t="str">
        <f aca="false">IF(AND(A34&lt;&gt;"",K34="Fix upstream"),COUNTIF($K$5:K34,"Fix upstream"),"")</f>
        <v/>
      </c>
      <c r="U34" s="34" t="str">
        <f aca="false">IF(AND(A34&lt;&gt;"",OR(K34="Move to business rules",K34="Merge into certified table")),COUNTIF($K$5:K34,"Move to business rules")+COUNTIF($K$5:K34,"Merge into certified table"),"")</f>
        <v/>
      </c>
      <c r="V34" s="34" t="str">
        <f aca="false">IF(AND(A34&lt;&gt;"",OR(K34="",K34="Undecided",J34="")),SUMPRODUCT(($A$5:A34&lt;&gt;"")*((($K$5:K34="")+($K$5:K34="Undecided")+($J$5:J34=""))&gt;0)),"")</f>
        <v/>
      </c>
    </row>
    <row r="35" customFormat="false" ht="15" hidden="false" customHeight="false" outlineLevel="0" collapsed="false">
      <c r="A35" s="29"/>
      <c r="B35" s="30"/>
      <c r="C35" s="30"/>
      <c r="D35" s="29"/>
      <c r="E35" s="20" t="str">
        <f aca="false">IF(D35="","",IFERROR(INDEX(Tables!$B:$B,MATCH(D35,Tables!$A:$A,0)),"ID not found"))</f>
        <v/>
      </c>
      <c r="F35" s="20" t="str">
        <f aca="false">IF(D35="","",IFERROR(INDEX(Tables!$C:$C,MATCH(D35,Tables!$A:$A,0)),""))</f>
        <v/>
      </c>
      <c r="G35" s="30"/>
      <c r="H35" s="30"/>
      <c r="I35" s="30"/>
      <c r="J35" s="30"/>
      <c r="K35" s="30"/>
      <c r="L35" s="30"/>
      <c r="M35" s="30"/>
      <c r="N35" s="20" t="str">
        <f aca="false">IF(A35="","",COUNTIF('Metric to Field'!$B:$B,A35))</f>
        <v/>
      </c>
      <c r="O35" s="20" t="str">
        <f aca="false">IF(A35="","",SUMIF('Metric to Field'!$B:$B,A35,'Metric to Field'!$F:$F))</f>
        <v/>
      </c>
      <c r="P35" s="30"/>
      <c r="Q35" s="30"/>
      <c r="R35" s="30"/>
      <c r="S35" s="30"/>
      <c r="T35" s="34" t="str">
        <f aca="false">IF(AND(A35&lt;&gt;"",K35="Fix upstream"),COUNTIF($K$5:K35,"Fix upstream"),"")</f>
        <v/>
      </c>
      <c r="U35" s="34" t="str">
        <f aca="false">IF(AND(A35&lt;&gt;"",OR(K35="Move to business rules",K35="Merge into certified table")),COUNTIF($K$5:K35,"Move to business rules")+COUNTIF($K$5:K35,"Merge into certified table"),"")</f>
        <v/>
      </c>
      <c r="V35" s="34" t="str">
        <f aca="false">IF(AND(A35&lt;&gt;"",OR(K35="",K35="Undecided",J35="")),SUMPRODUCT(($A$5:A35&lt;&gt;"")*((($K$5:K35="")+($K$5:K35="Undecided")+($J$5:J35=""))&gt;0)),"")</f>
        <v/>
      </c>
    </row>
    <row r="36" customFormat="false" ht="15" hidden="false" customHeight="false" outlineLevel="0" collapsed="false">
      <c r="A36" s="29"/>
      <c r="B36" s="30"/>
      <c r="C36" s="30"/>
      <c r="D36" s="29"/>
      <c r="E36" s="20" t="str">
        <f aca="false">IF(D36="","",IFERROR(INDEX(Tables!$B:$B,MATCH(D36,Tables!$A:$A,0)),"ID not found"))</f>
        <v/>
      </c>
      <c r="F36" s="20" t="str">
        <f aca="false">IF(D36="","",IFERROR(INDEX(Tables!$C:$C,MATCH(D36,Tables!$A:$A,0)),""))</f>
        <v/>
      </c>
      <c r="G36" s="30"/>
      <c r="H36" s="30"/>
      <c r="I36" s="30"/>
      <c r="J36" s="30"/>
      <c r="K36" s="30"/>
      <c r="L36" s="30"/>
      <c r="M36" s="30"/>
      <c r="N36" s="20" t="str">
        <f aca="false">IF(A36="","",COUNTIF('Metric to Field'!$B:$B,A36))</f>
        <v/>
      </c>
      <c r="O36" s="20" t="str">
        <f aca="false">IF(A36="","",SUMIF('Metric to Field'!$B:$B,A36,'Metric to Field'!$F:$F))</f>
        <v/>
      </c>
      <c r="P36" s="30"/>
      <c r="Q36" s="30"/>
      <c r="R36" s="30"/>
      <c r="S36" s="30"/>
      <c r="T36" s="34" t="str">
        <f aca="false">IF(AND(A36&lt;&gt;"",K36="Fix upstream"),COUNTIF($K$5:K36,"Fix upstream"),"")</f>
        <v/>
      </c>
      <c r="U36" s="34" t="str">
        <f aca="false">IF(AND(A36&lt;&gt;"",OR(K36="Move to business rules",K36="Merge into certified table")),COUNTIF($K$5:K36,"Move to business rules")+COUNTIF($K$5:K36,"Merge into certified table"),"")</f>
        <v/>
      </c>
      <c r="V36" s="34" t="str">
        <f aca="false">IF(AND(A36&lt;&gt;"",OR(K36="",K36="Undecided",J36="")),SUMPRODUCT(($A$5:A36&lt;&gt;"")*((($K$5:K36="")+($K$5:K36="Undecided")+($J$5:J36=""))&gt;0)),"")</f>
        <v/>
      </c>
    </row>
    <row r="37" customFormat="false" ht="15" hidden="false" customHeight="false" outlineLevel="0" collapsed="false">
      <c r="A37" s="29"/>
      <c r="B37" s="30"/>
      <c r="C37" s="30"/>
      <c r="D37" s="29"/>
      <c r="E37" s="20" t="str">
        <f aca="false">IF(D37="","",IFERROR(INDEX(Tables!$B:$B,MATCH(D37,Tables!$A:$A,0)),"ID not found"))</f>
        <v/>
      </c>
      <c r="F37" s="20" t="str">
        <f aca="false">IF(D37="","",IFERROR(INDEX(Tables!$C:$C,MATCH(D37,Tables!$A:$A,0)),""))</f>
        <v/>
      </c>
      <c r="G37" s="30"/>
      <c r="H37" s="30"/>
      <c r="I37" s="30"/>
      <c r="J37" s="30"/>
      <c r="K37" s="30"/>
      <c r="L37" s="30"/>
      <c r="M37" s="30"/>
      <c r="N37" s="20" t="str">
        <f aca="false">IF(A37="","",COUNTIF('Metric to Field'!$B:$B,A37))</f>
        <v/>
      </c>
      <c r="O37" s="20" t="str">
        <f aca="false">IF(A37="","",SUMIF('Metric to Field'!$B:$B,A37,'Metric to Field'!$F:$F))</f>
        <v/>
      </c>
      <c r="P37" s="30"/>
      <c r="Q37" s="30"/>
      <c r="R37" s="30"/>
      <c r="S37" s="30"/>
      <c r="T37" s="34" t="str">
        <f aca="false">IF(AND(A37&lt;&gt;"",K37="Fix upstream"),COUNTIF($K$5:K37,"Fix upstream"),"")</f>
        <v/>
      </c>
      <c r="U37" s="34" t="str">
        <f aca="false">IF(AND(A37&lt;&gt;"",OR(K37="Move to business rules",K37="Merge into certified table")),COUNTIF($K$5:K37,"Move to business rules")+COUNTIF($K$5:K37,"Merge into certified table"),"")</f>
        <v/>
      </c>
      <c r="V37" s="34" t="str">
        <f aca="false">IF(AND(A37&lt;&gt;"",OR(K37="",K37="Undecided",J37="")),SUMPRODUCT(($A$5:A37&lt;&gt;"")*((($K$5:K37="")+($K$5:K37="Undecided")+($J$5:J37=""))&gt;0)),"")</f>
        <v/>
      </c>
    </row>
    <row r="38" customFormat="false" ht="15" hidden="false" customHeight="false" outlineLevel="0" collapsed="false">
      <c r="A38" s="29"/>
      <c r="B38" s="30"/>
      <c r="C38" s="30"/>
      <c r="D38" s="29"/>
      <c r="E38" s="20" t="str">
        <f aca="false">IF(D38="","",IFERROR(INDEX(Tables!$B:$B,MATCH(D38,Tables!$A:$A,0)),"ID not found"))</f>
        <v/>
      </c>
      <c r="F38" s="20" t="str">
        <f aca="false">IF(D38="","",IFERROR(INDEX(Tables!$C:$C,MATCH(D38,Tables!$A:$A,0)),""))</f>
        <v/>
      </c>
      <c r="G38" s="30"/>
      <c r="H38" s="30"/>
      <c r="I38" s="30"/>
      <c r="J38" s="30"/>
      <c r="K38" s="30"/>
      <c r="L38" s="30"/>
      <c r="M38" s="30"/>
      <c r="N38" s="20" t="str">
        <f aca="false">IF(A38="","",COUNTIF('Metric to Field'!$B:$B,A38))</f>
        <v/>
      </c>
      <c r="O38" s="20" t="str">
        <f aca="false">IF(A38="","",SUMIF('Metric to Field'!$B:$B,A38,'Metric to Field'!$F:$F))</f>
        <v/>
      </c>
      <c r="P38" s="30"/>
      <c r="Q38" s="30"/>
      <c r="R38" s="30"/>
      <c r="S38" s="30"/>
      <c r="T38" s="34" t="str">
        <f aca="false">IF(AND(A38&lt;&gt;"",K38="Fix upstream"),COUNTIF($K$5:K38,"Fix upstream"),"")</f>
        <v/>
      </c>
      <c r="U38" s="34" t="str">
        <f aca="false">IF(AND(A38&lt;&gt;"",OR(K38="Move to business rules",K38="Merge into certified table")),COUNTIF($K$5:K38,"Move to business rules")+COUNTIF($K$5:K38,"Merge into certified table"),"")</f>
        <v/>
      </c>
      <c r="V38" s="34" t="str">
        <f aca="false">IF(AND(A38&lt;&gt;"",OR(K38="",K38="Undecided",J38="")),SUMPRODUCT(($A$5:A38&lt;&gt;"")*((($K$5:K38="")+($K$5:K38="Undecided")+($J$5:J38=""))&gt;0)),"")</f>
        <v/>
      </c>
    </row>
    <row r="39" customFormat="false" ht="15" hidden="false" customHeight="false" outlineLevel="0" collapsed="false">
      <c r="A39" s="29"/>
      <c r="B39" s="30"/>
      <c r="C39" s="30"/>
      <c r="D39" s="29"/>
      <c r="E39" s="20" t="str">
        <f aca="false">IF(D39="","",IFERROR(INDEX(Tables!$B:$B,MATCH(D39,Tables!$A:$A,0)),"ID not found"))</f>
        <v/>
      </c>
      <c r="F39" s="20" t="str">
        <f aca="false">IF(D39="","",IFERROR(INDEX(Tables!$C:$C,MATCH(D39,Tables!$A:$A,0)),""))</f>
        <v/>
      </c>
      <c r="G39" s="30"/>
      <c r="H39" s="30"/>
      <c r="I39" s="30"/>
      <c r="J39" s="30"/>
      <c r="K39" s="30"/>
      <c r="L39" s="30"/>
      <c r="M39" s="30"/>
      <c r="N39" s="20" t="str">
        <f aca="false">IF(A39="","",COUNTIF('Metric to Field'!$B:$B,A39))</f>
        <v/>
      </c>
      <c r="O39" s="20" t="str">
        <f aca="false">IF(A39="","",SUMIF('Metric to Field'!$B:$B,A39,'Metric to Field'!$F:$F))</f>
        <v/>
      </c>
      <c r="P39" s="30"/>
      <c r="Q39" s="30"/>
      <c r="R39" s="30"/>
      <c r="S39" s="30"/>
      <c r="T39" s="34" t="str">
        <f aca="false">IF(AND(A39&lt;&gt;"",K39="Fix upstream"),COUNTIF($K$5:K39,"Fix upstream"),"")</f>
        <v/>
      </c>
      <c r="U39" s="34" t="str">
        <f aca="false">IF(AND(A39&lt;&gt;"",OR(K39="Move to business rules",K39="Merge into certified table")),COUNTIF($K$5:K39,"Move to business rules")+COUNTIF($K$5:K39,"Merge into certified table"),"")</f>
        <v/>
      </c>
      <c r="V39" s="34" t="str">
        <f aca="false">IF(AND(A39&lt;&gt;"",OR(K39="",K39="Undecided",J39="")),SUMPRODUCT(($A$5:A39&lt;&gt;"")*((($K$5:K39="")+($K$5:K39="Undecided")+($J$5:J39=""))&gt;0)),"")</f>
        <v/>
      </c>
    </row>
    <row r="40" customFormat="false" ht="15" hidden="false" customHeight="false" outlineLevel="0" collapsed="false">
      <c r="A40" s="29"/>
      <c r="B40" s="30"/>
      <c r="C40" s="30"/>
      <c r="D40" s="29"/>
      <c r="E40" s="20" t="str">
        <f aca="false">IF(D40="","",IFERROR(INDEX(Tables!$B:$B,MATCH(D40,Tables!$A:$A,0)),"ID not found"))</f>
        <v/>
      </c>
      <c r="F40" s="20" t="str">
        <f aca="false">IF(D40="","",IFERROR(INDEX(Tables!$C:$C,MATCH(D40,Tables!$A:$A,0)),""))</f>
        <v/>
      </c>
      <c r="G40" s="30"/>
      <c r="H40" s="30"/>
      <c r="I40" s="30"/>
      <c r="J40" s="30"/>
      <c r="K40" s="30"/>
      <c r="L40" s="30"/>
      <c r="M40" s="30"/>
      <c r="N40" s="20" t="str">
        <f aca="false">IF(A40="","",COUNTIF('Metric to Field'!$B:$B,A40))</f>
        <v/>
      </c>
      <c r="O40" s="20" t="str">
        <f aca="false">IF(A40="","",SUMIF('Metric to Field'!$B:$B,A40,'Metric to Field'!$F:$F))</f>
        <v/>
      </c>
      <c r="P40" s="30"/>
      <c r="Q40" s="30"/>
      <c r="R40" s="30"/>
      <c r="S40" s="30"/>
      <c r="T40" s="34" t="str">
        <f aca="false">IF(AND(A40&lt;&gt;"",K40="Fix upstream"),COUNTIF($K$5:K40,"Fix upstream"),"")</f>
        <v/>
      </c>
      <c r="U40" s="34" t="str">
        <f aca="false">IF(AND(A40&lt;&gt;"",OR(K40="Move to business rules",K40="Merge into certified table")),COUNTIF($K$5:K40,"Move to business rules")+COUNTIF($K$5:K40,"Merge into certified table"),"")</f>
        <v/>
      </c>
      <c r="V40" s="34" t="str">
        <f aca="false">IF(AND(A40&lt;&gt;"",OR(K40="",K40="Undecided",J40="")),SUMPRODUCT(($A$5:A40&lt;&gt;"")*((($K$5:K40="")+($K$5:K40="Undecided")+($J$5:J40=""))&gt;0)),"")</f>
        <v/>
      </c>
    </row>
    <row r="41" customFormat="false" ht="15" hidden="false" customHeight="false" outlineLevel="0" collapsed="false">
      <c r="A41" s="29"/>
      <c r="B41" s="30"/>
      <c r="C41" s="30"/>
      <c r="D41" s="29"/>
      <c r="E41" s="20" t="str">
        <f aca="false">IF(D41="","",IFERROR(INDEX(Tables!$B:$B,MATCH(D41,Tables!$A:$A,0)),"ID not found"))</f>
        <v/>
      </c>
      <c r="F41" s="20" t="str">
        <f aca="false">IF(D41="","",IFERROR(INDEX(Tables!$C:$C,MATCH(D41,Tables!$A:$A,0)),""))</f>
        <v/>
      </c>
      <c r="G41" s="30"/>
      <c r="H41" s="30"/>
      <c r="I41" s="30"/>
      <c r="J41" s="30"/>
      <c r="K41" s="30"/>
      <c r="L41" s="30"/>
      <c r="M41" s="30"/>
      <c r="N41" s="20" t="str">
        <f aca="false">IF(A41="","",COUNTIF('Metric to Field'!$B:$B,A41))</f>
        <v/>
      </c>
      <c r="O41" s="20" t="str">
        <f aca="false">IF(A41="","",SUMIF('Metric to Field'!$B:$B,A41,'Metric to Field'!$F:$F))</f>
        <v/>
      </c>
      <c r="P41" s="30"/>
      <c r="Q41" s="30"/>
      <c r="R41" s="30"/>
      <c r="S41" s="30"/>
      <c r="T41" s="34" t="str">
        <f aca="false">IF(AND(A41&lt;&gt;"",K41="Fix upstream"),COUNTIF($K$5:K41,"Fix upstream"),"")</f>
        <v/>
      </c>
      <c r="U41" s="34" t="str">
        <f aca="false">IF(AND(A41&lt;&gt;"",OR(K41="Move to business rules",K41="Merge into certified table")),COUNTIF($K$5:K41,"Move to business rules")+COUNTIF($K$5:K41,"Merge into certified table"),"")</f>
        <v/>
      </c>
      <c r="V41" s="34" t="str">
        <f aca="false">IF(AND(A41&lt;&gt;"",OR(K41="",K41="Undecided",J41="")),SUMPRODUCT(($A$5:A41&lt;&gt;"")*((($K$5:K41="")+($K$5:K41="Undecided")+($J$5:J41=""))&gt;0)),"")</f>
        <v/>
      </c>
    </row>
    <row r="42" customFormat="false" ht="15" hidden="false" customHeight="false" outlineLevel="0" collapsed="false">
      <c r="A42" s="29"/>
      <c r="B42" s="30"/>
      <c r="C42" s="30"/>
      <c r="D42" s="29"/>
      <c r="E42" s="20" t="str">
        <f aca="false">IF(D42="","",IFERROR(INDEX(Tables!$B:$B,MATCH(D42,Tables!$A:$A,0)),"ID not found"))</f>
        <v/>
      </c>
      <c r="F42" s="20" t="str">
        <f aca="false">IF(D42="","",IFERROR(INDEX(Tables!$C:$C,MATCH(D42,Tables!$A:$A,0)),""))</f>
        <v/>
      </c>
      <c r="G42" s="30"/>
      <c r="H42" s="30"/>
      <c r="I42" s="30"/>
      <c r="J42" s="30"/>
      <c r="K42" s="30"/>
      <c r="L42" s="30"/>
      <c r="M42" s="30"/>
      <c r="N42" s="20" t="str">
        <f aca="false">IF(A42="","",COUNTIF('Metric to Field'!$B:$B,A42))</f>
        <v/>
      </c>
      <c r="O42" s="20" t="str">
        <f aca="false">IF(A42="","",SUMIF('Metric to Field'!$B:$B,A42,'Metric to Field'!$F:$F))</f>
        <v/>
      </c>
      <c r="P42" s="30"/>
      <c r="Q42" s="30"/>
      <c r="R42" s="30"/>
      <c r="S42" s="30"/>
      <c r="T42" s="34" t="str">
        <f aca="false">IF(AND(A42&lt;&gt;"",K42="Fix upstream"),COUNTIF($K$5:K42,"Fix upstream"),"")</f>
        <v/>
      </c>
      <c r="U42" s="34" t="str">
        <f aca="false">IF(AND(A42&lt;&gt;"",OR(K42="Move to business rules",K42="Merge into certified table")),COUNTIF($K$5:K42,"Move to business rules")+COUNTIF($K$5:K42,"Merge into certified table"),"")</f>
        <v/>
      </c>
      <c r="V42" s="34" t="str">
        <f aca="false">IF(AND(A42&lt;&gt;"",OR(K42="",K42="Undecided",J42="")),SUMPRODUCT(($A$5:A42&lt;&gt;"")*((($K$5:K42="")+($K$5:K42="Undecided")+($J$5:J42=""))&gt;0)),"")</f>
        <v/>
      </c>
    </row>
    <row r="43" customFormat="false" ht="15" hidden="false" customHeight="false" outlineLevel="0" collapsed="false">
      <c r="A43" s="29"/>
      <c r="B43" s="30"/>
      <c r="C43" s="30"/>
      <c r="D43" s="29"/>
      <c r="E43" s="20" t="str">
        <f aca="false">IF(D43="","",IFERROR(INDEX(Tables!$B:$B,MATCH(D43,Tables!$A:$A,0)),"ID not found"))</f>
        <v/>
      </c>
      <c r="F43" s="20" t="str">
        <f aca="false">IF(D43="","",IFERROR(INDEX(Tables!$C:$C,MATCH(D43,Tables!$A:$A,0)),""))</f>
        <v/>
      </c>
      <c r="G43" s="30"/>
      <c r="H43" s="30"/>
      <c r="I43" s="30"/>
      <c r="J43" s="30"/>
      <c r="K43" s="30"/>
      <c r="L43" s="30"/>
      <c r="M43" s="30"/>
      <c r="N43" s="20" t="str">
        <f aca="false">IF(A43="","",COUNTIF('Metric to Field'!$B:$B,A43))</f>
        <v/>
      </c>
      <c r="O43" s="20" t="str">
        <f aca="false">IF(A43="","",SUMIF('Metric to Field'!$B:$B,A43,'Metric to Field'!$F:$F))</f>
        <v/>
      </c>
      <c r="P43" s="30"/>
      <c r="Q43" s="30"/>
      <c r="R43" s="30"/>
      <c r="S43" s="30"/>
      <c r="T43" s="34" t="str">
        <f aca="false">IF(AND(A43&lt;&gt;"",K43="Fix upstream"),COUNTIF($K$5:K43,"Fix upstream"),"")</f>
        <v/>
      </c>
      <c r="U43" s="34" t="str">
        <f aca="false">IF(AND(A43&lt;&gt;"",OR(K43="Move to business rules",K43="Merge into certified table")),COUNTIF($K$5:K43,"Move to business rules")+COUNTIF($K$5:K43,"Merge into certified table"),"")</f>
        <v/>
      </c>
      <c r="V43" s="34" t="str">
        <f aca="false">IF(AND(A43&lt;&gt;"",OR(K43="",K43="Undecided",J43="")),SUMPRODUCT(($A$5:A43&lt;&gt;"")*((($K$5:K43="")+($K$5:K43="Undecided")+($J$5:J43=""))&gt;0)),"")</f>
        <v/>
      </c>
    </row>
    <row r="44" customFormat="false" ht="15" hidden="false" customHeight="false" outlineLevel="0" collapsed="false">
      <c r="A44" s="29"/>
      <c r="B44" s="30"/>
      <c r="C44" s="30"/>
      <c r="D44" s="29"/>
      <c r="E44" s="20" t="str">
        <f aca="false">IF(D44="","",IFERROR(INDEX(Tables!$B:$B,MATCH(D44,Tables!$A:$A,0)),"ID not found"))</f>
        <v/>
      </c>
      <c r="F44" s="20" t="str">
        <f aca="false">IF(D44="","",IFERROR(INDEX(Tables!$C:$C,MATCH(D44,Tables!$A:$A,0)),""))</f>
        <v/>
      </c>
      <c r="G44" s="30"/>
      <c r="H44" s="30"/>
      <c r="I44" s="30"/>
      <c r="J44" s="30"/>
      <c r="K44" s="30"/>
      <c r="L44" s="30"/>
      <c r="M44" s="30"/>
      <c r="N44" s="20" t="str">
        <f aca="false">IF(A44="","",COUNTIF('Metric to Field'!$B:$B,A44))</f>
        <v/>
      </c>
      <c r="O44" s="20" t="str">
        <f aca="false">IF(A44="","",SUMIF('Metric to Field'!$B:$B,A44,'Metric to Field'!$F:$F))</f>
        <v/>
      </c>
      <c r="P44" s="30"/>
      <c r="Q44" s="30"/>
      <c r="R44" s="30"/>
      <c r="S44" s="30"/>
      <c r="T44" s="34" t="str">
        <f aca="false">IF(AND(A44&lt;&gt;"",K44="Fix upstream"),COUNTIF($K$5:K44,"Fix upstream"),"")</f>
        <v/>
      </c>
      <c r="U44" s="34" t="str">
        <f aca="false">IF(AND(A44&lt;&gt;"",OR(K44="Move to business rules",K44="Merge into certified table")),COUNTIF($K$5:K44,"Move to business rules")+COUNTIF($K$5:K44,"Merge into certified table"),"")</f>
        <v/>
      </c>
      <c r="V44" s="34" t="str">
        <f aca="false">IF(AND(A44&lt;&gt;"",OR(K44="",K44="Undecided",J44="")),SUMPRODUCT(($A$5:A44&lt;&gt;"")*((($K$5:K44="")+($K$5:K44="Undecided")+($J$5:J44=""))&gt;0)),"")</f>
        <v/>
      </c>
    </row>
    <row r="45" customFormat="false" ht="15" hidden="false" customHeight="false" outlineLevel="0" collapsed="false">
      <c r="A45" s="29"/>
      <c r="B45" s="30"/>
      <c r="C45" s="30"/>
      <c r="D45" s="29"/>
      <c r="E45" s="20" t="str">
        <f aca="false">IF(D45="","",IFERROR(INDEX(Tables!$B:$B,MATCH(D45,Tables!$A:$A,0)),"ID not found"))</f>
        <v/>
      </c>
      <c r="F45" s="20" t="str">
        <f aca="false">IF(D45="","",IFERROR(INDEX(Tables!$C:$C,MATCH(D45,Tables!$A:$A,0)),""))</f>
        <v/>
      </c>
      <c r="G45" s="30"/>
      <c r="H45" s="30"/>
      <c r="I45" s="30"/>
      <c r="J45" s="30"/>
      <c r="K45" s="30"/>
      <c r="L45" s="30"/>
      <c r="M45" s="30"/>
      <c r="N45" s="20" t="str">
        <f aca="false">IF(A45="","",COUNTIF('Metric to Field'!$B:$B,A45))</f>
        <v/>
      </c>
      <c r="O45" s="20" t="str">
        <f aca="false">IF(A45="","",SUMIF('Metric to Field'!$B:$B,A45,'Metric to Field'!$F:$F))</f>
        <v/>
      </c>
      <c r="P45" s="30"/>
      <c r="Q45" s="30"/>
      <c r="R45" s="30"/>
      <c r="S45" s="30"/>
      <c r="T45" s="34" t="str">
        <f aca="false">IF(AND(A45&lt;&gt;"",K45="Fix upstream"),COUNTIF($K$5:K45,"Fix upstream"),"")</f>
        <v/>
      </c>
      <c r="U45" s="34" t="str">
        <f aca="false">IF(AND(A45&lt;&gt;"",OR(K45="Move to business rules",K45="Merge into certified table")),COUNTIF($K$5:K45,"Move to business rules")+COUNTIF($K$5:K45,"Merge into certified table"),"")</f>
        <v/>
      </c>
      <c r="V45" s="34" t="str">
        <f aca="false">IF(AND(A45&lt;&gt;"",OR(K45="",K45="Undecided",J45="")),SUMPRODUCT(($A$5:A45&lt;&gt;"")*((($K$5:K45="")+($K$5:K45="Undecided")+($J$5:J45=""))&gt;0)),"")</f>
        <v/>
      </c>
    </row>
    <row r="46" customFormat="false" ht="15" hidden="false" customHeight="false" outlineLevel="0" collapsed="false">
      <c r="A46" s="29"/>
      <c r="B46" s="30"/>
      <c r="C46" s="30"/>
      <c r="D46" s="29"/>
      <c r="E46" s="20" t="str">
        <f aca="false">IF(D46="","",IFERROR(INDEX(Tables!$B:$B,MATCH(D46,Tables!$A:$A,0)),"ID not found"))</f>
        <v/>
      </c>
      <c r="F46" s="20" t="str">
        <f aca="false">IF(D46="","",IFERROR(INDEX(Tables!$C:$C,MATCH(D46,Tables!$A:$A,0)),""))</f>
        <v/>
      </c>
      <c r="G46" s="30"/>
      <c r="H46" s="30"/>
      <c r="I46" s="30"/>
      <c r="J46" s="30"/>
      <c r="K46" s="30"/>
      <c r="L46" s="30"/>
      <c r="M46" s="30"/>
      <c r="N46" s="20" t="str">
        <f aca="false">IF(A46="","",COUNTIF('Metric to Field'!$B:$B,A46))</f>
        <v/>
      </c>
      <c r="O46" s="20" t="str">
        <f aca="false">IF(A46="","",SUMIF('Metric to Field'!$B:$B,A46,'Metric to Field'!$F:$F))</f>
        <v/>
      </c>
      <c r="P46" s="30"/>
      <c r="Q46" s="30"/>
      <c r="R46" s="30"/>
      <c r="S46" s="30"/>
      <c r="T46" s="34" t="str">
        <f aca="false">IF(AND(A46&lt;&gt;"",K46="Fix upstream"),COUNTIF($K$5:K46,"Fix upstream"),"")</f>
        <v/>
      </c>
      <c r="U46" s="34" t="str">
        <f aca="false">IF(AND(A46&lt;&gt;"",OR(K46="Move to business rules",K46="Merge into certified table")),COUNTIF($K$5:K46,"Move to business rules")+COUNTIF($K$5:K46,"Merge into certified table"),"")</f>
        <v/>
      </c>
      <c r="V46" s="34" t="str">
        <f aca="false">IF(AND(A46&lt;&gt;"",OR(K46="",K46="Undecided",J46="")),SUMPRODUCT(($A$5:A46&lt;&gt;"")*((($K$5:K46="")+($K$5:K46="Undecided")+($J$5:J46=""))&gt;0)),"")</f>
        <v/>
      </c>
    </row>
    <row r="47" customFormat="false" ht="15" hidden="false" customHeight="false" outlineLevel="0" collapsed="false">
      <c r="A47" s="29"/>
      <c r="B47" s="30"/>
      <c r="C47" s="30"/>
      <c r="D47" s="29"/>
      <c r="E47" s="20" t="str">
        <f aca="false">IF(D47="","",IFERROR(INDEX(Tables!$B:$B,MATCH(D47,Tables!$A:$A,0)),"ID not found"))</f>
        <v/>
      </c>
      <c r="F47" s="20" t="str">
        <f aca="false">IF(D47="","",IFERROR(INDEX(Tables!$C:$C,MATCH(D47,Tables!$A:$A,0)),""))</f>
        <v/>
      </c>
      <c r="G47" s="30"/>
      <c r="H47" s="30"/>
      <c r="I47" s="30"/>
      <c r="J47" s="30"/>
      <c r="K47" s="30"/>
      <c r="L47" s="30"/>
      <c r="M47" s="30"/>
      <c r="N47" s="20" t="str">
        <f aca="false">IF(A47="","",COUNTIF('Metric to Field'!$B:$B,A47))</f>
        <v/>
      </c>
      <c r="O47" s="20" t="str">
        <f aca="false">IF(A47="","",SUMIF('Metric to Field'!$B:$B,A47,'Metric to Field'!$F:$F))</f>
        <v/>
      </c>
      <c r="P47" s="30"/>
      <c r="Q47" s="30"/>
      <c r="R47" s="30"/>
      <c r="S47" s="30"/>
      <c r="T47" s="34" t="str">
        <f aca="false">IF(AND(A47&lt;&gt;"",K47="Fix upstream"),COUNTIF($K$5:K47,"Fix upstream"),"")</f>
        <v/>
      </c>
      <c r="U47" s="34" t="str">
        <f aca="false">IF(AND(A47&lt;&gt;"",OR(K47="Move to business rules",K47="Merge into certified table")),COUNTIF($K$5:K47,"Move to business rules")+COUNTIF($K$5:K47,"Merge into certified table"),"")</f>
        <v/>
      </c>
      <c r="V47" s="34" t="str">
        <f aca="false">IF(AND(A47&lt;&gt;"",OR(K47="",K47="Undecided",J47="")),SUMPRODUCT(($A$5:A47&lt;&gt;"")*((($K$5:K47="")+($K$5:K47="Undecided")+($J$5:J47=""))&gt;0)),"")</f>
        <v/>
      </c>
    </row>
    <row r="48" customFormat="false" ht="15" hidden="false" customHeight="false" outlineLevel="0" collapsed="false">
      <c r="A48" s="29"/>
      <c r="B48" s="30"/>
      <c r="C48" s="30"/>
      <c r="D48" s="29"/>
      <c r="E48" s="20" t="str">
        <f aca="false">IF(D48="","",IFERROR(INDEX(Tables!$B:$B,MATCH(D48,Tables!$A:$A,0)),"ID not found"))</f>
        <v/>
      </c>
      <c r="F48" s="20" t="str">
        <f aca="false">IF(D48="","",IFERROR(INDEX(Tables!$C:$C,MATCH(D48,Tables!$A:$A,0)),""))</f>
        <v/>
      </c>
      <c r="G48" s="30"/>
      <c r="H48" s="30"/>
      <c r="I48" s="30"/>
      <c r="J48" s="30"/>
      <c r="K48" s="30"/>
      <c r="L48" s="30"/>
      <c r="M48" s="30"/>
      <c r="N48" s="20" t="str">
        <f aca="false">IF(A48="","",COUNTIF('Metric to Field'!$B:$B,A48))</f>
        <v/>
      </c>
      <c r="O48" s="20" t="str">
        <f aca="false">IF(A48="","",SUMIF('Metric to Field'!$B:$B,A48,'Metric to Field'!$F:$F))</f>
        <v/>
      </c>
      <c r="P48" s="30"/>
      <c r="Q48" s="30"/>
      <c r="R48" s="30"/>
      <c r="S48" s="30"/>
      <c r="T48" s="34" t="str">
        <f aca="false">IF(AND(A48&lt;&gt;"",K48="Fix upstream"),COUNTIF($K$5:K48,"Fix upstream"),"")</f>
        <v/>
      </c>
      <c r="U48" s="34" t="str">
        <f aca="false">IF(AND(A48&lt;&gt;"",OR(K48="Move to business rules",K48="Merge into certified table")),COUNTIF($K$5:K48,"Move to business rules")+COUNTIF($K$5:K48,"Merge into certified table"),"")</f>
        <v/>
      </c>
      <c r="V48" s="34" t="str">
        <f aca="false">IF(AND(A48&lt;&gt;"",OR(K48="",K48="Undecided",J48="")),SUMPRODUCT(($A$5:A48&lt;&gt;"")*((($K$5:K48="")+($K$5:K48="Undecided")+($J$5:J48=""))&gt;0)),"")</f>
        <v/>
      </c>
    </row>
    <row r="49" customFormat="false" ht="15" hidden="false" customHeight="false" outlineLevel="0" collapsed="false">
      <c r="A49" s="29"/>
      <c r="B49" s="30"/>
      <c r="C49" s="30"/>
      <c r="D49" s="29"/>
      <c r="E49" s="20" t="str">
        <f aca="false">IF(D49="","",IFERROR(INDEX(Tables!$B:$B,MATCH(D49,Tables!$A:$A,0)),"ID not found"))</f>
        <v/>
      </c>
      <c r="F49" s="20" t="str">
        <f aca="false">IF(D49="","",IFERROR(INDEX(Tables!$C:$C,MATCH(D49,Tables!$A:$A,0)),""))</f>
        <v/>
      </c>
      <c r="G49" s="30"/>
      <c r="H49" s="30"/>
      <c r="I49" s="30"/>
      <c r="J49" s="30"/>
      <c r="K49" s="30"/>
      <c r="L49" s="30"/>
      <c r="M49" s="30"/>
      <c r="N49" s="20" t="str">
        <f aca="false">IF(A49="","",COUNTIF('Metric to Field'!$B:$B,A49))</f>
        <v/>
      </c>
      <c r="O49" s="20" t="str">
        <f aca="false">IF(A49="","",SUMIF('Metric to Field'!$B:$B,A49,'Metric to Field'!$F:$F))</f>
        <v/>
      </c>
      <c r="P49" s="30"/>
      <c r="Q49" s="30"/>
      <c r="R49" s="30"/>
      <c r="S49" s="30"/>
      <c r="T49" s="34" t="str">
        <f aca="false">IF(AND(A49&lt;&gt;"",K49="Fix upstream"),COUNTIF($K$5:K49,"Fix upstream"),"")</f>
        <v/>
      </c>
      <c r="U49" s="34" t="str">
        <f aca="false">IF(AND(A49&lt;&gt;"",OR(K49="Move to business rules",K49="Merge into certified table")),COUNTIF($K$5:K49,"Move to business rules")+COUNTIF($K$5:K49,"Merge into certified table"),"")</f>
        <v/>
      </c>
      <c r="V49" s="34" t="str">
        <f aca="false">IF(AND(A49&lt;&gt;"",OR(K49="",K49="Undecided",J49="")),SUMPRODUCT(($A$5:A49&lt;&gt;"")*((($K$5:K49="")+($K$5:K49="Undecided")+($J$5:J49=""))&gt;0)),"")</f>
        <v/>
      </c>
    </row>
    <row r="50" customFormat="false" ht="15" hidden="false" customHeight="false" outlineLevel="0" collapsed="false">
      <c r="A50" s="29"/>
      <c r="B50" s="30"/>
      <c r="C50" s="30"/>
      <c r="D50" s="29"/>
      <c r="E50" s="20" t="str">
        <f aca="false">IF(D50="","",IFERROR(INDEX(Tables!$B:$B,MATCH(D50,Tables!$A:$A,0)),"ID not found"))</f>
        <v/>
      </c>
      <c r="F50" s="20" t="str">
        <f aca="false">IF(D50="","",IFERROR(INDEX(Tables!$C:$C,MATCH(D50,Tables!$A:$A,0)),""))</f>
        <v/>
      </c>
      <c r="G50" s="30"/>
      <c r="H50" s="30"/>
      <c r="I50" s="30"/>
      <c r="J50" s="30"/>
      <c r="K50" s="30"/>
      <c r="L50" s="30"/>
      <c r="M50" s="30"/>
      <c r="N50" s="20" t="str">
        <f aca="false">IF(A50="","",COUNTIF('Metric to Field'!$B:$B,A50))</f>
        <v/>
      </c>
      <c r="O50" s="20" t="str">
        <f aca="false">IF(A50="","",SUMIF('Metric to Field'!$B:$B,A50,'Metric to Field'!$F:$F))</f>
        <v/>
      </c>
      <c r="P50" s="30"/>
      <c r="Q50" s="30"/>
      <c r="R50" s="30"/>
      <c r="S50" s="30"/>
      <c r="T50" s="34" t="str">
        <f aca="false">IF(AND(A50&lt;&gt;"",K50="Fix upstream"),COUNTIF($K$5:K50,"Fix upstream"),"")</f>
        <v/>
      </c>
      <c r="U50" s="34" t="str">
        <f aca="false">IF(AND(A50&lt;&gt;"",OR(K50="Move to business rules",K50="Merge into certified table")),COUNTIF($K$5:K50,"Move to business rules")+COUNTIF($K$5:K50,"Merge into certified table"),"")</f>
        <v/>
      </c>
      <c r="V50" s="34" t="str">
        <f aca="false">IF(AND(A50&lt;&gt;"",OR(K50="",K50="Undecided",J50="")),SUMPRODUCT(($A$5:A50&lt;&gt;"")*((($K$5:K50="")+($K$5:K50="Undecided")+($J$5:J50=""))&gt;0)),"")</f>
        <v/>
      </c>
    </row>
    <row r="51" customFormat="false" ht="15" hidden="false" customHeight="false" outlineLevel="0" collapsed="false">
      <c r="A51" s="29"/>
      <c r="B51" s="30"/>
      <c r="C51" s="30"/>
      <c r="D51" s="29"/>
      <c r="E51" s="20" t="str">
        <f aca="false">IF(D51="","",IFERROR(INDEX(Tables!$B:$B,MATCH(D51,Tables!$A:$A,0)),"ID not found"))</f>
        <v/>
      </c>
      <c r="F51" s="20" t="str">
        <f aca="false">IF(D51="","",IFERROR(INDEX(Tables!$C:$C,MATCH(D51,Tables!$A:$A,0)),""))</f>
        <v/>
      </c>
      <c r="G51" s="30"/>
      <c r="H51" s="30"/>
      <c r="I51" s="30"/>
      <c r="J51" s="30"/>
      <c r="K51" s="30"/>
      <c r="L51" s="30"/>
      <c r="M51" s="30"/>
      <c r="N51" s="20" t="str">
        <f aca="false">IF(A51="","",COUNTIF('Metric to Field'!$B:$B,A51))</f>
        <v/>
      </c>
      <c r="O51" s="20" t="str">
        <f aca="false">IF(A51="","",SUMIF('Metric to Field'!$B:$B,A51,'Metric to Field'!$F:$F))</f>
        <v/>
      </c>
      <c r="P51" s="30"/>
      <c r="Q51" s="30"/>
      <c r="R51" s="30"/>
      <c r="S51" s="30"/>
      <c r="T51" s="34" t="str">
        <f aca="false">IF(AND(A51&lt;&gt;"",K51="Fix upstream"),COUNTIF($K$5:K51,"Fix upstream"),"")</f>
        <v/>
      </c>
      <c r="U51" s="34" t="str">
        <f aca="false">IF(AND(A51&lt;&gt;"",OR(K51="Move to business rules",K51="Merge into certified table")),COUNTIF($K$5:K51,"Move to business rules")+COUNTIF($K$5:K51,"Merge into certified table"),"")</f>
        <v/>
      </c>
      <c r="V51" s="34" t="str">
        <f aca="false">IF(AND(A51&lt;&gt;"",OR(K51="",K51="Undecided",J51="")),SUMPRODUCT(($A$5:A51&lt;&gt;"")*((($K$5:K51="")+($K$5:K51="Undecided")+($J$5:J51=""))&gt;0)),"")</f>
        <v/>
      </c>
    </row>
    <row r="52" customFormat="false" ht="15" hidden="false" customHeight="false" outlineLevel="0" collapsed="false">
      <c r="A52" s="29"/>
      <c r="B52" s="30"/>
      <c r="C52" s="30"/>
      <c r="D52" s="29"/>
      <c r="E52" s="20" t="str">
        <f aca="false">IF(D52="","",IFERROR(INDEX(Tables!$B:$B,MATCH(D52,Tables!$A:$A,0)),"ID not found"))</f>
        <v/>
      </c>
      <c r="F52" s="20" t="str">
        <f aca="false">IF(D52="","",IFERROR(INDEX(Tables!$C:$C,MATCH(D52,Tables!$A:$A,0)),""))</f>
        <v/>
      </c>
      <c r="G52" s="30"/>
      <c r="H52" s="30"/>
      <c r="I52" s="30"/>
      <c r="J52" s="30"/>
      <c r="K52" s="30"/>
      <c r="L52" s="30"/>
      <c r="M52" s="30"/>
      <c r="N52" s="20" t="str">
        <f aca="false">IF(A52="","",COUNTIF('Metric to Field'!$B:$B,A52))</f>
        <v/>
      </c>
      <c r="O52" s="20" t="str">
        <f aca="false">IF(A52="","",SUMIF('Metric to Field'!$B:$B,A52,'Metric to Field'!$F:$F))</f>
        <v/>
      </c>
      <c r="P52" s="30"/>
      <c r="Q52" s="30"/>
      <c r="R52" s="30"/>
      <c r="S52" s="30"/>
      <c r="T52" s="34" t="str">
        <f aca="false">IF(AND(A52&lt;&gt;"",K52="Fix upstream"),COUNTIF($K$5:K52,"Fix upstream"),"")</f>
        <v/>
      </c>
      <c r="U52" s="34" t="str">
        <f aca="false">IF(AND(A52&lt;&gt;"",OR(K52="Move to business rules",K52="Merge into certified table")),COUNTIF($K$5:K52,"Move to business rules")+COUNTIF($K$5:K52,"Merge into certified table"),"")</f>
        <v/>
      </c>
      <c r="V52" s="34" t="str">
        <f aca="false">IF(AND(A52&lt;&gt;"",OR(K52="",K52="Undecided",J52="")),SUMPRODUCT(($A$5:A52&lt;&gt;"")*((($K$5:K52="")+($K$5:K52="Undecided")+($J$5:J52=""))&gt;0)),"")</f>
        <v/>
      </c>
    </row>
    <row r="53" customFormat="false" ht="15" hidden="false" customHeight="false" outlineLevel="0" collapsed="false">
      <c r="A53" s="29"/>
      <c r="B53" s="30"/>
      <c r="C53" s="30"/>
      <c r="D53" s="29"/>
      <c r="E53" s="20" t="str">
        <f aca="false">IF(D53="","",IFERROR(INDEX(Tables!$B:$B,MATCH(D53,Tables!$A:$A,0)),"ID not found"))</f>
        <v/>
      </c>
      <c r="F53" s="20" t="str">
        <f aca="false">IF(D53="","",IFERROR(INDEX(Tables!$C:$C,MATCH(D53,Tables!$A:$A,0)),""))</f>
        <v/>
      </c>
      <c r="G53" s="30"/>
      <c r="H53" s="30"/>
      <c r="I53" s="30"/>
      <c r="J53" s="30"/>
      <c r="K53" s="30"/>
      <c r="L53" s="30"/>
      <c r="M53" s="30"/>
      <c r="N53" s="20" t="str">
        <f aca="false">IF(A53="","",COUNTIF('Metric to Field'!$B:$B,A53))</f>
        <v/>
      </c>
      <c r="O53" s="20" t="str">
        <f aca="false">IF(A53="","",SUMIF('Metric to Field'!$B:$B,A53,'Metric to Field'!$F:$F))</f>
        <v/>
      </c>
      <c r="P53" s="30"/>
      <c r="Q53" s="30"/>
      <c r="R53" s="30"/>
      <c r="S53" s="30"/>
      <c r="T53" s="34" t="str">
        <f aca="false">IF(AND(A53&lt;&gt;"",K53="Fix upstream"),COUNTIF($K$5:K53,"Fix upstream"),"")</f>
        <v/>
      </c>
      <c r="U53" s="34" t="str">
        <f aca="false">IF(AND(A53&lt;&gt;"",OR(K53="Move to business rules",K53="Merge into certified table")),COUNTIF($K$5:K53,"Move to business rules")+COUNTIF($K$5:K53,"Merge into certified table"),"")</f>
        <v/>
      </c>
      <c r="V53" s="34" t="str">
        <f aca="false">IF(AND(A53&lt;&gt;"",OR(K53="",K53="Undecided",J53="")),SUMPRODUCT(($A$5:A53&lt;&gt;"")*((($K$5:K53="")+($K$5:K53="Undecided")+($J$5:J53=""))&gt;0)),"")</f>
        <v/>
      </c>
    </row>
    <row r="54" customFormat="false" ht="15" hidden="false" customHeight="false" outlineLevel="0" collapsed="false">
      <c r="A54" s="29"/>
      <c r="B54" s="30"/>
      <c r="C54" s="30"/>
      <c r="D54" s="29"/>
      <c r="E54" s="20" t="str">
        <f aca="false">IF(D54="","",IFERROR(INDEX(Tables!$B:$B,MATCH(D54,Tables!$A:$A,0)),"ID not found"))</f>
        <v/>
      </c>
      <c r="F54" s="20" t="str">
        <f aca="false">IF(D54="","",IFERROR(INDEX(Tables!$C:$C,MATCH(D54,Tables!$A:$A,0)),""))</f>
        <v/>
      </c>
      <c r="G54" s="30"/>
      <c r="H54" s="30"/>
      <c r="I54" s="30"/>
      <c r="J54" s="30"/>
      <c r="K54" s="30"/>
      <c r="L54" s="30"/>
      <c r="M54" s="30"/>
      <c r="N54" s="20" t="str">
        <f aca="false">IF(A54="","",COUNTIF('Metric to Field'!$B:$B,A54))</f>
        <v/>
      </c>
      <c r="O54" s="20" t="str">
        <f aca="false">IF(A54="","",SUMIF('Metric to Field'!$B:$B,A54,'Metric to Field'!$F:$F))</f>
        <v/>
      </c>
      <c r="P54" s="30"/>
      <c r="Q54" s="30"/>
      <c r="R54" s="30"/>
      <c r="S54" s="30"/>
      <c r="T54" s="34" t="str">
        <f aca="false">IF(AND(A54&lt;&gt;"",K54="Fix upstream"),COUNTIF($K$5:K54,"Fix upstream"),"")</f>
        <v/>
      </c>
      <c r="U54" s="34" t="str">
        <f aca="false">IF(AND(A54&lt;&gt;"",OR(K54="Move to business rules",K54="Merge into certified table")),COUNTIF($K$5:K54,"Move to business rules")+COUNTIF($K$5:K54,"Merge into certified table"),"")</f>
        <v/>
      </c>
      <c r="V54" s="34" t="str">
        <f aca="false">IF(AND(A54&lt;&gt;"",OR(K54="",K54="Undecided",J54="")),SUMPRODUCT(($A$5:A54&lt;&gt;"")*((($K$5:K54="")+($K$5:K54="Undecided")+($J$5:J54=""))&gt;0)),"")</f>
        <v/>
      </c>
    </row>
    <row r="55" customFormat="false" ht="15" hidden="false" customHeight="false" outlineLevel="0" collapsed="false">
      <c r="A55" s="29"/>
      <c r="B55" s="30"/>
      <c r="C55" s="30"/>
      <c r="D55" s="29"/>
      <c r="E55" s="20" t="str">
        <f aca="false">IF(D55="","",IFERROR(INDEX(Tables!$B:$B,MATCH(D55,Tables!$A:$A,0)),"ID not found"))</f>
        <v/>
      </c>
      <c r="F55" s="20" t="str">
        <f aca="false">IF(D55="","",IFERROR(INDEX(Tables!$C:$C,MATCH(D55,Tables!$A:$A,0)),""))</f>
        <v/>
      </c>
      <c r="G55" s="30"/>
      <c r="H55" s="30"/>
      <c r="I55" s="30"/>
      <c r="J55" s="30"/>
      <c r="K55" s="30"/>
      <c r="L55" s="30"/>
      <c r="M55" s="30"/>
      <c r="N55" s="20" t="str">
        <f aca="false">IF(A55="","",COUNTIF('Metric to Field'!$B:$B,A55))</f>
        <v/>
      </c>
      <c r="O55" s="20" t="str">
        <f aca="false">IF(A55="","",SUMIF('Metric to Field'!$B:$B,A55,'Metric to Field'!$F:$F))</f>
        <v/>
      </c>
      <c r="P55" s="30"/>
      <c r="Q55" s="30"/>
      <c r="R55" s="30"/>
      <c r="S55" s="30"/>
      <c r="T55" s="34" t="str">
        <f aca="false">IF(AND(A55&lt;&gt;"",K55="Fix upstream"),COUNTIF($K$5:K55,"Fix upstream"),"")</f>
        <v/>
      </c>
      <c r="U55" s="34" t="str">
        <f aca="false">IF(AND(A55&lt;&gt;"",OR(K55="Move to business rules",K55="Merge into certified table")),COUNTIF($K$5:K55,"Move to business rules")+COUNTIF($K$5:K55,"Merge into certified table"),"")</f>
        <v/>
      </c>
      <c r="V55" s="34" t="str">
        <f aca="false">IF(AND(A55&lt;&gt;"",OR(K55="",K55="Undecided",J55="")),SUMPRODUCT(($A$5:A55&lt;&gt;"")*((($K$5:K55="")+($K$5:K55="Undecided")+($J$5:J55=""))&gt;0)),"")</f>
        <v/>
      </c>
    </row>
    <row r="56" customFormat="false" ht="15" hidden="false" customHeight="false" outlineLevel="0" collapsed="false">
      <c r="A56" s="29"/>
      <c r="B56" s="30"/>
      <c r="C56" s="30"/>
      <c r="D56" s="29"/>
      <c r="E56" s="20" t="str">
        <f aca="false">IF(D56="","",IFERROR(INDEX(Tables!$B:$B,MATCH(D56,Tables!$A:$A,0)),"ID not found"))</f>
        <v/>
      </c>
      <c r="F56" s="20" t="str">
        <f aca="false">IF(D56="","",IFERROR(INDEX(Tables!$C:$C,MATCH(D56,Tables!$A:$A,0)),""))</f>
        <v/>
      </c>
      <c r="G56" s="30"/>
      <c r="H56" s="30"/>
      <c r="I56" s="30"/>
      <c r="J56" s="30"/>
      <c r="K56" s="30"/>
      <c r="L56" s="30"/>
      <c r="M56" s="30"/>
      <c r="N56" s="20" t="str">
        <f aca="false">IF(A56="","",COUNTIF('Metric to Field'!$B:$B,A56))</f>
        <v/>
      </c>
      <c r="O56" s="20" t="str">
        <f aca="false">IF(A56="","",SUMIF('Metric to Field'!$B:$B,A56,'Metric to Field'!$F:$F))</f>
        <v/>
      </c>
      <c r="P56" s="30"/>
      <c r="Q56" s="30"/>
      <c r="R56" s="30"/>
      <c r="S56" s="30"/>
      <c r="T56" s="34" t="str">
        <f aca="false">IF(AND(A56&lt;&gt;"",K56="Fix upstream"),COUNTIF($K$5:K56,"Fix upstream"),"")</f>
        <v/>
      </c>
      <c r="U56" s="34" t="str">
        <f aca="false">IF(AND(A56&lt;&gt;"",OR(K56="Move to business rules",K56="Merge into certified table")),COUNTIF($K$5:K56,"Move to business rules")+COUNTIF($K$5:K56,"Merge into certified table"),"")</f>
        <v/>
      </c>
      <c r="V56" s="34" t="str">
        <f aca="false">IF(AND(A56&lt;&gt;"",OR(K56="",K56="Undecided",J56="")),SUMPRODUCT(($A$5:A56&lt;&gt;"")*((($K$5:K56="")+($K$5:K56="Undecided")+($J$5:J56=""))&gt;0)),"")</f>
        <v/>
      </c>
    </row>
    <row r="57" customFormat="false" ht="15" hidden="false" customHeight="false" outlineLevel="0" collapsed="false">
      <c r="A57" s="29"/>
      <c r="B57" s="30"/>
      <c r="C57" s="30"/>
      <c r="D57" s="29"/>
      <c r="E57" s="20" t="str">
        <f aca="false">IF(D57="","",IFERROR(INDEX(Tables!$B:$B,MATCH(D57,Tables!$A:$A,0)),"ID not found"))</f>
        <v/>
      </c>
      <c r="F57" s="20" t="str">
        <f aca="false">IF(D57="","",IFERROR(INDEX(Tables!$C:$C,MATCH(D57,Tables!$A:$A,0)),""))</f>
        <v/>
      </c>
      <c r="G57" s="30"/>
      <c r="H57" s="30"/>
      <c r="I57" s="30"/>
      <c r="J57" s="30"/>
      <c r="K57" s="30"/>
      <c r="L57" s="30"/>
      <c r="M57" s="30"/>
      <c r="N57" s="20" t="str">
        <f aca="false">IF(A57="","",COUNTIF('Metric to Field'!$B:$B,A57))</f>
        <v/>
      </c>
      <c r="O57" s="20" t="str">
        <f aca="false">IF(A57="","",SUMIF('Metric to Field'!$B:$B,A57,'Metric to Field'!$F:$F))</f>
        <v/>
      </c>
      <c r="P57" s="30"/>
      <c r="Q57" s="30"/>
      <c r="R57" s="30"/>
      <c r="S57" s="30"/>
      <c r="T57" s="34" t="str">
        <f aca="false">IF(AND(A57&lt;&gt;"",K57="Fix upstream"),COUNTIF($K$5:K57,"Fix upstream"),"")</f>
        <v/>
      </c>
      <c r="U57" s="34" t="str">
        <f aca="false">IF(AND(A57&lt;&gt;"",OR(K57="Move to business rules",K57="Merge into certified table")),COUNTIF($K$5:K57,"Move to business rules")+COUNTIF($K$5:K57,"Merge into certified table"),"")</f>
        <v/>
      </c>
      <c r="V57" s="34" t="str">
        <f aca="false">IF(AND(A57&lt;&gt;"",OR(K57="",K57="Undecided",J57="")),SUMPRODUCT(($A$5:A57&lt;&gt;"")*((($K$5:K57="")+($K$5:K57="Undecided")+($J$5:J57=""))&gt;0)),"")</f>
        <v/>
      </c>
    </row>
    <row r="58" customFormat="false" ht="15" hidden="false" customHeight="false" outlineLevel="0" collapsed="false">
      <c r="A58" s="29"/>
      <c r="B58" s="30"/>
      <c r="C58" s="30"/>
      <c r="D58" s="29"/>
      <c r="E58" s="20" t="str">
        <f aca="false">IF(D58="","",IFERROR(INDEX(Tables!$B:$B,MATCH(D58,Tables!$A:$A,0)),"ID not found"))</f>
        <v/>
      </c>
      <c r="F58" s="20" t="str">
        <f aca="false">IF(D58="","",IFERROR(INDEX(Tables!$C:$C,MATCH(D58,Tables!$A:$A,0)),""))</f>
        <v/>
      </c>
      <c r="G58" s="30"/>
      <c r="H58" s="30"/>
      <c r="I58" s="30"/>
      <c r="J58" s="30"/>
      <c r="K58" s="30"/>
      <c r="L58" s="30"/>
      <c r="M58" s="30"/>
      <c r="N58" s="20" t="str">
        <f aca="false">IF(A58="","",COUNTIF('Metric to Field'!$B:$B,A58))</f>
        <v/>
      </c>
      <c r="O58" s="20" t="str">
        <f aca="false">IF(A58="","",SUMIF('Metric to Field'!$B:$B,A58,'Metric to Field'!$F:$F))</f>
        <v/>
      </c>
      <c r="P58" s="30"/>
      <c r="Q58" s="30"/>
      <c r="R58" s="30"/>
      <c r="S58" s="30"/>
      <c r="T58" s="34" t="str">
        <f aca="false">IF(AND(A58&lt;&gt;"",K58="Fix upstream"),COUNTIF($K$5:K58,"Fix upstream"),"")</f>
        <v/>
      </c>
      <c r="U58" s="34" t="str">
        <f aca="false">IF(AND(A58&lt;&gt;"",OR(K58="Move to business rules",K58="Merge into certified table")),COUNTIF($K$5:K58,"Move to business rules")+COUNTIF($K$5:K58,"Merge into certified table"),"")</f>
        <v/>
      </c>
      <c r="V58" s="34" t="str">
        <f aca="false">IF(AND(A58&lt;&gt;"",OR(K58="",K58="Undecided",J58="")),SUMPRODUCT(($A$5:A58&lt;&gt;"")*((($K$5:K58="")+($K$5:K58="Undecided")+($J$5:J58=""))&gt;0)),"")</f>
        <v/>
      </c>
    </row>
    <row r="59" customFormat="false" ht="15" hidden="false" customHeight="false" outlineLevel="0" collapsed="false">
      <c r="A59" s="29"/>
      <c r="B59" s="30"/>
      <c r="C59" s="30"/>
      <c r="D59" s="29"/>
      <c r="E59" s="20" t="str">
        <f aca="false">IF(D59="","",IFERROR(INDEX(Tables!$B:$B,MATCH(D59,Tables!$A:$A,0)),"ID not found"))</f>
        <v/>
      </c>
      <c r="F59" s="20" t="str">
        <f aca="false">IF(D59="","",IFERROR(INDEX(Tables!$C:$C,MATCH(D59,Tables!$A:$A,0)),""))</f>
        <v/>
      </c>
      <c r="G59" s="30"/>
      <c r="H59" s="30"/>
      <c r="I59" s="30"/>
      <c r="J59" s="30"/>
      <c r="K59" s="30"/>
      <c r="L59" s="30"/>
      <c r="M59" s="30"/>
      <c r="N59" s="20" t="str">
        <f aca="false">IF(A59="","",COUNTIF('Metric to Field'!$B:$B,A59))</f>
        <v/>
      </c>
      <c r="O59" s="20" t="str">
        <f aca="false">IF(A59="","",SUMIF('Metric to Field'!$B:$B,A59,'Metric to Field'!$F:$F))</f>
        <v/>
      </c>
      <c r="P59" s="30"/>
      <c r="Q59" s="30"/>
      <c r="R59" s="30"/>
      <c r="S59" s="30"/>
      <c r="T59" s="34" t="str">
        <f aca="false">IF(AND(A59&lt;&gt;"",K59="Fix upstream"),COUNTIF($K$5:K59,"Fix upstream"),"")</f>
        <v/>
      </c>
      <c r="U59" s="34" t="str">
        <f aca="false">IF(AND(A59&lt;&gt;"",OR(K59="Move to business rules",K59="Merge into certified table")),COUNTIF($K$5:K59,"Move to business rules")+COUNTIF($K$5:K59,"Merge into certified table"),"")</f>
        <v/>
      </c>
      <c r="V59" s="34" t="str">
        <f aca="false">IF(AND(A59&lt;&gt;"",OR(K59="",K59="Undecided",J59="")),SUMPRODUCT(($A$5:A59&lt;&gt;"")*((($K$5:K59="")+($K$5:K59="Undecided")+($J$5:J59=""))&gt;0)),"")</f>
        <v/>
      </c>
    </row>
    <row r="60" customFormat="false" ht="15" hidden="false" customHeight="false" outlineLevel="0" collapsed="false">
      <c r="A60" s="29"/>
      <c r="B60" s="30"/>
      <c r="C60" s="30"/>
      <c r="D60" s="29"/>
      <c r="E60" s="20" t="str">
        <f aca="false">IF(D60="","",IFERROR(INDEX(Tables!$B:$B,MATCH(D60,Tables!$A:$A,0)),"ID not found"))</f>
        <v/>
      </c>
      <c r="F60" s="20" t="str">
        <f aca="false">IF(D60="","",IFERROR(INDEX(Tables!$C:$C,MATCH(D60,Tables!$A:$A,0)),""))</f>
        <v/>
      </c>
      <c r="G60" s="30"/>
      <c r="H60" s="30"/>
      <c r="I60" s="30"/>
      <c r="J60" s="30"/>
      <c r="K60" s="30"/>
      <c r="L60" s="30"/>
      <c r="M60" s="30"/>
      <c r="N60" s="20" t="str">
        <f aca="false">IF(A60="","",COUNTIF('Metric to Field'!$B:$B,A60))</f>
        <v/>
      </c>
      <c r="O60" s="20" t="str">
        <f aca="false">IF(A60="","",SUMIF('Metric to Field'!$B:$B,A60,'Metric to Field'!$F:$F))</f>
        <v/>
      </c>
      <c r="P60" s="30"/>
      <c r="Q60" s="30"/>
      <c r="R60" s="30"/>
      <c r="S60" s="30"/>
      <c r="T60" s="34" t="str">
        <f aca="false">IF(AND(A60&lt;&gt;"",K60="Fix upstream"),COUNTIF($K$5:K60,"Fix upstream"),"")</f>
        <v/>
      </c>
      <c r="U60" s="34" t="str">
        <f aca="false">IF(AND(A60&lt;&gt;"",OR(K60="Move to business rules",K60="Merge into certified table")),COUNTIF($K$5:K60,"Move to business rules")+COUNTIF($K$5:K60,"Merge into certified table"),"")</f>
        <v/>
      </c>
      <c r="V60" s="34" t="str">
        <f aca="false">IF(AND(A60&lt;&gt;"",OR(K60="",K60="Undecided",J60="")),SUMPRODUCT(($A$5:A60&lt;&gt;"")*((($K$5:K60="")+($K$5:K60="Undecided")+($J$5:J60=""))&gt;0)),"")</f>
        <v/>
      </c>
    </row>
    <row r="61" customFormat="false" ht="15" hidden="false" customHeight="false" outlineLevel="0" collapsed="false">
      <c r="A61" s="29"/>
      <c r="B61" s="30"/>
      <c r="C61" s="30"/>
      <c r="D61" s="29"/>
      <c r="E61" s="20" t="str">
        <f aca="false">IF(D61="","",IFERROR(INDEX(Tables!$B:$B,MATCH(D61,Tables!$A:$A,0)),"ID not found"))</f>
        <v/>
      </c>
      <c r="F61" s="20" t="str">
        <f aca="false">IF(D61="","",IFERROR(INDEX(Tables!$C:$C,MATCH(D61,Tables!$A:$A,0)),""))</f>
        <v/>
      </c>
      <c r="G61" s="30"/>
      <c r="H61" s="30"/>
      <c r="I61" s="30"/>
      <c r="J61" s="30"/>
      <c r="K61" s="30"/>
      <c r="L61" s="30"/>
      <c r="M61" s="30"/>
      <c r="N61" s="20" t="str">
        <f aca="false">IF(A61="","",COUNTIF('Metric to Field'!$B:$B,A61))</f>
        <v/>
      </c>
      <c r="O61" s="20" t="str">
        <f aca="false">IF(A61="","",SUMIF('Metric to Field'!$B:$B,A61,'Metric to Field'!$F:$F))</f>
        <v/>
      </c>
      <c r="P61" s="30"/>
      <c r="Q61" s="30"/>
      <c r="R61" s="30"/>
      <c r="S61" s="30"/>
      <c r="T61" s="34" t="str">
        <f aca="false">IF(AND(A61&lt;&gt;"",K61="Fix upstream"),COUNTIF($K$5:K61,"Fix upstream"),"")</f>
        <v/>
      </c>
      <c r="U61" s="34" t="str">
        <f aca="false">IF(AND(A61&lt;&gt;"",OR(K61="Move to business rules",K61="Merge into certified table")),COUNTIF($K$5:K61,"Move to business rules")+COUNTIF($K$5:K61,"Merge into certified table"),"")</f>
        <v/>
      </c>
      <c r="V61" s="34" t="str">
        <f aca="false">IF(AND(A61&lt;&gt;"",OR(K61="",K61="Undecided",J61="")),SUMPRODUCT(($A$5:A61&lt;&gt;"")*((($K$5:K61="")+($K$5:K61="Undecided")+($J$5:J61=""))&gt;0)),"")</f>
        <v/>
      </c>
    </row>
    <row r="62" customFormat="false" ht="15" hidden="false" customHeight="false" outlineLevel="0" collapsed="false">
      <c r="A62" s="29"/>
      <c r="B62" s="30"/>
      <c r="C62" s="30"/>
      <c r="D62" s="29"/>
      <c r="E62" s="20" t="str">
        <f aca="false">IF(D62="","",IFERROR(INDEX(Tables!$B:$B,MATCH(D62,Tables!$A:$A,0)),"ID not found"))</f>
        <v/>
      </c>
      <c r="F62" s="20" t="str">
        <f aca="false">IF(D62="","",IFERROR(INDEX(Tables!$C:$C,MATCH(D62,Tables!$A:$A,0)),""))</f>
        <v/>
      </c>
      <c r="G62" s="30"/>
      <c r="H62" s="30"/>
      <c r="I62" s="30"/>
      <c r="J62" s="30"/>
      <c r="K62" s="30"/>
      <c r="L62" s="30"/>
      <c r="M62" s="30"/>
      <c r="N62" s="20" t="str">
        <f aca="false">IF(A62="","",COUNTIF('Metric to Field'!$B:$B,A62))</f>
        <v/>
      </c>
      <c r="O62" s="20" t="str">
        <f aca="false">IF(A62="","",SUMIF('Metric to Field'!$B:$B,A62,'Metric to Field'!$F:$F))</f>
        <v/>
      </c>
      <c r="P62" s="30"/>
      <c r="Q62" s="30"/>
      <c r="R62" s="30"/>
      <c r="S62" s="30"/>
      <c r="T62" s="34" t="str">
        <f aca="false">IF(AND(A62&lt;&gt;"",K62="Fix upstream"),COUNTIF($K$5:K62,"Fix upstream"),"")</f>
        <v/>
      </c>
      <c r="U62" s="34" t="str">
        <f aca="false">IF(AND(A62&lt;&gt;"",OR(K62="Move to business rules",K62="Merge into certified table")),COUNTIF($K$5:K62,"Move to business rules")+COUNTIF($K$5:K62,"Merge into certified table"),"")</f>
        <v/>
      </c>
      <c r="V62" s="34" t="str">
        <f aca="false">IF(AND(A62&lt;&gt;"",OR(K62="",K62="Undecided",J62="")),SUMPRODUCT(($A$5:A62&lt;&gt;"")*((($K$5:K62="")+($K$5:K62="Undecided")+($J$5:J62=""))&gt;0)),"")</f>
        <v/>
      </c>
    </row>
    <row r="63" customFormat="false" ht="15" hidden="false" customHeight="false" outlineLevel="0" collapsed="false">
      <c r="A63" s="29"/>
      <c r="B63" s="30"/>
      <c r="C63" s="30"/>
      <c r="D63" s="29"/>
      <c r="E63" s="20" t="str">
        <f aca="false">IF(D63="","",IFERROR(INDEX(Tables!$B:$B,MATCH(D63,Tables!$A:$A,0)),"ID not found"))</f>
        <v/>
      </c>
      <c r="F63" s="20" t="str">
        <f aca="false">IF(D63="","",IFERROR(INDEX(Tables!$C:$C,MATCH(D63,Tables!$A:$A,0)),""))</f>
        <v/>
      </c>
      <c r="G63" s="30"/>
      <c r="H63" s="30"/>
      <c r="I63" s="30"/>
      <c r="J63" s="30"/>
      <c r="K63" s="30"/>
      <c r="L63" s="30"/>
      <c r="M63" s="30"/>
      <c r="N63" s="20" t="str">
        <f aca="false">IF(A63="","",COUNTIF('Metric to Field'!$B:$B,A63))</f>
        <v/>
      </c>
      <c r="O63" s="20" t="str">
        <f aca="false">IF(A63="","",SUMIF('Metric to Field'!$B:$B,A63,'Metric to Field'!$F:$F))</f>
        <v/>
      </c>
      <c r="P63" s="30"/>
      <c r="Q63" s="30"/>
      <c r="R63" s="30"/>
      <c r="S63" s="30"/>
      <c r="T63" s="34" t="str">
        <f aca="false">IF(AND(A63&lt;&gt;"",K63="Fix upstream"),COUNTIF($K$5:K63,"Fix upstream"),"")</f>
        <v/>
      </c>
      <c r="U63" s="34" t="str">
        <f aca="false">IF(AND(A63&lt;&gt;"",OR(K63="Move to business rules",K63="Merge into certified table")),COUNTIF($K$5:K63,"Move to business rules")+COUNTIF($K$5:K63,"Merge into certified table"),"")</f>
        <v/>
      </c>
      <c r="V63" s="34" t="str">
        <f aca="false">IF(AND(A63&lt;&gt;"",OR(K63="",K63="Undecided",J63="")),SUMPRODUCT(($A$5:A63&lt;&gt;"")*((($K$5:K63="")+($K$5:K63="Undecided")+($J$5:J63=""))&gt;0)),"")</f>
        <v/>
      </c>
    </row>
    <row r="64" customFormat="false" ht="15" hidden="false" customHeight="false" outlineLevel="0" collapsed="false">
      <c r="A64" s="29"/>
      <c r="B64" s="30"/>
      <c r="C64" s="30"/>
      <c r="D64" s="29"/>
      <c r="E64" s="20" t="str">
        <f aca="false">IF(D64="","",IFERROR(INDEX(Tables!$B:$B,MATCH(D64,Tables!$A:$A,0)),"ID not found"))</f>
        <v/>
      </c>
      <c r="F64" s="20" t="str">
        <f aca="false">IF(D64="","",IFERROR(INDEX(Tables!$C:$C,MATCH(D64,Tables!$A:$A,0)),""))</f>
        <v/>
      </c>
      <c r="G64" s="30"/>
      <c r="H64" s="30"/>
      <c r="I64" s="30"/>
      <c r="J64" s="30"/>
      <c r="K64" s="30"/>
      <c r="L64" s="30"/>
      <c r="M64" s="30"/>
      <c r="N64" s="20" t="str">
        <f aca="false">IF(A64="","",COUNTIF('Metric to Field'!$B:$B,A64))</f>
        <v/>
      </c>
      <c r="O64" s="20" t="str">
        <f aca="false">IF(A64="","",SUMIF('Metric to Field'!$B:$B,A64,'Metric to Field'!$F:$F))</f>
        <v/>
      </c>
      <c r="P64" s="30"/>
      <c r="Q64" s="30"/>
      <c r="R64" s="30"/>
      <c r="S64" s="30"/>
      <c r="T64" s="34" t="str">
        <f aca="false">IF(AND(A64&lt;&gt;"",K64="Fix upstream"),COUNTIF($K$5:K64,"Fix upstream"),"")</f>
        <v/>
      </c>
      <c r="U64" s="34" t="str">
        <f aca="false">IF(AND(A64&lt;&gt;"",OR(K64="Move to business rules",K64="Merge into certified table")),COUNTIF($K$5:K64,"Move to business rules")+COUNTIF($K$5:K64,"Merge into certified table"),"")</f>
        <v/>
      </c>
      <c r="V64" s="34" t="str">
        <f aca="false">IF(AND(A64&lt;&gt;"",OR(K64="",K64="Undecided",J64="")),SUMPRODUCT(($A$5:A64&lt;&gt;"")*((($K$5:K64="")+($K$5:K64="Undecided")+($J$5:J64=""))&gt;0)),"")</f>
        <v/>
      </c>
    </row>
    <row r="65" customFormat="false" ht="15" hidden="false" customHeight="false" outlineLevel="0" collapsed="false">
      <c r="A65" s="29"/>
      <c r="B65" s="30"/>
      <c r="C65" s="30"/>
      <c r="D65" s="29"/>
      <c r="E65" s="20" t="str">
        <f aca="false">IF(D65="","",IFERROR(INDEX(Tables!$B:$B,MATCH(D65,Tables!$A:$A,0)),"ID not found"))</f>
        <v/>
      </c>
      <c r="F65" s="20" t="str">
        <f aca="false">IF(D65="","",IFERROR(INDEX(Tables!$C:$C,MATCH(D65,Tables!$A:$A,0)),""))</f>
        <v/>
      </c>
      <c r="G65" s="30"/>
      <c r="H65" s="30"/>
      <c r="I65" s="30"/>
      <c r="J65" s="30"/>
      <c r="K65" s="30"/>
      <c r="L65" s="30"/>
      <c r="M65" s="30"/>
      <c r="N65" s="20" t="str">
        <f aca="false">IF(A65="","",COUNTIF('Metric to Field'!$B:$B,A65))</f>
        <v/>
      </c>
      <c r="O65" s="20" t="str">
        <f aca="false">IF(A65="","",SUMIF('Metric to Field'!$B:$B,A65,'Metric to Field'!$F:$F))</f>
        <v/>
      </c>
      <c r="P65" s="30"/>
      <c r="Q65" s="30"/>
      <c r="R65" s="30"/>
      <c r="S65" s="30"/>
      <c r="T65" s="34" t="str">
        <f aca="false">IF(AND(A65&lt;&gt;"",K65="Fix upstream"),COUNTIF($K$5:K65,"Fix upstream"),"")</f>
        <v/>
      </c>
      <c r="U65" s="34" t="str">
        <f aca="false">IF(AND(A65&lt;&gt;"",OR(K65="Move to business rules",K65="Merge into certified table")),COUNTIF($K$5:K65,"Move to business rules")+COUNTIF($K$5:K65,"Merge into certified table"),"")</f>
        <v/>
      </c>
      <c r="V65" s="34" t="str">
        <f aca="false">IF(AND(A65&lt;&gt;"",OR(K65="",K65="Undecided",J65="")),SUMPRODUCT(($A$5:A65&lt;&gt;"")*((($K$5:K65="")+($K$5:K65="Undecided")+($J$5:J65=""))&gt;0)),"")</f>
        <v/>
      </c>
    </row>
    <row r="66" customFormat="false" ht="15" hidden="false" customHeight="false" outlineLevel="0" collapsed="false">
      <c r="A66" s="29"/>
      <c r="B66" s="30"/>
      <c r="C66" s="30"/>
      <c r="D66" s="29"/>
      <c r="E66" s="20" t="str">
        <f aca="false">IF(D66="","",IFERROR(INDEX(Tables!$B:$B,MATCH(D66,Tables!$A:$A,0)),"ID not found"))</f>
        <v/>
      </c>
      <c r="F66" s="20" t="str">
        <f aca="false">IF(D66="","",IFERROR(INDEX(Tables!$C:$C,MATCH(D66,Tables!$A:$A,0)),""))</f>
        <v/>
      </c>
      <c r="G66" s="30"/>
      <c r="H66" s="30"/>
      <c r="I66" s="30"/>
      <c r="J66" s="30"/>
      <c r="K66" s="30"/>
      <c r="L66" s="30"/>
      <c r="M66" s="30"/>
      <c r="N66" s="20" t="str">
        <f aca="false">IF(A66="","",COUNTIF('Metric to Field'!$B:$B,A66))</f>
        <v/>
      </c>
      <c r="O66" s="20" t="str">
        <f aca="false">IF(A66="","",SUMIF('Metric to Field'!$B:$B,A66,'Metric to Field'!$F:$F))</f>
        <v/>
      </c>
      <c r="P66" s="30"/>
      <c r="Q66" s="30"/>
      <c r="R66" s="30"/>
      <c r="S66" s="30"/>
      <c r="T66" s="34" t="str">
        <f aca="false">IF(AND(A66&lt;&gt;"",K66="Fix upstream"),COUNTIF($K$5:K66,"Fix upstream"),"")</f>
        <v/>
      </c>
      <c r="U66" s="34" t="str">
        <f aca="false">IF(AND(A66&lt;&gt;"",OR(K66="Move to business rules",K66="Merge into certified table")),COUNTIF($K$5:K66,"Move to business rules")+COUNTIF($K$5:K66,"Merge into certified table"),"")</f>
        <v/>
      </c>
      <c r="V66" s="34" t="str">
        <f aca="false">IF(AND(A66&lt;&gt;"",OR(K66="",K66="Undecided",J66="")),SUMPRODUCT(($A$5:A66&lt;&gt;"")*((($K$5:K66="")+($K$5:K66="Undecided")+($J$5:J66=""))&gt;0)),"")</f>
        <v/>
      </c>
    </row>
    <row r="67" customFormat="false" ht="15" hidden="false" customHeight="false" outlineLevel="0" collapsed="false">
      <c r="A67" s="29"/>
      <c r="B67" s="30"/>
      <c r="C67" s="30"/>
      <c r="D67" s="29"/>
      <c r="E67" s="20" t="str">
        <f aca="false">IF(D67="","",IFERROR(INDEX(Tables!$B:$B,MATCH(D67,Tables!$A:$A,0)),"ID not found"))</f>
        <v/>
      </c>
      <c r="F67" s="20" t="str">
        <f aca="false">IF(D67="","",IFERROR(INDEX(Tables!$C:$C,MATCH(D67,Tables!$A:$A,0)),""))</f>
        <v/>
      </c>
      <c r="G67" s="30"/>
      <c r="H67" s="30"/>
      <c r="I67" s="30"/>
      <c r="J67" s="30"/>
      <c r="K67" s="30"/>
      <c r="L67" s="30"/>
      <c r="M67" s="30"/>
      <c r="N67" s="20" t="str">
        <f aca="false">IF(A67="","",COUNTIF('Metric to Field'!$B:$B,A67))</f>
        <v/>
      </c>
      <c r="O67" s="20" t="str">
        <f aca="false">IF(A67="","",SUMIF('Metric to Field'!$B:$B,A67,'Metric to Field'!$F:$F))</f>
        <v/>
      </c>
      <c r="P67" s="30"/>
      <c r="Q67" s="30"/>
      <c r="R67" s="30"/>
      <c r="S67" s="30"/>
      <c r="T67" s="34" t="str">
        <f aca="false">IF(AND(A67&lt;&gt;"",K67="Fix upstream"),COUNTIF($K$5:K67,"Fix upstream"),"")</f>
        <v/>
      </c>
      <c r="U67" s="34" t="str">
        <f aca="false">IF(AND(A67&lt;&gt;"",OR(K67="Move to business rules",K67="Merge into certified table")),COUNTIF($K$5:K67,"Move to business rules")+COUNTIF($K$5:K67,"Merge into certified table"),"")</f>
        <v/>
      </c>
      <c r="V67" s="34" t="str">
        <f aca="false">IF(AND(A67&lt;&gt;"",OR(K67="",K67="Undecided",J67="")),SUMPRODUCT(($A$5:A67&lt;&gt;"")*((($K$5:K67="")+($K$5:K67="Undecided")+($J$5:J67=""))&gt;0)),"")</f>
        <v/>
      </c>
    </row>
    <row r="68" customFormat="false" ht="15" hidden="false" customHeight="false" outlineLevel="0" collapsed="false">
      <c r="A68" s="29"/>
      <c r="B68" s="30"/>
      <c r="C68" s="30"/>
      <c r="D68" s="29"/>
      <c r="E68" s="20" t="str">
        <f aca="false">IF(D68="","",IFERROR(INDEX(Tables!$B:$B,MATCH(D68,Tables!$A:$A,0)),"ID not found"))</f>
        <v/>
      </c>
      <c r="F68" s="20" t="str">
        <f aca="false">IF(D68="","",IFERROR(INDEX(Tables!$C:$C,MATCH(D68,Tables!$A:$A,0)),""))</f>
        <v/>
      </c>
      <c r="G68" s="30"/>
      <c r="H68" s="30"/>
      <c r="I68" s="30"/>
      <c r="J68" s="30"/>
      <c r="K68" s="30"/>
      <c r="L68" s="30"/>
      <c r="M68" s="30"/>
      <c r="N68" s="20" t="str">
        <f aca="false">IF(A68="","",COUNTIF('Metric to Field'!$B:$B,A68))</f>
        <v/>
      </c>
      <c r="O68" s="20" t="str">
        <f aca="false">IF(A68="","",SUMIF('Metric to Field'!$B:$B,A68,'Metric to Field'!$F:$F))</f>
        <v/>
      </c>
      <c r="P68" s="30"/>
      <c r="Q68" s="30"/>
      <c r="R68" s="30"/>
      <c r="S68" s="30"/>
      <c r="T68" s="34" t="str">
        <f aca="false">IF(AND(A68&lt;&gt;"",K68="Fix upstream"),COUNTIF($K$5:K68,"Fix upstream"),"")</f>
        <v/>
      </c>
      <c r="U68" s="34" t="str">
        <f aca="false">IF(AND(A68&lt;&gt;"",OR(K68="Move to business rules",K68="Merge into certified table")),COUNTIF($K$5:K68,"Move to business rules")+COUNTIF($K$5:K68,"Merge into certified table"),"")</f>
        <v/>
      </c>
      <c r="V68" s="34" t="str">
        <f aca="false">IF(AND(A68&lt;&gt;"",OR(K68="",K68="Undecided",J68="")),SUMPRODUCT(($A$5:A68&lt;&gt;"")*((($K$5:K68="")+($K$5:K68="Undecided")+($J$5:J68=""))&gt;0)),"")</f>
        <v/>
      </c>
    </row>
    <row r="69" customFormat="false" ht="15" hidden="false" customHeight="false" outlineLevel="0" collapsed="false">
      <c r="A69" s="29"/>
      <c r="B69" s="30"/>
      <c r="C69" s="30"/>
      <c r="D69" s="29"/>
      <c r="E69" s="20" t="str">
        <f aca="false">IF(D69="","",IFERROR(INDEX(Tables!$B:$B,MATCH(D69,Tables!$A:$A,0)),"ID not found"))</f>
        <v/>
      </c>
      <c r="F69" s="20" t="str">
        <f aca="false">IF(D69="","",IFERROR(INDEX(Tables!$C:$C,MATCH(D69,Tables!$A:$A,0)),""))</f>
        <v/>
      </c>
      <c r="G69" s="30"/>
      <c r="H69" s="30"/>
      <c r="I69" s="30"/>
      <c r="J69" s="30"/>
      <c r="K69" s="30"/>
      <c r="L69" s="30"/>
      <c r="M69" s="30"/>
      <c r="N69" s="20" t="str">
        <f aca="false">IF(A69="","",COUNTIF('Metric to Field'!$B:$B,A69))</f>
        <v/>
      </c>
      <c r="O69" s="20" t="str">
        <f aca="false">IF(A69="","",SUMIF('Metric to Field'!$B:$B,A69,'Metric to Field'!$F:$F))</f>
        <v/>
      </c>
      <c r="P69" s="30"/>
      <c r="Q69" s="30"/>
      <c r="R69" s="30"/>
      <c r="S69" s="30"/>
      <c r="T69" s="34" t="str">
        <f aca="false">IF(AND(A69&lt;&gt;"",K69="Fix upstream"),COUNTIF($K$5:K69,"Fix upstream"),"")</f>
        <v/>
      </c>
      <c r="U69" s="34" t="str">
        <f aca="false">IF(AND(A69&lt;&gt;"",OR(K69="Move to business rules",K69="Merge into certified table")),COUNTIF($K$5:K69,"Move to business rules")+COUNTIF($K$5:K69,"Merge into certified table"),"")</f>
        <v/>
      </c>
      <c r="V69" s="34" t="str">
        <f aca="false">IF(AND(A69&lt;&gt;"",OR(K69="",K69="Undecided",J69="")),SUMPRODUCT(($A$5:A69&lt;&gt;"")*((($K$5:K69="")+($K$5:K69="Undecided")+($J$5:J69=""))&gt;0)),"")</f>
        <v/>
      </c>
    </row>
    <row r="70" customFormat="false" ht="15" hidden="false" customHeight="false" outlineLevel="0" collapsed="false">
      <c r="A70" s="29"/>
      <c r="B70" s="30"/>
      <c r="C70" s="30"/>
      <c r="D70" s="29"/>
      <c r="E70" s="20" t="str">
        <f aca="false">IF(D70="","",IFERROR(INDEX(Tables!$B:$B,MATCH(D70,Tables!$A:$A,0)),"ID not found"))</f>
        <v/>
      </c>
      <c r="F70" s="20" t="str">
        <f aca="false">IF(D70="","",IFERROR(INDEX(Tables!$C:$C,MATCH(D70,Tables!$A:$A,0)),""))</f>
        <v/>
      </c>
      <c r="G70" s="30"/>
      <c r="H70" s="30"/>
      <c r="I70" s="30"/>
      <c r="J70" s="30"/>
      <c r="K70" s="30"/>
      <c r="L70" s="30"/>
      <c r="M70" s="30"/>
      <c r="N70" s="20" t="str">
        <f aca="false">IF(A70="","",COUNTIF('Metric to Field'!$B:$B,A70))</f>
        <v/>
      </c>
      <c r="O70" s="20" t="str">
        <f aca="false">IF(A70="","",SUMIF('Metric to Field'!$B:$B,A70,'Metric to Field'!$F:$F))</f>
        <v/>
      </c>
      <c r="P70" s="30"/>
      <c r="Q70" s="30"/>
      <c r="R70" s="30"/>
      <c r="S70" s="30"/>
      <c r="T70" s="34" t="str">
        <f aca="false">IF(AND(A70&lt;&gt;"",K70="Fix upstream"),COUNTIF($K$5:K70,"Fix upstream"),"")</f>
        <v/>
      </c>
      <c r="U70" s="34" t="str">
        <f aca="false">IF(AND(A70&lt;&gt;"",OR(K70="Move to business rules",K70="Merge into certified table")),COUNTIF($K$5:K70,"Move to business rules")+COUNTIF($K$5:K70,"Merge into certified table"),"")</f>
        <v/>
      </c>
      <c r="V70" s="34" t="str">
        <f aca="false">IF(AND(A70&lt;&gt;"",OR(K70="",K70="Undecided",J70="")),SUMPRODUCT(($A$5:A70&lt;&gt;"")*((($K$5:K70="")+($K$5:K70="Undecided")+($J$5:J70=""))&gt;0)),"")</f>
        <v/>
      </c>
    </row>
    <row r="71" customFormat="false" ht="15" hidden="false" customHeight="false" outlineLevel="0" collapsed="false">
      <c r="A71" s="29"/>
      <c r="B71" s="30"/>
      <c r="C71" s="30"/>
      <c r="D71" s="29"/>
      <c r="E71" s="20" t="str">
        <f aca="false">IF(D71="","",IFERROR(INDEX(Tables!$B:$B,MATCH(D71,Tables!$A:$A,0)),"ID not found"))</f>
        <v/>
      </c>
      <c r="F71" s="20" t="str">
        <f aca="false">IF(D71="","",IFERROR(INDEX(Tables!$C:$C,MATCH(D71,Tables!$A:$A,0)),""))</f>
        <v/>
      </c>
      <c r="G71" s="30"/>
      <c r="H71" s="30"/>
      <c r="I71" s="30"/>
      <c r="J71" s="30"/>
      <c r="K71" s="30"/>
      <c r="L71" s="30"/>
      <c r="M71" s="30"/>
      <c r="N71" s="20" t="str">
        <f aca="false">IF(A71="","",COUNTIF('Metric to Field'!$B:$B,A71))</f>
        <v/>
      </c>
      <c r="O71" s="20" t="str">
        <f aca="false">IF(A71="","",SUMIF('Metric to Field'!$B:$B,A71,'Metric to Field'!$F:$F))</f>
        <v/>
      </c>
      <c r="P71" s="30"/>
      <c r="Q71" s="30"/>
      <c r="R71" s="30"/>
      <c r="S71" s="30"/>
      <c r="T71" s="34" t="str">
        <f aca="false">IF(AND(A71&lt;&gt;"",K71="Fix upstream"),COUNTIF($K$5:K71,"Fix upstream"),"")</f>
        <v/>
      </c>
      <c r="U71" s="34" t="str">
        <f aca="false">IF(AND(A71&lt;&gt;"",OR(K71="Move to business rules",K71="Merge into certified table")),COUNTIF($K$5:K71,"Move to business rules")+COUNTIF($K$5:K71,"Merge into certified table"),"")</f>
        <v/>
      </c>
      <c r="V71" s="34" t="str">
        <f aca="false">IF(AND(A71&lt;&gt;"",OR(K71="",K71="Undecided",J71="")),SUMPRODUCT(($A$5:A71&lt;&gt;"")*((($K$5:K71="")+($K$5:K71="Undecided")+($J$5:J71=""))&gt;0)),"")</f>
        <v/>
      </c>
    </row>
    <row r="72" customFormat="false" ht="15" hidden="false" customHeight="false" outlineLevel="0" collapsed="false">
      <c r="A72" s="29"/>
      <c r="B72" s="30"/>
      <c r="C72" s="30"/>
      <c r="D72" s="29"/>
      <c r="E72" s="20" t="str">
        <f aca="false">IF(D72="","",IFERROR(INDEX(Tables!$B:$B,MATCH(D72,Tables!$A:$A,0)),"ID not found"))</f>
        <v/>
      </c>
      <c r="F72" s="20" t="str">
        <f aca="false">IF(D72="","",IFERROR(INDEX(Tables!$C:$C,MATCH(D72,Tables!$A:$A,0)),""))</f>
        <v/>
      </c>
      <c r="G72" s="30"/>
      <c r="H72" s="30"/>
      <c r="I72" s="30"/>
      <c r="J72" s="30"/>
      <c r="K72" s="30"/>
      <c r="L72" s="30"/>
      <c r="M72" s="30"/>
      <c r="N72" s="20" t="str">
        <f aca="false">IF(A72="","",COUNTIF('Metric to Field'!$B:$B,A72))</f>
        <v/>
      </c>
      <c r="O72" s="20" t="str">
        <f aca="false">IF(A72="","",SUMIF('Metric to Field'!$B:$B,A72,'Metric to Field'!$F:$F))</f>
        <v/>
      </c>
      <c r="P72" s="30"/>
      <c r="Q72" s="30"/>
      <c r="R72" s="30"/>
      <c r="S72" s="30"/>
      <c r="T72" s="34" t="str">
        <f aca="false">IF(AND(A72&lt;&gt;"",K72="Fix upstream"),COUNTIF($K$5:K72,"Fix upstream"),"")</f>
        <v/>
      </c>
      <c r="U72" s="34" t="str">
        <f aca="false">IF(AND(A72&lt;&gt;"",OR(K72="Move to business rules",K72="Merge into certified table")),COUNTIF($K$5:K72,"Move to business rules")+COUNTIF($K$5:K72,"Merge into certified table"),"")</f>
        <v/>
      </c>
      <c r="V72" s="34" t="str">
        <f aca="false">IF(AND(A72&lt;&gt;"",OR(K72="",K72="Undecided",J72="")),SUMPRODUCT(($A$5:A72&lt;&gt;"")*((($K$5:K72="")+($K$5:K72="Undecided")+($J$5:J72=""))&gt;0)),"")</f>
        <v/>
      </c>
    </row>
    <row r="73" customFormat="false" ht="15" hidden="false" customHeight="false" outlineLevel="0" collapsed="false">
      <c r="A73" s="29"/>
      <c r="B73" s="30"/>
      <c r="C73" s="30"/>
      <c r="D73" s="29"/>
      <c r="E73" s="20" t="str">
        <f aca="false">IF(D73="","",IFERROR(INDEX(Tables!$B:$B,MATCH(D73,Tables!$A:$A,0)),"ID not found"))</f>
        <v/>
      </c>
      <c r="F73" s="20" t="str">
        <f aca="false">IF(D73="","",IFERROR(INDEX(Tables!$C:$C,MATCH(D73,Tables!$A:$A,0)),""))</f>
        <v/>
      </c>
      <c r="G73" s="30"/>
      <c r="H73" s="30"/>
      <c r="I73" s="30"/>
      <c r="J73" s="30"/>
      <c r="K73" s="30"/>
      <c r="L73" s="30"/>
      <c r="M73" s="30"/>
      <c r="N73" s="20" t="str">
        <f aca="false">IF(A73="","",COUNTIF('Metric to Field'!$B:$B,A73))</f>
        <v/>
      </c>
      <c r="O73" s="20" t="str">
        <f aca="false">IF(A73="","",SUMIF('Metric to Field'!$B:$B,A73,'Metric to Field'!$F:$F))</f>
        <v/>
      </c>
      <c r="P73" s="30"/>
      <c r="Q73" s="30"/>
      <c r="R73" s="30"/>
      <c r="S73" s="30"/>
      <c r="T73" s="34" t="str">
        <f aca="false">IF(AND(A73&lt;&gt;"",K73="Fix upstream"),COUNTIF($K$5:K73,"Fix upstream"),"")</f>
        <v/>
      </c>
      <c r="U73" s="34" t="str">
        <f aca="false">IF(AND(A73&lt;&gt;"",OR(K73="Move to business rules",K73="Merge into certified table")),COUNTIF($K$5:K73,"Move to business rules")+COUNTIF($K$5:K73,"Merge into certified table"),"")</f>
        <v/>
      </c>
      <c r="V73" s="34" t="str">
        <f aca="false">IF(AND(A73&lt;&gt;"",OR(K73="",K73="Undecided",J73="")),SUMPRODUCT(($A$5:A73&lt;&gt;"")*((($K$5:K73="")+($K$5:K73="Undecided")+($J$5:J73=""))&gt;0)),"")</f>
        <v/>
      </c>
    </row>
    <row r="74" customFormat="false" ht="15" hidden="false" customHeight="false" outlineLevel="0" collapsed="false">
      <c r="A74" s="29"/>
      <c r="B74" s="30"/>
      <c r="C74" s="30"/>
      <c r="D74" s="29"/>
      <c r="E74" s="20" t="str">
        <f aca="false">IF(D74="","",IFERROR(INDEX(Tables!$B:$B,MATCH(D74,Tables!$A:$A,0)),"ID not found"))</f>
        <v/>
      </c>
      <c r="F74" s="20" t="str">
        <f aca="false">IF(D74="","",IFERROR(INDEX(Tables!$C:$C,MATCH(D74,Tables!$A:$A,0)),""))</f>
        <v/>
      </c>
      <c r="G74" s="30"/>
      <c r="H74" s="30"/>
      <c r="I74" s="30"/>
      <c r="J74" s="30"/>
      <c r="K74" s="30"/>
      <c r="L74" s="30"/>
      <c r="M74" s="30"/>
      <c r="N74" s="20" t="str">
        <f aca="false">IF(A74="","",COUNTIF('Metric to Field'!$B:$B,A74))</f>
        <v/>
      </c>
      <c r="O74" s="20" t="str">
        <f aca="false">IF(A74="","",SUMIF('Metric to Field'!$B:$B,A74,'Metric to Field'!$F:$F))</f>
        <v/>
      </c>
      <c r="P74" s="30"/>
      <c r="Q74" s="30"/>
      <c r="R74" s="30"/>
      <c r="S74" s="30"/>
      <c r="T74" s="34" t="str">
        <f aca="false">IF(AND(A74&lt;&gt;"",K74="Fix upstream"),COUNTIF($K$5:K74,"Fix upstream"),"")</f>
        <v/>
      </c>
      <c r="U74" s="34" t="str">
        <f aca="false">IF(AND(A74&lt;&gt;"",OR(K74="Move to business rules",K74="Merge into certified table")),COUNTIF($K$5:K74,"Move to business rules")+COUNTIF($K$5:K74,"Merge into certified table"),"")</f>
        <v/>
      </c>
      <c r="V74" s="34" t="str">
        <f aca="false">IF(AND(A74&lt;&gt;"",OR(K74="",K74="Undecided",J74="")),SUMPRODUCT(($A$5:A74&lt;&gt;"")*((($K$5:K74="")+($K$5:K74="Undecided")+($J$5:J74=""))&gt;0)),"")</f>
        <v/>
      </c>
    </row>
    <row r="75" customFormat="false" ht="15" hidden="false" customHeight="false" outlineLevel="0" collapsed="false">
      <c r="A75" s="29"/>
      <c r="B75" s="30"/>
      <c r="C75" s="30"/>
      <c r="D75" s="29"/>
      <c r="E75" s="20" t="str">
        <f aca="false">IF(D75="","",IFERROR(INDEX(Tables!$B:$B,MATCH(D75,Tables!$A:$A,0)),"ID not found"))</f>
        <v/>
      </c>
      <c r="F75" s="20" t="str">
        <f aca="false">IF(D75="","",IFERROR(INDEX(Tables!$C:$C,MATCH(D75,Tables!$A:$A,0)),""))</f>
        <v/>
      </c>
      <c r="G75" s="30"/>
      <c r="H75" s="30"/>
      <c r="I75" s="30"/>
      <c r="J75" s="30"/>
      <c r="K75" s="30"/>
      <c r="L75" s="30"/>
      <c r="M75" s="30"/>
      <c r="N75" s="20" t="str">
        <f aca="false">IF(A75="","",COUNTIF('Metric to Field'!$B:$B,A75))</f>
        <v/>
      </c>
      <c r="O75" s="20" t="str">
        <f aca="false">IF(A75="","",SUMIF('Metric to Field'!$B:$B,A75,'Metric to Field'!$F:$F))</f>
        <v/>
      </c>
      <c r="P75" s="30"/>
      <c r="Q75" s="30"/>
      <c r="R75" s="30"/>
      <c r="S75" s="30"/>
      <c r="T75" s="34" t="str">
        <f aca="false">IF(AND(A75&lt;&gt;"",K75="Fix upstream"),COUNTIF($K$5:K75,"Fix upstream"),"")</f>
        <v/>
      </c>
      <c r="U75" s="34" t="str">
        <f aca="false">IF(AND(A75&lt;&gt;"",OR(K75="Move to business rules",K75="Merge into certified table")),COUNTIF($K$5:K75,"Move to business rules")+COUNTIF($K$5:K75,"Merge into certified table"),"")</f>
        <v/>
      </c>
      <c r="V75" s="34" t="str">
        <f aca="false">IF(AND(A75&lt;&gt;"",OR(K75="",K75="Undecided",J75="")),SUMPRODUCT(($A$5:A75&lt;&gt;"")*((($K$5:K75="")+($K$5:K75="Undecided")+($J$5:J75=""))&gt;0)),"")</f>
        <v/>
      </c>
    </row>
    <row r="76" customFormat="false" ht="15" hidden="false" customHeight="false" outlineLevel="0" collapsed="false">
      <c r="A76" s="29"/>
      <c r="B76" s="30"/>
      <c r="C76" s="30"/>
      <c r="D76" s="29"/>
      <c r="E76" s="20" t="str">
        <f aca="false">IF(D76="","",IFERROR(INDEX(Tables!$B:$B,MATCH(D76,Tables!$A:$A,0)),"ID not found"))</f>
        <v/>
      </c>
      <c r="F76" s="20" t="str">
        <f aca="false">IF(D76="","",IFERROR(INDEX(Tables!$C:$C,MATCH(D76,Tables!$A:$A,0)),""))</f>
        <v/>
      </c>
      <c r="G76" s="30"/>
      <c r="H76" s="30"/>
      <c r="I76" s="30"/>
      <c r="J76" s="30"/>
      <c r="K76" s="30"/>
      <c r="L76" s="30"/>
      <c r="M76" s="30"/>
      <c r="N76" s="20" t="str">
        <f aca="false">IF(A76="","",COUNTIF('Metric to Field'!$B:$B,A76))</f>
        <v/>
      </c>
      <c r="O76" s="20" t="str">
        <f aca="false">IF(A76="","",SUMIF('Metric to Field'!$B:$B,A76,'Metric to Field'!$F:$F))</f>
        <v/>
      </c>
      <c r="P76" s="30"/>
      <c r="Q76" s="30"/>
      <c r="R76" s="30"/>
      <c r="S76" s="30"/>
      <c r="T76" s="34" t="str">
        <f aca="false">IF(AND(A76&lt;&gt;"",K76="Fix upstream"),COUNTIF($K$5:K76,"Fix upstream"),"")</f>
        <v/>
      </c>
      <c r="U76" s="34" t="str">
        <f aca="false">IF(AND(A76&lt;&gt;"",OR(K76="Move to business rules",K76="Merge into certified table")),COUNTIF($K$5:K76,"Move to business rules")+COUNTIF($K$5:K76,"Merge into certified table"),"")</f>
        <v/>
      </c>
      <c r="V76" s="34" t="str">
        <f aca="false">IF(AND(A76&lt;&gt;"",OR(K76="",K76="Undecided",J76="")),SUMPRODUCT(($A$5:A76&lt;&gt;"")*((($K$5:K76="")+($K$5:K76="Undecided")+($J$5:J76=""))&gt;0)),"")</f>
        <v/>
      </c>
    </row>
    <row r="77" customFormat="false" ht="15" hidden="false" customHeight="false" outlineLevel="0" collapsed="false">
      <c r="A77" s="29"/>
      <c r="B77" s="30"/>
      <c r="C77" s="30"/>
      <c r="D77" s="29"/>
      <c r="E77" s="20" t="str">
        <f aca="false">IF(D77="","",IFERROR(INDEX(Tables!$B:$B,MATCH(D77,Tables!$A:$A,0)),"ID not found"))</f>
        <v/>
      </c>
      <c r="F77" s="20" t="str">
        <f aca="false">IF(D77="","",IFERROR(INDEX(Tables!$C:$C,MATCH(D77,Tables!$A:$A,0)),""))</f>
        <v/>
      </c>
      <c r="G77" s="30"/>
      <c r="H77" s="30"/>
      <c r="I77" s="30"/>
      <c r="J77" s="30"/>
      <c r="K77" s="30"/>
      <c r="L77" s="30"/>
      <c r="M77" s="30"/>
      <c r="N77" s="20" t="str">
        <f aca="false">IF(A77="","",COUNTIF('Metric to Field'!$B:$B,A77))</f>
        <v/>
      </c>
      <c r="O77" s="20" t="str">
        <f aca="false">IF(A77="","",SUMIF('Metric to Field'!$B:$B,A77,'Metric to Field'!$F:$F))</f>
        <v/>
      </c>
      <c r="P77" s="30"/>
      <c r="Q77" s="30"/>
      <c r="R77" s="30"/>
      <c r="S77" s="30"/>
      <c r="T77" s="34" t="str">
        <f aca="false">IF(AND(A77&lt;&gt;"",K77="Fix upstream"),COUNTIF($K$5:K77,"Fix upstream"),"")</f>
        <v/>
      </c>
      <c r="U77" s="34" t="str">
        <f aca="false">IF(AND(A77&lt;&gt;"",OR(K77="Move to business rules",K77="Merge into certified table")),COUNTIF($K$5:K77,"Move to business rules")+COUNTIF($K$5:K77,"Merge into certified table"),"")</f>
        <v/>
      </c>
      <c r="V77" s="34" t="str">
        <f aca="false">IF(AND(A77&lt;&gt;"",OR(K77="",K77="Undecided",J77="")),SUMPRODUCT(($A$5:A77&lt;&gt;"")*((($K$5:K77="")+($K$5:K77="Undecided")+($J$5:J77=""))&gt;0)),"")</f>
        <v/>
      </c>
    </row>
    <row r="78" customFormat="false" ht="15" hidden="false" customHeight="false" outlineLevel="0" collapsed="false">
      <c r="A78" s="29"/>
      <c r="B78" s="30"/>
      <c r="C78" s="30"/>
      <c r="D78" s="29"/>
      <c r="E78" s="20" t="str">
        <f aca="false">IF(D78="","",IFERROR(INDEX(Tables!$B:$B,MATCH(D78,Tables!$A:$A,0)),"ID not found"))</f>
        <v/>
      </c>
      <c r="F78" s="20" t="str">
        <f aca="false">IF(D78="","",IFERROR(INDEX(Tables!$C:$C,MATCH(D78,Tables!$A:$A,0)),""))</f>
        <v/>
      </c>
      <c r="G78" s="30"/>
      <c r="H78" s="30"/>
      <c r="I78" s="30"/>
      <c r="J78" s="30"/>
      <c r="K78" s="30"/>
      <c r="L78" s="30"/>
      <c r="M78" s="30"/>
      <c r="N78" s="20" t="str">
        <f aca="false">IF(A78="","",COUNTIF('Metric to Field'!$B:$B,A78))</f>
        <v/>
      </c>
      <c r="O78" s="20" t="str">
        <f aca="false">IF(A78="","",SUMIF('Metric to Field'!$B:$B,A78,'Metric to Field'!$F:$F))</f>
        <v/>
      </c>
      <c r="P78" s="30"/>
      <c r="Q78" s="30"/>
      <c r="R78" s="30"/>
      <c r="S78" s="30"/>
      <c r="T78" s="34" t="str">
        <f aca="false">IF(AND(A78&lt;&gt;"",K78="Fix upstream"),COUNTIF($K$5:K78,"Fix upstream"),"")</f>
        <v/>
      </c>
      <c r="U78" s="34" t="str">
        <f aca="false">IF(AND(A78&lt;&gt;"",OR(K78="Move to business rules",K78="Merge into certified table")),COUNTIF($K$5:K78,"Move to business rules")+COUNTIF($K$5:K78,"Merge into certified table"),"")</f>
        <v/>
      </c>
      <c r="V78" s="34" t="str">
        <f aca="false">IF(AND(A78&lt;&gt;"",OR(K78="",K78="Undecided",J78="")),SUMPRODUCT(($A$5:A78&lt;&gt;"")*((($K$5:K78="")+($K$5:K78="Undecided")+($J$5:J78=""))&gt;0)),"")</f>
        <v/>
      </c>
    </row>
    <row r="79" customFormat="false" ht="15" hidden="false" customHeight="false" outlineLevel="0" collapsed="false">
      <c r="A79" s="29"/>
      <c r="B79" s="30"/>
      <c r="C79" s="30"/>
      <c r="D79" s="29"/>
      <c r="E79" s="20" t="str">
        <f aca="false">IF(D79="","",IFERROR(INDEX(Tables!$B:$B,MATCH(D79,Tables!$A:$A,0)),"ID not found"))</f>
        <v/>
      </c>
      <c r="F79" s="20" t="str">
        <f aca="false">IF(D79="","",IFERROR(INDEX(Tables!$C:$C,MATCH(D79,Tables!$A:$A,0)),""))</f>
        <v/>
      </c>
      <c r="G79" s="30"/>
      <c r="H79" s="30"/>
      <c r="I79" s="30"/>
      <c r="J79" s="30"/>
      <c r="K79" s="30"/>
      <c r="L79" s="30"/>
      <c r="M79" s="30"/>
      <c r="N79" s="20" t="str">
        <f aca="false">IF(A79="","",COUNTIF('Metric to Field'!$B:$B,A79))</f>
        <v/>
      </c>
      <c r="O79" s="20" t="str">
        <f aca="false">IF(A79="","",SUMIF('Metric to Field'!$B:$B,A79,'Metric to Field'!$F:$F))</f>
        <v/>
      </c>
      <c r="P79" s="30"/>
      <c r="Q79" s="30"/>
      <c r="R79" s="30"/>
      <c r="S79" s="30"/>
      <c r="T79" s="34" t="str">
        <f aca="false">IF(AND(A79&lt;&gt;"",K79="Fix upstream"),COUNTIF($K$5:K79,"Fix upstream"),"")</f>
        <v/>
      </c>
      <c r="U79" s="34" t="str">
        <f aca="false">IF(AND(A79&lt;&gt;"",OR(K79="Move to business rules",K79="Merge into certified table")),COUNTIF($K$5:K79,"Move to business rules")+COUNTIF($K$5:K79,"Merge into certified table"),"")</f>
        <v/>
      </c>
      <c r="V79" s="34" t="str">
        <f aca="false">IF(AND(A79&lt;&gt;"",OR(K79="",K79="Undecided",J79="")),SUMPRODUCT(($A$5:A79&lt;&gt;"")*((($K$5:K79="")+($K$5:K79="Undecided")+($J$5:J79=""))&gt;0)),"")</f>
        <v/>
      </c>
    </row>
    <row r="80" customFormat="false" ht="15" hidden="false" customHeight="false" outlineLevel="0" collapsed="false">
      <c r="A80" s="29"/>
      <c r="B80" s="30"/>
      <c r="C80" s="30"/>
      <c r="D80" s="29"/>
      <c r="E80" s="20" t="str">
        <f aca="false">IF(D80="","",IFERROR(INDEX(Tables!$B:$B,MATCH(D80,Tables!$A:$A,0)),"ID not found"))</f>
        <v/>
      </c>
      <c r="F80" s="20" t="str">
        <f aca="false">IF(D80="","",IFERROR(INDEX(Tables!$C:$C,MATCH(D80,Tables!$A:$A,0)),""))</f>
        <v/>
      </c>
      <c r="G80" s="30"/>
      <c r="H80" s="30"/>
      <c r="I80" s="30"/>
      <c r="J80" s="30"/>
      <c r="K80" s="30"/>
      <c r="L80" s="30"/>
      <c r="M80" s="30"/>
      <c r="N80" s="20" t="str">
        <f aca="false">IF(A80="","",COUNTIF('Metric to Field'!$B:$B,A80))</f>
        <v/>
      </c>
      <c r="O80" s="20" t="str">
        <f aca="false">IF(A80="","",SUMIF('Metric to Field'!$B:$B,A80,'Metric to Field'!$F:$F))</f>
        <v/>
      </c>
      <c r="P80" s="30"/>
      <c r="Q80" s="30"/>
      <c r="R80" s="30"/>
      <c r="S80" s="30"/>
      <c r="T80" s="34" t="str">
        <f aca="false">IF(AND(A80&lt;&gt;"",K80="Fix upstream"),COUNTIF($K$5:K80,"Fix upstream"),"")</f>
        <v/>
      </c>
      <c r="U80" s="34" t="str">
        <f aca="false">IF(AND(A80&lt;&gt;"",OR(K80="Move to business rules",K80="Merge into certified table")),COUNTIF($K$5:K80,"Move to business rules")+COUNTIF($K$5:K80,"Merge into certified table"),"")</f>
        <v/>
      </c>
      <c r="V80" s="34" t="str">
        <f aca="false">IF(AND(A80&lt;&gt;"",OR(K80="",K80="Undecided",J80="")),SUMPRODUCT(($A$5:A80&lt;&gt;"")*((($K$5:K80="")+($K$5:K80="Undecided")+($J$5:J80=""))&gt;0)),"")</f>
        <v/>
      </c>
    </row>
    <row r="81" customFormat="false" ht="15" hidden="false" customHeight="false" outlineLevel="0" collapsed="false">
      <c r="A81" s="29"/>
      <c r="B81" s="30"/>
      <c r="C81" s="30"/>
      <c r="D81" s="29"/>
      <c r="E81" s="20" t="str">
        <f aca="false">IF(D81="","",IFERROR(INDEX(Tables!$B:$B,MATCH(D81,Tables!$A:$A,0)),"ID not found"))</f>
        <v/>
      </c>
      <c r="F81" s="20" t="str">
        <f aca="false">IF(D81="","",IFERROR(INDEX(Tables!$C:$C,MATCH(D81,Tables!$A:$A,0)),""))</f>
        <v/>
      </c>
      <c r="G81" s="30"/>
      <c r="H81" s="30"/>
      <c r="I81" s="30"/>
      <c r="J81" s="30"/>
      <c r="K81" s="30"/>
      <c r="L81" s="30"/>
      <c r="M81" s="30"/>
      <c r="N81" s="20" t="str">
        <f aca="false">IF(A81="","",COUNTIF('Metric to Field'!$B:$B,A81))</f>
        <v/>
      </c>
      <c r="O81" s="20" t="str">
        <f aca="false">IF(A81="","",SUMIF('Metric to Field'!$B:$B,A81,'Metric to Field'!$F:$F))</f>
        <v/>
      </c>
      <c r="P81" s="30"/>
      <c r="Q81" s="30"/>
      <c r="R81" s="30"/>
      <c r="S81" s="30"/>
      <c r="T81" s="34" t="str">
        <f aca="false">IF(AND(A81&lt;&gt;"",K81="Fix upstream"),COUNTIF($K$5:K81,"Fix upstream"),"")</f>
        <v/>
      </c>
      <c r="U81" s="34" t="str">
        <f aca="false">IF(AND(A81&lt;&gt;"",OR(K81="Move to business rules",K81="Merge into certified table")),COUNTIF($K$5:K81,"Move to business rules")+COUNTIF($K$5:K81,"Merge into certified table"),"")</f>
        <v/>
      </c>
      <c r="V81" s="34" t="str">
        <f aca="false">IF(AND(A81&lt;&gt;"",OR(K81="",K81="Undecided",J81="")),SUMPRODUCT(($A$5:A81&lt;&gt;"")*((($K$5:K81="")+($K$5:K81="Undecided")+($J$5:J81=""))&gt;0)),"")</f>
        <v/>
      </c>
    </row>
    <row r="82" customFormat="false" ht="15" hidden="false" customHeight="false" outlineLevel="0" collapsed="false">
      <c r="A82" s="29"/>
      <c r="B82" s="30"/>
      <c r="C82" s="30"/>
      <c r="D82" s="29"/>
      <c r="E82" s="20" t="str">
        <f aca="false">IF(D82="","",IFERROR(INDEX(Tables!$B:$B,MATCH(D82,Tables!$A:$A,0)),"ID not found"))</f>
        <v/>
      </c>
      <c r="F82" s="20" t="str">
        <f aca="false">IF(D82="","",IFERROR(INDEX(Tables!$C:$C,MATCH(D82,Tables!$A:$A,0)),""))</f>
        <v/>
      </c>
      <c r="G82" s="30"/>
      <c r="H82" s="30"/>
      <c r="I82" s="30"/>
      <c r="J82" s="30"/>
      <c r="K82" s="30"/>
      <c r="L82" s="30"/>
      <c r="M82" s="30"/>
      <c r="N82" s="20" t="str">
        <f aca="false">IF(A82="","",COUNTIF('Metric to Field'!$B:$B,A82))</f>
        <v/>
      </c>
      <c r="O82" s="20" t="str">
        <f aca="false">IF(A82="","",SUMIF('Metric to Field'!$B:$B,A82,'Metric to Field'!$F:$F))</f>
        <v/>
      </c>
      <c r="P82" s="30"/>
      <c r="Q82" s="30"/>
      <c r="R82" s="30"/>
      <c r="S82" s="30"/>
      <c r="T82" s="34" t="str">
        <f aca="false">IF(AND(A82&lt;&gt;"",K82="Fix upstream"),COUNTIF($K$5:K82,"Fix upstream"),"")</f>
        <v/>
      </c>
      <c r="U82" s="34" t="str">
        <f aca="false">IF(AND(A82&lt;&gt;"",OR(K82="Move to business rules",K82="Merge into certified table")),COUNTIF($K$5:K82,"Move to business rules")+COUNTIF($K$5:K82,"Merge into certified table"),"")</f>
        <v/>
      </c>
      <c r="V82" s="34" t="str">
        <f aca="false">IF(AND(A82&lt;&gt;"",OR(K82="",K82="Undecided",J82="")),SUMPRODUCT(($A$5:A82&lt;&gt;"")*((($K$5:K82="")+($K$5:K82="Undecided")+($J$5:J82=""))&gt;0)),"")</f>
        <v/>
      </c>
    </row>
    <row r="83" customFormat="false" ht="15" hidden="false" customHeight="false" outlineLevel="0" collapsed="false">
      <c r="A83" s="29"/>
      <c r="B83" s="30"/>
      <c r="C83" s="30"/>
      <c r="D83" s="29"/>
      <c r="E83" s="20" t="str">
        <f aca="false">IF(D83="","",IFERROR(INDEX(Tables!$B:$B,MATCH(D83,Tables!$A:$A,0)),"ID not found"))</f>
        <v/>
      </c>
      <c r="F83" s="20" t="str">
        <f aca="false">IF(D83="","",IFERROR(INDEX(Tables!$C:$C,MATCH(D83,Tables!$A:$A,0)),""))</f>
        <v/>
      </c>
      <c r="G83" s="30"/>
      <c r="H83" s="30"/>
      <c r="I83" s="30"/>
      <c r="J83" s="30"/>
      <c r="K83" s="30"/>
      <c r="L83" s="30"/>
      <c r="M83" s="30"/>
      <c r="N83" s="20" t="str">
        <f aca="false">IF(A83="","",COUNTIF('Metric to Field'!$B:$B,A83))</f>
        <v/>
      </c>
      <c r="O83" s="20" t="str">
        <f aca="false">IF(A83="","",SUMIF('Metric to Field'!$B:$B,A83,'Metric to Field'!$F:$F))</f>
        <v/>
      </c>
      <c r="P83" s="30"/>
      <c r="Q83" s="30"/>
      <c r="R83" s="30"/>
      <c r="S83" s="30"/>
      <c r="T83" s="34" t="str">
        <f aca="false">IF(AND(A83&lt;&gt;"",K83="Fix upstream"),COUNTIF($K$5:K83,"Fix upstream"),"")</f>
        <v/>
      </c>
      <c r="U83" s="34" t="str">
        <f aca="false">IF(AND(A83&lt;&gt;"",OR(K83="Move to business rules",K83="Merge into certified table")),COUNTIF($K$5:K83,"Move to business rules")+COUNTIF($K$5:K83,"Merge into certified table"),"")</f>
        <v/>
      </c>
      <c r="V83" s="34" t="str">
        <f aca="false">IF(AND(A83&lt;&gt;"",OR(K83="",K83="Undecided",J83="")),SUMPRODUCT(($A$5:A83&lt;&gt;"")*((($K$5:K83="")+($K$5:K83="Undecided")+($J$5:J83=""))&gt;0)),"")</f>
        <v/>
      </c>
    </row>
    <row r="84" customFormat="false" ht="15" hidden="false" customHeight="false" outlineLevel="0" collapsed="false">
      <c r="A84" s="29"/>
      <c r="B84" s="30"/>
      <c r="C84" s="30"/>
      <c r="D84" s="29"/>
      <c r="E84" s="20" t="str">
        <f aca="false">IF(D84="","",IFERROR(INDEX(Tables!$B:$B,MATCH(D84,Tables!$A:$A,0)),"ID not found"))</f>
        <v/>
      </c>
      <c r="F84" s="20" t="str">
        <f aca="false">IF(D84="","",IFERROR(INDEX(Tables!$C:$C,MATCH(D84,Tables!$A:$A,0)),""))</f>
        <v/>
      </c>
      <c r="G84" s="30"/>
      <c r="H84" s="30"/>
      <c r="I84" s="30"/>
      <c r="J84" s="30"/>
      <c r="K84" s="30"/>
      <c r="L84" s="30"/>
      <c r="M84" s="30"/>
      <c r="N84" s="20" t="str">
        <f aca="false">IF(A84="","",COUNTIF('Metric to Field'!$B:$B,A84))</f>
        <v/>
      </c>
      <c r="O84" s="20" t="str">
        <f aca="false">IF(A84="","",SUMIF('Metric to Field'!$B:$B,A84,'Metric to Field'!$F:$F))</f>
        <v/>
      </c>
      <c r="P84" s="30"/>
      <c r="Q84" s="30"/>
      <c r="R84" s="30"/>
      <c r="S84" s="30"/>
      <c r="T84" s="34" t="str">
        <f aca="false">IF(AND(A84&lt;&gt;"",K84="Fix upstream"),COUNTIF($K$5:K84,"Fix upstream"),"")</f>
        <v/>
      </c>
      <c r="U84" s="34" t="str">
        <f aca="false">IF(AND(A84&lt;&gt;"",OR(K84="Move to business rules",K84="Merge into certified table")),COUNTIF($K$5:K84,"Move to business rules")+COUNTIF($K$5:K84,"Merge into certified table"),"")</f>
        <v/>
      </c>
      <c r="V84" s="34" t="str">
        <f aca="false">IF(AND(A84&lt;&gt;"",OR(K84="",K84="Undecided",J84="")),SUMPRODUCT(($A$5:A84&lt;&gt;"")*((($K$5:K84="")+($K$5:K84="Undecided")+($J$5:J84=""))&gt;0)),"")</f>
        <v/>
      </c>
    </row>
    <row r="85" customFormat="false" ht="15" hidden="false" customHeight="false" outlineLevel="0" collapsed="false">
      <c r="A85" s="29"/>
      <c r="B85" s="30"/>
      <c r="C85" s="30"/>
      <c r="D85" s="29"/>
      <c r="E85" s="20" t="str">
        <f aca="false">IF(D85="","",IFERROR(INDEX(Tables!$B:$B,MATCH(D85,Tables!$A:$A,0)),"ID not found"))</f>
        <v/>
      </c>
      <c r="F85" s="20" t="str">
        <f aca="false">IF(D85="","",IFERROR(INDEX(Tables!$C:$C,MATCH(D85,Tables!$A:$A,0)),""))</f>
        <v/>
      </c>
      <c r="G85" s="30"/>
      <c r="H85" s="30"/>
      <c r="I85" s="30"/>
      <c r="J85" s="30"/>
      <c r="K85" s="30"/>
      <c r="L85" s="30"/>
      <c r="M85" s="30"/>
      <c r="N85" s="20" t="str">
        <f aca="false">IF(A85="","",COUNTIF('Metric to Field'!$B:$B,A85))</f>
        <v/>
      </c>
      <c r="O85" s="20" t="str">
        <f aca="false">IF(A85="","",SUMIF('Metric to Field'!$B:$B,A85,'Metric to Field'!$F:$F))</f>
        <v/>
      </c>
      <c r="P85" s="30"/>
      <c r="Q85" s="30"/>
      <c r="R85" s="30"/>
      <c r="S85" s="30"/>
      <c r="T85" s="34" t="str">
        <f aca="false">IF(AND(A85&lt;&gt;"",K85="Fix upstream"),COUNTIF($K$5:K85,"Fix upstream"),"")</f>
        <v/>
      </c>
      <c r="U85" s="34" t="str">
        <f aca="false">IF(AND(A85&lt;&gt;"",OR(K85="Move to business rules",K85="Merge into certified table")),COUNTIF($K$5:K85,"Move to business rules")+COUNTIF($K$5:K85,"Merge into certified table"),"")</f>
        <v/>
      </c>
      <c r="V85" s="34" t="str">
        <f aca="false">IF(AND(A85&lt;&gt;"",OR(K85="",K85="Undecided",J85="")),SUMPRODUCT(($A$5:A85&lt;&gt;"")*((($K$5:K85="")+($K$5:K85="Undecided")+($J$5:J85=""))&gt;0)),"")</f>
        <v/>
      </c>
    </row>
    <row r="86" customFormat="false" ht="15" hidden="false" customHeight="false" outlineLevel="0" collapsed="false">
      <c r="A86" s="29"/>
      <c r="B86" s="30"/>
      <c r="C86" s="30"/>
      <c r="D86" s="29"/>
      <c r="E86" s="20" t="str">
        <f aca="false">IF(D86="","",IFERROR(INDEX(Tables!$B:$B,MATCH(D86,Tables!$A:$A,0)),"ID not found"))</f>
        <v/>
      </c>
      <c r="F86" s="20" t="str">
        <f aca="false">IF(D86="","",IFERROR(INDEX(Tables!$C:$C,MATCH(D86,Tables!$A:$A,0)),""))</f>
        <v/>
      </c>
      <c r="G86" s="30"/>
      <c r="H86" s="30"/>
      <c r="I86" s="30"/>
      <c r="J86" s="30"/>
      <c r="K86" s="30"/>
      <c r="L86" s="30"/>
      <c r="M86" s="30"/>
      <c r="N86" s="20" t="str">
        <f aca="false">IF(A86="","",COUNTIF('Metric to Field'!$B:$B,A86))</f>
        <v/>
      </c>
      <c r="O86" s="20" t="str">
        <f aca="false">IF(A86="","",SUMIF('Metric to Field'!$B:$B,A86,'Metric to Field'!$F:$F))</f>
        <v/>
      </c>
      <c r="P86" s="30"/>
      <c r="Q86" s="30"/>
      <c r="R86" s="30"/>
      <c r="S86" s="30"/>
      <c r="T86" s="34" t="str">
        <f aca="false">IF(AND(A86&lt;&gt;"",K86="Fix upstream"),COUNTIF($K$5:K86,"Fix upstream"),"")</f>
        <v/>
      </c>
      <c r="U86" s="34" t="str">
        <f aca="false">IF(AND(A86&lt;&gt;"",OR(K86="Move to business rules",K86="Merge into certified table")),COUNTIF($K$5:K86,"Move to business rules")+COUNTIF($K$5:K86,"Merge into certified table"),"")</f>
        <v/>
      </c>
      <c r="V86" s="34" t="str">
        <f aca="false">IF(AND(A86&lt;&gt;"",OR(K86="",K86="Undecided",J86="")),SUMPRODUCT(($A$5:A86&lt;&gt;"")*((($K$5:K86="")+($K$5:K86="Undecided")+($J$5:J86=""))&gt;0)),"")</f>
        <v/>
      </c>
    </row>
    <row r="87" customFormat="false" ht="15" hidden="false" customHeight="false" outlineLevel="0" collapsed="false">
      <c r="A87" s="29"/>
      <c r="B87" s="30"/>
      <c r="C87" s="30"/>
      <c r="D87" s="29"/>
      <c r="E87" s="20" t="str">
        <f aca="false">IF(D87="","",IFERROR(INDEX(Tables!$B:$B,MATCH(D87,Tables!$A:$A,0)),"ID not found"))</f>
        <v/>
      </c>
      <c r="F87" s="20" t="str">
        <f aca="false">IF(D87="","",IFERROR(INDEX(Tables!$C:$C,MATCH(D87,Tables!$A:$A,0)),""))</f>
        <v/>
      </c>
      <c r="G87" s="30"/>
      <c r="H87" s="30"/>
      <c r="I87" s="30"/>
      <c r="J87" s="30"/>
      <c r="K87" s="30"/>
      <c r="L87" s="30"/>
      <c r="M87" s="30"/>
      <c r="N87" s="20" t="str">
        <f aca="false">IF(A87="","",COUNTIF('Metric to Field'!$B:$B,A87))</f>
        <v/>
      </c>
      <c r="O87" s="20" t="str">
        <f aca="false">IF(A87="","",SUMIF('Metric to Field'!$B:$B,A87,'Metric to Field'!$F:$F))</f>
        <v/>
      </c>
      <c r="P87" s="30"/>
      <c r="Q87" s="30"/>
      <c r="R87" s="30"/>
      <c r="S87" s="30"/>
      <c r="T87" s="34" t="str">
        <f aca="false">IF(AND(A87&lt;&gt;"",K87="Fix upstream"),COUNTIF($K$5:K87,"Fix upstream"),"")</f>
        <v/>
      </c>
      <c r="U87" s="34" t="str">
        <f aca="false">IF(AND(A87&lt;&gt;"",OR(K87="Move to business rules",K87="Merge into certified table")),COUNTIF($K$5:K87,"Move to business rules")+COUNTIF($K$5:K87,"Merge into certified table"),"")</f>
        <v/>
      </c>
      <c r="V87" s="34" t="str">
        <f aca="false">IF(AND(A87&lt;&gt;"",OR(K87="",K87="Undecided",J87="")),SUMPRODUCT(($A$5:A87&lt;&gt;"")*((($K$5:K87="")+($K$5:K87="Undecided")+($J$5:J87=""))&gt;0)),"")</f>
        <v/>
      </c>
    </row>
    <row r="88" customFormat="false" ht="15" hidden="false" customHeight="false" outlineLevel="0" collapsed="false">
      <c r="A88" s="29"/>
      <c r="B88" s="30"/>
      <c r="C88" s="30"/>
      <c r="D88" s="29"/>
      <c r="E88" s="20" t="str">
        <f aca="false">IF(D88="","",IFERROR(INDEX(Tables!$B:$B,MATCH(D88,Tables!$A:$A,0)),"ID not found"))</f>
        <v/>
      </c>
      <c r="F88" s="20" t="str">
        <f aca="false">IF(D88="","",IFERROR(INDEX(Tables!$C:$C,MATCH(D88,Tables!$A:$A,0)),""))</f>
        <v/>
      </c>
      <c r="G88" s="30"/>
      <c r="H88" s="30"/>
      <c r="I88" s="30"/>
      <c r="J88" s="30"/>
      <c r="K88" s="30"/>
      <c r="L88" s="30"/>
      <c r="M88" s="30"/>
      <c r="N88" s="20" t="str">
        <f aca="false">IF(A88="","",COUNTIF('Metric to Field'!$B:$B,A88))</f>
        <v/>
      </c>
      <c r="O88" s="20" t="str">
        <f aca="false">IF(A88="","",SUMIF('Metric to Field'!$B:$B,A88,'Metric to Field'!$F:$F))</f>
        <v/>
      </c>
      <c r="P88" s="30"/>
      <c r="Q88" s="30"/>
      <c r="R88" s="30"/>
      <c r="S88" s="30"/>
      <c r="T88" s="34" t="str">
        <f aca="false">IF(AND(A88&lt;&gt;"",K88="Fix upstream"),COUNTIF($K$5:K88,"Fix upstream"),"")</f>
        <v/>
      </c>
      <c r="U88" s="34" t="str">
        <f aca="false">IF(AND(A88&lt;&gt;"",OR(K88="Move to business rules",K88="Merge into certified table")),COUNTIF($K$5:K88,"Move to business rules")+COUNTIF($K$5:K88,"Merge into certified table"),"")</f>
        <v/>
      </c>
      <c r="V88" s="34" t="str">
        <f aca="false">IF(AND(A88&lt;&gt;"",OR(K88="",K88="Undecided",J88="")),SUMPRODUCT(($A$5:A88&lt;&gt;"")*((($K$5:K88="")+($K$5:K88="Undecided")+($J$5:J88=""))&gt;0)),"")</f>
        <v/>
      </c>
    </row>
    <row r="89" customFormat="false" ht="15" hidden="false" customHeight="false" outlineLevel="0" collapsed="false">
      <c r="A89" s="29"/>
      <c r="B89" s="30"/>
      <c r="C89" s="30"/>
      <c r="D89" s="29"/>
      <c r="E89" s="20" t="str">
        <f aca="false">IF(D89="","",IFERROR(INDEX(Tables!$B:$B,MATCH(D89,Tables!$A:$A,0)),"ID not found"))</f>
        <v/>
      </c>
      <c r="F89" s="20" t="str">
        <f aca="false">IF(D89="","",IFERROR(INDEX(Tables!$C:$C,MATCH(D89,Tables!$A:$A,0)),""))</f>
        <v/>
      </c>
      <c r="G89" s="30"/>
      <c r="H89" s="30"/>
      <c r="I89" s="30"/>
      <c r="J89" s="30"/>
      <c r="K89" s="30"/>
      <c r="L89" s="30"/>
      <c r="M89" s="30"/>
      <c r="N89" s="20" t="str">
        <f aca="false">IF(A89="","",COUNTIF('Metric to Field'!$B:$B,A89))</f>
        <v/>
      </c>
      <c r="O89" s="20" t="str">
        <f aca="false">IF(A89="","",SUMIF('Metric to Field'!$B:$B,A89,'Metric to Field'!$F:$F))</f>
        <v/>
      </c>
      <c r="P89" s="30"/>
      <c r="Q89" s="30"/>
      <c r="R89" s="30"/>
      <c r="S89" s="30"/>
      <c r="T89" s="34" t="str">
        <f aca="false">IF(AND(A89&lt;&gt;"",K89="Fix upstream"),COUNTIF($K$5:K89,"Fix upstream"),"")</f>
        <v/>
      </c>
      <c r="U89" s="34" t="str">
        <f aca="false">IF(AND(A89&lt;&gt;"",OR(K89="Move to business rules",K89="Merge into certified table")),COUNTIF($K$5:K89,"Move to business rules")+COUNTIF($K$5:K89,"Merge into certified table"),"")</f>
        <v/>
      </c>
      <c r="V89" s="34" t="str">
        <f aca="false">IF(AND(A89&lt;&gt;"",OR(K89="",K89="Undecided",J89="")),SUMPRODUCT(($A$5:A89&lt;&gt;"")*((($K$5:K89="")+($K$5:K89="Undecided")+($J$5:J89=""))&gt;0)),"")</f>
        <v/>
      </c>
    </row>
    <row r="90" customFormat="false" ht="15" hidden="false" customHeight="false" outlineLevel="0" collapsed="false">
      <c r="A90" s="29"/>
      <c r="B90" s="30"/>
      <c r="C90" s="30"/>
      <c r="D90" s="29"/>
      <c r="E90" s="20" t="str">
        <f aca="false">IF(D90="","",IFERROR(INDEX(Tables!$B:$B,MATCH(D90,Tables!$A:$A,0)),"ID not found"))</f>
        <v/>
      </c>
      <c r="F90" s="20" t="str">
        <f aca="false">IF(D90="","",IFERROR(INDEX(Tables!$C:$C,MATCH(D90,Tables!$A:$A,0)),""))</f>
        <v/>
      </c>
      <c r="G90" s="30"/>
      <c r="H90" s="30"/>
      <c r="I90" s="30"/>
      <c r="J90" s="30"/>
      <c r="K90" s="30"/>
      <c r="L90" s="30"/>
      <c r="M90" s="30"/>
      <c r="N90" s="20" t="str">
        <f aca="false">IF(A90="","",COUNTIF('Metric to Field'!$B:$B,A90))</f>
        <v/>
      </c>
      <c r="O90" s="20" t="str">
        <f aca="false">IF(A90="","",SUMIF('Metric to Field'!$B:$B,A90,'Metric to Field'!$F:$F))</f>
        <v/>
      </c>
      <c r="P90" s="30"/>
      <c r="Q90" s="30"/>
      <c r="R90" s="30"/>
      <c r="S90" s="30"/>
      <c r="T90" s="34" t="str">
        <f aca="false">IF(AND(A90&lt;&gt;"",K90="Fix upstream"),COUNTIF($K$5:K90,"Fix upstream"),"")</f>
        <v/>
      </c>
      <c r="U90" s="34" t="str">
        <f aca="false">IF(AND(A90&lt;&gt;"",OR(K90="Move to business rules",K90="Merge into certified table")),COUNTIF($K$5:K90,"Move to business rules")+COUNTIF($K$5:K90,"Merge into certified table"),"")</f>
        <v/>
      </c>
      <c r="V90" s="34" t="str">
        <f aca="false">IF(AND(A90&lt;&gt;"",OR(K90="",K90="Undecided",J90="")),SUMPRODUCT(($A$5:A90&lt;&gt;"")*((($K$5:K90="")+($K$5:K90="Undecided")+($J$5:J90=""))&gt;0)),"")</f>
        <v/>
      </c>
    </row>
    <row r="91" customFormat="false" ht="15" hidden="false" customHeight="false" outlineLevel="0" collapsed="false">
      <c r="A91" s="29"/>
      <c r="B91" s="30"/>
      <c r="C91" s="30"/>
      <c r="D91" s="29"/>
      <c r="E91" s="20" t="str">
        <f aca="false">IF(D91="","",IFERROR(INDEX(Tables!$B:$B,MATCH(D91,Tables!$A:$A,0)),"ID not found"))</f>
        <v/>
      </c>
      <c r="F91" s="20" t="str">
        <f aca="false">IF(D91="","",IFERROR(INDEX(Tables!$C:$C,MATCH(D91,Tables!$A:$A,0)),""))</f>
        <v/>
      </c>
      <c r="G91" s="30"/>
      <c r="H91" s="30"/>
      <c r="I91" s="30"/>
      <c r="J91" s="30"/>
      <c r="K91" s="30"/>
      <c r="L91" s="30"/>
      <c r="M91" s="30"/>
      <c r="N91" s="20" t="str">
        <f aca="false">IF(A91="","",COUNTIF('Metric to Field'!$B:$B,A91))</f>
        <v/>
      </c>
      <c r="O91" s="20" t="str">
        <f aca="false">IF(A91="","",SUMIF('Metric to Field'!$B:$B,A91,'Metric to Field'!$F:$F))</f>
        <v/>
      </c>
      <c r="P91" s="30"/>
      <c r="Q91" s="30"/>
      <c r="R91" s="30"/>
      <c r="S91" s="30"/>
      <c r="T91" s="34" t="str">
        <f aca="false">IF(AND(A91&lt;&gt;"",K91="Fix upstream"),COUNTIF($K$5:K91,"Fix upstream"),"")</f>
        <v/>
      </c>
      <c r="U91" s="34" t="str">
        <f aca="false">IF(AND(A91&lt;&gt;"",OR(K91="Move to business rules",K91="Merge into certified table")),COUNTIF($K$5:K91,"Move to business rules")+COUNTIF($K$5:K91,"Merge into certified table"),"")</f>
        <v/>
      </c>
      <c r="V91" s="34" t="str">
        <f aca="false">IF(AND(A91&lt;&gt;"",OR(K91="",K91="Undecided",J91="")),SUMPRODUCT(($A$5:A91&lt;&gt;"")*((($K$5:K91="")+($K$5:K91="Undecided")+($J$5:J91=""))&gt;0)),"")</f>
        <v/>
      </c>
    </row>
    <row r="92" customFormat="false" ht="15" hidden="false" customHeight="false" outlineLevel="0" collapsed="false">
      <c r="A92" s="29"/>
      <c r="B92" s="30"/>
      <c r="C92" s="30"/>
      <c r="D92" s="29"/>
      <c r="E92" s="20" t="str">
        <f aca="false">IF(D92="","",IFERROR(INDEX(Tables!$B:$B,MATCH(D92,Tables!$A:$A,0)),"ID not found"))</f>
        <v/>
      </c>
      <c r="F92" s="20" t="str">
        <f aca="false">IF(D92="","",IFERROR(INDEX(Tables!$C:$C,MATCH(D92,Tables!$A:$A,0)),""))</f>
        <v/>
      </c>
      <c r="G92" s="30"/>
      <c r="H92" s="30"/>
      <c r="I92" s="30"/>
      <c r="J92" s="30"/>
      <c r="K92" s="30"/>
      <c r="L92" s="30"/>
      <c r="M92" s="30"/>
      <c r="N92" s="20" t="str">
        <f aca="false">IF(A92="","",COUNTIF('Metric to Field'!$B:$B,A92))</f>
        <v/>
      </c>
      <c r="O92" s="20" t="str">
        <f aca="false">IF(A92="","",SUMIF('Metric to Field'!$B:$B,A92,'Metric to Field'!$F:$F))</f>
        <v/>
      </c>
      <c r="P92" s="30"/>
      <c r="Q92" s="30"/>
      <c r="R92" s="30"/>
      <c r="S92" s="30"/>
      <c r="T92" s="34" t="str">
        <f aca="false">IF(AND(A92&lt;&gt;"",K92="Fix upstream"),COUNTIF($K$5:K92,"Fix upstream"),"")</f>
        <v/>
      </c>
      <c r="U92" s="34" t="str">
        <f aca="false">IF(AND(A92&lt;&gt;"",OR(K92="Move to business rules",K92="Merge into certified table")),COUNTIF($K$5:K92,"Move to business rules")+COUNTIF($K$5:K92,"Merge into certified table"),"")</f>
        <v/>
      </c>
      <c r="V92" s="34" t="str">
        <f aca="false">IF(AND(A92&lt;&gt;"",OR(K92="",K92="Undecided",J92="")),SUMPRODUCT(($A$5:A92&lt;&gt;"")*((($K$5:K92="")+($K$5:K92="Undecided")+($J$5:J92=""))&gt;0)),"")</f>
        <v/>
      </c>
    </row>
    <row r="93" customFormat="false" ht="15" hidden="false" customHeight="false" outlineLevel="0" collapsed="false">
      <c r="A93" s="29"/>
      <c r="B93" s="30"/>
      <c r="C93" s="30"/>
      <c r="D93" s="29"/>
      <c r="E93" s="20" t="str">
        <f aca="false">IF(D93="","",IFERROR(INDEX(Tables!$B:$B,MATCH(D93,Tables!$A:$A,0)),"ID not found"))</f>
        <v/>
      </c>
      <c r="F93" s="20" t="str">
        <f aca="false">IF(D93="","",IFERROR(INDEX(Tables!$C:$C,MATCH(D93,Tables!$A:$A,0)),""))</f>
        <v/>
      </c>
      <c r="G93" s="30"/>
      <c r="H93" s="30"/>
      <c r="I93" s="30"/>
      <c r="J93" s="30"/>
      <c r="K93" s="30"/>
      <c r="L93" s="30"/>
      <c r="M93" s="30"/>
      <c r="N93" s="20" t="str">
        <f aca="false">IF(A93="","",COUNTIF('Metric to Field'!$B:$B,A93))</f>
        <v/>
      </c>
      <c r="O93" s="20" t="str">
        <f aca="false">IF(A93="","",SUMIF('Metric to Field'!$B:$B,A93,'Metric to Field'!$F:$F))</f>
        <v/>
      </c>
      <c r="P93" s="30"/>
      <c r="Q93" s="30"/>
      <c r="R93" s="30"/>
      <c r="S93" s="30"/>
      <c r="T93" s="34" t="str">
        <f aca="false">IF(AND(A93&lt;&gt;"",K93="Fix upstream"),COUNTIF($K$5:K93,"Fix upstream"),"")</f>
        <v/>
      </c>
      <c r="U93" s="34" t="str">
        <f aca="false">IF(AND(A93&lt;&gt;"",OR(K93="Move to business rules",K93="Merge into certified table")),COUNTIF($K$5:K93,"Move to business rules")+COUNTIF($K$5:K93,"Merge into certified table"),"")</f>
        <v/>
      </c>
      <c r="V93" s="34" t="str">
        <f aca="false">IF(AND(A93&lt;&gt;"",OR(K93="",K93="Undecided",J93="")),SUMPRODUCT(($A$5:A93&lt;&gt;"")*((($K$5:K93="")+($K$5:K93="Undecided")+($J$5:J93=""))&gt;0)),"")</f>
        <v/>
      </c>
    </row>
    <row r="94" customFormat="false" ht="15" hidden="false" customHeight="false" outlineLevel="0" collapsed="false">
      <c r="A94" s="29"/>
      <c r="B94" s="30"/>
      <c r="C94" s="30"/>
      <c r="D94" s="29"/>
      <c r="E94" s="20" t="str">
        <f aca="false">IF(D94="","",IFERROR(INDEX(Tables!$B:$B,MATCH(D94,Tables!$A:$A,0)),"ID not found"))</f>
        <v/>
      </c>
      <c r="F94" s="20" t="str">
        <f aca="false">IF(D94="","",IFERROR(INDEX(Tables!$C:$C,MATCH(D94,Tables!$A:$A,0)),""))</f>
        <v/>
      </c>
      <c r="G94" s="30"/>
      <c r="H94" s="30"/>
      <c r="I94" s="30"/>
      <c r="J94" s="30"/>
      <c r="K94" s="30"/>
      <c r="L94" s="30"/>
      <c r="M94" s="30"/>
      <c r="N94" s="20" t="str">
        <f aca="false">IF(A94="","",COUNTIF('Metric to Field'!$B:$B,A94))</f>
        <v/>
      </c>
      <c r="O94" s="20" t="str">
        <f aca="false">IF(A94="","",SUMIF('Metric to Field'!$B:$B,A94,'Metric to Field'!$F:$F))</f>
        <v/>
      </c>
      <c r="P94" s="30"/>
      <c r="Q94" s="30"/>
      <c r="R94" s="30"/>
      <c r="S94" s="30"/>
      <c r="T94" s="34" t="str">
        <f aca="false">IF(AND(A94&lt;&gt;"",K94="Fix upstream"),COUNTIF($K$5:K94,"Fix upstream"),"")</f>
        <v/>
      </c>
      <c r="U94" s="34" t="str">
        <f aca="false">IF(AND(A94&lt;&gt;"",OR(K94="Move to business rules",K94="Merge into certified table")),COUNTIF($K$5:K94,"Move to business rules")+COUNTIF($K$5:K94,"Merge into certified table"),"")</f>
        <v/>
      </c>
      <c r="V94" s="34" t="str">
        <f aca="false">IF(AND(A94&lt;&gt;"",OR(K94="",K94="Undecided",J94="")),SUMPRODUCT(($A$5:A94&lt;&gt;"")*((($K$5:K94="")+($K$5:K94="Undecided")+($J$5:J94=""))&gt;0)),"")</f>
        <v/>
      </c>
    </row>
    <row r="95" customFormat="false" ht="15" hidden="false" customHeight="false" outlineLevel="0" collapsed="false">
      <c r="A95" s="29"/>
      <c r="B95" s="30"/>
      <c r="C95" s="30"/>
      <c r="D95" s="29"/>
      <c r="E95" s="20" t="str">
        <f aca="false">IF(D95="","",IFERROR(INDEX(Tables!$B:$B,MATCH(D95,Tables!$A:$A,0)),"ID not found"))</f>
        <v/>
      </c>
      <c r="F95" s="20" t="str">
        <f aca="false">IF(D95="","",IFERROR(INDEX(Tables!$C:$C,MATCH(D95,Tables!$A:$A,0)),""))</f>
        <v/>
      </c>
      <c r="G95" s="30"/>
      <c r="H95" s="30"/>
      <c r="I95" s="30"/>
      <c r="J95" s="30"/>
      <c r="K95" s="30"/>
      <c r="L95" s="30"/>
      <c r="M95" s="30"/>
      <c r="N95" s="20" t="str">
        <f aca="false">IF(A95="","",COUNTIF('Metric to Field'!$B:$B,A95))</f>
        <v/>
      </c>
      <c r="O95" s="20" t="str">
        <f aca="false">IF(A95="","",SUMIF('Metric to Field'!$B:$B,A95,'Metric to Field'!$F:$F))</f>
        <v/>
      </c>
      <c r="P95" s="30"/>
      <c r="Q95" s="30"/>
      <c r="R95" s="30"/>
      <c r="S95" s="30"/>
      <c r="T95" s="34" t="str">
        <f aca="false">IF(AND(A95&lt;&gt;"",K95="Fix upstream"),COUNTIF($K$5:K95,"Fix upstream"),"")</f>
        <v/>
      </c>
      <c r="U95" s="34" t="str">
        <f aca="false">IF(AND(A95&lt;&gt;"",OR(K95="Move to business rules",K95="Merge into certified table")),COUNTIF($K$5:K95,"Move to business rules")+COUNTIF($K$5:K95,"Merge into certified table"),"")</f>
        <v/>
      </c>
      <c r="V95" s="34" t="str">
        <f aca="false">IF(AND(A95&lt;&gt;"",OR(K95="",K95="Undecided",J95="")),SUMPRODUCT(($A$5:A95&lt;&gt;"")*((($K$5:K95="")+($K$5:K95="Undecided")+($J$5:J95=""))&gt;0)),"")</f>
        <v/>
      </c>
    </row>
    <row r="96" customFormat="false" ht="15" hidden="false" customHeight="false" outlineLevel="0" collapsed="false">
      <c r="A96" s="29"/>
      <c r="B96" s="30"/>
      <c r="C96" s="30"/>
      <c r="D96" s="29"/>
      <c r="E96" s="20" t="str">
        <f aca="false">IF(D96="","",IFERROR(INDEX(Tables!$B:$B,MATCH(D96,Tables!$A:$A,0)),"ID not found"))</f>
        <v/>
      </c>
      <c r="F96" s="20" t="str">
        <f aca="false">IF(D96="","",IFERROR(INDEX(Tables!$C:$C,MATCH(D96,Tables!$A:$A,0)),""))</f>
        <v/>
      </c>
      <c r="G96" s="30"/>
      <c r="H96" s="30"/>
      <c r="I96" s="30"/>
      <c r="J96" s="30"/>
      <c r="K96" s="30"/>
      <c r="L96" s="30"/>
      <c r="M96" s="30"/>
      <c r="N96" s="20" t="str">
        <f aca="false">IF(A96="","",COUNTIF('Metric to Field'!$B:$B,A96))</f>
        <v/>
      </c>
      <c r="O96" s="20" t="str">
        <f aca="false">IF(A96="","",SUMIF('Metric to Field'!$B:$B,A96,'Metric to Field'!$F:$F))</f>
        <v/>
      </c>
      <c r="P96" s="30"/>
      <c r="Q96" s="30"/>
      <c r="R96" s="30"/>
      <c r="S96" s="30"/>
      <c r="T96" s="34" t="str">
        <f aca="false">IF(AND(A96&lt;&gt;"",K96="Fix upstream"),COUNTIF($K$5:K96,"Fix upstream"),"")</f>
        <v/>
      </c>
      <c r="U96" s="34" t="str">
        <f aca="false">IF(AND(A96&lt;&gt;"",OR(K96="Move to business rules",K96="Merge into certified table")),COUNTIF($K$5:K96,"Move to business rules")+COUNTIF($K$5:K96,"Merge into certified table"),"")</f>
        <v/>
      </c>
      <c r="V96" s="34" t="str">
        <f aca="false">IF(AND(A96&lt;&gt;"",OR(K96="",K96="Undecided",J96="")),SUMPRODUCT(($A$5:A96&lt;&gt;"")*((($K$5:K96="")+($K$5:K96="Undecided")+($J$5:J96=""))&gt;0)),"")</f>
        <v/>
      </c>
    </row>
    <row r="97" customFormat="false" ht="15" hidden="false" customHeight="false" outlineLevel="0" collapsed="false">
      <c r="A97" s="29"/>
      <c r="B97" s="30"/>
      <c r="C97" s="30"/>
      <c r="D97" s="29"/>
      <c r="E97" s="20" t="str">
        <f aca="false">IF(D97="","",IFERROR(INDEX(Tables!$B:$B,MATCH(D97,Tables!$A:$A,0)),"ID not found"))</f>
        <v/>
      </c>
      <c r="F97" s="20" t="str">
        <f aca="false">IF(D97="","",IFERROR(INDEX(Tables!$C:$C,MATCH(D97,Tables!$A:$A,0)),""))</f>
        <v/>
      </c>
      <c r="G97" s="30"/>
      <c r="H97" s="30"/>
      <c r="I97" s="30"/>
      <c r="J97" s="30"/>
      <c r="K97" s="30"/>
      <c r="L97" s="30"/>
      <c r="M97" s="30"/>
      <c r="N97" s="20" t="str">
        <f aca="false">IF(A97="","",COUNTIF('Metric to Field'!$B:$B,A97))</f>
        <v/>
      </c>
      <c r="O97" s="20" t="str">
        <f aca="false">IF(A97="","",SUMIF('Metric to Field'!$B:$B,A97,'Metric to Field'!$F:$F))</f>
        <v/>
      </c>
      <c r="P97" s="30"/>
      <c r="Q97" s="30"/>
      <c r="R97" s="30"/>
      <c r="S97" s="30"/>
      <c r="T97" s="34" t="str">
        <f aca="false">IF(AND(A97&lt;&gt;"",K97="Fix upstream"),COUNTIF($K$5:K97,"Fix upstream"),"")</f>
        <v/>
      </c>
      <c r="U97" s="34" t="str">
        <f aca="false">IF(AND(A97&lt;&gt;"",OR(K97="Move to business rules",K97="Merge into certified table")),COUNTIF($K$5:K97,"Move to business rules")+COUNTIF($K$5:K97,"Merge into certified table"),"")</f>
        <v/>
      </c>
      <c r="V97" s="34" t="str">
        <f aca="false">IF(AND(A97&lt;&gt;"",OR(K97="",K97="Undecided",J97="")),SUMPRODUCT(($A$5:A97&lt;&gt;"")*((($K$5:K97="")+($K$5:K97="Undecided")+($J$5:J97=""))&gt;0)),"")</f>
        <v/>
      </c>
    </row>
    <row r="98" customFormat="false" ht="15" hidden="false" customHeight="false" outlineLevel="0" collapsed="false">
      <c r="A98" s="29"/>
      <c r="B98" s="30"/>
      <c r="C98" s="30"/>
      <c r="D98" s="29"/>
      <c r="E98" s="20" t="str">
        <f aca="false">IF(D98="","",IFERROR(INDEX(Tables!$B:$B,MATCH(D98,Tables!$A:$A,0)),"ID not found"))</f>
        <v/>
      </c>
      <c r="F98" s="20" t="str">
        <f aca="false">IF(D98="","",IFERROR(INDEX(Tables!$C:$C,MATCH(D98,Tables!$A:$A,0)),""))</f>
        <v/>
      </c>
      <c r="G98" s="30"/>
      <c r="H98" s="30"/>
      <c r="I98" s="30"/>
      <c r="J98" s="30"/>
      <c r="K98" s="30"/>
      <c r="L98" s="30"/>
      <c r="M98" s="30"/>
      <c r="N98" s="20" t="str">
        <f aca="false">IF(A98="","",COUNTIF('Metric to Field'!$B:$B,A98))</f>
        <v/>
      </c>
      <c r="O98" s="20" t="str">
        <f aca="false">IF(A98="","",SUMIF('Metric to Field'!$B:$B,A98,'Metric to Field'!$F:$F))</f>
        <v/>
      </c>
      <c r="P98" s="30"/>
      <c r="Q98" s="30"/>
      <c r="R98" s="30"/>
      <c r="S98" s="30"/>
      <c r="T98" s="34" t="str">
        <f aca="false">IF(AND(A98&lt;&gt;"",K98="Fix upstream"),COUNTIF($K$5:K98,"Fix upstream"),"")</f>
        <v/>
      </c>
      <c r="U98" s="34" t="str">
        <f aca="false">IF(AND(A98&lt;&gt;"",OR(K98="Move to business rules",K98="Merge into certified table")),COUNTIF($K$5:K98,"Move to business rules")+COUNTIF($K$5:K98,"Merge into certified table"),"")</f>
        <v/>
      </c>
      <c r="V98" s="34" t="str">
        <f aca="false">IF(AND(A98&lt;&gt;"",OR(K98="",K98="Undecided",J98="")),SUMPRODUCT(($A$5:A98&lt;&gt;"")*((($K$5:K98="")+($K$5:K98="Undecided")+($J$5:J98=""))&gt;0)),"")</f>
        <v/>
      </c>
    </row>
    <row r="99" customFormat="false" ht="15" hidden="false" customHeight="false" outlineLevel="0" collapsed="false">
      <c r="A99" s="29"/>
      <c r="B99" s="30"/>
      <c r="C99" s="30"/>
      <c r="D99" s="29"/>
      <c r="E99" s="20" t="str">
        <f aca="false">IF(D99="","",IFERROR(INDEX(Tables!$B:$B,MATCH(D99,Tables!$A:$A,0)),"ID not found"))</f>
        <v/>
      </c>
      <c r="F99" s="20" t="str">
        <f aca="false">IF(D99="","",IFERROR(INDEX(Tables!$C:$C,MATCH(D99,Tables!$A:$A,0)),""))</f>
        <v/>
      </c>
      <c r="G99" s="30"/>
      <c r="H99" s="30"/>
      <c r="I99" s="30"/>
      <c r="J99" s="30"/>
      <c r="K99" s="30"/>
      <c r="L99" s="30"/>
      <c r="M99" s="30"/>
      <c r="N99" s="20" t="str">
        <f aca="false">IF(A99="","",COUNTIF('Metric to Field'!$B:$B,A99))</f>
        <v/>
      </c>
      <c r="O99" s="20" t="str">
        <f aca="false">IF(A99="","",SUMIF('Metric to Field'!$B:$B,A99,'Metric to Field'!$F:$F))</f>
        <v/>
      </c>
      <c r="P99" s="30"/>
      <c r="Q99" s="30"/>
      <c r="R99" s="30"/>
      <c r="S99" s="30"/>
      <c r="T99" s="34" t="str">
        <f aca="false">IF(AND(A99&lt;&gt;"",K99="Fix upstream"),COUNTIF($K$5:K99,"Fix upstream"),"")</f>
        <v/>
      </c>
      <c r="U99" s="34" t="str">
        <f aca="false">IF(AND(A99&lt;&gt;"",OR(K99="Move to business rules",K99="Merge into certified table")),COUNTIF($K$5:K99,"Move to business rules")+COUNTIF($K$5:K99,"Merge into certified table"),"")</f>
        <v/>
      </c>
      <c r="V99" s="34" t="str">
        <f aca="false">IF(AND(A99&lt;&gt;"",OR(K99="",K99="Undecided",J99="")),SUMPRODUCT(($A$5:A99&lt;&gt;"")*((($K$5:K99="")+($K$5:K99="Undecided")+($J$5:J99=""))&gt;0)),"")</f>
        <v/>
      </c>
    </row>
    <row r="100" customFormat="false" ht="15" hidden="false" customHeight="false" outlineLevel="0" collapsed="false">
      <c r="A100" s="29"/>
      <c r="B100" s="30"/>
      <c r="C100" s="30"/>
      <c r="D100" s="29"/>
      <c r="E100" s="20" t="str">
        <f aca="false">IF(D100="","",IFERROR(INDEX(Tables!$B:$B,MATCH(D100,Tables!$A:$A,0)),"ID not found"))</f>
        <v/>
      </c>
      <c r="F100" s="20" t="str">
        <f aca="false">IF(D100="","",IFERROR(INDEX(Tables!$C:$C,MATCH(D100,Tables!$A:$A,0)),""))</f>
        <v/>
      </c>
      <c r="G100" s="30"/>
      <c r="H100" s="30"/>
      <c r="I100" s="30"/>
      <c r="J100" s="30"/>
      <c r="K100" s="30"/>
      <c r="L100" s="30"/>
      <c r="M100" s="30"/>
      <c r="N100" s="20" t="str">
        <f aca="false">IF(A100="","",COUNTIF('Metric to Field'!$B:$B,A100))</f>
        <v/>
      </c>
      <c r="O100" s="20" t="str">
        <f aca="false">IF(A100="","",SUMIF('Metric to Field'!$B:$B,A100,'Metric to Field'!$F:$F))</f>
        <v/>
      </c>
      <c r="P100" s="30"/>
      <c r="Q100" s="30"/>
      <c r="R100" s="30"/>
      <c r="S100" s="30"/>
      <c r="T100" s="34" t="str">
        <f aca="false">IF(AND(A100&lt;&gt;"",K100="Fix upstream"),COUNTIF($K$5:K100,"Fix upstream"),"")</f>
        <v/>
      </c>
      <c r="U100" s="34" t="str">
        <f aca="false">IF(AND(A100&lt;&gt;"",OR(K100="Move to business rules",K100="Merge into certified table")),COUNTIF($K$5:K100,"Move to business rules")+COUNTIF($K$5:K100,"Merge into certified table"),"")</f>
        <v/>
      </c>
      <c r="V100" s="34" t="str">
        <f aca="false">IF(AND(A100&lt;&gt;"",OR(K100="",K100="Undecided",J100="")),SUMPRODUCT(($A$5:A100&lt;&gt;"")*((($K$5:K100="")+($K$5:K100="Undecided")+($J$5:J100=""))&gt;0)),"")</f>
        <v/>
      </c>
    </row>
    <row r="101" customFormat="false" ht="15" hidden="false" customHeight="false" outlineLevel="0" collapsed="false">
      <c r="A101" s="29"/>
      <c r="B101" s="30"/>
      <c r="C101" s="30"/>
      <c r="D101" s="29"/>
      <c r="E101" s="20" t="str">
        <f aca="false">IF(D101="","",IFERROR(INDEX(Tables!$B:$B,MATCH(D101,Tables!$A:$A,0)),"ID not found"))</f>
        <v/>
      </c>
      <c r="F101" s="20" t="str">
        <f aca="false">IF(D101="","",IFERROR(INDEX(Tables!$C:$C,MATCH(D101,Tables!$A:$A,0)),""))</f>
        <v/>
      </c>
      <c r="G101" s="30"/>
      <c r="H101" s="30"/>
      <c r="I101" s="30"/>
      <c r="J101" s="30"/>
      <c r="K101" s="30"/>
      <c r="L101" s="30"/>
      <c r="M101" s="30"/>
      <c r="N101" s="20" t="str">
        <f aca="false">IF(A101="","",COUNTIF('Metric to Field'!$B:$B,A101))</f>
        <v/>
      </c>
      <c r="O101" s="20" t="str">
        <f aca="false">IF(A101="","",SUMIF('Metric to Field'!$B:$B,A101,'Metric to Field'!$F:$F))</f>
        <v/>
      </c>
      <c r="P101" s="30"/>
      <c r="Q101" s="30"/>
      <c r="R101" s="30"/>
      <c r="S101" s="30"/>
      <c r="T101" s="34" t="str">
        <f aca="false">IF(AND(A101&lt;&gt;"",K101="Fix upstream"),COUNTIF($K$5:K101,"Fix upstream"),"")</f>
        <v/>
      </c>
      <c r="U101" s="34" t="str">
        <f aca="false">IF(AND(A101&lt;&gt;"",OR(K101="Move to business rules",K101="Merge into certified table")),COUNTIF($K$5:K101,"Move to business rules")+COUNTIF($K$5:K101,"Merge into certified table"),"")</f>
        <v/>
      </c>
      <c r="V101" s="34" t="str">
        <f aca="false">IF(AND(A101&lt;&gt;"",OR(K101="",K101="Undecided",J101="")),SUMPRODUCT(($A$5:A101&lt;&gt;"")*((($K$5:K101="")+($K$5:K101="Undecided")+($J$5:J101=""))&gt;0)),"")</f>
        <v/>
      </c>
    </row>
    <row r="102" customFormat="false" ht="15" hidden="false" customHeight="false" outlineLevel="0" collapsed="false">
      <c r="A102" s="29"/>
      <c r="B102" s="30"/>
      <c r="C102" s="30"/>
      <c r="D102" s="29"/>
      <c r="E102" s="20" t="str">
        <f aca="false">IF(D102="","",IFERROR(INDEX(Tables!$B:$B,MATCH(D102,Tables!$A:$A,0)),"ID not found"))</f>
        <v/>
      </c>
      <c r="F102" s="20" t="str">
        <f aca="false">IF(D102="","",IFERROR(INDEX(Tables!$C:$C,MATCH(D102,Tables!$A:$A,0)),""))</f>
        <v/>
      </c>
      <c r="G102" s="30"/>
      <c r="H102" s="30"/>
      <c r="I102" s="30"/>
      <c r="J102" s="30"/>
      <c r="K102" s="30"/>
      <c r="L102" s="30"/>
      <c r="M102" s="30"/>
      <c r="N102" s="20" t="str">
        <f aca="false">IF(A102="","",COUNTIF('Metric to Field'!$B:$B,A102))</f>
        <v/>
      </c>
      <c r="O102" s="20" t="str">
        <f aca="false">IF(A102="","",SUMIF('Metric to Field'!$B:$B,A102,'Metric to Field'!$F:$F))</f>
        <v/>
      </c>
      <c r="P102" s="30"/>
      <c r="Q102" s="30"/>
      <c r="R102" s="30"/>
      <c r="S102" s="30"/>
      <c r="T102" s="34" t="str">
        <f aca="false">IF(AND(A102&lt;&gt;"",K102="Fix upstream"),COUNTIF($K$5:K102,"Fix upstream"),"")</f>
        <v/>
      </c>
      <c r="U102" s="34" t="str">
        <f aca="false">IF(AND(A102&lt;&gt;"",OR(K102="Move to business rules",K102="Merge into certified table")),COUNTIF($K$5:K102,"Move to business rules")+COUNTIF($K$5:K102,"Merge into certified table"),"")</f>
        <v/>
      </c>
      <c r="V102" s="34" t="str">
        <f aca="false">IF(AND(A102&lt;&gt;"",OR(K102="",K102="Undecided",J102="")),SUMPRODUCT(($A$5:A102&lt;&gt;"")*((($K$5:K102="")+($K$5:K102="Undecided")+($J$5:J102=""))&gt;0)),"")</f>
        <v/>
      </c>
    </row>
    <row r="103" customFormat="false" ht="15" hidden="false" customHeight="false" outlineLevel="0" collapsed="false">
      <c r="A103" s="29"/>
      <c r="B103" s="30"/>
      <c r="C103" s="30"/>
      <c r="D103" s="29"/>
      <c r="E103" s="20" t="str">
        <f aca="false">IF(D103="","",IFERROR(INDEX(Tables!$B:$B,MATCH(D103,Tables!$A:$A,0)),"ID not found"))</f>
        <v/>
      </c>
      <c r="F103" s="20" t="str">
        <f aca="false">IF(D103="","",IFERROR(INDEX(Tables!$C:$C,MATCH(D103,Tables!$A:$A,0)),""))</f>
        <v/>
      </c>
      <c r="G103" s="30"/>
      <c r="H103" s="30"/>
      <c r="I103" s="30"/>
      <c r="J103" s="30"/>
      <c r="K103" s="30"/>
      <c r="L103" s="30"/>
      <c r="M103" s="30"/>
      <c r="N103" s="20" t="str">
        <f aca="false">IF(A103="","",COUNTIF('Metric to Field'!$B:$B,A103))</f>
        <v/>
      </c>
      <c r="O103" s="20" t="str">
        <f aca="false">IF(A103="","",SUMIF('Metric to Field'!$B:$B,A103,'Metric to Field'!$F:$F))</f>
        <v/>
      </c>
      <c r="P103" s="30"/>
      <c r="Q103" s="30"/>
      <c r="R103" s="30"/>
      <c r="S103" s="30"/>
      <c r="T103" s="34" t="str">
        <f aca="false">IF(AND(A103&lt;&gt;"",K103="Fix upstream"),COUNTIF($K$5:K103,"Fix upstream"),"")</f>
        <v/>
      </c>
      <c r="U103" s="34" t="str">
        <f aca="false">IF(AND(A103&lt;&gt;"",OR(K103="Move to business rules",K103="Merge into certified table")),COUNTIF($K$5:K103,"Move to business rules")+COUNTIF($K$5:K103,"Merge into certified table"),"")</f>
        <v/>
      </c>
      <c r="V103" s="34" t="str">
        <f aca="false">IF(AND(A103&lt;&gt;"",OR(K103="",K103="Undecided",J103="")),SUMPRODUCT(($A$5:A103&lt;&gt;"")*((($K$5:K103="")+($K$5:K103="Undecided")+($J$5:J103=""))&gt;0)),"")</f>
        <v/>
      </c>
    </row>
    <row r="104" customFormat="false" ht="15" hidden="false" customHeight="false" outlineLevel="0" collapsed="false">
      <c r="A104" s="29"/>
      <c r="B104" s="30"/>
      <c r="C104" s="30"/>
      <c r="D104" s="29"/>
      <c r="E104" s="20" t="str">
        <f aca="false">IF(D104="","",IFERROR(INDEX(Tables!$B:$B,MATCH(D104,Tables!$A:$A,0)),"ID not found"))</f>
        <v/>
      </c>
      <c r="F104" s="20" t="str">
        <f aca="false">IF(D104="","",IFERROR(INDEX(Tables!$C:$C,MATCH(D104,Tables!$A:$A,0)),""))</f>
        <v/>
      </c>
      <c r="G104" s="30"/>
      <c r="H104" s="30"/>
      <c r="I104" s="30"/>
      <c r="J104" s="30"/>
      <c r="K104" s="30"/>
      <c r="L104" s="30"/>
      <c r="M104" s="30"/>
      <c r="N104" s="20" t="str">
        <f aca="false">IF(A104="","",COUNTIF('Metric to Field'!$B:$B,A104))</f>
        <v/>
      </c>
      <c r="O104" s="20" t="str">
        <f aca="false">IF(A104="","",SUMIF('Metric to Field'!$B:$B,A104,'Metric to Field'!$F:$F))</f>
        <v/>
      </c>
      <c r="P104" s="30"/>
      <c r="Q104" s="30"/>
      <c r="R104" s="30"/>
      <c r="S104" s="30"/>
      <c r="T104" s="34" t="str">
        <f aca="false">IF(AND(A104&lt;&gt;"",K104="Fix upstream"),COUNTIF($K$5:K104,"Fix upstream"),"")</f>
        <v/>
      </c>
      <c r="U104" s="34" t="str">
        <f aca="false">IF(AND(A104&lt;&gt;"",OR(K104="Move to business rules",K104="Merge into certified table")),COUNTIF($K$5:K104,"Move to business rules")+COUNTIF($K$5:K104,"Merge into certified table"),"")</f>
        <v/>
      </c>
      <c r="V104" s="34" t="str">
        <f aca="false">IF(AND(A104&lt;&gt;"",OR(K104="",K104="Undecided",J104="")),SUMPRODUCT(($A$5:A104&lt;&gt;"")*((($K$5:K104="")+($K$5:K104="Undecided")+($J$5:J104=""))&gt;0)),"")</f>
        <v/>
      </c>
    </row>
    <row r="105" customFormat="false" ht="15" hidden="false" customHeight="false" outlineLevel="0" collapsed="false">
      <c r="A105" s="29"/>
      <c r="B105" s="30"/>
      <c r="C105" s="30"/>
      <c r="D105" s="29"/>
      <c r="E105" s="20" t="str">
        <f aca="false">IF(D105="","",IFERROR(INDEX(Tables!$B:$B,MATCH(D105,Tables!$A:$A,0)),"ID not found"))</f>
        <v/>
      </c>
      <c r="F105" s="20" t="str">
        <f aca="false">IF(D105="","",IFERROR(INDEX(Tables!$C:$C,MATCH(D105,Tables!$A:$A,0)),""))</f>
        <v/>
      </c>
      <c r="G105" s="30"/>
      <c r="H105" s="30"/>
      <c r="I105" s="30"/>
      <c r="J105" s="30"/>
      <c r="K105" s="30"/>
      <c r="L105" s="30"/>
      <c r="M105" s="30"/>
      <c r="N105" s="20" t="str">
        <f aca="false">IF(A105="","",COUNTIF('Metric to Field'!$B:$B,A105))</f>
        <v/>
      </c>
      <c r="O105" s="20" t="str">
        <f aca="false">IF(A105="","",SUMIF('Metric to Field'!$B:$B,A105,'Metric to Field'!$F:$F))</f>
        <v/>
      </c>
      <c r="P105" s="30"/>
      <c r="Q105" s="30"/>
      <c r="R105" s="30"/>
      <c r="S105" s="30"/>
      <c r="T105" s="34" t="str">
        <f aca="false">IF(AND(A105&lt;&gt;"",K105="Fix upstream"),COUNTIF($K$5:K105,"Fix upstream"),"")</f>
        <v/>
      </c>
      <c r="U105" s="34" t="str">
        <f aca="false">IF(AND(A105&lt;&gt;"",OR(K105="Move to business rules",K105="Merge into certified table")),COUNTIF($K$5:K105,"Move to business rules")+COUNTIF($K$5:K105,"Merge into certified table"),"")</f>
        <v/>
      </c>
      <c r="V105" s="34" t="str">
        <f aca="false">IF(AND(A105&lt;&gt;"",OR(K105="",K105="Undecided",J105="")),SUMPRODUCT(($A$5:A105&lt;&gt;"")*((($K$5:K105="")+($K$5:K105="Undecided")+($J$5:J105=""))&gt;0)),"")</f>
        <v/>
      </c>
    </row>
    <row r="106" customFormat="false" ht="15" hidden="false" customHeight="false" outlineLevel="0" collapsed="false">
      <c r="A106" s="29"/>
      <c r="B106" s="30"/>
      <c r="C106" s="30"/>
      <c r="D106" s="29"/>
      <c r="E106" s="20" t="str">
        <f aca="false">IF(D106="","",IFERROR(INDEX(Tables!$B:$B,MATCH(D106,Tables!$A:$A,0)),"ID not found"))</f>
        <v/>
      </c>
      <c r="F106" s="20" t="str">
        <f aca="false">IF(D106="","",IFERROR(INDEX(Tables!$C:$C,MATCH(D106,Tables!$A:$A,0)),""))</f>
        <v/>
      </c>
      <c r="G106" s="30"/>
      <c r="H106" s="30"/>
      <c r="I106" s="30"/>
      <c r="J106" s="30"/>
      <c r="K106" s="30"/>
      <c r="L106" s="30"/>
      <c r="M106" s="30"/>
      <c r="N106" s="20" t="str">
        <f aca="false">IF(A106="","",COUNTIF('Metric to Field'!$B:$B,A106))</f>
        <v/>
      </c>
      <c r="O106" s="20" t="str">
        <f aca="false">IF(A106="","",SUMIF('Metric to Field'!$B:$B,A106,'Metric to Field'!$F:$F))</f>
        <v/>
      </c>
      <c r="P106" s="30"/>
      <c r="Q106" s="30"/>
      <c r="R106" s="30"/>
      <c r="S106" s="30"/>
      <c r="T106" s="34" t="str">
        <f aca="false">IF(AND(A106&lt;&gt;"",K106="Fix upstream"),COUNTIF($K$5:K106,"Fix upstream"),"")</f>
        <v/>
      </c>
      <c r="U106" s="34" t="str">
        <f aca="false">IF(AND(A106&lt;&gt;"",OR(K106="Move to business rules",K106="Merge into certified table")),COUNTIF($K$5:K106,"Move to business rules")+COUNTIF($K$5:K106,"Merge into certified table"),"")</f>
        <v/>
      </c>
      <c r="V106" s="34" t="str">
        <f aca="false">IF(AND(A106&lt;&gt;"",OR(K106="",K106="Undecided",J106="")),SUMPRODUCT(($A$5:A106&lt;&gt;"")*((($K$5:K106="")+($K$5:K106="Undecided")+($J$5:J106=""))&gt;0)),"")</f>
        <v/>
      </c>
    </row>
    <row r="107" customFormat="false" ht="15" hidden="false" customHeight="false" outlineLevel="0" collapsed="false">
      <c r="A107" s="29"/>
      <c r="B107" s="30"/>
      <c r="C107" s="30"/>
      <c r="D107" s="29"/>
      <c r="E107" s="20" t="str">
        <f aca="false">IF(D107="","",IFERROR(INDEX(Tables!$B:$B,MATCH(D107,Tables!$A:$A,0)),"ID not found"))</f>
        <v/>
      </c>
      <c r="F107" s="20" t="str">
        <f aca="false">IF(D107="","",IFERROR(INDEX(Tables!$C:$C,MATCH(D107,Tables!$A:$A,0)),""))</f>
        <v/>
      </c>
      <c r="G107" s="30"/>
      <c r="H107" s="30"/>
      <c r="I107" s="30"/>
      <c r="J107" s="30"/>
      <c r="K107" s="30"/>
      <c r="L107" s="30"/>
      <c r="M107" s="30"/>
      <c r="N107" s="20" t="str">
        <f aca="false">IF(A107="","",COUNTIF('Metric to Field'!$B:$B,A107))</f>
        <v/>
      </c>
      <c r="O107" s="20" t="str">
        <f aca="false">IF(A107="","",SUMIF('Metric to Field'!$B:$B,A107,'Metric to Field'!$F:$F))</f>
        <v/>
      </c>
      <c r="P107" s="30"/>
      <c r="Q107" s="30"/>
      <c r="R107" s="30"/>
      <c r="S107" s="30"/>
      <c r="T107" s="34" t="str">
        <f aca="false">IF(AND(A107&lt;&gt;"",K107="Fix upstream"),COUNTIF($K$5:K107,"Fix upstream"),"")</f>
        <v/>
      </c>
      <c r="U107" s="34" t="str">
        <f aca="false">IF(AND(A107&lt;&gt;"",OR(K107="Move to business rules",K107="Merge into certified table")),COUNTIF($K$5:K107,"Move to business rules")+COUNTIF($K$5:K107,"Merge into certified table"),"")</f>
        <v/>
      </c>
      <c r="V107" s="34" t="str">
        <f aca="false">IF(AND(A107&lt;&gt;"",OR(K107="",K107="Undecided",J107="")),SUMPRODUCT(($A$5:A107&lt;&gt;"")*((($K$5:K107="")+($K$5:K107="Undecided")+($J$5:J107=""))&gt;0)),"")</f>
        <v/>
      </c>
    </row>
    <row r="108" customFormat="false" ht="15" hidden="false" customHeight="false" outlineLevel="0" collapsed="false">
      <c r="A108" s="29"/>
      <c r="B108" s="30"/>
      <c r="C108" s="30"/>
      <c r="D108" s="29"/>
      <c r="E108" s="20" t="str">
        <f aca="false">IF(D108="","",IFERROR(INDEX(Tables!$B:$B,MATCH(D108,Tables!$A:$A,0)),"ID not found"))</f>
        <v/>
      </c>
      <c r="F108" s="20" t="str">
        <f aca="false">IF(D108="","",IFERROR(INDEX(Tables!$C:$C,MATCH(D108,Tables!$A:$A,0)),""))</f>
        <v/>
      </c>
      <c r="G108" s="30"/>
      <c r="H108" s="30"/>
      <c r="I108" s="30"/>
      <c r="J108" s="30"/>
      <c r="K108" s="30"/>
      <c r="L108" s="30"/>
      <c r="M108" s="30"/>
      <c r="N108" s="20" t="str">
        <f aca="false">IF(A108="","",COUNTIF('Metric to Field'!$B:$B,A108))</f>
        <v/>
      </c>
      <c r="O108" s="20" t="str">
        <f aca="false">IF(A108="","",SUMIF('Metric to Field'!$B:$B,A108,'Metric to Field'!$F:$F))</f>
        <v/>
      </c>
      <c r="P108" s="30"/>
      <c r="Q108" s="30"/>
      <c r="R108" s="30"/>
      <c r="S108" s="30"/>
      <c r="T108" s="34" t="str">
        <f aca="false">IF(AND(A108&lt;&gt;"",K108="Fix upstream"),COUNTIF($K$5:K108,"Fix upstream"),"")</f>
        <v/>
      </c>
      <c r="U108" s="34" t="str">
        <f aca="false">IF(AND(A108&lt;&gt;"",OR(K108="Move to business rules",K108="Merge into certified table")),COUNTIF($K$5:K108,"Move to business rules")+COUNTIF($K$5:K108,"Merge into certified table"),"")</f>
        <v/>
      </c>
      <c r="V108" s="34" t="str">
        <f aca="false">IF(AND(A108&lt;&gt;"",OR(K108="",K108="Undecided",J108="")),SUMPRODUCT(($A$5:A108&lt;&gt;"")*((($K$5:K108="")+($K$5:K108="Undecided")+($J$5:J108=""))&gt;0)),"")</f>
        <v/>
      </c>
    </row>
    <row r="109" customFormat="false" ht="15" hidden="false" customHeight="false" outlineLevel="0" collapsed="false">
      <c r="A109" s="29"/>
      <c r="B109" s="30"/>
      <c r="C109" s="30"/>
      <c r="D109" s="29"/>
      <c r="E109" s="20" t="str">
        <f aca="false">IF(D109="","",IFERROR(INDEX(Tables!$B:$B,MATCH(D109,Tables!$A:$A,0)),"ID not found"))</f>
        <v/>
      </c>
      <c r="F109" s="20" t="str">
        <f aca="false">IF(D109="","",IFERROR(INDEX(Tables!$C:$C,MATCH(D109,Tables!$A:$A,0)),""))</f>
        <v/>
      </c>
      <c r="G109" s="30"/>
      <c r="H109" s="30"/>
      <c r="I109" s="30"/>
      <c r="J109" s="30"/>
      <c r="K109" s="30"/>
      <c r="L109" s="30"/>
      <c r="M109" s="30"/>
      <c r="N109" s="20" t="str">
        <f aca="false">IF(A109="","",COUNTIF('Metric to Field'!$B:$B,A109))</f>
        <v/>
      </c>
      <c r="O109" s="20" t="str">
        <f aca="false">IF(A109="","",SUMIF('Metric to Field'!$B:$B,A109,'Metric to Field'!$F:$F))</f>
        <v/>
      </c>
      <c r="P109" s="30"/>
      <c r="Q109" s="30"/>
      <c r="R109" s="30"/>
      <c r="S109" s="30"/>
      <c r="T109" s="34" t="str">
        <f aca="false">IF(AND(A109&lt;&gt;"",K109="Fix upstream"),COUNTIF($K$5:K109,"Fix upstream"),"")</f>
        <v/>
      </c>
      <c r="U109" s="34" t="str">
        <f aca="false">IF(AND(A109&lt;&gt;"",OR(K109="Move to business rules",K109="Merge into certified table")),COUNTIF($K$5:K109,"Move to business rules")+COUNTIF($K$5:K109,"Merge into certified table"),"")</f>
        <v/>
      </c>
      <c r="V109" s="34" t="str">
        <f aca="false">IF(AND(A109&lt;&gt;"",OR(K109="",K109="Undecided",J109="")),SUMPRODUCT(($A$5:A109&lt;&gt;"")*((($K$5:K109="")+($K$5:K109="Undecided")+($J$5:J109=""))&gt;0)),"")</f>
        <v/>
      </c>
    </row>
    <row r="110" customFormat="false" ht="15" hidden="false" customHeight="false" outlineLevel="0" collapsed="false">
      <c r="A110" s="29"/>
      <c r="B110" s="30"/>
      <c r="C110" s="30"/>
      <c r="D110" s="29"/>
      <c r="E110" s="20" t="str">
        <f aca="false">IF(D110="","",IFERROR(INDEX(Tables!$B:$B,MATCH(D110,Tables!$A:$A,0)),"ID not found"))</f>
        <v/>
      </c>
      <c r="F110" s="20" t="str">
        <f aca="false">IF(D110="","",IFERROR(INDEX(Tables!$C:$C,MATCH(D110,Tables!$A:$A,0)),""))</f>
        <v/>
      </c>
      <c r="G110" s="30"/>
      <c r="H110" s="30"/>
      <c r="I110" s="30"/>
      <c r="J110" s="30"/>
      <c r="K110" s="30"/>
      <c r="L110" s="30"/>
      <c r="M110" s="30"/>
      <c r="N110" s="20" t="str">
        <f aca="false">IF(A110="","",COUNTIF('Metric to Field'!$B:$B,A110))</f>
        <v/>
      </c>
      <c r="O110" s="20" t="str">
        <f aca="false">IF(A110="","",SUMIF('Metric to Field'!$B:$B,A110,'Metric to Field'!$F:$F))</f>
        <v/>
      </c>
      <c r="P110" s="30"/>
      <c r="Q110" s="30"/>
      <c r="R110" s="30"/>
      <c r="S110" s="30"/>
      <c r="T110" s="34" t="str">
        <f aca="false">IF(AND(A110&lt;&gt;"",K110="Fix upstream"),COUNTIF($K$5:K110,"Fix upstream"),"")</f>
        <v/>
      </c>
      <c r="U110" s="34" t="str">
        <f aca="false">IF(AND(A110&lt;&gt;"",OR(K110="Move to business rules",K110="Merge into certified table")),COUNTIF($K$5:K110,"Move to business rules")+COUNTIF($K$5:K110,"Merge into certified table"),"")</f>
        <v/>
      </c>
      <c r="V110" s="34" t="str">
        <f aca="false">IF(AND(A110&lt;&gt;"",OR(K110="",K110="Undecided",J110="")),SUMPRODUCT(($A$5:A110&lt;&gt;"")*((($K$5:K110="")+($K$5:K110="Undecided")+($J$5:J110=""))&gt;0)),"")</f>
        <v/>
      </c>
    </row>
    <row r="111" customFormat="false" ht="15" hidden="false" customHeight="false" outlineLevel="0" collapsed="false">
      <c r="A111" s="29"/>
      <c r="B111" s="30"/>
      <c r="C111" s="30"/>
      <c r="D111" s="29"/>
      <c r="E111" s="20" t="str">
        <f aca="false">IF(D111="","",IFERROR(INDEX(Tables!$B:$B,MATCH(D111,Tables!$A:$A,0)),"ID not found"))</f>
        <v/>
      </c>
      <c r="F111" s="20" t="str">
        <f aca="false">IF(D111="","",IFERROR(INDEX(Tables!$C:$C,MATCH(D111,Tables!$A:$A,0)),""))</f>
        <v/>
      </c>
      <c r="G111" s="30"/>
      <c r="H111" s="30"/>
      <c r="I111" s="30"/>
      <c r="J111" s="30"/>
      <c r="K111" s="30"/>
      <c r="L111" s="30"/>
      <c r="M111" s="30"/>
      <c r="N111" s="20" t="str">
        <f aca="false">IF(A111="","",COUNTIF('Metric to Field'!$B:$B,A111))</f>
        <v/>
      </c>
      <c r="O111" s="20" t="str">
        <f aca="false">IF(A111="","",SUMIF('Metric to Field'!$B:$B,A111,'Metric to Field'!$F:$F))</f>
        <v/>
      </c>
      <c r="P111" s="30"/>
      <c r="Q111" s="30"/>
      <c r="R111" s="30"/>
      <c r="S111" s="30"/>
      <c r="T111" s="34" t="str">
        <f aca="false">IF(AND(A111&lt;&gt;"",K111="Fix upstream"),COUNTIF($K$5:K111,"Fix upstream"),"")</f>
        <v/>
      </c>
      <c r="U111" s="34" t="str">
        <f aca="false">IF(AND(A111&lt;&gt;"",OR(K111="Move to business rules",K111="Merge into certified table")),COUNTIF($K$5:K111,"Move to business rules")+COUNTIF($K$5:K111,"Merge into certified table"),"")</f>
        <v/>
      </c>
      <c r="V111" s="34" t="str">
        <f aca="false">IF(AND(A111&lt;&gt;"",OR(K111="",K111="Undecided",J111="")),SUMPRODUCT(($A$5:A111&lt;&gt;"")*((($K$5:K111="")+($K$5:K111="Undecided")+($J$5:J111=""))&gt;0)),"")</f>
        <v/>
      </c>
    </row>
    <row r="112" customFormat="false" ht="15" hidden="false" customHeight="false" outlineLevel="0" collapsed="false">
      <c r="A112" s="29"/>
      <c r="B112" s="30"/>
      <c r="C112" s="30"/>
      <c r="D112" s="29"/>
      <c r="E112" s="20" t="str">
        <f aca="false">IF(D112="","",IFERROR(INDEX(Tables!$B:$B,MATCH(D112,Tables!$A:$A,0)),"ID not found"))</f>
        <v/>
      </c>
      <c r="F112" s="20" t="str">
        <f aca="false">IF(D112="","",IFERROR(INDEX(Tables!$C:$C,MATCH(D112,Tables!$A:$A,0)),""))</f>
        <v/>
      </c>
      <c r="G112" s="30"/>
      <c r="H112" s="30"/>
      <c r="I112" s="30"/>
      <c r="J112" s="30"/>
      <c r="K112" s="30"/>
      <c r="L112" s="30"/>
      <c r="M112" s="30"/>
      <c r="N112" s="20" t="str">
        <f aca="false">IF(A112="","",COUNTIF('Metric to Field'!$B:$B,A112))</f>
        <v/>
      </c>
      <c r="O112" s="20" t="str">
        <f aca="false">IF(A112="","",SUMIF('Metric to Field'!$B:$B,A112,'Metric to Field'!$F:$F))</f>
        <v/>
      </c>
      <c r="P112" s="30"/>
      <c r="Q112" s="30"/>
      <c r="R112" s="30"/>
      <c r="S112" s="30"/>
      <c r="T112" s="34" t="str">
        <f aca="false">IF(AND(A112&lt;&gt;"",K112="Fix upstream"),COUNTIF($K$5:K112,"Fix upstream"),"")</f>
        <v/>
      </c>
      <c r="U112" s="34" t="str">
        <f aca="false">IF(AND(A112&lt;&gt;"",OR(K112="Move to business rules",K112="Merge into certified table")),COUNTIF($K$5:K112,"Move to business rules")+COUNTIF($K$5:K112,"Merge into certified table"),"")</f>
        <v/>
      </c>
      <c r="V112" s="34" t="str">
        <f aca="false">IF(AND(A112&lt;&gt;"",OR(K112="",K112="Undecided",J112="")),SUMPRODUCT(($A$5:A112&lt;&gt;"")*((($K$5:K112="")+($K$5:K112="Undecided")+($J$5:J112=""))&gt;0)),"")</f>
        <v/>
      </c>
    </row>
    <row r="113" customFormat="false" ht="15" hidden="false" customHeight="false" outlineLevel="0" collapsed="false">
      <c r="A113" s="29"/>
      <c r="B113" s="30"/>
      <c r="C113" s="30"/>
      <c r="D113" s="29"/>
      <c r="E113" s="20" t="str">
        <f aca="false">IF(D113="","",IFERROR(INDEX(Tables!$B:$B,MATCH(D113,Tables!$A:$A,0)),"ID not found"))</f>
        <v/>
      </c>
      <c r="F113" s="20" t="str">
        <f aca="false">IF(D113="","",IFERROR(INDEX(Tables!$C:$C,MATCH(D113,Tables!$A:$A,0)),""))</f>
        <v/>
      </c>
      <c r="G113" s="30"/>
      <c r="H113" s="30"/>
      <c r="I113" s="30"/>
      <c r="J113" s="30"/>
      <c r="K113" s="30"/>
      <c r="L113" s="30"/>
      <c r="M113" s="30"/>
      <c r="N113" s="20" t="str">
        <f aca="false">IF(A113="","",COUNTIF('Metric to Field'!$B:$B,A113))</f>
        <v/>
      </c>
      <c r="O113" s="20" t="str">
        <f aca="false">IF(A113="","",SUMIF('Metric to Field'!$B:$B,A113,'Metric to Field'!$F:$F))</f>
        <v/>
      </c>
      <c r="P113" s="30"/>
      <c r="Q113" s="30"/>
      <c r="R113" s="30"/>
      <c r="S113" s="30"/>
      <c r="T113" s="34" t="str">
        <f aca="false">IF(AND(A113&lt;&gt;"",K113="Fix upstream"),COUNTIF($K$5:K113,"Fix upstream"),"")</f>
        <v/>
      </c>
      <c r="U113" s="34" t="str">
        <f aca="false">IF(AND(A113&lt;&gt;"",OR(K113="Move to business rules",K113="Merge into certified table")),COUNTIF($K$5:K113,"Move to business rules")+COUNTIF($K$5:K113,"Merge into certified table"),"")</f>
        <v/>
      </c>
      <c r="V113" s="34" t="str">
        <f aca="false">IF(AND(A113&lt;&gt;"",OR(K113="",K113="Undecided",J113="")),SUMPRODUCT(($A$5:A113&lt;&gt;"")*((($K$5:K113="")+($K$5:K113="Undecided")+($J$5:J113=""))&gt;0)),"")</f>
        <v/>
      </c>
    </row>
    <row r="114" customFormat="false" ht="15" hidden="false" customHeight="false" outlineLevel="0" collapsed="false">
      <c r="A114" s="29"/>
      <c r="B114" s="30"/>
      <c r="C114" s="30"/>
      <c r="D114" s="29"/>
      <c r="E114" s="20" t="str">
        <f aca="false">IF(D114="","",IFERROR(INDEX(Tables!$B:$B,MATCH(D114,Tables!$A:$A,0)),"ID not found"))</f>
        <v/>
      </c>
      <c r="F114" s="20" t="str">
        <f aca="false">IF(D114="","",IFERROR(INDEX(Tables!$C:$C,MATCH(D114,Tables!$A:$A,0)),""))</f>
        <v/>
      </c>
      <c r="G114" s="30"/>
      <c r="H114" s="30"/>
      <c r="I114" s="30"/>
      <c r="J114" s="30"/>
      <c r="K114" s="30"/>
      <c r="L114" s="30"/>
      <c r="M114" s="30"/>
      <c r="N114" s="20" t="str">
        <f aca="false">IF(A114="","",COUNTIF('Metric to Field'!$B:$B,A114))</f>
        <v/>
      </c>
      <c r="O114" s="20" t="str">
        <f aca="false">IF(A114="","",SUMIF('Metric to Field'!$B:$B,A114,'Metric to Field'!$F:$F))</f>
        <v/>
      </c>
      <c r="P114" s="30"/>
      <c r="Q114" s="30"/>
      <c r="R114" s="30"/>
      <c r="S114" s="30"/>
      <c r="T114" s="34" t="str">
        <f aca="false">IF(AND(A114&lt;&gt;"",K114="Fix upstream"),COUNTIF($K$5:K114,"Fix upstream"),"")</f>
        <v/>
      </c>
      <c r="U114" s="34" t="str">
        <f aca="false">IF(AND(A114&lt;&gt;"",OR(K114="Move to business rules",K114="Merge into certified table")),COUNTIF($K$5:K114,"Move to business rules")+COUNTIF($K$5:K114,"Merge into certified table"),"")</f>
        <v/>
      </c>
      <c r="V114" s="34" t="str">
        <f aca="false">IF(AND(A114&lt;&gt;"",OR(K114="",K114="Undecided",J114="")),SUMPRODUCT(($A$5:A114&lt;&gt;"")*((($K$5:K114="")+($K$5:K114="Undecided")+($J$5:J114=""))&gt;0)),"")</f>
        <v/>
      </c>
    </row>
    <row r="115" customFormat="false" ht="15" hidden="false" customHeight="false" outlineLevel="0" collapsed="false">
      <c r="A115" s="29"/>
      <c r="B115" s="30"/>
      <c r="C115" s="30"/>
      <c r="D115" s="29"/>
      <c r="E115" s="20" t="str">
        <f aca="false">IF(D115="","",IFERROR(INDEX(Tables!$B:$B,MATCH(D115,Tables!$A:$A,0)),"ID not found"))</f>
        <v/>
      </c>
      <c r="F115" s="20" t="str">
        <f aca="false">IF(D115="","",IFERROR(INDEX(Tables!$C:$C,MATCH(D115,Tables!$A:$A,0)),""))</f>
        <v/>
      </c>
      <c r="G115" s="30"/>
      <c r="H115" s="30"/>
      <c r="I115" s="30"/>
      <c r="J115" s="30"/>
      <c r="K115" s="30"/>
      <c r="L115" s="30"/>
      <c r="M115" s="30"/>
      <c r="N115" s="20" t="str">
        <f aca="false">IF(A115="","",COUNTIF('Metric to Field'!$B:$B,A115))</f>
        <v/>
      </c>
      <c r="O115" s="20" t="str">
        <f aca="false">IF(A115="","",SUMIF('Metric to Field'!$B:$B,A115,'Metric to Field'!$F:$F))</f>
        <v/>
      </c>
      <c r="P115" s="30"/>
      <c r="Q115" s="30"/>
      <c r="R115" s="30"/>
      <c r="S115" s="30"/>
      <c r="T115" s="34" t="str">
        <f aca="false">IF(AND(A115&lt;&gt;"",K115="Fix upstream"),COUNTIF($K$5:K115,"Fix upstream"),"")</f>
        <v/>
      </c>
      <c r="U115" s="34" t="str">
        <f aca="false">IF(AND(A115&lt;&gt;"",OR(K115="Move to business rules",K115="Merge into certified table")),COUNTIF($K$5:K115,"Move to business rules")+COUNTIF($K$5:K115,"Merge into certified table"),"")</f>
        <v/>
      </c>
      <c r="V115" s="34" t="str">
        <f aca="false">IF(AND(A115&lt;&gt;"",OR(K115="",K115="Undecided",J115="")),SUMPRODUCT(($A$5:A115&lt;&gt;"")*((($K$5:K115="")+($K$5:K115="Undecided")+($J$5:J115=""))&gt;0)),"")</f>
        <v/>
      </c>
    </row>
    <row r="116" customFormat="false" ht="15" hidden="false" customHeight="false" outlineLevel="0" collapsed="false">
      <c r="A116" s="29"/>
      <c r="B116" s="30"/>
      <c r="C116" s="30"/>
      <c r="D116" s="29"/>
      <c r="E116" s="20" t="str">
        <f aca="false">IF(D116="","",IFERROR(INDEX(Tables!$B:$B,MATCH(D116,Tables!$A:$A,0)),"ID not found"))</f>
        <v/>
      </c>
      <c r="F116" s="20" t="str">
        <f aca="false">IF(D116="","",IFERROR(INDEX(Tables!$C:$C,MATCH(D116,Tables!$A:$A,0)),""))</f>
        <v/>
      </c>
      <c r="G116" s="30"/>
      <c r="H116" s="30"/>
      <c r="I116" s="30"/>
      <c r="J116" s="30"/>
      <c r="K116" s="30"/>
      <c r="L116" s="30"/>
      <c r="M116" s="30"/>
      <c r="N116" s="20" t="str">
        <f aca="false">IF(A116="","",COUNTIF('Metric to Field'!$B:$B,A116))</f>
        <v/>
      </c>
      <c r="O116" s="20" t="str">
        <f aca="false">IF(A116="","",SUMIF('Metric to Field'!$B:$B,A116,'Metric to Field'!$F:$F))</f>
        <v/>
      </c>
      <c r="P116" s="30"/>
      <c r="Q116" s="30"/>
      <c r="R116" s="30"/>
      <c r="S116" s="30"/>
      <c r="T116" s="34" t="str">
        <f aca="false">IF(AND(A116&lt;&gt;"",K116="Fix upstream"),COUNTIF($K$5:K116,"Fix upstream"),"")</f>
        <v/>
      </c>
      <c r="U116" s="34" t="str">
        <f aca="false">IF(AND(A116&lt;&gt;"",OR(K116="Move to business rules",K116="Merge into certified table")),COUNTIF($K$5:K116,"Move to business rules")+COUNTIF($K$5:K116,"Merge into certified table"),"")</f>
        <v/>
      </c>
      <c r="V116" s="34" t="str">
        <f aca="false">IF(AND(A116&lt;&gt;"",OR(K116="",K116="Undecided",J116="")),SUMPRODUCT(($A$5:A116&lt;&gt;"")*((($K$5:K116="")+($K$5:K116="Undecided")+($J$5:J116=""))&gt;0)),"")</f>
        <v/>
      </c>
    </row>
    <row r="117" customFormat="false" ht="15" hidden="false" customHeight="false" outlineLevel="0" collapsed="false">
      <c r="A117" s="29"/>
      <c r="B117" s="30"/>
      <c r="C117" s="30"/>
      <c r="D117" s="29"/>
      <c r="E117" s="20" t="str">
        <f aca="false">IF(D117="","",IFERROR(INDEX(Tables!$B:$B,MATCH(D117,Tables!$A:$A,0)),"ID not found"))</f>
        <v/>
      </c>
      <c r="F117" s="20" t="str">
        <f aca="false">IF(D117="","",IFERROR(INDEX(Tables!$C:$C,MATCH(D117,Tables!$A:$A,0)),""))</f>
        <v/>
      </c>
      <c r="G117" s="30"/>
      <c r="H117" s="30"/>
      <c r="I117" s="30"/>
      <c r="J117" s="30"/>
      <c r="K117" s="30"/>
      <c r="L117" s="30"/>
      <c r="M117" s="30"/>
      <c r="N117" s="20" t="str">
        <f aca="false">IF(A117="","",COUNTIF('Metric to Field'!$B:$B,A117))</f>
        <v/>
      </c>
      <c r="O117" s="20" t="str">
        <f aca="false">IF(A117="","",SUMIF('Metric to Field'!$B:$B,A117,'Metric to Field'!$F:$F))</f>
        <v/>
      </c>
      <c r="P117" s="30"/>
      <c r="Q117" s="30"/>
      <c r="R117" s="30"/>
      <c r="S117" s="30"/>
      <c r="T117" s="34" t="str">
        <f aca="false">IF(AND(A117&lt;&gt;"",K117="Fix upstream"),COUNTIF($K$5:K117,"Fix upstream"),"")</f>
        <v/>
      </c>
      <c r="U117" s="34" t="str">
        <f aca="false">IF(AND(A117&lt;&gt;"",OR(K117="Move to business rules",K117="Merge into certified table")),COUNTIF($K$5:K117,"Move to business rules")+COUNTIF($K$5:K117,"Merge into certified table"),"")</f>
        <v/>
      </c>
      <c r="V117" s="34" t="str">
        <f aca="false">IF(AND(A117&lt;&gt;"",OR(K117="",K117="Undecided",J117="")),SUMPRODUCT(($A$5:A117&lt;&gt;"")*((($K$5:K117="")+($K$5:K117="Undecided")+($J$5:J117=""))&gt;0)),"")</f>
        <v/>
      </c>
    </row>
    <row r="118" customFormat="false" ht="15" hidden="false" customHeight="false" outlineLevel="0" collapsed="false">
      <c r="A118" s="29"/>
      <c r="B118" s="30"/>
      <c r="C118" s="30"/>
      <c r="D118" s="29"/>
      <c r="E118" s="20" t="str">
        <f aca="false">IF(D118="","",IFERROR(INDEX(Tables!$B:$B,MATCH(D118,Tables!$A:$A,0)),"ID not found"))</f>
        <v/>
      </c>
      <c r="F118" s="20" t="str">
        <f aca="false">IF(D118="","",IFERROR(INDEX(Tables!$C:$C,MATCH(D118,Tables!$A:$A,0)),""))</f>
        <v/>
      </c>
      <c r="G118" s="30"/>
      <c r="H118" s="30"/>
      <c r="I118" s="30"/>
      <c r="J118" s="30"/>
      <c r="K118" s="30"/>
      <c r="L118" s="30"/>
      <c r="M118" s="30"/>
      <c r="N118" s="20" t="str">
        <f aca="false">IF(A118="","",COUNTIF('Metric to Field'!$B:$B,A118))</f>
        <v/>
      </c>
      <c r="O118" s="20" t="str">
        <f aca="false">IF(A118="","",SUMIF('Metric to Field'!$B:$B,A118,'Metric to Field'!$F:$F))</f>
        <v/>
      </c>
      <c r="P118" s="30"/>
      <c r="Q118" s="30"/>
      <c r="R118" s="30"/>
      <c r="S118" s="30"/>
      <c r="T118" s="34" t="str">
        <f aca="false">IF(AND(A118&lt;&gt;"",K118="Fix upstream"),COUNTIF($K$5:K118,"Fix upstream"),"")</f>
        <v/>
      </c>
      <c r="U118" s="34" t="str">
        <f aca="false">IF(AND(A118&lt;&gt;"",OR(K118="Move to business rules",K118="Merge into certified table")),COUNTIF($K$5:K118,"Move to business rules")+COUNTIF($K$5:K118,"Merge into certified table"),"")</f>
        <v/>
      </c>
      <c r="V118" s="34" t="str">
        <f aca="false">IF(AND(A118&lt;&gt;"",OR(K118="",K118="Undecided",J118="")),SUMPRODUCT(($A$5:A118&lt;&gt;"")*((($K$5:K118="")+($K$5:K118="Undecided")+($J$5:J118=""))&gt;0)),"")</f>
        <v/>
      </c>
    </row>
    <row r="119" customFormat="false" ht="15" hidden="false" customHeight="false" outlineLevel="0" collapsed="false">
      <c r="A119" s="29"/>
      <c r="B119" s="30"/>
      <c r="C119" s="30"/>
      <c r="D119" s="29"/>
      <c r="E119" s="20" t="str">
        <f aca="false">IF(D119="","",IFERROR(INDEX(Tables!$B:$B,MATCH(D119,Tables!$A:$A,0)),"ID not found"))</f>
        <v/>
      </c>
      <c r="F119" s="20" t="str">
        <f aca="false">IF(D119="","",IFERROR(INDEX(Tables!$C:$C,MATCH(D119,Tables!$A:$A,0)),""))</f>
        <v/>
      </c>
      <c r="G119" s="30"/>
      <c r="H119" s="30"/>
      <c r="I119" s="30"/>
      <c r="J119" s="30"/>
      <c r="K119" s="30"/>
      <c r="L119" s="30"/>
      <c r="M119" s="30"/>
      <c r="N119" s="20" t="str">
        <f aca="false">IF(A119="","",COUNTIF('Metric to Field'!$B:$B,A119))</f>
        <v/>
      </c>
      <c r="O119" s="20" t="str">
        <f aca="false">IF(A119="","",SUMIF('Metric to Field'!$B:$B,A119,'Metric to Field'!$F:$F))</f>
        <v/>
      </c>
      <c r="P119" s="30"/>
      <c r="Q119" s="30"/>
      <c r="R119" s="30"/>
      <c r="S119" s="30"/>
      <c r="T119" s="34" t="str">
        <f aca="false">IF(AND(A119&lt;&gt;"",K119="Fix upstream"),COUNTIF($K$5:K119,"Fix upstream"),"")</f>
        <v/>
      </c>
      <c r="U119" s="34" t="str">
        <f aca="false">IF(AND(A119&lt;&gt;"",OR(K119="Move to business rules",K119="Merge into certified table")),COUNTIF($K$5:K119,"Move to business rules")+COUNTIF($K$5:K119,"Merge into certified table"),"")</f>
        <v/>
      </c>
      <c r="V119" s="34" t="str">
        <f aca="false">IF(AND(A119&lt;&gt;"",OR(K119="",K119="Undecided",J119="")),SUMPRODUCT(($A$5:A119&lt;&gt;"")*((($K$5:K119="")+($K$5:K119="Undecided")+($J$5:J119=""))&gt;0)),"")</f>
        <v/>
      </c>
    </row>
    <row r="120" customFormat="false" ht="15" hidden="false" customHeight="false" outlineLevel="0" collapsed="false">
      <c r="A120" s="29"/>
      <c r="B120" s="30"/>
      <c r="C120" s="30"/>
      <c r="D120" s="29"/>
      <c r="E120" s="20" t="str">
        <f aca="false">IF(D120="","",IFERROR(INDEX(Tables!$B:$B,MATCH(D120,Tables!$A:$A,0)),"ID not found"))</f>
        <v/>
      </c>
      <c r="F120" s="20" t="str">
        <f aca="false">IF(D120="","",IFERROR(INDEX(Tables!$C:$C,MATCH(D120,Tables!$A:$A,0)),""))</f>
        <v/>
      </c>
      <c r="G120" s="30"/>
      <c r="H120" s="30"/>
      <c r="I120" s="30"/>
      <c r="J120" s="30"/>
      <c r="K120" s="30"/>
      <c r="L120" s="30"/>
      <c r="M120" s="30"/>
      <c r="N120" s="20" t="str">
        <f aca="false">IF(A120="","",COUNTIF('Metric to Field'!$B:$B,A120))</f>
        <v/>
      </c>
      <c r="O120" s="20" t="str">
        <f aca="false">IF(A120="","",SUMIF('Metric to Field'!$B:$B,A120,'Metric to Field'!$F:$F))</f>
        <v/>
      </c>
      <c r="P120" s="30"/>
      <c r="Q120" s="30"/>
      <c r="R120" s="30"/>
      <c r="S120" s="30"/>
      <c r="T120" s="34" t="str">
        <f aca="false">IF(AND(A120&lt;&gt;"",K120="Fix upstream"),COUNTIF($K$5:K120,"Fix upstream"),"")</f>
        <v/>
      </c>
      <c r="U120" s="34" t="str">
        <f aca="false">IF(AND(A120&lt;&gt;"",OR(K120="Move to business rules",K120="Merge into certified table")),COUNTIF($K$5:K120,"Move to business rules")+COUNTIF($K$5:K120,"Merge into certified table"),"")</f>
        <v/>
      </c>
      <c r="V120" s="34" t="str">
        <f aca="false">IF(AND(A120&lt;&gt;"",OR(K120="",K120="Undecided",J120="")),SUMPRODUCT(($A$5:A120&lt;&gt;"")*((($K$5:K120="")+($K$5:K120="Undecided")+($J$5:J120=""))&gt;0)),"")</f>
        <v/>
      </c>
    </row>
    <row r="121" customFormat="false" ht="15" hidden="false" customHeight="false" outlineLevel="0" collapsed="false">
      <c r="A121" s="29"/>
      <c r="B121" s="30"/>
      <c r="C121" s="30"/>
      <c r="D121" s="29"/>
      <c r="E121" s="20" t="str">
        <f aca="false">IF(D121="","",IFERROR(INDEX(Tables!$B:$B,MATCH(D121,Tables!$A:$A,0)),"ID not found"))</f>
        <v/>
      </c>
      <c r="F121" s="20" t="str">
        <f aca="false">IF(D121="","",IFERROR(INDEX(Tables!$C:$C,MATCH(D121,Tables!$A:$A,0)),""))</f>
        <v/>
      </c>
      <c r="G121" s="30"/>
      <c r="H121" s="30"/>
      <c r="I121" s="30"/>
      <c r="J121" s="30"/>
      <c r="K121" s="30"/>
      <c r="L121" s="30"/>
      <c r="M121" s="30"/>
      <c r="N121" s="20" t="str">
        <f aca="false">IF(A121="","",COUNTIF('Metric to Field'!$B:$B,A121))</f>
        <v/>
      </c>
      <c r="O121" s="20" t="str">
        <f aca="false">IF(A121="","",SUMIF('Metric to Field'!$B:$B,A121,'Metric to Field'!$F:$F))</f>
        <v/>
      </c>
      <c r="P121" s="30"/>
      <c r="Q121" s="30"/>
      <c r="R121" s="30"/>
      <c r="S121" s="30"/>
      <c r="T121" s="34" t="str">
        <f aca="false">IF(AND(A121&lt;&gt;"",K121="Fix upstream"),COUNTIF($K$5:K121,"Fix upstream"),"")</f>
        <v/>
      </c>
      <c r="U121" s="34" t="str">
        <f aca="false">IF(AND(A121&lt;&gt;"",OR(K121="Move to business rules",K121="Merge into certified table")),COUNTIF($K$5:K121,"Move to business rules")+COUNTIF($K$5:K121,"Merge into certified table"),"")</f>
        <v/>
      </c>
      <c r="V121" s="34" t="str">
        <f aca="false">IF(AND(A121&lt;&gt;"",OR(K121="",K121="Undecided",J121="")),SUMPRODUCT(($A$5:A121&lt;&gt;"")*((($K$5:K121="")+($K$5:K121="Undecided")+($J$5:J121=""))&gt;0)),"")</f>
        <v/>
      </c>
    </row>
    <row r="122" customFormat="false" ht="15" hidden="false" customHeight="false" outlineLevel="0" collapsed="false">
      <c r="A122" s="29"/>
      <c r="B122" s="30"/>
      <c r="C122" s="30"/>
      <c r="D122" s="29"/>
      <c r="E122" s="20" t="str">
        <f aca="false">IF(D122="","",IFERROR(INDEX(Tables!$B:$B,MATCH(D122,Tables!$A:$A,0)),"ID not found"))</f>
        <v/>
      </c>
      <c r="F122" s="20" t="str">
        <f aca="false">IF(D122="","",IFERROR(INDEX(Tables!$C:$C,MATCH(D122,Tables!$A:$A,0)),""))</f>
        <v/>
      </c>
      <c r="G122" s="30"/>
      <c r="H122" s="30"/>
      <c r="I122" s="30"/>
      <c r="J122" s="30"/>
      <c r="K122" s="30"/>
      <c r="L122" s="30"/>
      <c r="M122" s="30"/>
      <c r="N122" s="20" t="str">
        <f aca="false">IF(A122="","",COUNTIF('Metric to Field'!$B:$B,A122))</f>
        <v/>
      </c>
      <c r="O122" s="20" t="str">
        <f aca="false">IF(A122="","",SUMIF('Metric to Field'!$B:$B,A122,'Metric to Field'!$F:$F))</f>
        <v/>
      </c>
      <c r="P122" s="30"/>
      <c r="Q122" s="30"/>
      <c r="R122" s="30"/>
      <c r="S122" s="30"/>
      <c r="T122" s="34" t="str">
        <f aca="false">IF(AND(A122&lt;&gt;"",K122="Fix upstream"),COUNTIF($K$5:K122,"Fix upstream"),"")</f>
        <v/>
      </c>
      <c r="U122" s="34" t="str">
        <f aca="false">IF(AND(A122&lt;&gt;"",OR(K122="Move to business rules",K122="Merge into certified table")),COUNTIF($K$5:K122,"Move to business rules")+COUNTIF($K$5:K122,"Merge into certified table"),"")</f>
        <v/>
      </c>
      <c r="V122" s="34" t="str">
        <f aca="false">IF(AND(A122&lt;&gt;"",OR(K122="",K122="Undecided",J122="")),SUMPRODUCT(($A$5:A122&lt;&gt;"")*((($K$5:K122="")+($K$5:K122="Undecided")+($J$5:J122=""))&gt;0)),"")</f>
        <v/>
      </c>
    </row>
    <row r="123" customFormat="false" ht="15" hidden="false" customHeight="false" outlineLevel="0" collapsed="false">
      <c r="A123" s="29"/>
      <c r="B123" s="30"/>
      <c r="C123" s="30"/>
      <c r="D123" s="29"/>
      <c r="E123" s="20" t="str">
        <f aca="false">IF(D123="","",IFERROR(INDEX(Tables!$B:$B,MATCH(D123,Tables!$A:$A,0)),"ID not found"))</f>
        <v/>
      </c>
      <c r="F123" s="20" t="str">
        <f aca="false">IF(D123="","",IFERROR(INDEX(Tables!$C:$C,MATCH(D123,Tables!$A:$A,0)),""))</f>
        <v/>
      </c>
      <c r="G123" s="30"/>
      <c r="H123" s="30"/>
      <c r="I123" s="30"/>
      <c r="J123" s="30"/>
      <c r="K123" s="30"/>
      <c r="L123" s="30"/>
      <c r="M123" s="30"/>
      <c r="N123" s="20" t="str">
        <f aca="false">IF(A123="","",COUNTIF('Metric to Field'!$B:$B,A123))</f>
        <v/>
      </c>
      <c r="O123" s="20" t="str">
        <f aca="false">IF(A123="","",SUMIF('Metric to Field'!$B:$B,A123,'Metric to Field'!$F:$F))</f>
        <v/>
      </c>
      <c r="P123" s="30"/>
      <c r="Q123" s="30"/>
      <c r="R123" s="30"/>
      <c r="S123" s="30"/>
      <c r="T123" s="34" t="str">
        <f aca="false">IF(AND(A123&lt;&gt;"",K123="Fix upstream"),COUNTIF($K$5:K123,"Fix upstream"),"")</f>
        <v/>
      </c>
      <c r="U123" s="34" t="str">
        <f aca="false">IF(AND(A123&lt;&gt;"",OR(K123="Move to business rules",K123="Merge into certified table")),COUNTIF($K$5:K123,"Move to business rules")+COUNTIF($K$5:K123,"Merge into certified table"),"")</f>
        <v/>
      </c>
      <c r="V123" s="34" t="str">
        <f aca="false">IF(AND(A123&lt;&gt;"",OR(K123="",K123="Undecided",J123="")),SUMPRODUCT(($A$5:A123&lt;&gt;"")*((($K$5:K123="")+($K$5:K123="Undecided")+($J$5:J123=""))&gt;0)),"")</f>
        <v/>
      </c>
    </row>
    <row r="124" customFormat="false" ht="15" hidden="false" customHeight="false" outlineLevel="0" collapsed="false">
      <c r="A124" s="29"/>
      <c r="B124" s="30"/>
      <c r="C124" s="30"/>
      <c r="D124" s="29"/>
      <c r="E124" s="20" t="str">
        <f aca="false">IF(D124="","",IFERROR(INDEX(Tables!$B:$B,MATCH(D124,Tables!$A:$A,0)),"ID not found"))</f>
        <v/>
      </c>
      <c r="F124" s="20" t="str">
        <f aca="false">IF(D124="","",IFERROR(INDEX(Tables!$C:$C,MATCH(D124,Tables!$A:$A,0)),""))</f>
        <v/>
      </c>
      <c r="G124" s="30"/>
      <c r="H124" s="30"/>
      <c r="I124" s="30"/>
      <c r="J124" s="30"/>
      <c r="K124" s="30"/>
      <c r="L124" s="30"/>
      <c r="M124" s="30"/>
      <c r="N124" s="20" t="str">
        <f aca="false">IF(A124="","",COUNTIF('Metric to Field'!$B:$B,A124))</f>
        <v/>
      </c>
      <c r="O124" s="20" t="str">
        <f aca="false">IF(A124="","",SUMIF('Metric to Field'!$B:$B,A124,'Metric to Field'!$F:$F))</f>
        <v/>
      </c>
      <c r="P124" s="30"/>
      <c r="Q124" s="30"/>
      <c r="R124" s="30"/>
      <c r="S124" s="30"/>
      <c r="T124" s="34" t="str">
        <f aca="false">IF(AND(A124&lt;&gt;"",K124="Fix upstream"),COUNTIF($K$5:K124,"Fix upstream"),"")</f>
        <v/>
      </c>
      <c r="U124" s="34" t="str">
        <f aca="false">IF(AND(A124&lt;&gt;"",OR(K124="Move to business rules",K124="Merge into certified table")),COUNTIF($K$5:K124,"Move to business rules")+COUNTIF($K$5:K124,"Merge into certified table"),"")</f>
        <v/>
      </c>
      <c r="V124" s="34" t="str">
        <f aca="false">IF(AND(A124&lt;&gt;"",OR(K124="",K124="Undecided",J124="")),SUMPRODUCT(($A$5:A124&lt;&gt;"")*((($K$5:K124="")+($K$5:K124="Undecided")+($J$5:J124=""))&gt;0)),"")</f>
        <v/>
      </c>
    </row>
    <row r="125" customFormat="false" ht="15" hidden="false" customHeight="false" outlineLevel="0" collapsed="false">
      <c r="A125" s="29"/>
      <c r="B125" s="30"/>
      <c r="C125" s="30"/>
      <c r="D125" s="29"/>
      <c r="E125" s="20" t="str">
        <f aca="false">IF(D125="","",IFERROR(INDEX(Tables!$B:$B,MATCH(D125,Tables!$A:$A,0)),"ID not found"))</f>
        <v/>
      </c>
      <c r="F125" s="20" t="str">
        <f aca="false">IF(D125="","",IFERROR(INDEX(Tables!$C:$C,MATCH(D125,Tables!$A:$A,0)),""))</f>
        <v/>
      </c>
      <c r="G125" s="30"/>
      <c r="H125" s="30"/>
      <c r="I125" s="30"/>
      <c r="J125" s="30"/>
      <c r="K125" s="30"/>
      <c r="L125" s="30"/>
      <c r="M125" s="30"/>
      <c r="N125" s="20" t="str">
        <f aca="false">IF(A125="","",COUNTIF('Metric to Field'!$B:$B,A125))</f>
        <v/>
      </c>
      <c r="O125" s="20" t="str">
        <f aca="false">IF(A125="","",SUMIF('Metric to Field'!$B:$B,A125,'Metric to Field'!$F:$F))</f>
        <v/>
      </c>
      <c r="P125" s="30"/>
      <c r="Q125" s="30"/>
      <c r="R125" s="30"/>
      <c r="S125" s="30"/>
      <c r="T125" s="34" t="str">
        <f aca="false">IF(AND(A125&lt;&gt;"",K125="Fix upstream"),COUNTIF($K$5:K125,"Fix upstream"),"")</f>
        <v/>
      </c>
      <c r="U125" s="34" t="str">
        <f aca="false">IF(AND(A125&lt;&gt;"",OR(K125="Move to business rules",K125="Merge into certified table")),COUNTIF($K$5:K125,"Move to business rules")+COUNTIF($K$5:K125,"Merge into certified table"),"")</f>
        <v/>
      </c>
      <c r="V125" s="34" t="str">
        <f aca="false">IF(AND(A125&lt;&gt;"",OR(K125="",K125="Undecided",J125="")),SUMPRODUCT(($A$5:A125&lt;&gt;"")*((($K$5:K125="")+($K$5:K125="Undecided")+($J$5:J125=""))&gt;0)),"")</f>
        <v/>
      </c>
    </row>
    <row r="126" customFormat="false" ht="15" hidden="false" customHeight="false" outlineLevel="0" collapsed="false">
      <c r="A126" s="29"/>
      <c r="B126" s="30"/>
      <c r="C126" s="30"/>
      <c r="D126" s="29"/>
      <c r="E126" s="20" t="str">
        <f aca="false">IF(D126="","",IFERROR(INDEX(Tables!$B:$B,MATCH(D126,Tables!$A:$A,0)),"ID not found"))</f>
        <v/>
      </c>
      <c r="F126" s="20" t="str">
        <f aca="false">IF(D126="","",IFERROR(INDEX(Tables!$C:$C,MATCH(D126,Tables!$A:$A,0)),""))</f>
        <v/>
      </c>
      <c r="G126" s="30"/>
      <c r="H126" s="30"/>
      <c r="I126" s="30"/>
      <c r="J126" s="30"/>
      <c r="K126" s="30"/>
      <c r="L126" s="30"/>
      <c r="M126" s="30"/>
      <c r="N126" s="20" t="str">
        <f aca="false">IF(A126="","",COUNTIF('Metric to Field'!$B:$B,A126))</f>
        <v/>
      </c>
      <c r="O126" s="20" t="str">
        <f aca="false">IF(A126="","",SUMIF('Metric to Field'!$B:$B,A126,'Metric to Field'!$F:$F))</f>
        <v/>
      </c>
      <c r="P126" s="30"/>
      <c r="Q126" s="30"/>
      <c r="R126" s="30"/>
      <c r="S126" s="30"/>
      <c r="T126" s="34" t="str">
        <f aca="false">IF(AND(A126&lt;&gt;"",K126="Fix upstream"),COUNTIF($K$5:K126,"Fix upstream"),"")</f>
        <v/>
      </c>
      <c r="U126" s="34" t="str">
        <f aca="false">IF(AND(A126&lt;&gt;"",OR(K126="Move to business rules",K126="Merge into certified table")),COUNTIF($K$5:K126,"Move to business rules")+COUNTIF($K$5:K126,"Merge into certified table"),"")</f>
        <v/>
      </c>
      <c r="V126" s="34" t="str">
        <f aca="false">IF(AND(A126&lt;&gt;"",OR(K126="",K126="Undecided",J126="")),SUMPRODUCT(($A$5:A126&lt;&gt;"")*((($K$5:K126="")+($K$5:K126="Undecided")+($J$5:J126=""))&gt;0)),"")</f>
        <v/>
      </c>
    </row>
    <row r="127" customFormat="false" ht="15" hidden="false" customHeight="false" outlineLevel="0" collapsed="false">
      <c r="A127" s="29"/>
      <c r="B127" s="30"/>
      <c r="C127" s="30"/>
      <c r="D127" s="29"/>
      <c r="E127" s="20" t="str">
        <f aca="false">IF(D127="","",IFERROR(INDEX(Tables!$B:$B,MATCH(D127,Tables!$A:$A,0)),"ID not found"))</f>
        <v/>
      </c>
      <c r="F127" s="20" t="str">
        <f aca="false">IF(D127="","",IFERROR(INDEX(Tables!$C:$C,MATCH(D127,Tables!$A:$A,0)),""))</f>
        <v/>
      </c>
      <c r="G127" s="30"/>
      <c r="H127" s="30"/>
      <c r="I127" s="30"/>
      <c r="J127" s="30"/>
      <c r="K127" s="30"/>
      <c r="L127" s="30"/>
      <c r="M127" s="30"/>
      <c r="N127" s="20" t="str">
        <f aca="false">IF(A127="","",COUNTIF('Metric to Field'!$B:$B,A127))</f>
        <v/>
      </c>
      <c r="O127" s="20" t="str">
        <f aca="false">IF(A127="","",SUMIF('Metric to Field'!$B:$B,A127,'Metric to Field'!$F:$F))</f>
        <v/>
      </c>
      <c r="P127" s="30"/>
      <c r="Q127" s="30"/>
      <c r="R127" s="30"/>
      <c r="S127" s="30"/>
      <c r="T127" s="34" t="str">
        <f aca="false">IF(AND(A127&lt;&gt;"",K127="Fix upstream"),COUNTIF($K$5:K127,"Fix upstream"),"")</f>
        <v/>
      </c>
      <c r="U127" s="34" t="str">
        <f aca="false">IF(AND(A127&lt;&gt;"",OR(K127="Move to business rules",K127="Merge into certified table")),COUNTIF($K$5:K127,"Move to business rules")+COUNTIF($K$5:K127,"Merge into certified table"),"")</f>
        <v/>
      </c>
      <c r="V127" s="34" t="str">
        <f aca="false">IF(AND(A127&lt;&gt;"",OR(K127="",K127="Undecided",J127="")),SUMPRODUCT(($A$5:A127&lt;&gt;"")*((($K$5:K127="")+($K$5:K127="Undecided")+($J$5:J127=""))&gt;0)),"")</f>
        <v/>
      </c>
    </row>
    <row r="128" customFormat="false" ht="15" hidden="false" customHeight="false" outlineLevel="0" collapsed="false">
      <c r="A128" s="29"/>
      <c r="B128" s="30"/>
      <c r="C128" s="30"/>
      <c r="D128" s="29"/>
      <c r="E128" s="20" t="str">
        <f aca="false">IF(D128="","",IFERROR(INDEX(Tables!$B:$B,MATCH(D128,Tables!$A:$A,0)),"ID not found"))</f>
        <v/>
      </c>
      <c r="F128" s="20" t="str">
        <f aca="false">IF(D128="","",IFERROR(INDEX(Tables!$C:$C,MATCH(D128,Tables!$A:$A,0)),""))</f>
        <v/>
      </c>
      <c r="G128" s="30"/>
      <c r="H128" s="30"/>
      <c r="I128" s="30"/>
      <c r="J128" s="30"/>
      <c r="K128" s="30"/>
      <c r="L128" s="30"/>
      <c r="M128" s="30"/>
      <c r="N128" s="20" t="str">
        <f aca="false">IF(A128="","",COUNTIF('Metric to Field'!$B:$B,A128))</f>
        <v/>
      </c>
      <c r="O128" s="20" t="str">
        <f aca="false">IF(A128="","",SUMIF('Metric to Field'!$B:$B,A128,'Metric to Field'!$F:$F))</f>
        <v/>
      </c>
      <c r="P128" s="30"/>
      <c r="Q128" s="30"/>
      <c r="R128" s="30"/>
      <c r="S128" s="30"/>
      <c r="T128" s="34" t="str">
        <f aca="false">IF(AND(A128&lt;&gt;"",K128="Fix upstream"),COUNTIF($K$5:K128,"Fix upstream"),"")</f>
        <v/>
      </c>
      <c r="U128" s="34" t="str">
        <f aca="false">IF(AND(A128&lt;&gt;"",OR(K128="Move to business rules",K128="Merge into certified table")),COUNTIF($K$5:K128,"Move to business rules")+COUNTIF($K$5:K128,"Merge into certified table"),"")</f>
        <v/>
      </c>
      <c r="V128" s="34" t="str">
        <f aca="false">IF(AND(A128&lt;&gt;"",OR(K128="",K128="Undecided",J128="")),SUMPRODUCT(($A$5:A128&lt;&gt;"")*((($K$5:K128="")+($K$5:K128="Undecided")+($J$5:J128=""))&gt;0)),"")</f>
        <v/>
      </c>
    </row>
    <row r="129" customFormat="false" ht="15" hidden="false" customHeight="false" outlineLevel="0" collapsed="false">
      <c r="A129" s="29"/>
      <c r="B129" s="30"/>
      <c r="C129" s="30"/>
      <c r="D129" s="29"/>
      <c r="E129" s="20" t="str">
        <f aca="false">IF(D129="","",IFERROR(INDEX(Tables!$B:$B,MATCH(D129,Tables!$A:$A,0)),"ID not found"))</f>
        <v/>
      </c>
      <c r="F129" s="20" t="str">
        <f aca="false">IF(D129="","",IFERROR(INDEX(Tables!$C:$C,MATCH(D129,Tables!$A:$A,0)),""))</f>
        <v/>
      </c>
      <c r="G129" s="30"/>
      <c r="H129" s="30"/>
      <c r="I129" s="30"/>
      <c r="J129" s="30"/>
      <c r="K129" s="30"/>
      <c r="L129" s="30"/>
      <c r="M129" s="30"/>
      <c r="N129" s="20" t="str">
        <f aca="false">IF(A129="","",COUNTIF('Metric to Field'!$B:$B,A129))</f>
        <v/>
      </c>
      <c r="O129" s="20" t="str">
        <f aca="false">IF(A129="","",SUMIF('Metric to Field'!$B:$B,A129,'Metric to Field'!$F:$F))</f>
        <v/>
      </c>
      <c r="P129" s="30"/>
      <c r="Q129" s="30"/>
      <c r="R129" s="30"/>
      <c r="S129" s="30"/>
      <c r="T129" s="34" t="str">
        <f aca="false">IF(AND(A129&lt;&gt;"",K129="Fix upstream"),COUNTIF($K$5:K129,"Fix upstream"),"")</f>
        <v/>
      </c>
      <c r="U129" s="34" t="str">
        <f aca="false">IF(AND(A129&lt;&gt;"",OR(K129="Move to business rules",K129="Merge into certified table")),COUNTIF($K$5:K129,"Move to business rules")+COUNTIF($K$5:K129,"Merge into certified table"),"")</f>
        <v/>
      </c>
      <c r="V129" s="34" t="str">
        <f aca="false">IF(AND(A129&lt;&gt;"",OR(K129="",K129="Undecided",J129="")),SUMPRODUCT(($A$5:A129&lt;&gt;"")*((($K$5:K129="")+($K$5:K129="Undecided")+($J$5:J129=""))&gt;0)),"")</f>
        <v/>
      </c>
    </row>
    <row r="130" customFormat="false" ht="15" hidden="false" customHeight="false" outlineLevel="0" collapsed="false">
      <c r="A130" s="29"/>
      <c r="B130" s="30"/>
      <c r="C130" s="30"/>
      <c r="D130" s="29"/>
      <c r="E130" s="20" t="str">
        <f aca="false">IF(D130="","",IFERROR(INDEX(Tables!$B:$B,MATCH(D130,Tables!$A:$A,0)),"ID not found"))</f>
        <v/>
      </c>
      <c r="F130" s="20" t="str">
        <f aca="false">IF(D130="","",IFERROR(INDEX(Tables!$C:$C,MATCH(D130,Tables!$A:$A,0)),""))</f>
        <v/>
      </c>
      <c r="G130" s="30"/>
      <c r="H130" s="30"/>
      <c r="I130" s="30"/>
      <c r="J130" s="30"/>
      <c r="K130" s="30"/>
      <c r="L130" s="30"/>
      <c r="M130" s="30"/>
      <c r="N130" s="20" t="str">
        <f aca="false">IF(A130="","",COUNTIF('Metric to Field'!$B:$B,A130))</f>
        <v/>
      </c>
      <c r="O130" s="20" t="str">
        <f aca="false">IF(A130="","",SUMIF('Metric to Field'!$B:$B,A130,'Metric to Field'!$F:$F))</f>
        <v/>
      </c>
      <c r="P130" s="30"/>
      <c r="Q130" s="30"/>
      <c r="R130" s="30"/>
      <c r="S130" s="30"/>
      <c r="T130" s="34" t="str">
        <f aca="false">IF(AND(A130&lt;&gt;"",K130="Fix upstream"),COUNTIF($K$5:K130,"Fix upstream"),"")</f>
        <v/>
      </c>
      <c r="U130" s="34" t="str">
        <f aca="false">IF(AND(A130&lt;&gt;"",OR(K130="Move to business rules",K130="Merge into certified table")),COUNTIF($K$5:K130,"Move to business rules")+COUNTIF($K$5:K130,"Merge into certified table"),"")</f>
        <v/>
      </c>
      <c r="V130" s="34" t="str">
        <f aca="false">IF(AND(A130&lt;&gt;"",OR(K130="",K130="Undecided",J130="")),SUMPRODUCT(($A$5:A130&lt;&gt;"")*((($K$5:K130="")+($K$5:K130="Undecided")+($J$5:J130=""))&gt;0)),"")</f>
        <v/>
      </c>
    </row>
    <row r="131" customFormat="false" ht="15" hidden="false" customHeight="false" outlineLevel="0" collapsed="false">
      <c r="A131" s="29"/>
      <c r="B131" s="30"/>
      <c r="C131" s="30"/>
      <c r="D131" s="29"/>
      <c r="E131" s="20" t="str">
        <f aca="false">IF(D131="","",IFERROR(INDEX(Tables!$B:$B,MATCH(D131,Tables!$A:$A,0)),"ID not found"))</f>
        <v/>
      </c>
      <c r="F131" s="20" t="str">
        <f aca="false">IF(D131="","",IFERROR(INDEX(Tables!$C:$C,MATCH(D131,Tables!$A:$A,0)),""))</f>
        <v/>
      </c>
      <c r="G131" s="30"/>
      <c r="H131" s="30"/>
      <c r="I131" s="30"/>
      <c r="J131" s="30"/>
      <c r="K131" s="30"/>
      <c r="L131" s="30"/>
      <c r="M131" s="30"/>
      <c r="N131" s="20" t="str">
        <f aca="false">IF(A131="","",COUNTIF('Metric to Field'!$B:$B,A131))</f>
        <v/>
      </c>
      <c r="O131" s="20" t="str">
        <f aca="false">IF(A131="","",SUMIF('Metric to Field'!$B:$B,A131,'Metric to Field'!$F:$F))</f>
        <v/>
      </c>
      <c r="P131" s="30"/>
      <c r="Q131" s="30"/>
      <c r="R131" s="30"/>
      <c r="S131" s="30"/>
      <c r="T131" s="34" t="str">
        <f aca="false">IF(AND(A131&lt;&gt;"",K131="Fix upstream"),COUNTIF($K$5:K131,"Fix upstream"),"")</f>
        <v/>
      </c>
      <c r="U131" s="34" t="str">
        <f aca="false">IF(AND(A131&lt;&gt;"",OR(K131="Move to business rules",K131="Merge into certified table")),COUNTIF($K$5:K131,"Move to business rules")+COUNTIF($K$5:K131,"Merge into certified table"),"")</f>
        <v/>
      </c>
      <c r="V131" s="34" t="str">
        <f aca="false">IF(AND(A131&lt;&gt;"",OR(K131="",K131="Undecided",J131="")),SUMPRODUCT(($A$5:A131&lt;&gt;"")*((($K$5:K131="")+($K$5:K131="Undecided")+($J$5:J131=""))&gt;0)),"")</f>
        <v/>
      </c>
    </row>
    <row r="132" customFormat="false" ht="15" hidden="false" customHeight="false" outlineLevel="0" collapsed="false">
      <c r="A132" s="29"/>
      <c r="B132" s="30"/>
      <c r="C132" s="30"/>
      <c r="D132" s="29"/>
      <c r="E132" s="20" t="str">
        <f aca="false">IF(D132="","",IFERROR(INDEX(Tables!$B:$B,MATCH(D132,Tables!$A:$A,0)),"ID not found"))</f>
        <v/>
      </c>
      <c r="F132" s="20" t="str">
        <f aca="false">IF(D132="","",IFERROR(INDEX(Tables!$C:$C,MATCH(D132,Tables!$A:$A,0)),""))</f>
        <v/>
      </c>
      <c r="G132" s="30"/>
      <c r="H132" s="30"/>
      <c r="I132" s="30"/>
      <c r="J132" s="30"/>
      <c r="K132" s="30"/>
      <c r="L132" s="30"/>
      <c r="M132" s="30"/>
      <c r="N132" s="20" t="str">
        <f aca="false">IF(A132="","",COUNTIF('Metric to Field'!$B:$B,A132))</f>
        <v/>
      </c>
      <c r="O132" s="20" t="str">
        <f aca="false">IF(A132="","",SUMIF('Metric to Field'!$B:$B,A132,'Metric to Field'!$F:$F))</f>
        <v/>
      </c>
      <c r="P132" s="30"/>
      <c r="Q132" s="30"/>
      <c r="R132" s="30"/>
      <c r="S132" s="30"/>
      <c r="T132" s="34" t="str">
        <f aca="false">IF(AND(A132&lt;&gt;"",K132="Fix upstream"),COUNTIF($K$5:K132,"Fix upstream"),"")</f>
        <v/>
      </c>
      <c r="U132" s="34" t="str">
        <f aca="false">IF(AND(A132&lt;&gt;"",OR(K132="Move to business rules",K132="Merge into certified table")),COUNTIF($K$5:K132,"Move to business rules")+COUNTIF($K$5:K132,"Merge into certified table"),"")</f>
        <v/>
      </c>
      <c r="V132" s="34" t="str">
        <f aca="false">IF(AND(A132&lt;&gt;"",OR(K132="",K132="Undecided",J132="")),SUMPRODUCT(($A$5:A132&lt;&gt;"")*((($K$5:K132="")+($K$5:K132="Undecided")+($J$5:J132=""))&gt;0)),"")</f>
        <v/>
      </c>
    </row>
    <row r="133" customFormat="false" ht="15" hidden="false" customHeight="false" outlineLevel="0" collapsed="false">
      <c r="A133" s="29"/>
      <c r="B133" s="30"/>
      <c r="C133" s="30"/>
      <c r="D133" s="29"/>
      <c r="E133" s="20" t="str">
        <f aca="false">IF(D133="","",IFERROR(INDEX(Tables!$B:$B,MATCH(D133,Tables!$A:$A,0)),"ID not found"))</f>
        <v/>
      </c>
      <c r="F133" s="20" t="str">
        <f aca="false">IF(D133="","",IFERROR(INDEX(Tables!$C:$C,MATCH(D133,Tables!$A:$A,0)),""))</f>
        <v/>
      </c>
      <c r="G133" s="30"/>
      <c r="H133" s="30"/>
      <c r="I133" s="30"/>
      <c r="J133" s="30"/>
      <c r="K133" s="30"/>
      <c r="L133" s="30"/>
      <c r="M133" s="30"/>
      <c r="N133" s="20" t="str">
        <f aca="false">IF(A133="","",COUNTIF('Metric to Field'!$B:$B,A133))</f>
        <v/>
      </c>
      <c r="O133" s="20" t="str">
        <f aca="false">IF(A133="","",SUMIF('Metric to Field'!$B:$B,A133,'Metric to Field'!$F:$F))</f>
        <v/>
      </c>
      <c r="P133" s="30"/>
      <c r="Q133" s="30"/>
      <c r="R133" s="30"/>
      <c r="S133" s="30"/>
      <c r="T133" s="34" t="str">
        <f aca="false">IF(AND(A133&lt;&gt;"",K133="Fix upstream"),COUNTIF($K$5:K133,"Fix upstream"),"")</f>
        <v/>
      </c>
      <c r="U133" s="34" t="str">
        <f aca="false">IF(AND(A133&lt;&gt;"",OR(K133="Move to business rules",K133="Merge into certified table")),COUNTIF($K$5:K133,"Move to business rules")+COUNTIF($K$5:K133,"Merge into certified table"),"")</f>
        <v/>
      </c>
      <c r="V133" s="34" t="str">
        <f aca="false">IF(AND(A133&lt;&gt;"",OR(K133="",K133="Undecided",J133="")),SUMPRODUCT(($A$5:A133&lt;&gt;"")*((($K$5:K133="")+($K$5:K133="Undecided")+($J$5:J133=""))&gt;0)),"")</f>
        <v/>
      </c>
    </row>
    <row r="134" customFormat="false" ht="15" hidden="false" customHeight="false" outlineLevel="0" collapsed="false">
      <c r="A134" s="29"/>
      <c r="B134" s="30"/>
      <c r="C134" s="30"/>
      <c r="D134" s="29"/>
      <c r="E134" s="20" t="str">
        <f aca="false">IF(D134="","",IFERROR(INDEX(Tables!$B:$B,MATCH(D134,Tables!$A:$A,0)),"ID not found"))</f>
        <v/>
      </c>
      <c r="F134" s="20" t="str">
        <f aca="false">IF(D134="","",IFERROR(INDEX(Tables!$C:$C,MATCH(D134,Tables!$A:$A,0)),""))</f>
        <v/>
      </c>
      <c r="G134" s="30"/>
      <c r="H134" s="30"/>
      <c r="I134" s="30"/>
      <c r="J134" s="30"/>
      <c r="K134" s="30"/>
      <c r="L134" s="30"/>
      <c r="M134" s="30"/>
      <c r="N134" s="20" t="str">
        <f aca="false">IF(A134="","",COUNTIF('Metric to Field'!$B:$B,A134))</f>
        <v/>
      </c>
      <c r="O134" s="20" t="str">
        <f aca="false">IF(A134="","",SUMIF('Metric to Field'!$B:$B,A134,'Metric to Field'!$F:$F))</f>
        <v/>
      </c>
      <c r="P134" s="30"/>
      <c r="Q134" s="30"/>
      <c r="R134" s="30"/>
      <c r="S134" s="30"/>
      <c r="T134" s="34" t="str">
        <f aca="false">IF(AND(A134&lt;&gt;"",K134="Fix upstream"),COUNTIF($K$5:K134,"Fix upstream"),"")</f>
        <v/>
      </c>
      <c r="U134" s="34" t="str">
        <f aca="false">IF(AND(A134&lt;&gt;"",OR(K134="Move to business rules",K134="Merge into certified table")),COUNTIF($K$5:K134,"Move to business rules")+COUNTIF($K$5:K134,"Merge into certified table"),"")</f>
        <v/>
      </c>
      <c r="V134" s="34" t="str">
        <f aca="false">IF(AND(A134&lt;&gt;"",OR(K134="",K134="Undecided",J134="")),SUMPRODUCT(($A$5:A134&lt;&gt;"")*((($K$5:K134="")+($K$5:K134="Undecided")+($J$5:J134=""))&gt;0)),"")</f>
        <v/>
      </c>
    </row>
    <row r="135" customFormat="false" ht="15" hidden="false" customHeight="false" outlineLevel="0" collapsed="false">
      <c r="A135" s="29"/>
      <c r="B135" s="30"/>
      <c r="C135" s="30"/>
      <c r="D135" s="29"/>
      <c r="E135" s="20" t="str">
        <f aca="false">IF(D135="","",IFERROR(INDEX(Tables!$B:$B,MATCH(D135,Tables!$A:$A,0)),"ID not found"))</f>
        <v/>
      </c>
      <c r="F135" s="20" t="str">
        <f aca="false">IF(D135="","",IFERROR(INDEX(Tables!$C:$C,MATCH(D135,Tables!$A:$A,0)),""))</f>
        <v/>
      </c>
      <c r="G135" s="30"/>
      <c r="H135" s="30"/>
      <c r="I135" s="30"/>
      <c r="J135" s="30"/>
      <c r="K135" s="30"/>
      <c r="L135" s="30"/>
      <c r="M135" s="30"/>
      <c r="N135" s="20" t="str">
        <f aca="false">IF(A135="","",COUNTIF('Metric to Field'!$B:$B,A135))</f>
        <v/>
      </c>
      <c r="O135" s="20" t="str">
        <f aca="false">IF(A135="","",SUMIF('Metric to Field'!$B:$B,A135,'Metric to Field'!$F:$F))</f>
        <v/>
      </c>
      <c r="P135" s="30"/>
      <c r="Q135" s="30"/>
      <c r="R135" s="30"/>
      <c r="S135" s="30"/>
      <c r="T135" s="34" t="str">
        <f aca="false">IF(AND(A135&lt;&gt;"",K135="Fix upstream"),COUNTIF($K$5:K135,"Fix upstream"),"")</f>
        <v/>
      </c>
      <c r="U135" s="34" t="str">
        <f aca="false">IF(AND(A135&lt;&gt;"",OR(K135="Move to business rules",K135="Merge into certified table")),COUNTIF($K$5:K135,"Move to business rules")+COUNTIF($K$5:K135,"Merge into certified table"),"")</f>
        <v/>
      </c>
      <c r="V135" s="34" t="str">
        <f aca="false">IF(AND(A135&lt;&gt;"",OR(K135="",K135="Undecided",J135="")),SUMPRODUCT(($A$5:A135&lt;&gt;"")*((($K$5:K135="")+($K$5:K135="Undecided")+($J$5:J135=""))&gt;0)),"")</f>
        <v/>
      </c>
    </row>
    <row r="136" customFormat="false" ht="15" hidden="false" customHeight="false" outlineLevel="0" collapsed="false">
      <c r="A136" s="29"/>
      <c r="B136" s="30"/>
      <c r="C136" s="30"/>
      <c r="D136" s="29"/>
      <c r="E136" s="20" t="str">
        <f aca="false">IF(D136="","",IFERROR(INDEX(Tables!$B:$B,MATCH(D136,Tables!$A:$A,0)),"ID not found"))</f>
        <v/>
      </c>
      <c r="F136" s="20" t="str">
        <f aca="false">IF(D136="","",IFERROR(INDEX(Tables!$C:$C,MATCH(D136,Tables!$A:$A,0)),""))</f>
        <v/>
      </c>
      <c r="G136" s="30"/>
      <c r="H136" s="30"/>
      <c r="I136" s="30"/>
      <c r="J136" s="30"/>
      <c r="K136" s="30"/>
      <c r="L136" s="30"/>
      <c r="M136" s="30"/>
      <c r="N136" s="20" t="str">
        <f aca="false">IF(A136="","",COUNTIF('Metric to Field'!$B:$B,A136))</f>
        <v/>
      </c>
      <c r="O136" s="20" t="str">
        <f aca="false">IF(A136="","",SUMIF('Metric to Field'!$B:$B,A136,'Metric to Field'!$F:$F))</f>
        <v/>
      </c>
      <c r="P136" s="30"/>
      <c r="Q136" s="30"/>
      <c r="R136" s="30"/>
      <c r="S136" s="30"/>
      <c r="T136" s="34" t="str">
        <f aca="false">IF(AND(A136&lt;&gt;"",K136="Fix upstream"),COUNTIF($K$5:K136,"Fix upstream"),"")</f>
        <v/>
      </c>
      <c r="U136" s="34" t="str">
        <f aca="false">IF(AND(A136&lt;&gt;"",OR(K136="Move to business rules",K136="Merge into certified table")),COUNTIF($K$5:K136,"Move to business rules")+COUNTIF($K$5:K136,"Merge into certified table"),"")</f>
        <v/>
      </c>
      <c r="V136" s="34" t="str">
        <f aca="false">IF(AND(A136&lt;&gt;"",OR(K136="",K136="Undecided",J136="")),SUMPRODUCT(($A$5:A136&lt;&gt;"")*((($K$5:K136="")+($K$5:K136="Undecided")+($J$5:J136=""))&gt;0)),"")</f>
        <v/>
      </c>
    </row>
    <row r="137" customFormat="false" ht="15" hidden="false" customHeight="false" outlineLevel="0" collapsed="false">
      <c r="A137" s="29"/>
      <c r="B137" s="30"/>
      <c r="C137" s="30"/>
      <c r="D137" s="29"/>
      <c r="E137" s="20" t="str">
        <f aca="false">IF(D137="","",IFERROR(INDEX(Tables!$B:$B,MATCH(D137,Tables!$A:$A,0)),"ID not found"))</f>
        <v/>
      </c>
      <c r="F137" s="20" t="str">
        <f aca="false">IF(D137="","",IFERROR(INDEX(Tables!$C:$C,MATCH(D137,Tables!$A:$A,0)),""))</f>
        <v/>
      </c>
      <c r="G137" s="30"/>
      <c r="H137" s="30"/>
      <c r="I137" s="30"/>
      <c r="J137" s="30"/>
      <c r="K137" s="30"/>
      <c r="L137" s="30"/>
      <c r="M137" s="30"/>
      <c r="N137" s="20" t="str">
        <f aca="false">IF(A137="","",COUNTIF('Metric to Field'!$B:$B,A137))</f>
        <v/>
      </c>
      <c r="O137" s="20" t="str">
        <f aca="false">IF(A137="","",SUMIF('Metric to Field'!$B:$B,A137,'Metric to Field'!$F:$F))</f>
        <v/>
      </c>
      <c r="P137" s="30"/>
      <c r="Q137" s="30"/>
      <c r="R137" s="30"/>
      <c r="S137" s="30"/>
      <c r="T137" s="34" t="str">
        <f aca="false">IF(AND(A137&lt;&gt;"",K137="Fix upstream"),COUNTIF($K$5:K137,"Fix upstream"),"")</f>
        <v/>
      </c>
      <c r="U137" s="34" t="str">
        <f aca="false">IF(AND(A137&lt;&gt;"",OR(K137="Move to business rules",K137="Merge into certified table")),COUNTIF($K$5:K137,"Move to business rules")+COUNTIF($K$5:K137,"Merge into certified table"),"")</f>
        <v/>
      </c>
      <c r="V137" s="34" t="str">
        <f aca="false">IF(AND(A137&lt;&gt;"",OR(K137="",K137="Undecided",J137="")),SUMPRODUCT(($A$5:A137&lt;&gt;"")*((($K$5:K137="")+($K$5:K137="Undecided")+($J$5:J137=""))&gt;0)),"")</f>
        <v/>
      </c>
    </row>
    <row r="138" customFormat="false" ht="15" hidden="false" customHeight="false" outlineLevel="0" collapsed="false">
      <c r="A138" s="29"/>
      <c r="B138" s="30"/>
      <c r="C138" s="30"/>
      <c r="D138" s="29"/>
      <c r="E138" s="20" t="str">
        <f aca="false">IF(D138="","",IFERROR(INDEX(Tables!$B:$B,MATCH(D138,Tables!$A:$A,0)),"ID not found"))</f>
        <v/>
      </c>
      <c r="F138" s="20" t="str">
        <f aca="false">IF(D138="","",IFERROR(INDEX(Tables!$C:$C,MATCH(D138,Tables!$A:$A,0)),""))</f>
        <v/>
      </c>
      <c r="G138" s="30"/>
      <c r="H138" s="30"/>
      <c r="I138" s="30"/>
      <c r="J138" s="30"/>
      <c r="K138" s="30"/>
      <c r="L138" s="30"/>
      <c r="M138" s="30"/>
      <c r="N138" s="20" t="str">
        <f aca="false">IF(A138="","",COUNTIF('Metric to Field'!$B:$B,A138))</f>
        <v/>
      </c>
      <c r="O138" s="20" t="str">
        <f aca="false">IF(A138="","",SUMIF('Metric to Field'!$B:$B,A138,'Metric to Field'!$F:$F))</f>
        <v/>
      </c>
      <c r="P138" s="30"/>
      <c r="Q138" s="30"/>
      <c r="R138" s="30"/>
      <c r="S138" s="30"/>
      <c r="T138" s="34" t="str">
        <f aca="false">IF(AND(A138&lt;&gt;"",K138="Fix upstream"),COUNTIF($K$5:K138,"Fix upstream"),"")</f>
        <v/>
      </c>
      <c r="U138" s="34" t="str">
        <f aca="false">IF(AND(A138&lt;&gt;"",OR(K138="Move to business rules",K138="Merge into certified table")),COUNTIF($K$5:K138,"Move to business rules")+COUNTIF($K$5:K138,"Merge into certified table"),"")</f>
        <v/>
      </c>
      <c r="V138" s="34" t="str">
        <f aca="false">IF(AND(A138&lt;&gt;"",OR(K138="",K138="Undecided",J138="")),SUMPRODUCT(($A$5:A138&lt;&gt;"")*((($K$5:K138="")+($K$5:K138="Undecided")+($J$5:J138=""))&gt;0)),"")</f>
        <v/>
      </c>
    </row>
    <row r="139" customFormat="false" ht="15" hidden="false" customHeight="false" outlineLevel="0" collapsed="false">
      <c r="A139" s="29"/>
      <c r="B139" s="30"/>
      <c r="C139" s="30"/>
      <c r="D139" s="29"/>
      <c r="E139" s="20" t="str">
        <f aca="false">IF(D139="","",IFERROR(INDEX(Tables!$B:$B,MATCH(D139,Tables!$A:$A,0)),"ID not found"))</f>
        <v/>
      </c>
      <c r="F139" s="20" t="str">
        <f aca="false">IF(D139="","",IFERROR(INDEX(Tables!$C:$C,MATCH(D139,Tables!$A:$A,0)),""))</f>
        <v/>
      </c>
      <c r="G139" s="30"/>
      <c r="H139" s="30"/>
      <c r="I139" s="30"/>
      <c r="J139" s="30"/>
      <c r="K139" s="30"/>
      <c r="L139" s="30"/>
      <c r="M139" s="30"/>
      <c r="N139" s="20" t="str">
        <f aca="false">IF(A139="","",COUNTIF('Metric to Field'!$B:$B,A139))</f>
        <v/>
      </c>
      <c r="O139" s="20" t="str">
        <f aca="false">IF(A139="","",SUMIF('Metric to Field'!$B:$B,A139,'Metric to Field'!$F:$F))</f>
        <v/>
      </c>
      <c r="P139" s="30"/>
      <c r="Q139" s="30"/>
      <c r="R139" s="30"/>
      <c r="S139" s="30"/>
      <c r="T139" s="34" t="str">
        <f aca="false">IF(AND(A139&lt;&gt;"",K139="Fix upstream"),COUNTIF($K$5:K139,"Fix upstream"),"")</f>
        <v/>
      </c>
      <c r="U139" s="34" t="str">
        <f aca="false">IF(AND(A139&lt;&gt;"",OR(K139="Move to business rules",K139="Merge into certified table")),COUNTIF($K$5:K139,"Move to business rules")+COUNTIF($K$5:K139,"Merge into certified table"),"")</f>
        <v/>
      </c>
      <c r="V139" s="34" t="str">
        <f aca="false">IF(AND(A139&lt;&gt;"",OR(K139="",K139="Undecided",J139="")),SUMPRODUCT(($A$5:A139&lt;&gt;"")*((($K$5:K139="")+($K$5:K139="Undecided")+($J$5:J139=""))&gt;0)),"")</f>
        <v/>
      </c>
    </row>
    <row r="140" customFormat="false" ht="15" hidden="false" customHeight="false" outlineLevel="0" collapsed="false">
      <c r="A140" s="29"/>
      <c r="B140" s="30"/>
      <c r="C140" s="30"/>
      <c r="D140" s="29"/>
      <c r="E140" s="20" t="str">
        <f aca="false">IF(D140="","",IFERROR(INDEX(Tables!$B:$B,MATCH(D140,Tables!$A:$A,0)),"ID not found"))</f>
        <v/>
      </c>
      <c r="F140" s="20" t="str">
        <f aca="false">IF(D140="","",IFERROR(INDEX(Tables!$C:$C,MATCH(D140,Tables!$A:$A,0)),""))</f>
        <v/>
      </c>
      <c r="G140" s="30"/>
      <c r="H140" s="30"/>
      <c r="I140" s="30"/>
      <c r="J140" s="30"/>
      <c r="K140" s="30"/>
      <c r="L140" s="30"/>
      <c r="M140" s="30"/>
      <c r="N140" s="20" t="str">
        <f aca="false">IF(A140="","",COUNTIF('Metric to Field'!$B:$B,A140))</f>
        <v/>
      </c>
      <c r="O140" s="20" t="str">
        <f aca="false">IF(A140="","",SUMIF('Metric to Field'!$B:$B,A140,'Metric to Field'!$F:$F))</f>
        <v/>
      </c>
      <c r="P140" s="30"/>
      <c r="Q140" s="30"/>
      <c r="R140" s="30"/>
      <c r="S140" s="30"/>
      <c r="T140" s="34" t="str">
        <f aca="false">IF(AND(A140&lt;&gt;"",K140="Fix upstream"),COUNTIF($K$5:K140,"Fix upstream"),"")</f>
        <v/>
      </c>
      <c r="U140" s="34" t="str">
        <f aca="false">IF(AND(A140&lt;&gt;"",OR(K140="Move to business rules",K140="Merge into certified table")),COUNTIF($K$5:K140,"Move to business rules")+COUNTIF($K$5:K140,"Merge into certified table"),"")</f>
        <v/>
      </c>
      <c r="V140" s="34" t="str">
        <f aca="false">IF(AND(A140&lt;&gt;"",OR(K140="",K140="Undecided",J140="")),SUMPRODUCT(($A$5:A140&lt;&gt;"")*((($K$5:K140="")+($K$5:K140="Undecided")+($J$5:J140=""))&gt;0)),"")</f>
        <v/>
      </c>
    </row>
    <row r="141" customFormat="false" ht="15" hidden="false" customHeight="false" outlineLevel="0" collapsed="false">
      <c r="A141" s="29"/>
      <c r="B141" s="30"/>
      <c r="C141" s="30"/>
      <c r="D141" s="29"/>
      <c r="E141" s="20" t="str">
        <f aca="false">IF(D141="","",IFERROR(INDEX(Tables!$B:$B,MATCH(D141,Tables!$A:$A,0)),"ID not found"))</f>
        <v/>
      </c>
      <c r="F141" s="20" t="str">
        <f aca="false">IF(D141="","",IFERROR(INDEX(Tables!$C:$C,MATCH(D141,Tables!$A:$A,0)),""))</f>
        <v/>
      </c>
      <c r="G141" s="30"/>
      <c r="H141" s="30"/>
      <c r="I141" s="30"/>
      <c r="J141" s="30"/>
      <c r="K141" s="30"/>
      <c r="L141" s="30"/>
      <c r="M141" s="30"/>
      <c r="N141" s="20" t="str">
        <f aca="false">IF(A141="","",COUNTIF('Metric to Field'!$B:$B,A141))</f>
        <v/>
      </c>
      <c r="O141" s="20" t="str">
        <f aca="false">IF(A141="","",SUMIF('Metric to Field'!$B:$B,A141,'Metric to Field'!$F:$F))</f>
        <v/>
      </c>
      <c r="P141" s="30"/>
      <c r="Q141" s="30"/>
      <c r="R141" s="30"/>
      <c r="S141" s="30"/>
      <c r="T141" s="34" t="str">
        <f aca="false">IF(AND(A141&lt;&gt;"",K141="Fix upstream"),COUNTIF($K$5:K141,"Fix upstream"),"")</f>
        <v/>
      </c>
      <c r="U141" s="34" t="str">
        <f aca="false">IF(AND(A141&lt;&gt;"",OR(K141="Move to business rules",K141="Merge into certified table")),COUNTIF($K$5:K141,"Move to business rules")+COUNTIF($K$5:K141,"Merge into certified table"),"")</f>
        <v/>
      </c>
      <c r="V141" s="34" t="str">
        <f aca="false">IF(AND(A141&lt;&gt;"",OR(K141="",K141="Undecided",J141="")),SUMPRODUCT(($A$5:A141&lt;&gt;"")*((($K$5:K141="")+($K$5:K141="Undecided")+($J$5:J141=""))&gt;0)),"")</f>
        <v/>
      </c>
    </row>
    <row r="142" customFormat="false" ht="15" hidden="false" customHeight="false" outlineLevel="0" collapsed="false">
      <c r="A142" s="29"/>
      <c r="B142" s="30"/>
      <c r="C142" s="30"/>
      <c r="D142" s="29"/>
      <c r="E142" s="20" t="str">
        <f aca="false">IF(D142="","",IFERROR(INDEX(Tables!$B:$B,MATCH(D142,Tables!$A:$A,0)),"ID not found"))</f>
        <v/>
      </c>
      <c r="F142" s="20" t="str">
        <f aca="false">IF(D142="","",IFERROR(INDEX(Tables!$C:$C,MATCH(D142,Tables!$A:$A,0)),""))</f>
        <v/>
      </c>
      <c r="G142" s="30"/>
      <c r="H142" s="30"/>
      <c r="I142" s="30"/>
      <c r="J142" s="30"/>
      <c r="K142" s="30"/>
      <c r="L142" s="30"/>
      <c r="M142" s="30"/>
      <c r="N142" s="20" t="str">
        <f aca="false">IF(A142="","",COUNTIF('Metric to Field'!$B:$B,A142))</f>
        <v/>
      </c>
      <c r="O142" s="20" t="str">
        <f aca="false">IF(A142="","",SUMIF('Metric to Field'!$B:$B,A142,'Metric to Field'!$F:$F))</f>
        <v/>
      </c>
      <c r="P142" s="30"/>
      <c r="Q142" s="30"/>
      <c r="R142" s="30"/>
      <c r="S142" s="30"/>
      <c r="T142" s="34" t="str">
        <f aca="false">IF(AND(A142&lt;&gt;"",K142="Fix upstream"),COUNTIF($K$5:K142,"Fix upstream"),"")</f>
        <v/>
      </c>
      <c r="U142" s="34" t="str">
        <f aca="false">IF(AND(A142&lt;&gt;"",OR(K142="Move to business rules",K142="Merge into certified table")),COUNTIF($K$5:K142,"Move to business rules")+COUNTIF($K$5:K142,"Merge into certified table"),"")</f>
        <v/>
      </c>
      <c r="V142" s="34" t="str">
        <f aca="false">IF(AND(A142&lt;&gt;"",OR(K142="",K142="Undecided",J142="")),SUMPRODUCT(($A$5:A142&lt;&gt;"")*((($K$5:K142="")+($K$5:K142="Undecided")+($J$5:J142=""))&gt;0)),"")</f>
        <v/>
      </c>
    </row>
    <row r="143" customFormat="false" ht="15" hidden="false" customHeight="false" outlineLevel="0" collapsed="false">
      <c r="A143" s="29"/>
      <c r="B143" s="30"/>
      <c r="C143" s="30"/>
      <c r="D143" s="29"/>
      <c r="E143" s="20" t="str">
        <f aca="false">IF(D143="","",IFERROR(INDEX(Tables!$B:$B,MATCH(D143,Tables!$A:$A,0)),"ID not found"))</f>
        <v/>
      </c>
      <c r="F143" s="20" t="str">
        <f aca="false">IF(D143="","",IFERROR(INDEX(Tables!$C:$C,MATCH(D143,Tables!$A:$A,0)),""))</f>
        <v/>
      </c>
      <c r="G143" s="30"/>
      <c r="H143" s="30"/>
      <c r="I143" s="30"/>
      <c r="J143" s="30"/>
      <c r="K143" s="30"/>
      <c r="L143" s="30"/>
      <c r="M143" s="30"/>
      <c r="N143" s="20" t="str">
        <f aca="false">IF(A143="","",COUNTIF('Metric to Field'!$B:$B,A143))</f>
        <v/>
      </c>
      <c r="O143" s="20" t="str">
        <f aca="false">IF(A143="","",SUMIF('Metric to Field'!$B:$B,A143,'Metric to Field'!$F:$F))</f>
        <v/>
      </c>
      <c r="P143" s="30"/>
      <c r="Q143" s="30"/>
      <c r="R143" s="30"/>
      <c r="S143" s="30"/>
      <c r="T143" s="34" t="str">
        <f aca="false">IF(AND(A143&lt;&gt;"",K143="Fix upstream"),COUNTIF($K$5:K143,"Fix upstream"),"")</f>
        <v/>
      </c>
      <c r="U143" s="34" t="str">
        <f aca="false">IF(AND(A143&lt;&gt;"",OR(K143="Move to business rules",K143="Merge into certified table")),COUNTIF($K$5:K143,"Move to business rules")+COUNTIF($K$5:K143,"Merge into certified table"),"")</f>
        <v/>
      </c>
      <c r="V143" s="34" t="str">
        <f aca="false">IF(AND(A143&lt;&gt;"",OR(K143="",K143="Undecided",J143="")),SUMPRODUCT(($A$5:A143&lt;&gt;"")*((($K$5:K143="")+($K$5:K143="Undecided")+($J$5:J143=""))&gt;0)),"")</f>
        <v/>
      </c>
    </row>
    <row r="144" customFormat="false" ht="15" hidden="false" customHeight="false" outlineLevel="0" collapsed="false">
      <c r="A144" s="29"/>
      <c r="B144" s="30"/>
      <c r="C144" s="30"/>
      <c r="D144" s="29"/>
      <c r="E144" s="20" t="str">
        <f aca="false">IF(D144="","",IFERROR(INDEX(Tables!$B:$B,MATCH(D144,Tables!$A:$A,0)),"ID not found"))</f>
        <v/>
      </c>
      <c r="F144" s="20" t="str">
        <f aca="false">IF(D144="","",IFERROR(INDEX(Tables!$C:$C,MATCH(D144,Tables!$A:$A,0)),""))</f>
        <v/>
      </c>
      <c r="G144" s="30"/>
      <c r="H144" s="30"/>
      <c r="I144" s="30"/>
      <c r="J144" s="30"/>
      <c r="K144" s="30"/>
      <c r="L144" s="30"/>
      <c r="M144" s="30"/>
      <c r="N144" s="20" t="str">
        <f aca="false">IF(A144="","",COUNTIF('Metric to Field'!$B:$B,A144))</f>
        <v/>
      </c>
      <c r="O144" s="20" t="str">
        <f aca="false">IF(A144="","",SUMIF('Metric to Field'!$B:$B,A144,'Metric to Field'!$F:$F))</f>
        <v/>
      </c>
      <c r="P144" s="30"/>
      <c r="Q144" s="30"/>
      <c r="R144" s="30"/>
      <c r="S144" s="30"/>
      <c r="T144" s="34" t="str">
        <f aca="false">IF(AND(A144&lt;&gt;"",K144="Fix upstream"),COUNTIF($K$5:K144,"Fix upstream"),"")</f>
        <v/>
      </c>
      <c r="U144" s="34" t="str">
        <f aca="false">IF(AND(A144&lt;&gt;"",OR(K144="Move to business rules",K144="Merge into certified table")),COUNTIF($K$5:K144,"Move to business rules")+COUNTIF($K$5:K144,"Merge into certified table"),"")</f>
        <v/>
      </c>
      <c r="V144" s="34" t="str">
        <f aca="false">IF(AND(A144&lt;&gt;"",OR(K144="",K144="Undecided",J144="")),SUMPRODUCT(($A$5:A144&lt;&gt;"")*((($K$5:K144="")+($K$5:K144="Undecided")+($J$5:J144=""))&gt;0)),"")</f>
        <v/>
      </c>
    </row>
    <row r="145" customFormat="false" ht="15" hidden="false" customHeight="false" outlineLevel="0" collapsed="false">
      <c r="A145" s="29"/>
      <c r="B145" s="30"/>
      <c r="C145" s="30"/>
      <c r="D145" s="29"/>
      <c r="E145" s="20" t="str">
        <f aca="false">IF(D145="","",IFERROR(INDEX(Tables!$B:$B,MATCH(D145,Tables!$A:$A,0)),"ID not found"))</f>
        <v/>
      </c>
      <c r="F145" s="20" t="str">
        <f aca="false">IF(D145="","",IFERROR(INDEX(Tables!$C:$C,MATCH(D145,Tables!$A:$A,0)),""))</f>
        <v/>
      </c>
      <c r="G145" s="30"/>
      <c r="H145" s="30"/>
      <c r="I145" s="30"/>
      <c r="J145" s="30"/>
      <c r="K145" s="30"/>
      <c r="L145" s="30"/>
      <c r="M145" s="30"/>
      <c r="N145" s="20" t="str">
        <f aca="false">IF(A145="","",COUNTIF('Metric to Field'!$B:$B,A145))</f>
        <v/>
      </c>
      <c r="O145" s="20" t="str">
        <f aca="false">IF(A145="","",SUMIF('Metric to Field'!$B:$B,A145,'Metric to Field'!$F:$F))</f>
        <v/>
      </c>
      <c r="P145" s="30"/>
      <c r="Q145" s="30"/>
      <c r="R145" s="30"/>
      <c r="S145" s="30"/>
      <c r="T145" s="34" t="str">
        <f aca="false">IF(AND(A145&lt;&gt;"",K145="Fix upstream"),COUNTIF($K$5:K145,"Fix upstream"),"")</f>
        <v/>
      </c>
      <c r="U145" s="34" t="str">
        <f aca="false">IF(AND(A145&lt;&gt;"",OR(K145="Move to business rules",K145="Merge into certified table")),COUNTIF($K$5:K145,"Move to business rules")+COUNTIF($K$5:K145,"Merge into certified table"),"")</f>
        <v/>
      </c>
      <c r="V145" s="34" t="str">
        <f aca="false">IF(AND(A145&lt;&gt;"",OR(K145="",K145="Undecided",J145="")),SUMPRODUCT(($A$5:A145&lt;&gt;"")*((($K$5:K145="")+($K$5:K145="Undecided")+($J$5:J145=""))&gt;0)),"")</f>
        <v/>
      </c>
    </row>
    <row r="146" customFormat="false" ht="15" hidden="false" customHeight="false" outlineLevel="0" collapsed="false">
      <c r="A146" s="29"/>
      <c r="B146" s="30"/>
      <c r="C146" s="30"/>
      <c r="D146" s="29"/>
      <c r="E146" s="20" t="str">
        <f aca="false">IF(D146="","",IFERROR(INDEX(Tables!$B:$B,MATCH(D146,Tables!$A:$A,0)),"ID not found"))</f>
        <v/>
      </c>
      <c r="F146" s="20" t="str">
        <f aca="false">IF(D146="","",IFERROR(INDEX(Tables!$C:$C,MATCH(D146,Tables!$A:$A,0)),""))</f>
        <v/>
      </c>
      <c r="G146" s="30"/>
      <c r="H146" s="30"/>
      <c r="I146" s="30"/>
      <c r="J146" s="30"/>
      <c r="K146" s="30"/>
      <c r="L146" s="30"/>
      <c r="M146" s="30"/>
      <c r="N146" s="20" t="str">
        <f aca="false">IF(A146="","",COUNTIF('Metric to Field'!$B:$B,A146))</f>
        <v/>
      </c>
      <c r="O146" s="20" t="str">
        <f aca="false">IF(A146="","",SUMIF('Metric to Field'!$B:$B,A146,'Metric to Field'!$F:$F))</f>
        <v/>
      </c>
      <c r="P146" s="30"/>
      <c r="Q146" s="30"/>
      <c r="R146" s="30"/>
      <c r="S146" s="30"/>
      <c r="T146" s="34" t="str">
        <f aca="false">IF(AND(A146&lt;&gt;"",K146="Fix upstream"),COUNTIF($K$5:K146,"Fix upstream"),"")</f>
        <v/>
      </c>
      <c r="U146" s="34" t="str">
        <f aca="false">IF(AND(A146&lt;&gt;"",OR(K146="Move to business rules",K146="Merge into certified table")),COUNTIF($K$5:K146,"Move to business rules")+COUNTIF($K$5:K146,"Merge into certified table"),"")</f>
        <v/>
      </c>
      <c r="V146" s="34" t="str">
        <f aca="false">IF(AND(A146&lt;&gt;"",OR(K146="",K146="Undecided",J146="")),SUMPRODUCT(($A$5:A146&lt;&gt;"")*((($K$5:K146="")+($K$5:K146="Undecided")+($J$5:J146=""))&gt;0)),"")</f>
        <v/>
      </c>
    </row>
    <row r="147" customFormat="false" ht="15" hidden="false" customHeight="false" outlineLevel="0" collapsed="false">
      <c r="A147" s="29"/>
      <c r="B147" s="30"/>
      <c r="C147" s="30"/>
      <c r="D147" s="29"/>
      <c r="E147" s="20" t="str">
        <f aca="false">IF(D147="","",IFERROR(INDEX(Tables!$B:$B,MATCH(D147,Tables!$A:$A,0)),"ID not found"))</f>
        <v/>
      </c>
      <c r="F147" s="20" t="str">
        <f aca="false">IF(D147="","",IFERROR(INDEX(Tables!$C:$C,MATCH(D147,Tables!$A:$A,0)),""))</f>
        <v/>
      </c>
      <c r="G147" s="30"/>
      <c r="H147" s="30"/>
      <c r="I147" s="30"/>
      <c r="J147" s="30"/>
      <c r="K147" s="30"/>
      <c r="L147" s="30"/>
      <c r="M147" s="30"/>
      <c r="N147" s="20" t="str">
        <f aca="false">IF(A147="","",COUNTIF('Metric to Field'!$B:$B,A147))</f>
        <v/>
      </c>
      <c r="O147" s="20" t="str">
        <f aca="false">IF(A147="","",SUMIF('Metric to Field'!$B:$B,A147,'Metric to Field'!$F:$F))</f>
        <v/>
      </c>
      <c r="P147" s="30"/>
      <c r="Q147" s="30"/>
      <c r="R147" s="30"/>
      <c r="S147" s="30"/>
      <c r="T147" s="34" t="str">
        <f aca="false">IF(AND(A147&lt;&gt;"",K147="Fix upstream"),COUNTIF($K$5:K147,"Fix upstream"),"")</f>
        <v/>
      </c>
      <c r="U147" s="34" t="str">
        <f aca="false">IF(AND(A147&lt;&gt;"",OR(K147="Move to business rules",K147="Merge into certified table")),COUNTIF($K$5:K147,"Move to business rules")+COUNTIF($K$5:K147,"Merge into certified table"),"")</f>
        <v/>
      </c>
      <c r="V147" s="34" t="str">
        <f aca="false">IF(AND(A147&lt;&gt;"",OR(K147="",K147="Undecided",J147="")),SUMPRODUCT(($A$5:A147&lt;&gt;"")*((($K$5:K147="")+($K$5:K147="Undecided")+($J$5:J147=""))&gt;0)),"")</f>
        <v/>
      </c>
    </row>
    <row r="148" customFormat="false" ht="15" hidden="false" customHeight="false" outlineLevel="0" collapsed="false">
      <c r="A148" s="29"/>
      <c r="B148" s="30"/>
      <c r="C148" s="30"/>
      <c r="D148" s="29"/>
      <c r="E148" s="20" t="str">
        <f aca="false">IF(D148="","",IFERROR(INDEX(Tables!$B:$B,MATCH(D148,Tables!$A:$A,0)),"ID not found"))</f>
        <v/>
      </c>
      <c r="F148" s="20" t="str">
        <f aca="false">IF(D148="","",IFERROR(INDEX(Tables!$C:$C,MATCH(D148,Tables!$A:$A,0)),""))</f>
        <v/>
      </c>
      <c r="G148" s="30"/>
      <c r="H148" s="30"/>
      <c r="I148" s="30"/>
      <c r="J148" s="30"/>
      <c r="K148" s="30"/>
      <c r="L148" s="30"/>
      <c r="M148" s="30"/>
      <c r="N148" s="20" t="str">
        <f aca="false">IF(A148="","",COUNTIF('Metric to Field'!$B:$B,A148))</f>
        <v/>
      </c>
      <c r="O148" s="20" t="str">
        <f aca="false">IF(A148="","",SUMIF('Metric to Field'!$B:$B,A148,'Metric to Field'!$F:$F))</f>
        <v/>
      </c>
      <c r="P148" s="30"/>
      <c r="Q148" s="30"/>
      <c r="R148" s="30"/>
      <c r="S148" s="30"/>
      <c r="T148" s="34" t="str">
        <f aca="false">IF(AND(A148&lt;&gt;"",K148="Fix upstream"),COUNTIF($K$5:K148,"Fix upstream"),"")</f>
        <v/>
      </c>
      <c r="U148" s="34" t="str">
        <f aca="false">IF(AND(A148&lt;&gt;"",OR(K148="Move to business rules",K148="Merge into certified table")),COUNTIF($K$5:K148,"Move to business rules")+COUNTIF($K$5:K148,"Merge into certified table"),"")</f>
        <v/>
      </c>
      <c r="V148" s="34" t="str">
        <f aca="false">IF(AND(A148&lt;&gt;"",OR(K148="",K148="Undecided",J148="")),SUMPRODUCT(($A$5:A148&lt;&gt;"")*((($K$5:K148="")+($K$5:K148="Undecided")+($J$5:J148=""))&gt;0)),"")</f>
        <v/>
      </c>
    </row>
    <row r="149" customFormat="false" ht="15" hidden="false" customHeight="false" outlineLevel="0" collapsed="false">
      <c r="A149" s="29"/>
      <c r="B149" s="30"/>
      <c r="C149" s="30"/>
      <c r="D149" s="29"/>
      <c r="E149" s="20" t="str">
        <f aca="false">IF(D149="","",IFERROR(INDEX(Tables!$B:$B,MATCH(D149,Tables!$A:$A,0)),"ID not found"))</f>
        <v/>
      </c>
      <c r="F149" s="20" t="str">
        <f aca="false">IF(D149="","",IFERROR(INDEX(Tables!$C:$C,MATCH(D149,Tables!$A:$A,0)),""))</f>
        <v/>
      </c>
      <c r="G149" s="30"/>
      <c r="H149" s="30"/>
      <c r="I149" s="30"/>
      <c r="J149" s="30"/>
      <c r="K149" s="30"/>
      <c r="L149" s="30"/>
      <c r="M149" s="30"/>
      <c r="N149" s="20" t="str">
        <f aca="false">IF(A149="","",COUNTIF('Metric to Field'!$B:$B,A149))</f>
        <v/>
      </c>
      <c r="O149" s="20" t="str">
        <f aca="false">IF(A149="","",SUMIF('Metric to Field'!$B:$B,A149,'Metric to Field'!$F:$F))</f>
        <v/>
      </c>
      <c r="P149" s="30"/>
      <c r="Q149" s="30"/>
      <c r="R149" s="30"/>
      <c r="S149" s="30"/>
      <c r="T149" s="34" t="str">
        <f aca="false">IF(AND(A149&lt;&gt;"",K149="Fix upstream"),COUNTIF($K$5:K149,"Fix upstream"),"")</f>
        <v/>
      </c>
      <c r="U149" s="34" t="str">
        <f aca="false">IF(AND(A149&lt;&gt;"",OR(K149="Move to business rules",K149="Merge into certified table")),COUNTIF($K$5:K149,"Move to business rules")+COUNTIF($K$5:K149,"Merge into certified table"),"")</f>
        <v/>
      </c>
      <c r="V149" s="34" t="str">
        <f aca="false">IF(AND(A149&lt;&gt;"",OR(K149="",K149="Undecided",J149="")),SUMPRODUCT(($A$5:A149&lt;&gt;"")*((($K$5:K149="")+($K$5:K149="Undecided")+($J$5:J149=""))&gt;0)),"")</f>
        <v/>
      </c>
    </row>
    <row r="150" customFormat="false" ht="15" hidden="false" customHeight="false" outlineLevel="0" collapsed="false">
      <c r="A150" s="29"/>
      <c r="B150" s="30"/>
      <c r="C150" s="30"/>
      <c r="D150" s="29"/>
      <c r="E150" s="20" t="str">
        <f aca="false">IF(D150="","",IFERROR(INDEX(Tables!$B:$B,MATCH(D150,Tables!$A:$A,0)),"ID not found"))</f>
        <v/>
      </c>
      <c r="F150" s="20" t="str">
        <f aca="false">IF(D150="","",IFERROR(INDEX(Tables!$C:$C,MATCH(D150,Tables!$A:$A,0)),""))</f>
        <v/>
      </c>
      <c r="G150" s="30"/>
      <c r="H150" s="30"/>
      <c r="I150" s="30"/>
      <c r="J150" s="30"/>
      <c r="K150" s="30"/>
      <c r="L150" s="30"/>
      <c r="M150" s="30"/>
      <c r="N150" s="20" t="str">
        <f aca="false">IF(A150="","",COUNTIF('Metric to Field'!$B:$B,A150))</f>
        <v/>
      </c>
      <c r="O150" s="20" t="str">
        <f aca="false">IF(A150="","",SUMIF('Metric to Field'!$B:$B,A150,'Metric to Field'!$F:$F))</f>
        <v/>
      </c>
      <c r="P150" s="30"/>
      <c r="Q150" s="30"/>
      <c r="R150" s="30"/>
      <c r="S150" s="30"/>
      <c r="T150" s="34" t="str">
        <f aca="false">IF(AND(A150&lt;&gt;"",K150="Fix upstream"),COUNTIF($K$5:K150,"Fix upstream"),"")</f>
        <v/>
      </c>
      <c r="U150" s="34" t="str">
        <f aca="false">IF(AND(A150&lt;&gt;"",OR(K150="Move to business rules",K150="Merge into certified table")),COUNTIF($K$5:K150,"Move to business rules")+COUNTIF($K$5:K150,"Merge into certified table"),"")</f>
        <v/>
      </c>
      <c r="V150" s="34" t="str">
        <f aca="false">IF(AND(A150&lt;&gt;"",OR(K150="",K150="Undecided",J150="")),SUMPRODUCT(($A$5:A150&lt;&gt;"")*((($K$5:K150="")+($K$5:K150="Undecided")+($J$5:J150=""))&gt;0)),"")</f>
        <v/>
      </c>
    </row>
    <row r="151" customFormat="false" ht="15" hidden="false" customHeight="false" outlineLevel="0" collapsed="false">
      <c r="A151" s="29"/>
      <c r="B151" s="30"/>
      <c r="C151" s="30"/>
      <c r="D151" s="29"/>
      <c r="E151" s="20" t="str">
        <f aca="false">IF(D151="","",IFERROR(INDEX(Tables!$B:$B,MATCH(D151,Tables!$A:$A,0)),"ID not found"))</f>
        <v/>
      </c>
      <c r="F151" s="20" t="str">
        <f aca="false">IF(D151="","",IFERROR(INDEX(Tables!$C:$C,MATCH(D151,Tables!$A:$A,0)),""))</f>
        <v/>
      </c>
      <c r="G151" s="30"/>
      <c r="H151" s="30"/>
      <c r="I151" s="30"/>
      <c r="J151" s="30"/>
      <c r="K151" s="30"/>
      <c r="L151" s="30"/>
      <c r="M151" s="30"/>
      <c r="N151" s="20" t="str">
        <f aca="false">IF(A151="","",COUNTIF('Metric to Field'!$B:$B,A151))</f>
        <v/>
      </c>
      <c r="O151" s="20" t="str">
        <f aca="false">IF(A151="","",SUMIF('Metric to Field'!$B:$B,A151,'Metric to Field'!$F:$F))</f>
        <v/>
      </c>
      <c r="P151" s="30"/>
      <c r="Q151" s="30"/>
      <c r="R151" s="30"/>
      <c r="S151" s="30"/>
      <c r="T151" s="34" t="str">
        <f aca="false">IF(AND(A151&lt;&gt;"",K151="Fix upstream"),COUNTIF($K$5:K151,"Fix upstream"),"")</f>
        <v/>
      </c>
      <c r="U151" s="34" t="str">
        <f aca="false">IF(AND(A151&lt;&gt;"",OR(K151="Move to business rules",K151="Merge into certified table")),COUNTIF($K$5:K151,"Move to business rules")+COUNTIF($K$5:K151,"Merge into certified table"),"")</f>
        <v/>
      </c>
      <c r="V151" s="34" t="str">
        <f aca="false">IF(AND(A151&lt;&gt;"",OR(K151="",K151="Undecided",J151="")),SUMPRODUCT(($A$5:A151&lt;&gt;"")*((($K$5:K151="")+($K$5:K151="Undecided")+($J$5:J151=""))&gt;0)),"")</f>
        <v/>
      </c>
    </row>
    <row r="152" customFormat="false" ht="15" hidden="false" customHeight="false" outlineLevel="0" collapsed="false">
      <c r="A152" s="29"/>
      <c r="B152" s="30"/>
      <c r="C152" s="30"/>
      <c r="D152" s="29"/>
      <c r="E152" s="20" t="str">
        <f aca="false">IF(D152="","",IFERROR(INDEX(Tables!$B:$B,MATCH(D152,Tables!$A:$A,0)),"ID not found"))</f>
        <v/>
      </c>
      <c r="F152" s="20" t="str">
        <f aca="false">IF(D152="","",IFERROR(INDEX(Tables!$C:$C,MATCH(D152,Tables!$A:$A,0)),""))</f>
        <v/>
      </c>
      <c r="G152" s="30"/>
      <c r="H152" s="30"/>
      <c r="I152" s="30"/>
      <c r="J152" s="30"/>
      <c r="K152" s="30"/>
      <c r="L152" s="30"/>
      <c r="M152" s="30"/>
      <c r="N152" s="20" t="str">
        <f aca="false">IF(A152="","",COUNTIF('Metric to Field'!$B:$B,A152))</f>
        <v/>
      </c>
      <c r="O152" s="20" t="str">
        <f aca="false">IF(A152="","",SUMIF('Metric to Field'!$B:$B,A152,'Metric to Field'!$F:$F))</f>
        <v/>
      </c>
      <c r="P152" s="30"/>
      <c r="Q152" s="30"/>
      <c r="R152" s="30"/>
      <c r="S152" s="30"/>
      <c r="T152" s="34" t="str">
        <f aca="false">IF(AND(A152&lt;&gt;"",K152="Fix upstream"),COUNTIF($K$5:K152,"Fix upstream"),"")</f>
        <v/>
      </c>
      <c r="U152" s="34" t="str">
        <f aca="false">IF(AND(A152&lt;&gt;"",OR(K152="Move to business rules",K152="Merge into certified table")),COUNTIF($K$5:K152,"Move to business rules")+COUNTIF($K$5:K152,"Merge into certified table"),"")</f>
        <v/>
      </c>
      <c r="V152" s="34" t="str">
        <f aca="false">IF(AND(A152&lt;&gt;"",OR(K152="",K152="Undecided",J152="")),SUMPRODUCT(($A$5:A152&lt;&gt;"")*((($K$5:K152="")+($K$5:K152="Undecided")+($J$5:J152=""))&gt;0)),"")</f>
        <v/>
      </c>
    </row>
    <row r="153" customFormat="false" ht="15" hidden="false" customHeight="false" outlineLevel="0" collapsed="false">
      <c r="A153" s="29"/>
      <c r="B153" s="30"/>
      <c r="C153" s="30"/>
      <c r="D153" s="29"/>
      <c r="E153" s="20" t="str">
        <f aca="false">IF(D153="","",IFERROR(INDEX(Tables!$B:$B,MATCH(D153,Tables!$A:$A,0)),"ID not found"))</f>
        <v/>
      </c>
      <c r="F153" s="20" t="str">
        <f aca="false">IF(D153="","",IFERROR(INDEX(Tables!$C:$C,MATCH(D153,Tables!$A:$A,0)),""))</f>
        <v/>
      </c>
      <c r="G153" s="30"/>
      <c r="H153" s="30"/>
      <c r="I153" s="30"/>
      <c r="J153" s="30"/>
      <c r="K153" s="30"/>
      <c r="L153" s="30"/>
      <c r="M153" s="30"/>
      <c r="N153" s="20" t="str">
        <f aca="false">IF(A153="","",COUNTIF('Metric to Field'!$B:$B,A153))</f>
        <v/>
      </c>
      <c r="O153" s="20" t="str">
        <f aca="false">IF(A153="","",SUMIF('Metric to Field'!$B:$B,A153,'Metric to Field'!$F:$F))</f>
        <v/>
      </c>
      <c r="P153" s="30"/>
      <c r="Q153" s="30"/>
      <c r="R153" s="30"/>
      <c r="S153" s="30"/>
      <c r="T153" s="34" t="str">
        <f aca="false">IF(AND(A153&lt;&gt;"",K153="Fix upstream"),COUNTIF($K$5:K153,"Fix upstream"),"")</f>
        <v/>
      </c>
      <c r="U153" s="34" t="str">
        <f aca="false">IF(AND(A153&lt;&gt;"",OR(K153="Move to business rules",K153="Merge into certified table")),COUNTIF($K$5:K153,"Move to business rules")+COUNTIF($K$5:K153,"Merge into certified table"),"")</f>
        <v/>
      </c>
      <c r="V153" s="34" t="str">
        <f aca="false">IF(AND(A153&lt;&gt;"",OR(K153="",K153="Undecided",J153="")),SUMPRODUCT(($A$5:A153&lt;&gt;"")*((($K$5:K153="")+($K$5:K153="Undecided")+($J$5:J153=""))&gt;0)),"")</f>
        <v/>
      </c>
    </row>
    <row r="154" customFormat="false" ht="15" hidden="false" customHeight="false" outlineLevel="0" collapsed="false">
      <c r="A154" s="29"/>
      <c r="B154" s="30"/>
      <c r="C154" s="30"/>
      <c r="D154" s="29"/>
      <c r="E154" s="20" t="str">
        <f aca="false">IF(D154="","",IFERROR(INDEX(Tables!$B:$B,MATCH(D154,Tables!$A:$A,0)),"ID not found"))</f>
        <v/>
      </c>
      <c r="F154" s="20" t="str">
        <f aca="false">IF(D154="","",IFERROR(INDEX(Tables!$C:$C,MATCH(D154,Tables!$A:$A,0)),""))</f>
        <v/>
      </c>
      <c r="G154" s="30"/>
      <c r="H154" s="30"/>
      <c r="I154" s="30"/>
      <c r="J154" s="30"/>
      <c r="K154" s="30"/>
      <c r="L154" s="30"/>
      <c r="M154" s="30"/>
      <c r="N154" s="20" t="str">
        <f aca="false">IF(A154="","",COUNTIF('Metric to Field'!$B:$B,A154))</f>
        <v/>
      </c>
      <c r="O154" s="20" t="str">
        <f aca="false">IF(A154="","",SUMIF('Metric to Field'!$B:$B,A154,'Metric to Field'!$F:$F))</f>
        <v/>
      </c>
      <c r="P154" s="30"/>
      <c r="Q154" s="30"/>
      <c r="R154" s="30"/>
      <c r="S154" s="30"/>
      <c r="T154" s="34" t="str">
        <f aca="false">IF(AND(A154&lt;&gt;"",K154="Fix upstream"),COUNTIF($K$5:K154,"Fix upstream"),"")</f>
        <v/>
      </c>
      <c r="U154" s="34" t="str">
        <f aca="false">IF(AND(A154&lt;&gt;"",OR(K154="Move to business rules",K154="Merge into certified table")),COUNTIF($K$5:K154,"Move to business rules")+COUNTIF($K$5:K154,"Merge into certified table"),"")</f>
        <v/>
      </c>
      <c r="V154" s="34" t="str">
        <f aca="false">IF(AND(A154&lt;&gt;"",OR(K154="",K154="Undecided",J154="")),SUMPRODUCT(($A$5:A154&lt;&gt;"")*((($K$5:K154="")+($K$5:K154="Undecided")+($J$5:J154=""))&gt;0)),"")</f>
        <v/>
      </c>
    </row>
    <row r="155" customFormat="false" ht="15" hidden="false" customHeight="false" outlineLevel="0" collapsed="false">
      <c r="A155" s="29"/>
      <c r="B155" s="30"/>
      <c r="C155" s="30"/>
      <c r="D155" s="29"/>
      <c r="E155" s="20" t="str">
        <f aca="false">IF(D155="","",IFERROR(INDEX(Tables!$B:$B,MATCH(D155,Tables!$A:$A,0)),"ID not found"))</f>
        <v/>
      </c>
      <c r="F155" s="20" t="str">
        <f aca="false">IF(D155="","",IFERROR(INDEX(Tables!$C:$C,MATCH(D155,Tables!$A:$A,0)),""))</f>
        <v/>
      </c>
      <c r="G155" s="30"/>
      <c r="H155" s="30"/>
      <c r="I155" s="30"/>
      <c r="J155" s="30"/>
      <c r="K155" s="30"/>
      <c r="L155" s="30"/>
      <c r="M155" s="30"/>
      <c r="N155" s="20" t="str">
        <f aca="false">IF(A155="","",COUNTIF('Metric to Field'!$B:$B,A155))</f>
        <v/>
      </c>
      <c r="O155" s="20" t="str">
        <f aca="false">IF(A155="","",SUMIF('Metric to Field'!$B:$B,A155,'Metric to Field'!$F:$F))</f>
        <v/>
      </c>
      <c r="P155" s="30"/>
      <c r="Q155" s="30"/>
      <c r="R155" s="30"/>
      <c r="S155" s="30"/>
      <c r="T155" s="34" t="str">
        <f aca="false">IF(AND(A155&lt;&gt;"",K155="Fix upstream"),COUNTIF($K$5:K155,"Fix upstream"),"")</f>
        <v/>
      </c>
      <c r="U155" s="34" t="str">
        <f aca="false">IF(AND(A155&lt;&gt;"",OR(K155="Move to business rules",K155="Merge into certified table")),COUNTIF($K$5:K155,"Move to business rules")+COUNTIF($K$5:K155,"Merge into certified table"),"")</f>
        <v/>
      </c>
      <c r="V155" s="34" t="str">
        <f aca="false">IF(AND(A155&lt;&gt;"",OR(K155="",K155="Undecided",J155="")),SUMPRODUCT(($A$5:A155&lt;&gt;"")*((($K$5:K155="")+($K$5:K155="Undecided")+($J$5:J155=""))&gt;0)),"")</f>
        <v/>
      </c>
    </row>
    <row r="156" customFormat="false" ht="15" hidden="false" customHeight="false" outlineLevel="0" collapsed="false">
      <c r="A156" s="29"/>
      <c r="B156" s="30"/>
      <c r="C156" s="30"/>
      <c r="D156" s="29"/>
      <c r="E156" s="20" t="str">
        <f aca="false">IF(D156="","",IFERROR(INDEX(Tables!$B:$B,MATCH(D156,Tables!$A:$A,0)),"ID not found"))</f>
        <v/>
      </c>
      <c r="F156" s="20" t="str">
        <f aca="false">IF(D156="","",IFERROR(INDEX(Tables!$C:$C,MATCH(D156,Tables!$A:$A,0)),""))</f>
        <v/>
      </c>
      <c r="G156" s="30"/>
      <c r="H156" s="30"/>
      <c r="I156" s="30"/>
      <c r="J156" s="30"/>
      <c r="K156" s="30"/>
      <c r="L156" s="30"/>
      <c r="M156" s="30"/>
      <c r="N156" s="20" t="str">
        <f aca="false">IF(A156="","",COUNTIF('Metric to Field'!$B:$B,A156))</f>
        <v/>
      </c>
      <c r="O156" s="20" t="str">
        <f aca="false">IF(A156="","",SUMIF('Metric to Field'!$B:$B,A156,'Metric to Field'!$F:$F))</f>
        <v/>
      </c>
      <c r="P156" s="30"/>
      <c r="Q156" s="30"/>
      <c r="R156" s="30"/>
      <c r="S156" s="30"/>
      <c r="T156" s="34" t="str">
        <f aca="false">IF(AND(A156&lt;&gt;"",K156="Fix upstream"),COUNTIF($K$5:K156,"Fix upstream"),"")</f>
        <v/>
      </c>
      <c r="U156" s="34" t="str">
        <f aca="false">IF(AND(A156&lt;&gt;"",OR(K156="Move to business rules",K156="Merge into certified table")),COUNTIF($K$5:K156,"Move to business rules")+COUNTIF($K$5:K156,"Merge into certified table"),"")</f>
        <v/>
      </c>
      <c r="V156" s="34" t="str">
        <f aca="false">IF(AND(A156&lt;&gt;"",OR(K156="",K156="Undecided",J156="")),SUMPRODUCT(($A$5:A156&lt;&gt;"")*((($K$5:K156="")+($K$5:K156="Undecided")+($J$5:J156=""))&gt;0)),"")</f>
        <v/>
      </c>
    </row>
    <row r="157" customFormat="false" ht="15" hidden="false" customHeight="false" outlineLevel="0" collapsed="false">
      <c r="A157" s="29"/>
      <c r="B157" s="30"/>
      <c r="C157" s="30"/>
      <c r="D157" s="29"/>
      <c r="E157" s="20" t="str">
        <f aca="false">IF(D157="","",IFERROR(INDEX(Tables!$B:$B,MATCH(D157,Tables!$A:$A,0)),"ID not found"))</f>
        <v/>
      </c>
      <c r="F157" s="20" t="str">
        <f aca="false">IF(D157="","",IFERROR(INDEX(Tables!$C:$C,MATCH(D157,Tables!$A:$A,0)),""))</f>
        <v/>
      </c>
      <c r="G157" s="30"/>
      <c r="H157" s="30"/>
      <c r="I157" s="30"/>
      <c r="J157" s="30"/>
      <c r="K157" s="30"/>
      <c r="L157" s="30"/>
      <c r="M157" s="30"/>
      <c r="N157" s="20" t="str">
        <f aca="false">IF(A157="","",COUNTIF('Metric to Field'!$B:$B,A157))</f>
        <v/>
      </c>
      <c r="O157" s="20" t="str">
        <f aca="false">IF(A157="","",SUMIF('Metric to Field'!$B:$B,A157,'Metric to Field'!$F:$F))</f>
        <v/>
      </c>
      <c r="P157" s="30"/>
      <c r="Q157" s="30"/>
      <c r="R157" s="30"/>
      <c r="S157" s="30"/>
      <c r="T157" s="34" t="str">
        <f aca="false">IF(AND(A157&lt;&gt;"",K157="Fix upstream"),COUNTIF($K$5:K157,"Fix upstream"),"")</f>
        <v/>
      </c>
      <c r="U157" s="34" t="str">
        <f aca="false">IF(AND(A157&lt;&gt;"",OR(K157="Move to business rules",K157="Merge into certified table")),COUNTIF($K$5:K157,"Move to business rules")+COUNTIF($K$5:K157,"Merge into certified table"),"")</f>
        <v/>
      </c>
      <c r="V157" s="34" t="str">
        <f aca="false">IF(AND(A157&lt;&gt;"",OR(K157="",K157="Undecided",J157="")),SUMPRODUCT(($A$5:A157&lt;&gt;"")*((($K$5:K157="")+($K$5:K157="Undecided")+($J$5:J157=""))&gt;0)),"")</f>
        <v/>
      </c>
    </row>
    <row r="158" customFormat="false" ht="15" hidden="false" customHeight="false" outlineLevel="0" collapsed="false">
      <c r="A158" s="29"/>
      <c r="B158" s="30"/>
      <c r="C158" s="30"/>
      <c r="D158" s="29"/>
      <c r="E158" s="20" t="str">
        <f aca="false">IF(D158="","",IFERROR(INDEX(Tables!$B:$B,MATCH(D158,Tables!$A:$A,0)),"ID not found"))</f>
        <v/>
      </c>
      <c r="F158" s="20" t="str">
        <f aca="false">IF(D158="","",IFERROR(INDEX(Tables!$C:$C,MATCH(D158,Tables!$A:$A,0)),""))</f>
        <v/>
      </c>
      <c r="G158" s="30"/>
      <c r="H158" s="30"/>
      <c r="I158" s="30"/>
      <c r="J158" s="30"/>
      <c r="K158" s="30"/>
      <c r="L158" s="30"/>
      <c r="M158" s="30"/>
      <c r="N158" s="20" t="str">
        <f aca="false">IF(A158="","",COUNTIF('Metric to Field'!$B:$B,A158))</f>
        <v/>
      </c>
      <c r="O158" s="20" t="str">
        <f aca="false">IF(A158="","",SUMIF('Metric to Field'!$B:$B,A158,'Metric to Field'!$F:$F))</f>
        <v/>
      </c>
      <c r="P158" s="30"/>
      <c r="Q158" s="30"/>
      <c r="R158" s="30"/>
      <c r="S158" s="30"/>
      <c r="T158" s="34" t="str">
        <f aca="false">IF(AND(A158&lt;&gt;"",K158="Fix upstream"),COUNTIF($K$5:K158,"Fix upstream"),"")</f>
        <v/>
      </c>
      <c r="U158" s="34" t="str">
        <f aca="false">IF(AND(A158&lt;&gt;"",OR(K158="Move to business rules",K158="Merge into certified table")),COUNTIF($K$5:K158,"Move to business rules")+COUNTIF($K$5:K158,"Merge into certified table"),"")</f>
        <v/>
      </c>
      <c r="V158" s="34" t="str">
        <f aca="false">IF(AND(A158&lt;&gt;"",OR(K158="",K158="Undecided",J158="")),SUMPRODUCT(($A$5:A158&lt;&gt;"")*((($K$5:K158="")+($K$5:K158="Undecided")+($J$5:J158=""))&gt;0)),"")</f>
        <v/>
      </c>
    </row>
    <row r="159" customFormat="false" ht="15" hidden="false" customHeight="false" outlineLevel="0" collapsed="false">
      <c r="A159" s="29"/>
      <c r="B159" s="30"/>
      <c r="C159" s="30"/>
      <c r="D159" s="29"/>
      <c r="E159" s="20" t="str">
        <f aca="false">IF(D159="","",IFERROR(INDEX(Tables!$B:$B,MATCH(D159,Tables!$A:$A,0)),"ID not found"))</f>
        <v/>
      </c>
      <c r="F159" s="20" t="str">
        <f aca="false">IF(D159="","",IFERROR(INDEX(Tables!$C:$C,MATCH(D159,Tables!$A:$A,0)),""))</f>
        <v/>
      </c>
      <c r="G159" s="30"/>
      <c r="H159" s="30"/>
      <c r="I159" s="30"/>
      <c r="J159" s="30"/>
      <c r="K159" s="30"/>
      <c r="L159" s="30"/>
      <c r="M159" s="30"/>
      <c r="N159" s="20" t="str">
        <f aca="false">IF(A159="","",COUNTIF('Metric to Field'!$B:$B,A159))</f>
        <v/>
      </c>
      <c r="O159" s="20" t="str">
        <f aca="false">IF(A159="","",SUMIF('Metric to Field'!$B:$B,A159,'Metric to Field'!$F:$F))</f>
        <v/>
      </c>
      <c r="P159" s="30"/>
      <c r="Q159" s="30"/>
      <c r="R159" s="30"/>
      <c r="S159" s="30"/>
      <c r="T159" s="34" t="str">
        <f aca="false">IF(AND(A159&lt;&gt;"",K159="Fix upstream"),COUNTIF($K$5:K159,"Fix upstream"),"")</f>
        <v/>
      </c>
      <c r="U159" s="34" t="str">
        <f aca="false">IF(AND(A159&lt;&gt;"",OR(K159="Move to business rules",K159="Merge into certified table")),COUNTIF($K$5:K159,"Move to business rules")+COUNTIF($K$5:K159,"Merge into certified table"),"")</f>
        <v/>
      </c>
      <c r="V159" s="34" t="str">
        <f aca="false">IF(AND(A159&lt;&gt;"",OR(K159="",K159="Undecided",J159="")),SUMPRODUCT(($A$5:A159&lt;&gt;"")*((($K$5:K159="")+($K$5:K159="Undecided")+($J$5:J159=""))&gt;0)),"")</f>
        <v/>
      </c>
    </row>
    <row r="160" customFormat="false" ht="15" hidden="false" customHeight="false" outlineLevel="0" collapsed="false">
      <c r="A160" s="29"/>
      <c r="B160" s="30"/>
      <c r="C160" s="30"/>
      <c r="D160" s="29"/>
      <c r="E160" s="20" t="str">
        <f aca="false">IF(D160="","",IFERROR(INDEX(Tables!$B:$B,MATCH(D160,Tables!$A:$A,0)),"ID not found"))</f>
        <v/>
      </c>
      <c r="F160" s="20" t="str">
        <f aca="false">IF(D160="","",IFERROR(INDEX(Tables!$C:$C,MATCH(D160,Tables!$A:$A,0)),""))</f>
        <v/>
      </c>
      <c r="G160" s="30"/>
      <c r="H160" s="30"/>
      <c r="I160" s="30"/>
      <c r="J160" s="30"/>
      <c r="K160" s="30"/>
      <c r="L160" s="30"/>
      <c r="M160" s="30"/>
      <c r="N160" s="20" t="str">
        <f aca="false">IF(A160="","",COUNTIF('Metric to Field'!$B:$B,A160))</f>
        <v/>
      </c>
      <c r="O160" s="20" t="str">
        <f aca="false">IF(A160="","",SUMIF('Metric to Field'!$B:$B,A160,'Metric to Field'!$F:$F))</f>
        <v/>
      </c>
      <c r="P160" s="30"/>
      <c r="Q160" s="30"/>
      <c r="R160" s="30"/>
      <c r="S160" s="30"/>
      <c r="T160" s="34" t="str">
        <f aca="false">IF(AND(A160&lt;&gt;"",K160="Fix upstream"),COUNTIF($K$5:K160,"Fix upstream"),"")</f>
        <v/>
      </c>
      <c r="U160" s="34" t="str">
        <f aca="false">IF(AND(A160&lt;&gt;"",OR(K160="Move to business rules",K160="Merge into certified table")),COUNTIF($K$5:K160,"Move to business rules")+COUNTIF($K$5:K160,"Merge into certified table"),"")</f>
        <v/>
      </c>
      <c r="V160" s="34" t="str">
        <f aca="false">IF(AND(A160&lt;&gt;"",OR(K160="",K160="Undecided",J160="")),SUMPRODUCT(($A$5:A160&lt;&gt;"")*((($K$5:K160="")+($K$5:K160="Undecided")+($J$5:J160=""))&gt;0)),"")</f>
        <v/>
      </c>
    </row>
    <row r="161" customFormat="false" ht="15" hidden="false" customHeight="false" outlineLevel="0" collapsed="false">
      <c r="A161" s="29"/>
      <c r="B161" s="30"/>
      <c r="C161" s="30"/>
      <c r="D161" s="29"/>
      <c r="E161" s="20" t="str">
        <f aca="false">IF(D161="","",IFERROR(INDEX(Tables!$B:$B,MATCH(D161,Tables!$A:$A,0)),"ID not found"))</f>
        <v/>
      </c>
      <c r="F161" s="20" t="str">
        <f aca="false">IF(D161="","",IFERROR(INDEX(Tables!$C:$C,MATCH(D161,Tables!$A:$A,0)),""))</f>
        <v/>
      </c>
      <c r="G161" s="30"/>
      <c r="H161" s="30"/>
      <c r="I161" s="30"/>
      <c r="J161" s="30"/>
      <c r="K161" s="30"/>
      <c r="L161" s="30"/>
      <c r="M161" s="30"/>
      <c r="N161" s="20" t="str">
        <f aca="false">IF(A161="","",COUNTIF('Metric to Field'!$B:$B,A161))</f>
        <v/>
      </c>
      <c r="O161" s="20" t="str">
        <f aca="false">IF(A161="","",SUMIF('Metric to Field'!$B:$B,A161,'Metric to Field'!$F:$F))</f>
        <v/>
      </c>
      <c r="P161" s="30"/>
      <c r="Q161" s="30"/>
      <c r="R161" s="30"/>
      <c r="S161" s="30"/>
      <c r="T161" s="34" t="str">
        <f aca="false">IF(AND(A161&lt;&gt;"",K161="Fix upstream"),COUNTIF($K$5:K161,"Fix upstream"),"")</f>
        <v/>
      </c>
      <c r="U161" s="34" t="str">
        <f aca="false">IF(AND(A161&lt;&gt;"",OR(K161="Move to business rules",K161="Merge into certified table")),COUNTIF($K$5:K161,"Move to business rules")+COUNTIF($K$5:K161,"Merge into certified table"),"")</f>
        <v/>
      </c>
      <c r="V161" s="34" t="str">
        <f aca="false">IF(AND(A161&lt;&gt;"",OR(K161="",K161="Undecided",J161="")),SUMPRODUCT(($A$5:A161&lt;&gt;"")*((($K$5:K161="")+($K$5:K161="Undecided")+($J$5:J161=""))&gt;0)),"")</f>
        <v/>
      </c>
    </row>
    <row r="162" customFormat="false" ht="15" hidden="false" customHeight="false" outlineLevel="0" collapsed="false">
      <c r="A162" s="29"/>
      <c r="B162" s="30"/>
      <c r="C162" s="30"/>
      <c r="D162" s="29"/>
      <c r="E162" s="20" t="str">
        <f aca="false">IF(D162="","",IFERROR(INDEX(Tables!$B:$B,MATCH(D162,Tables!$A:$A,0)),"ID not found"))</f>
        <v/>
      </c>
      <c r="F162" s="20" t="str">
        <f aca="false">IF(D162="","",IFERROR(INDEX(Tables!$C:$C,MATCH(D162,Tables!$A:$A,0)),""))</f>
        <v/>
      </c>
      <c r="G162" s="30"/>
      <c r="H162" s="30"/>
      <c r="I162" s="30"/>
      <c r="J162" s="30"/>
      <c r="K162" s="30"/>
      <c r="L162" s="30"/>
      <c r="M162" s="30"/>
      <c r="N162" s="20" t="str">
        <f aca="false">IF(A162="","",COUNTIF('Metric to Field'!$B:$B,A162))</f>
        <v/>
      </c>
      <c r="O162" s="20" t="str">
        <f aca="false">IF(A162="","",SUMIF('Metric to Field'!$B:$B,A162,'Metric to Field'!$F:$F))</f>
        <v/>
      </c>
      <c r="P162" s="30"/>
      <c r="Q162" s="30"/>
      <c r="R162" s="30"/>
      <c r="S162" s="30"/>
      <c r="T162" s="34" t="str">
        <f aca="false">IF(AND(A162&lt;&gt;"",K162="Fix upstream"),COUNTIF($K$5:K162,"Fix upstream"),"")</f>
        <v/>
      </c>
      <c r="U162" s="34" t="str">
        <f aca="false">IF(AND(A162&lt;&gt;"",OR(K162="Move to business rules",K162="Merge into certified table")),COUNTIF($K$5:K162,"Move to business rules")+COUNTIF($K$5:K162,"Merge into certified table"),"")</f>
        <v/>
      </c>
      <c r="V162" s="34" t="str">
        <f aca="false">IF(AND(A162&lt;&gt;"",OR(K162="",K162="Undecided",J162="")),SUMPRODUCT(($A$5:A162&lt;&gt;"")*((($K$5:K162="")+($K$5:K162="Undecided")+($J$5:J162=""))&gt;0)),"")</f>
        <v/>
      </c>
    </row>
    <row r="163" customFormat="false" ht="15" hidden="false" customHeight="false" outlineLevel="0" collapsed="false">
      <c r="A163" s="29"/>
      <c r="B163" s="30"/>
      <c r="C163" s="30"/>
      <c r="D163" s="29"/>
      <c r="E163" s="20" t="str">
        <f aca="false">IF(D163="","",IFERROR(INDEX(Tables!$B:$B,MATCH(D163,Tables!$A:$A,0)),"ID not found"))</f>
        <v/>
      </c>
      <c r="F163" s="20" t="str">
        <f aca="false">IF(D163="","",IFERROR(INDEX(Tables!$C:$C,MATCH(D163,Tables!$A:$A,0)),""))</f>
        <v/>
      </c>
      <c r="G163" s="30"/>
      <c r="H163" s="30"/>
      <c r="I163" s="30"/>
      <c r="J163" s="30"/>
      <c r="K163" s="30"/>
      <c r="L163" s="30"/>
      <c r="M163" s="30"/>
      <c r="N163" s="20" t="str">
        <f aca="false">IF(A163="","",COUNTIF('Metric to Field'!$B:$B,A163))</f>
        <v/>
      </c>
      <c r="O163" s="20" t="str">
        <f aca="false">IF(A163="","",SUMIF('Metric to Field'!$B:$B,A163,'Metric to Field'!$F:$F))</f>
        <v/>
      </c>
      <c r="P163" s="30"/>
      <c r="Q163" s="30"/>
      <c r="R163" s="30"/>
      <c r="S163" s="30"/>
      <c r="T163" s="34" t="str">
        <f aca="false">IF(AND(A163&lt;&gt;"",K163="Fix upstream"),COUNTIF($K$5:K163,"Fix upstream"),"")</f>
        <v/>
      </c>
      <c r="U163" s="34" t="str">
        <f aca="false">IF(AND(A163&lt;&gt;"",OR(K163="Move to business rules",K163="Merge into certified table")),COUNTIF($K$5:K163,"Move to business rules")+COUNTIF($K$5:K163,"Merge into certified table"),"")</f>
        <v/>
      </c>
      <c r="V163" s="34" t="str">
        <f aca="false">IF(AND(A163&lt;&gt;"",OR(K163="",K163="Undecided",J163="")),SUMPRODUCT(($A$5:A163&lt;&gt;"")*((($K$5:K163="")+($K$5:K163="Undecided")+($J$5:J163=""))&gt;0)),"")</f>
        <v/>
      </c>
    </row>
    <row r="164" customFormat="false" ht="15" hidden="false" customHeight="false" outlineLevel="0" collapsed="false">
      <c r="A164" s="29"/>
      <c r="B164" s="30"/>
      <c r="C164" s="30"/>
      <c r="D164" s="29"/>
      <c r="E164" s="20" t="str">
        <f aca="false">IF(D164="","",IFERROR(INDEX(Tables!$B:$B,MATCH(D164,Tables!$A:$A,0)),"ID not found"))</f>
        <v/>
      </c>
      <c r="F164" s="20" t="str">
        <f aca="false">IF(D164="","",IFERROR(INDEX(Tables!$C:$C,MATCH(D164,Tables!$A:$A,0)),""))</f>
        <v/>
      </c>
      <c r="G164" s="30"/>
      <c r="H164" s="30"/>
      <c r="I164" s="30"/>
      <c r="J164" s="30"/>
      <c r="K164" s="30"/>
      <c r="L164" s="30"/>
      <c r="M164" s="30"/>
      <c r="N164" s="20" t="str">
        <f aca="false">IF(A164="","",COUNTIF('Metric to Field'!$B:$B,A164))</f>
        <v/>
      </c>
      <c r="O164" s="20" t="str">
        <f aca="false">IF(A164="","",SUMIF('Metric to Field'!$B:$B,A164,'Metric to Field'!$F:$F))</f>
        <v/>
      </c>
      <c r="P164" s="30"/>
      <c r="Q164" s="30"/>
      <c r="R164" s="30"/>
      <c r="S164" s="30"/>
      <c r="T164" s="34" t="str">
        <f aca="false">IF(AND(A164&lt;&gt;"",K164="Fix upstream"),COUNTIF($K$5:K164,"Fix upstream"),"")</f>
        <v/>
      </c>
      <c r="U164" s="34" t="str">
        <f aca="false">IF(AND(A164&lt;&gt;"",OR(K164="Move to business rules",K164="Merge into certified table")),COUNTIF($K$5:K164,"Move to business rules")+COUNTIF($K$5:K164,"Merge into certified table"),"")</f>
        <v/>
      </c>
      <c r="V164" s="34" t="str">
        <f aca="false">IF(AND(A164&lt;&gt;"",OR(K164="",K164="Undecided",J164="")),SUMPRODUCT(($A$5:A164&lt;&gt;"")*((($K$5:K164="")+($K$5:K164="Undecided")+($J$5:J164=""))&gt;0)),"")</f>
        <v/>
      </c>
    </row>
    <row r="165" customFormat="false" ht="15" hidden="false" customHeight="false" outlineLevel="0" collapsed="false">
      <c r="A165" s="29"/>
      <c r="B165" s="30"/>
      <c r="C165" s="30"/>
      <c r="D165" s="29"/>
      <c r="E165" s="20" t="str">
        <f aca="false">IF(D165="","",IFERROR(INDEX(Tables!$B:$B,MATCH(D165,Tables!$A:$A,0)),"ID not found"))</f>
        <v/>
      </c>
      <c r="F165" s="20" t="str">
        <f aca="false">IF(D165="","",IFERROR(INDEX(Tables!$C:$C,MATCH(D165,Tables!$A:$A,0)),""))</f>
        <v/>
      </c>
      <c r="G165" s="30"/>
      <c r="H165" s="30"/>
      <c r="I165" s="30"/>
      <c r="J165" s="30"/>
      <c r="K165" s="30"/>
      <c r="L165" s="30"/>
      <c r="M165" s="30"/>
      <c r="N165" s="20" t="str">
        <f aca="false">IF(A165="","",COUNTIF('Metric to Field'!$B:$B,A165))</f>
        <v/>
      </c>
      <c r="O165" s="20" t="str">
        <f aca="false">IF(A165="","",SUMIF('Metric to Field'!$B:$B,A165,'Metric to Field'!$F:$F))</f>
        <v/>
      </c>
      <c r="P165" s="30"/>
      <c r="Q165" s="30"/>
      <c r="R165" s="30"/>
      <c r="S165" s="30"/>
      <c r="T165" s="34" t="str">
        <f aca="false">IF(AND(A165&lt;&gt;"",K165="Fix upstream"),COUNTIF($K$5:K165,"Fix upstream"),"")</f>
        <v/>
      </c>
      <c r="U165" s="34" t="str">
        <f aca="false">IF(AND(A165&lt;&gt;"",OR(K165="Move to business rules",K165="Merge into certified table")),COUNTIF($K$5:K165,"Move to business rules")+COUNTIF($K$5:K165,"Merge into certified table"),"")</f>
        <v/>
      </c>
      <c r="V165" s="34" t="str">
        <f aca="false">IF(AND(A165&lt;&gt;"",OR(K165="",K165="Undecided",J165="")),SUMPRODUCT(($A$5:A165&lt;&gt;"")*((($K$5:K165="")+($K$5:K165="Undecided")+($J$5:J165=""))&gt;0)),"")</f>
        <v/>
      </c>
    </row>
    <row r="166" customFormat="false" ht="15" hidden="false" customHeight="false" outlineLevel="0" collapsed="false">
      <c r="A166" s="29"/>
      <c r="B166" s="30"/>
      <c r="C166" s="30"/>
      <c r="D166" s="29"/>
      <c r="E166" s="20" t="str">
        <f aca="false">IF(D166="","",IFERROR(INDEX(Tables!$B:$B,MATCH(D166,Tables!$A:$A,0)),"ID not found"))</f>
        <v/>
      </c>
      <c r="F166" s="20" t="str">
        <f aca="false">IF(D166="","",IFERROR(INDEX(Tables!$C:$C,MATCH(D166,Tables!$A:$A,0)),""))</f>
        <v/>
      </c>
      <c r="G166" s="30"/>
      <c r="H166" s="30"/>
      <c r="I166" s="30"/>
      <c r="J166" s="30"/>
      <c r="K166" s="30"/>
      <c r="L166" s="30"/>
      <c r="M166" s="30"/>
      <c r="N166" s="20" t="str">
        <f aca="false">IF(A166="","",COUNTIF('Metric to Field'!$B:$B,A166))</f>
        <v/>
      </c>
      <c r="O166" s="20" t="str">
        <f aca="false">IF(A166="","",SUMIF('Metric to Field'!$B:$B,A166,'Metric to Field'!$F:$F))</f>
        <v/>
      </c>
      <c r="P166" s="30"/>
      <c r="Q166" s="30"/>
      <c r="R166" s="30"/>
      <c r="S166" s="30"/>
      <c r="T166" s="34" t="str">
        <f aca="false">IF(AND(A166&lt;&gt;"",K166="Fix upstream"),COUNTIF($K$5:K166,"Fix upstream"),"")</f>
        <v/>
      </c>
      <c r="U166" s="34" t="str">
        <f aca="false">IF(AND(A166&lt;&gt;"",OR(K166="Move to business rules",K166="Merge into certified table")),COUNTIF($K$5:K166,"Move to business rules")+COUNTIF($K$5:K166,"Merge into certified table"),"")</f>
        <v/>
      </c>
      <c r="V166" s="34" t="str">
        <f aca="false">IF(AND(A166&lt;&gt;"",OR(K166="",K166="Undecided",J166="")),SUMPRODUCT(($A$5:A166&lt;&gt;"")*((($K$5:K166="")+($K$5:K166="Undecided")+($J$5:J166=""))&gt;0)),"")</f>
        <v/>
      </c>
    </row>
    <row r="167" customFormat="false" ht="15" hidden="false" customHeight="false" outlineLevel="0" collapsed="false">
      <c r="A167" s="29"/>
      <c r="B167" s="30"/>
      <c r="C167" s="30"/>
      <c r="D167" s="29"/>
      <c r="E167" s="20" t="str">
        <f aca="false">IF(D167="","",IFERROR(INDEX(Tables!$B:$B,MATCH(D167,Tables!$A:$A,0)),"ID not found"))</f>
        <v/>
      </c>
      <c r="F167" s="20" t="str">
        <f aca="false">IF(D167="","",IFERROR(INDEX(Tables!$C:$C,MATCH(D167,Tables!$A:$A,0)),""))</f>
        <v/>
      </c>
      <c r="G167" s="30"/>
      <c r="H167" s="30"/>
      <c r="I167" s="30"/>
      <c r="J167" s="30"/>
      <c r="K167" s="30"/>
      <c r="L167" s="30"/>
      <c r="M167" s="30"/>
      <c r="N167" s="20" t="str">
        <f aca="false">IF(A167="","",COUNTIF('Metric to Field'!$B:$B,A167))</f>
        <v/>
      </c>
      <c r="O167" s="20" t="str">
        <f aca="false">IF(A167="","",SUMIF('Metric to Field'!$B:$B,A167,'Metric to Field'!$F:$F))</f>
        <v/>
      </c>
      <c r="P167" s="30"/>
      <c r="Q167" s="30"/>
      <c r="R167" s="30"/>
      <c r="S167" s="30"/>
      <c r="T167" s="34" t="str">
        <f aca="false">IF(AND(A167&lt;&gt;"",K167="Fix upstream"),COUNTIF($K$5:K167,"Fix upstream"),"")</f>
        <v/>
      </c>
      <c r="U167" s="34" t="str">
        <f aca="false">IF(AND(A167&lt;&gt;"",OR(K167="Move to business rules",K167="Merge into certified table")),COUNTIF($K$5:K167,"Move to business rules")+COUNTIF($K$5:K167,"Merge into certified table"),"")</f>
        <v/>
      </c>
      <c r="V167" s="34" t="str">
        <f aca="false">IF(AND(A167&lt;&gt;"",OR(K167="",K167="Undecided",J167="")),SUMPRODUCT(($A$5:A167&lt;&gt;"")*((($K$5:K167="")+($K$5:K167="Undecided")+($J$5:J167=""))&gt;0)),"")</f>
        <v/>
      </c>
    </row>
    <row r="168" customFormat="false" ht="15" hidden="false" customHeight="false" outlineLevel="0" collapsed="false">
      <c r="A168" s="29"/>
      <c r="B168" s="30"/>
      <c r="C168" s="30"/>
      <c r="D168" s="29"/>
      <c r="E168" s="20" t="str">
        <f aca="false">IF(D168="","",IFERROR(INDEX(Tables!$B:$B,MATCH(D168,Tables!$A:$A,0)),"ID not found"))</f>
        <v/>
      </c>
      <c r="F168" s="20" t="str">
        <f aca="false">IF(D168="","",IFERROR(INDEX(Tables!$C:$C,MATCH(D168,Tables!$A:$A,0)),""))</f>
        <v/>
      </c>
      <c r="G168" s="30"/>
      <c r="H168" s="30"/>
      <c r="I168" s="30"/>
      <c r="J168" s="30"/>
      <c r="K168" s="30"/>
      <c r="L168" s="30"/>
      <c r="M168" s="30"/>
      <c r="N168" s="20" t="str">
        <f aca="false">IF(A168="","",COUNTIF('Metric to Field'!$B:$B,A168))</f>
        <v/>
      </c>
      <c r="O168" s="20" t="str">
        <f aca="false">IF(A168="","",SUMIF('Metric to Field'!$B:$B,A168,'Metric to Field'!$F:$F))</f>
        <v/>
      </c>
      <c r="P168" s="30"/>
      <c r="Q168" s="30"/>
      <c r="R168" s="30"/>
      <c r="S168" s="30"/>
      <c r="T168" s="34" t="str">
        <f aca="false">IF(AND(A168&lt;&gt;"",K168="Fix upstream"),COUNTIF($K$5:K168,"Fix upstream"),"")</f>
        <v/>
      </c>
      <c r="U168" s="34" t="str">
        <f aca="false">IF(AND(A168&lt;&gt;"",OR(K168="Move to business rules",K168="Merge into certified table")),COUNTIF($K$5:K168,"Move to business rules")+COUNTIF($K$5:K168,"Merge into certified table"),"")</f>
        <v/>
      </c>
      <c r="V168" s="34" t="str">
        <f aca="false">IF(AND(A168&lt;&gt;"",OR(K168="",K168="Undecided",J168="")),SUMPRODUCT(($A$5:A168&lt;&gt;"")*((($K$5:K168="")+($K$5:K168="Undecided")+($J$5:J168=""))&gt;0)),"")</f>
        <v/>
      </c>
    </row>
    <row r="169" customFormat="false" ht="15" hidden="false" customHeight="false" outlineLevel="0" collapsed="false">
      <c r="A169" s="29"/>
      <c r="B169" s="30"/>
      <c r="C169" s="30"/>
      <c r="D169" s="29"/>
      <c r="E169" s="20" t="str">
        <f aca="false">IF(D169="","",IFERROR(INDEX(Tables!$B:$B,MATCH(D169,Tables!$A:$A,0)),"ID not found"))</f>
        <v/>
      </c>
      <c r="F169" s="20" t="str">
        <f aca="false">IF(D169="","",IFERROR(INDEX(Tables!$C:$C,MATCH(D169,Tables!$A:$A,0)),""))</f>
        <v/>
      </c>
      <c r="G169" s="30"/>
      <c r="H169" s="30"/>
      <c r="I169" s="30"/>
      <c r="J169" s="30"/>
      <c r="K169" s="30"/>
      <c r="L169" s="30"/>
      <c r="M169" s="30"/>
      <c r="N169" s="20" t="str">
        <f aca="false">IF(A169="","",COUNTIF('Metric to Field'!$B:$B,A169))</f>
        <v/>
      </c>
      <c r="O169" s="20" t="str">
        <f aca="false">IF(A169="","",SUMIF('Metric to Field'!$B:$B,A169,'Metric to Field'!$F:$F))</f>
        <v/>
      </c>
      <c r="P169" s="30"/>
      <c r="Q169" s="30"/>
      <c r="R169" s="30"/>
      <c r="S169" s="30"/>
      <c r="T169" s="34" t="str">
        <f aca="false">IF(AND(A169&lt;&gt;"",K169="Fix upstream"),COUNTIF($K$5:K169,"Fix upstream"),"")</f>
        <v/>
      </c>
      <c r="U169" s="34" t="str">
        <f aca="false">IF(AND(A169&lt;&gt;"",OR(K169="Move to business rules",K169="Merge into certified table")),COUNTIF($K$5:K169,"Move to business rules")+COUNTIF($K$5:K169,"Merge into certified table"),"")</f>
        <v/>
      </c>
      <c r="V169" s="34" t="str">
        <f aca="false">IF(AND(A169&lt;&gt;"",OR(K169="",K169="Undecided",J169="")),SUMPRODUCT(($A$5:A169&lt;&gt;"")*((($K$5:K169="")+($K$5:K169="Undecided")+($J$5:J169=""))&gt;0)),"")</f>
        <v/>
      </c>
    </row>
    <row r="170" customFormat="false" ht="15" hidden="false" customHeight="false" outlineLevel="0" collapsed="false">
      <c r="A170" s="29"/>
      <c r="B170" s="30"/>
      <c r="C170" s="30"/>
      <c r="D170" s="29"/>
      <c r="E170" s="20" t="str">
        <f aca="false">IF(D170="","",IFERROR(INDEX(Tables!$B:$B,MATCH(D170,Tables!$A:$A,0)),"ID not found"))</f>
        <v/>
      </c>
      <c r="F170" s="20" t="str">
        <f aca="false">IF(D170="","",IFERROR(INDEX(Tables!$C:$C,MATCH(D170,Tables!$A:$A,0)),""))</f>
        <v/>
      </c>
      <c r="G170" s="30"/>
      <c r="H170" s="30"/>
      <c r="I170" s="30"/>
      <c r="J170" s="30"/>
      <c r="K170" s="30"/>
      <c r="L170" s="30"/>
      <c r="M170" s="30"/>
      <c r="N170" s="20" t="str">
        <f aca="false">IF(A170="","",COUNTIF('Metric to Field'!$B:$B,A170))</f>
        <v/>
      </c>
      <c r="O170" s="20" t="str">
        <f aca="false">IF(A170="","",SUMIF('Metric to Field'!$B:$B,A170,'Metric to Field'!$F:$F))</f>
        <v/>
      </c>
      <c r="P170" s="30"/>
      <c r="Q170" s="30"/>
      <c r="R170" s="30"/>
      <c r="S170" s="30"/>
      <c r="T170" s="34" t="str">
        <f aca="false">IF(AND(A170&lt;&gt;"",K170="Fix upstream"),COUNTIF($K$5:K170,"Fix upstream"),"")</f>
        <v/>
      </c>
      <c r="U170" s="34" t="str">
        <f aca="false">IF(AND(A170&lt;&gt;"",OR(K170="Move to business rules",K170="Merge into certified table")),COUNTIF($K$5:K170,"Move to business rules")+COUNTIF($K$5:K170,"Merge into certified table"),"")</f>
        <v/>
      </c>
      <c r="V170" s="34" t="str">
        <f aca="false">IF(AND(A170&lt;&gt;"",OR(K170="",K170="Undecided",J170="")),SUMPRODUCT(($A$5:A170&lt;&gt;"")*((($K$5:K170="")+($K$5:K170="Undecided")+($J$5:J170=""))&gt;0)),"")</f>
        <v/>
      </c>
    </row>
    <row r="171" customFormat="false" ht="15" hidden="false" customHeight="false" outlineLevel="0" collapsed="false">
      <c r="A171" s="29"/>
      <c r="B171" s="30"/>
      <c r="C171" s="30"/>
      <c r="D171" s="29"/>
      <c r="E171" s="20" t="str">
        <f aca="false">IF(D171="","",IFERROR(INDEX(Tables!$B:$B,MATCH(D171,Tables!$A:$A,0)),"ID not found"))</f>
        <v/>
      </c>
      <c r="F171" s="20" t="str">
        <f aca="false">IF(D171="","",IFERROR(INDEX(Tables!$C:$C,MATCH(D171,Tables!$A:$A,0)),""))</f>
        <v/>
      </c>
      <c r="G171" s="30"/>
      <c r="H171" s="30"/>
      <c r="I171" s="30"/>
      <c r="J171" s="30"/>
      <c r="K171" s="30"/>
      <c r="L171" s="30"/>
      <c r="M171" s="30"/>
      <c r="N171" s="20" t="str">
        <f aca="false">IF(A171="","",COUNTIF('Metric to Field'!$B:$B,A171))</f>
        <v/>
      </c>
      <c r="O171" s="20" t="str">
        <f aca="false">IF(A171="","",SUMIF('Metric to Field'!$B:$B,A171,'Metric to Field'!$F:$F))</f>
        <v/>
      </c>
      <c r="P171" s="30"/>
      <c r="Q171" s="30"/>
      <c r="R171" s="30"/>
      <c r="S171" s="30"/>
      <c r="T171" s="34" t="str">
        <f aca="false">IF(AND(A171&lt;&gt;"",K171="Fix upstream"),COUNTIF($K$5:K171,"Fix upstream"),"")</f>
        <v/>
      </c>
      <c r="U171" s="34" t="str">
        <f aca="false">IF(AND(A171&lt;&gt;"",OR(K171="Move to business rules",K171="Merge into certified table")),COUNTIF($K$5:K171,"Move to business rules")+COUNTIF($K$5:K171,"Merge into certified table"),"")</f>
        <v/>
      </c>
      <c r="V171" s="34" t="str">
        <f aca="false">IF(AND(A171&lt;&gt;"",OR(K171="",K171="Undecided",J171="")),SUMPRODUCT(($A$5:A171&lt;&gt;"")*((($K$5:K171="")+($K$5:K171="Undecided")+($J$5:J171=""))&gt;0)),"")</f>
        <v/>
      </c>
    </row>
    <row r="172" customFormat="false" ht="15" hidden="false" customHeight="false" outlineLevel="0" collapsed="false">
      <c r="A172" s="29"/>
      <c r="B172" s="30"/>
      <c r="C172" s="30"/>
      <c r="D172" s="29"/>
      <c r="E172" s="20" t="str">
        <f aca="false">IF(D172="","",IFERROR(INDEX(Tables!$B:$B,MATCH(D172,Tables!$A:$A,0)),"ID not found"))</f>
        <v/>
      </c>
      <c r="F172" s="20" t="str">
        <f aca="false">IF(D172="","",IFERROR(INDEX(Tables!$C:$C,MATCH(D172,Tables!$A:$A,0)),""))</f>
        <v/>
      </c>
      <c r="G172" s="30"/>
      <c r="H172" s="30"/>
      <c r="I172" s="30"/>
      <c r="J172" s="30"/>
      <c r="K172" s="30"/>
      <c r="L172" s="30"/>
      <c r="M172" s="30"/>
      <c r="N172" s="20" t="str">
        <f aca="false">IF(A172="","",COUNTIF('Metric to Field'!$B:$B,A172))</f>
        <v/>
      </c>
      <c r="O172" s="20" t="str">
        <f aca="false">IF(A172="","",SUMIF('Metric to Field'!$B:$B,A172,'Metric to Field'!$F:$F))</f>
        <v/>
      </c>
      <c r="P172" s="30"/>
      <c r="Q172" s="30"/>
      <c r="R172" s="30"/>
      <c r="S172" s="30"/>
      <c r="T172" s="34" t="str">
        <f aca="false">IF(AND(A172&lt;&gt;"",K172="Fix upstream"),COUNTIF($K$5:K172,"Fix upstream"),"")</f>
        <v/>
      </c>
      <c r="U172" s="34" t="str">
        <f aca="false">IF(AND(A172&lt;&gt;"",OR(K172="Move to business rules",K172="Merge into certified table")),COUNTIF($K$5:K172,"Move to business rules")+COUNTIF($K$5:K172,"Merge into certified table"),"")</f>
        <v/>
      </c>
      <c r="V172" s="34" t="str">
        <f aca="false">IF(AND(A172&lt;&gt;"",OR(K172="",K172="Undecided",J172="")),SUMPRODUCT(($A$5:A172&lt;&gt;"")*((($K$5:K172="")+($K$5:K172="Undecided")+($J$5:J172=""))&gt;0)),"")</f>
        <v/>
      </c>
    </row>
    <row r="173" customFormat="false" ht="15" hidden="false" customHeight="false" outlineLevel="0" collapsed="false">
      <c r="A173" s="29"/>
      <c r="B173" s="30"/>
      <c r="C173" s="30"/>
      <c r="D173" s="29"/>
      <c r="E173" s="20" t="str">
        <f aca="false">IF(D173="","",IFERROR(INDEX(Tables!$B:$B,MATCH(D173,Tables!$A:$A,0)),"ID not found"))</f>
        <v/>
      </c>
      <c r="F173" s="20" t="str">
        <f aca="false">IF(D173="","",IFERROR(INDEX(Tables!$C:$C,MATCH(D173,Tables!$A:$A,0)),""))</f>
        <v/>
      </c>
      <c r="G173" s="30"/>
      <c r="H173" s="30"/>
      <c r="I173" s="30"/>
      <c r="J173" s="30"/>
      <c r="K173" s="30"/>
      <c r="L173" s="30"/>
      <c r="M173" s="30"/>
      <c r="N173" s="20" t="str">
        <f aca="false">IF(A173="","",COUNTIF('Metric to Field'!$B:$B,A173))</f>
        <v/>
      </c>
      <c r="O173" s="20" t="str">
        <f aca="false">IF(A173="","",SUMIF('Metric to Field'!$B:$B,A173,'Metric to Field'!$F:$F))</f>
        <v/>
      </c>
      <c r="P173" s="30"/>
      <c r="Q173" s="30"/>
      <c r="R173" s="30"/>
      <c r="S173" s="30"/>
      <c r="T173" s="34" t="str">
        <f aca="false">IF(AND(A173&lt;&gt;"",K173="Fix upstream"),COUNTIF($K$5:K173,"Fix upstream"),"")</f>
        <v/>
      </c>
      <c r="U173" s="34" t="str">
        <f aca="false">IF(AND(A173&lt;&gt;"",OR(K173="Move to business rules",K173="Merge into certified table")),COUNTIF($K$5:K173,"Move to business rules")+COUNTIF($K$5:K173,"Merge into certified table"),"")</f>
        <v/>
      </c>
      <c r="V173" s="34" t="str">
        <f aca="false">IF(AND(A173&lt;&gt;"",OR(K173="",K173="Undecided",J173="")),SUMPRODUCT(($A$5:A173&lt;&gt;"")*((($K$5:K173="")+($K$5:K173="Undecided")+($J$5:J173=""))&gt;0)),"")</f>
        <v/>
      </c>
    </row>
    <row r="174" customFormat="false" ht="15" hidden="false" customHeight="false" outlineLevel="0" collapsed="false">
      <c r="A174" s="29"/>
      <c r="B174" s="30"/>
      <c r="C174" s="30"/>
      <c r="D174" s="29"/>
      <c r="E174" s="20" t="str">
        <f aca="false">IF(D174="","",IFERROR(INDEX(Tables!$B:$B,MATCH(D174,Tables!$A:$A,0)),"ID not found"))</f>
        <v/>
      </c>
      <c r="F174" s="20" t="str">
        <f aca="false">IF(D174="","",IFERROR(INDEX(Tables!$C:$C,MATCH(D174,Tables!$A:$A,0)),""))</f>
        <v/>
      </c>
      <c r="G174" s="30"/>
      <c r="H174" s="30"/>
      <c r="I174" s="30"/>
      <c r="J174" s="30"/>
      <c r="K174" s="30"/>
      <c r="L174" s="30"/>
      <c r="M174" s="30"/>
      <c r="N174" s="20" t="str">
        <f aca="false">IF(A174="","",COUNTIF('Metric to Field'!$B:$B,A174))</f>
        <v/>
      </c>
      <c r="O174" s="20" t="str">
        <f aca="false">IF(A174="","",SUMIF('Metric to Field'!$B:$B,A174,'Metric to Field'!$F:$F))</f>
        <v/>
      </c>
      <c r="P174" s="30"/>
      <c r="Q174" s="30"/>
      <c r="R174" s="30"/>
      <c r="S174" s="30"/>
      <c r="T174" s="34" t="str">
        <f aca="false">IF(AND(A174&lt;&gt;"",K174="Fix upstream"),COUNTIF($K$5:K174,"Fix upstream"),"")</f>
        <v/>
      </c>
      <c r="U174" s="34" t="str">
        <f aca="false">IF(AND(A174&lt;&gt;"",OR(K174="Move to business rules",K174="Merge into certified table")),COUNTIF($K$5:K174,"Move to business rules")+COUNTIF($K$5:K174,"Merge into certified table"),"")</f>
        <v/>
      </c>
      <c r="V174" s="34" t="str">
        <f aca="false">IF(AND(A174&lt;&gt;"",OR(K174="",K174="Undecided",J174="")),SUMPRODUCT(($A$5:A174&lt;&gt;"")*((($K$5:K174="")+($K$5:K174="Undecided")+($J$5:J174=""))&gt;0)),"")</f>
        <v/>
      </c>
    </row>
    <row r="175" customFormat="false" ht="15" hidden="false" customHeight="false" outlineLevel="0" collapsed="false">
      <c r="A175" s="29"/>
      <c r="B175" s="30"/>
      <c r="C175" s="30"/>
      <c r="D175" s="29"/>
      <c r="E175" s="20" t="str">
        <f aca="false">IF(D175="","",IFERROR(INDEX(Tables!$B:$B,MATCH(D175,Tables!$A:$A,0)),"ID not found"))</f>
        <v/>
      </c>
      <c r="F175" s="20" t="str">
        <f aca="false">IF(D175="","",IFERROR(INDEX(Tables!$C:$C,MATCH(D175,Tables!$A:$A,0)),""))</f>
        <v/>
      </c>
      <c r="G175" s="30"/>
      <c r="H175" s="30"/>
      <c r="I175" s="30"/>
      <c r="J175" s="30"/>
      <c r="K175" s="30"/>
      <c r="L175" s="30"/>
      <c r="M175" s="30"/>
      <c r="N175" s="20" t="str">
        <f aca="false">IF(A175="","",COUNTIF('Metric to Field'!$B:$B,A175))</f>
        <v/>
      </c>
      <c r="O175" s="20" t="str">
        <f aca="false">IF(A175="","",SUMIF('Metric to Field'!$B:$B,A175,'Metric to Field'!$F:$F))</f>
        <v/>
      </c>
      <c r="P175" s="30"/>
      <c r="Q175" s="30"/>
      <c r="R175" s="30"/>
      <c r="S175" s="30"/>
      <c r="T175" s="34" t="str">
        <f aca="false">IF(AND(A175&lt;&gt;"",K175="Fix upstream"),COUNTIF($K$5:K175,"Fix upstream"),"")</f>
        <v/>
      </c>
      <c r="U175" s="34" t="str">
        <f aca="false">IF(AND(A175&lt;&gt;"",OR(K175="Move to business rules",K175="Merge into certified table")),COUNTIF($K$5:K175,"Move to business rules")+COUNTIF($K$5:K175,"Merge into certified table"),"")</f>
        <v/>
      </c>
      <c r="V175" s="34" t="str">
        <f aca="false">IF(AND(A175&lt;&gt;"",OR(K175="",K175="Undecided",J175="")),SUMPRODUCT(($A$5:A175&lt;&gt;"")*((($K$5:K175="")+($K$5:K175="Undecided")+($J$5:J175=""))&gt;0)),"")</f>
        <v/>
      </c>
    </row>
    <row r="176" customFormat="false" ht="15" hidden="false" customHeight="false" outlineLevel="0" collapsed="false">
      <c r="A176" s="29"/>
      <c r="B176" s="30"/>
      <c r="C176" s="30"/>
      <c r="D176" s="29"/>
      <c r="E176" s="20" t="str">
        <f aca="false">IF(D176="","",IFERROR(INDEX(Tables!$B:$B,MATCH(D176,Tables!$A:$A,0)),"ID not found"))</f>
        <v/>
      </c>
      <c r="F176" s="20" t="str">
        <f aca="false">IF(D176="","",IFERROR(INDEX(Tables!$C:$C,MATCH(D176,Tables!$A:$A,0)),""))</f>
        <v/>
      </c>
      <c r="G176" s="30"/>
      <c r="H176" s="30"/>
      <c r="I176" s="30"/>
      <c r="J176" s="30"/>
      <c r="K176" s="30"/>
      <c r="L176" s="30"/>
      <c r="M176" s="30"/>
      <c r="N176" s="20" t="str">
        <f aca="false">IF(A176="","",COUNTIF('Metric to Field'!$B:$B,A176))</f>
        <v/>
      </c>
      <c r="O176" s="20" t="str">
        <f aca="false">IF(A176="","",SUMIF('Metric to Field'!$B:$B,A176,'Metric to Field'!$F:$F))</f>
        <v/>
      </c>
      <c r="P176" s="30"/>
      <c r="Q176" s="30"/>
      <c r="R176" s="30"/>
      <c r="S176" s="30"/>
      <c r="T176" s="34" t="str">
        <f aca="false">IF(AND(A176&lt;&gt;"",K176="Fix upstream"),COUNTIF($K$5:K176,"Fix upstream"),"")</f>
        <v/>
      </c>
      <c r="U176" s="34" t="str">
        <f aca="false">IF(AND(A176&lt;&gt;"",OR(K176="Move to business rules",K176="Merge into certified table")),COUNTIF($K$5:K176,"Move to business rules")+COUNTIF($K$5:K176,"Merge into certified table"),"")</f>
        <v/>
      </c>
      <c r="V176" s="34" t="str">
        <f aca="false">IF(AND(A176&lt;&gt;"",OR(K176="",K176="Undecided",J176="")),SUMPRODUCT(($A$5:A176&lt;&gt;"")*((($K$5:K176="")+($K$5:K176="Undecided")+($J$5:J176=""))&gt;0)),"")</f>
        <v/>
      </c>
    </row>
    <row r="177" customFormat="false" ht="15" hidden="false" customHeight="false" outlineLevel="0" collapsed="false">
      <c r="A177" s="29"/>
      <c r="B177" s="30"/>
      <c r="C177" s="30"/>
      <c r="D177" s="29"/>
      <c r="E177" s="20" t="str">
        <f aca="false">IF(D177="","",IFERROR(INDEX(Tables!$B:$B,MATCH(D177,Tables!$A:$A,0)),"ID not found"))</f>
        <v/>
      </c>
      <c r="F177" s="20" t="str">
        <f aca="false">IF(D177="","",IFERROR(INDEX(Tables!$C:$C,MATCH(D177,Tables!$A:$A,0)),""))</f>
        <v/>
      </c>
      <c r="G177" s="30"/>
      <c r="H177" s="30"/>
      <c r="I177" s="30"/>
      <c r="J177" s="30"/>
      <c r="K177" s="30"/>
      <c r="L177" s="30"/>
      <c r="M177" s="30"/>
      <c r="N177" s="20" t="str">
        <f aca="false">IF(A177="","",COUNTIF('Metric to Field'!$B:$B,A177))</f>
        <v/>
      </c>
      <c r="O177" s="20" t="str">
        <f aca="false">IF(A177="","",SUMIF('Metric to Field'!$B:$B,A177,'Metric to Field'!$F:$F))</f>
        <v/>
      </c>
      <c r="P177" s="30"/>
      <c r="Q177" s="30"/>
      <c r="R177" s="30"/>
      <c r="S177" s="30"/>
      <c r="T177" s="34" t="str">
        <f aca="false">IF(AND(A177&lt;&gt;"",K177="Fix upstream"),COUNTIF($K$5:K177,"Fix upstream"),"")</f>
        <v/>
      </c>
      <c r="U177" s="34" t="str">
        <f aca="false">IF(AND(A177&lt;&gt;"",OR(K177="Move to business rules",K177="Merge into certified table")),COUNTIF($K$5:K177,"Move to business rules")+COUNTIF($K$5:K177,"Merge into certified table"),"")</f>
        <v/>
      </c>
      <c r="V177" s="34" t="str">
        <f aca="false">IF(AND(A177&lt;&gt;"",OR(K177="",K177="Undecided",J177="")),SUMPRODUCT(($A$5:A177&lt;&gt;"")*((($K$5:K177="")+($K$5:K177="Undecided")+($J$5:J177=""))&gt;0)),"")</f>
        <v/>
      </c>
    </row>
    <row r="178" customFormat="false" ht="15" hidden="false" customHeight="false" outlineLevel="0" collapsed="false">
      <c r="A178" s="29"/>
      <c r="B178" s="30"/>
      <c r="C178" s="30"/>
      <c r="D178" s="29"/>
      <c r="E178" s="20" t="str">
        <f aca="false">IF(D178="","",IFERROR(INDEX(Tables!$B:$B,MATCH(D178,Tables!$A:$A,0)),"ID not found"))</f>
        <v/>
      </c>
      <c r="F178" s="20" t="str">
        <f aca="false">IF(D178="","",IFERROR(INDEX(Tables!$C:$C,MATCH(D178,Tables!$A:$A,0)),""))</f>
        <v/>
      </c>
      <c r="G178" s="30"/>
      <c r="H178" s="30"/>
      <c r="I178" s="30"/>
      <c r="J178" s="30"/>
      <c r="K178" s="30"/>
      <c r="L178" s="30"/>
      <c r="M178" s="30"/>
      <c r="N178" s="20" t="str">
        <f aca="false">IF(A178="","",COUNTIF('Metric to Field'!$B:$B,A178))</f>
        <v/>
      </c>
      <c r="O178" s="20" t="str">
        <f aca="false">IF(A178="","",SUMIF('Metric to Field'!$B:$B,A178,'Metric to Field'!$F:$F))</f>
        <v/>
      </c>
      <c r="P178" s="30"/>
      <c r="Q178" s="30"/>
      <c r="R178" s="30"/>
      <c r="S178" s="30"/>
      <c r="T178" s="34" t="str">
        <f aca="false">IF(AND(A178&lt;&gt;"",K178="Fix upstream"),COUNTIF($K$5:K178,"Fix upstream"),"")</f>
        <v/>
      </c>
      <c r="U178" s="34" t="str">
        <f aca="false">IF(AND(A178&lt;&gt;"",OR(K178="Move to business rules",K178="Merge into certified table")),COUNTIF($K$5:K178,"Move to business rules")+COUNTIF($K$5:K178,"Merge into certified table"),"")</f>
        <v/>
      </c>
      <c r="V178" s="34" t="str">
        <f aca="false">IF(AND(A178&lt;&gt;"",OR(K178="",K178="Undecided",J178="")),SUMPRODUCT(($A$5:A178&lt;&gt;"")*((($K$5:K178="")+($K$5:K178="Undecided")+($J$5:J178=""))&gt;0)),"")</f>
        <v/>
      </c>
    </row>
    <row r="179" customFormat="false" ht="15" hidden="false" customHeight="false" outlineLevel="0" collapsed="false">
      <c r="A179" s="29"/>
      <c r="B179" s="30"/>
      <c r="C179" s="30"/>
      <c r="D179" s="29"/>
      <c r="E179" s="20" t="str">
        <f aca="false">IF(D179="","",IFERROR(INDEX(Tables!$B:$B,MATCH(D179,Tables!$A:$A,0)),"ID not found"))</f>
        <v/>
      </c>
      <c r="F179" s="20" t="str">
        <f aca="false">IF(D179="","",IFERROR(INDEX(Tables!$C:$C,MATCH(D179,Tables!$A:$A,0)),""))</f>
        <v/>
      </c>
      <c r="G179" s="30"/>
      <c r="H179" s="30"/>
      <c r="I179" s="30"/>
      <c r="J179" s="30"/>
      <c r="K179" s="30"/>
      <c r="L179" s="30"/>
      <c r="M179" s="30"/>
      <c r="N179" s="20" t="str">
        <f aca="false">IF(A179="","",COUNTIF('Metric to Field'!$B:$B,A179))</f>
        <v/>
      </c>
      <c r="O179" s="20" t="str">
        <f aca="false">IF(A179="","",SUMIF('Metric to Field'!$B:$B,A179,'Metric to Field'!$F:$F))</f>
        <v/>
      </c>
      <c r="P179" s="30"/>
      <c r="Q179" s="30"/>
      <c r="R179" s="30"/>
      <c r="S179" s="30"/>
      <c r="T179" s="34" t="str">
        <f aca="false">IF(AND(A179&lt;&gt;"",K179="Fix upstream"),COUNTIF($K$5:K179,"Fix upstream"),"")</f>
        <v/>
      </c>
      <c r="U179" s="34" t="str">
        <f aca="false">IF(AND(A179&lt;&gt;"",OR(K179="Move to business rules",K179="Merge into certified table")),COUNTIF($K$5:K179,"Move to business rules")+COUNTIF($K$5:K179,"Merge into certified table"),"")</f>
        <v/>
      </c>
      <c r="V179" s="34" t="str">
        <f aca="false">IF(AND(A179&lt;&gt;"",OR(K179="",K179="Undecided",J179="")),SUMPRODUCT(($A$5:A179&lt;&gt;"")*((($K$5:K179="")+($K$5:K179="Undecided")+($J$5:J179=""))&gt;0)),"")</f>
        <v/>
      </c>
    </row>
    <row r="180" customFormat="false" ht="15" hidden="false" customHeight="false" outlineLevel="0" collapsed="false">
      <c r="A180" s="29"/>
      <c r="B180" s="30"/>
      <c r="C180" s="30"/>
      <c r="D180" s="29"/>
      <c r="E180" s="20" t="str">
        <f aca="false">IF(D180="","",IFERROR(INDEX(Tables!$B:$B,MATCH(D180,Tables!$A:$A,0)),"ID not found"))</f>
        <v/>
      </c>
      <c r="F180" s="20" t="str">
        <f aca="false">IF(D180="","",IFERROR(INDEX(Tables!$C:$C,MATCH(D180,Tables!$A:$A,0)),""))</f>
        <v/>
      </c>
      <c r="G180" s="30"/>
      <c r="H180" s="30"/>
      <c r="I180" s="30"/>
      <c r="J180" s="30"/>
      <c r="K180" s="30"/>
      <c r="L180" s="30"/>
      <c r="M180" s="30"/>
      <c r="N180" s="20" t="str">
        <f aca="false">IF(A180="","",COUNTIF('Metric to Field'!$B:$B,A180))</f>
        <v/>
      </c>
      <c r="O180" s="20" t="str">
        <f aca="false">IF(A180="","",SUMIF('Metric to Field'!$B:$B,A180,'Metric to Field'!$F:$F))</f>
        <v/>
      </c>
      <c r="P180" s="30"/>
      <c r="Q180" s="30"/>
      <c r="R180" s="30"/>
      <c r="S180" s="30"/>
      <c r="T180" s="34" t="str">
        <f aca="false">IF(AND(A180&lt;&gt;"",K180="Fix upstream"),COUNTIF($K$5:K180,"Fix upstream"),"")</f>
        <v/>
      </c>
      <c r="U180" s="34" t="str">
        <f aca="false">IF(AND(A180&lt;&gt;"",OR(K180="Move to business rules",K180="Merge into certified table")),COUNTIF($K$5:K180,"Move to business rules")+COUNTIF($K$5:K180,"Merge into certified table"),"")</f>
        <v/>
      </c>
      <c r="V180" s="34" t="str">
        <f aca="false">IF(AND(A180&lt;&gt;"",OR(K180="",K180="Undecided",J180="")),SUMPRODUCT(($A$5:A180&lt;&gt;"")*((($K$5:K180="")+($K$5:K180="Undecided")+($J$5:J180=""))&gt;0)),"")</f>
        <v/>
      </c>
    </row>
    <row r="181" customFormat="false" ht="15" hidden="false" customHeight="false" outlineLevel="0" collapsed="false">
      <c r="A181" s="29"/>
      <c r="B181" s="30"/>
      <c r="C181" s="30"/>
      <c r="D181" s="29"/>
      <c r="E181" s="20" t="str">
        <f aca="false">IF(D181="","",IFERROR(INDEX(Tables!$B:$B,MATCH(D181,Tables!$A:$A,0)),"ID not found"))</f>
        <v/>
      </c>
      <c r="F181" s="20" t="str">
        <f aca="false">IF(D181="","",IFERROR(INDEX(Tables!$C:$C,MATCH(D181,Tables!$A:$A,0)),""))</f>
        <v/>
      </c>
      <c r="G181" s="30"/>
      <c r="H181" s="30"/>
      <c r="I181" s="30"/>
      <c r="J181" s="30"/>
      <c r="K181" s="30"/>
      <c r="L181" s="30"/>
      <c r="M181" s="30"/>
      <c r="N181" s="20" t="str">
        <f aca="false">IF(A181="","",COUNTIF('Metric to Field'!$B:$B,A181))</f>
        <v/>
      </c>
      <c r="O181" s="20" t="str">
        <f aca="false">IF(A181="","",SUMIF('Metric to Field'!$B:$B,A181,'Metric to Field'!$F:$F))</f>
        <v/>
      </c>
      <c r="P181" s="30"/>
      <c r="Q181" s="30"/>
      <c r="R181" s="30"/>
      <c r="S181" s="30"/>
      <c r="T181" s="34" t="str">
        <f aca="false">IF(AND(A181&lt;&gt;"",K181="Fix upstream"),COUNTIF($K$5:K181,"Fix upstream"),"")</f>
        <v/>
      </c>
      <c r="U181" s="34" t="str">
        <f aca="false">IF(AND(A181&lt;&gt;"",OR(K181="Move to business rules",K181="Merge into certified table")),COUNTIF($K$5:K181,"Move to business rules")+COUNTIF($K$5:K181,"Merge into certified table"),"")</f>
        <v/>
      </c>
      <c r="V181" s="34" t="str">
        <f aca="false">IF(AND(A181&lt;&gt;"",OR(K181="",K181="Undecided",J181="")),SUMPRODUCT(($A$5:A181&lt;&gt;"")*((($K$5:K181="")+($K$5:K181="Undecided")+($J$5:J181=""))&gt;0)),"")</f>
        <v/>
      </c>
    </row>
    <row r="182" customFormat="false" ht="15" hidden="false" customHeight="false" outlineLevel="0" collapsed="false">
      <c r="A182" s="29"/>
      <c r="B182" s="30"/>
      <c r="C182" s="30"/>
      <c r="D182" s="29"/>
      <c r="E182" s="20" t="str">
        <f aca="false">IF(D182="","",IFERROR(INDEX(Tables!$B:$B,MATCH(D182,Tables!$A:$A,0)),"ID not found"))</f>
        <v/>
      </c>
      <c r="F182" s="20" t="str">
        <f aca="false">IF(D182="","",IFERROR(INDEX(Tables!$C:$C,MATCH(D182,Tables!$A:$A,0)),""))</f>
        <v/>
      </c>
      <c r="G182" s="30"/>
      <c r="H182" s="30"/>
      <c r="I182" s="30"/>
      <c r="J182" s="30"/>
      <c r="K182" s="30"/>
      <c r="L182" s="30"/>
      <c r="M182" s="30"/>
      <c r="N182" s="20" t="str">
        <f aca="false">IF(A182="","",COUNTIF('Metric to Field'!$B:$B,A182))</f>
        <v/>
      </c>
      <c r="O182" s="20" t="str">
        <f aca="false">IF(A182="","",SUMIF('Metric to Field'!$B:$B,A182,'Metric to Field'!$F:$F))</f>
        <v/>
      </c>
      <c r="P182" s="30"/>
      <c r="Q182" s="30"/>
      <c r="R182" s="30"/>
      <c r="S182" s="30"/>
      <c r="T182" s="34" t="str">
        <f aca="false">IF(AND(A182&lt;&gt;"",K182="Fix upstream"),COUNTIF($K$5:K182,"Fix upstream"),"")</f>
        <v/>
      </c>
      <c r="U182" s="34" t="str">
        <f aca="false">IF(AND(A182&lt;&gt;"",OR(K182="Move to business rules",K182="Merge into certified table")),COUNTIF($K$5:K182,"Move to business rules")+COUNTIF($K$5:K182,"Merge into certified table"),"")</f>
        <v/>
      </c>
      <c r="V182" s="34" t="str">
        <f aca="false">IF(AND(A182&lt;&gt;"",OR(K182="",K182="Undecided",J182="")),SUMPRODUCT(($A$5:A182&lt;&gt;"")*((($K$5:K182="")+($K$5:K182="Undecided")+($J$5:J182=""))&gt;0)),"")</f>
        <v/>
      </c>
    </row>
    <row r="183" customFormat="false" ht="15" hidden="false" customHeight="false" outlineLevel="0" collapsed="false">
      <c r="A183" s="29"/>
      <c r="B183" s="30"/>
      <c r="C183" s="30"/>
      <c r="D183" s="29"/>
      <c r="E183" s="20" t="str">
        <f aca="false">IF(D183="","",IFERROR(INDEX(Tables!$B:$B,MATCH(D183,Tables!$A:$A,0)),"ID not found"))</f>
        <v/>
      </c>
      <c r="F183" s="20" t="str">
        <f aca="false">IF(D183="","",IFERROR(INDEX(Tables!$C:$C,MATCH(D183,Tables!$A:$A,0)),""))</f>
        <v/>
      </c>
      <c r="G183" s="30"/>
      <c r="H183" s="30"/>
      <c r="I183" s="30"/>
      <c r="J183" s="30"/>
      <c r="K183" s="30"/>
      <c r="L183" s="30"/>
      <c r="M183" s="30"/>
      <c r="N183" s="20" t="str">
        <f aca="false">IF(A183="","",COUNTIF('Metric to Field'!$B:$B,A183))</f>
        <v/>
      </c>
      <c r="O183" s="20" t="str">
        <f aca="false">IF(A183="","",SUMIF('Metric to Field'!$B:$B,A183,'Metric to Field'!$F:$F))</f>
        <v/>
      </c>
      <c r="P183" s="30"/>
      <c r="Q183" s="30"/>
      <c r="R183" s="30"/>
      <c r="S183" s="30"/>
      <c r="T183" s="34" t="str">
        <f aca="false">IF(AND(A183&lt;&gt;"",K183="Fix upstream"),COUNTIF($K$5:K183,"Fix upstream"),"")</f>
        <v/>
      </c>
      <c r="U183" s="34" t="str">
        <f aca="false">IF(AND(A183&lt;&gt;"",OR(K183="Move to business rules",K183="Merge into certified table")),COUNTIF($K$5:K183,"Move to business rules")+COUNTIF($K$5:K183,"Merge into certified table"),"")</f>
        <v/>
      </c>
      <c r="V183" s="34" t="str">
        <f aca="false">IF(AND(A183&lt;&gt;"",OR(K183="",K183="Undecided",J183="")),SUMPRODUCT(($A$5:A183&lt;&gt;"")*((($K$5:K183="")+($K$5:K183="Undecided")+($J$5:J183=""))&gt;0)),"")</f>
        <v/>
      </c>
    </row>
    <row r="184" customFormat="false" ht="15" hidden="false" customHeight="false" outlineLevel="0" collapsed="false">
      <c r="A184" s="29"/>
      <c r="B184" s="30"/>
      <c r="C184" s="30"/>
      <c r="D184" s="29"/>
      <c r="E184" s="20" t="str">
        <f aca="false">IF(D184="","",IFERROR(INDEX(Tables!$B:$B,MATCH(D184,Tables!$A:$A,0)),"ID not found"))</f>
        <v/>
      </c>
      <c r="F184" s="20" t="str">
        <f aca="false">IF(D184="","",IFERROR(INDEX(Tables!$C:$C,MATCH(D184,Tables!$A:$A,0)),""))</f>
        <v/>
      </c>
      <c r="G184" s="30"/>
      <c r="H184" s="30"/>
      <c r="I184" s="30"/>
      <c r="J184" s="30"/>
      <c r="K184" s="30"/>
      <c r="L184" s="30"/>
      <c r="M184" s="30"/>
      <c r="N184" s="20" t="str">
        <f aca="false">IF(A184="","",COUNTIF('Metric to Field'!$B:$B,A184))</f>
        <v/>
      </c>
      <c r="O184" s="20" t="str">
        <f aca="false">IF(A184="","",SUMIF('Metric to Field'!$B:$B,A184,'Metric to Field'!$F:$F))</f>
        <v/>
      </c>
      <c r="P184" s="30"/>
      <c r="Q184" s="30"/>
      <c r="R184" s="30"/>
      <c r="S184" s="30"/>
      <c r="T184" s="34" t="str">
        <f aca="false">IF(AND(A184&lt;&gt;"",K184="Fix upstream"),COUNTIF($K$5:K184,"Fix upstream"),"")</f>
        <v/>
      </c>
      <c r="U184" s="34" t="str">
        <f aca="false">IF(AND(A184&lt;&gt;"",OR(K184="Move to business rules",K184="Merge into certified table")),COUNTIF($K$5:K184,"Move to business rules")+COUNTIF($K$5:K184,"Merge into certified table"),"")</f>
        <v/>
      </c>
      <c r="V184" s="34" t="str">
        <f aca="false">IF(AND(A184&lt;&gt;"",OR(K184="",K184="Undecided",J184="")),SUMPRODUCT(($A$5:A184&lt;&gt;"")*((($K$5:K184="")+($K$5:K184="Undecided")+($J$5:J184=""))&gt;0)),"")</f>
        <v/>
      </c>
    </row>
    <row r="185" customFormat="false" ht="15" hidden="false" customHeight="false" outlineLevel="0" collapsed="false">
      <c r="A185" s="29"/>
      <c r="B185" s="30"/>
      <c r="C185" s="30"/>
      <c r="D185" s="29"/>
      <c r="E185" s="20" t="str">
        <f aca="false">IF(D185="","",IFERROR(INDEX(Tables!$B:$B,MATCH(D185,Tables!$A:$A,0)),"ID not found"))</f>
        <v/>
      </c>
      <c r="F185" s="20" t="str">
        <f aca="false">IF(D185="","",IFERROR(INDEX(Tables!$C:$C,MATCH(D185,Tables!$A:$A,0)),""))</f>
        <v/>
      </c>
      <c r="G185" s="30"/>
      <c r="H185" s="30"/>
      <c r="I185" s="30"/>
      <c r="J185" s="30"/>
      <c r="K185" s="30"/>
      <c r="L185" s="30"/>
      <c r="M185" s="30"/>
      <c r="N185" s="20" t="str">
        <f aca="false">IF(A185="","",COUNTIF('Metric to Field'!$B:$B,A185))</f>
        <v/>
      </c>
      <c r="O185" s="20" t="str">
        <f aca="false">IF(A185="","",SUMIF('Metric to Field'!$B:$B,A185,'Metric to Field'!$F:$F))</f>
        <v/>
      </c>
      <c r="P185" s="30"/>
      <c r="Q185" s="30"/>
      <c r="R185" s="30"/>
      <c r="S185" s="30"/>
      <c r="T185" s="34" t="str">
        <f aca="false">IF(AND(A185&lt;&gt;"",K185="Fix upstream"),COUNTIF($K$5:K185,"Fix upstream"),"")</f>
        <v/>
      </c>
      <c r="U185" s="34" t="str">
        <f aca="false">IF(AND(A185&lt;&gt;"",OR(K185="Move to business rules",K185="Merge into certified table")),COUNTIF($K$5:K185,"Move to business rules")+COUNTIF($K$5:K185,"Merge into certified table"),"")</f>
        <v/>
      </c>
      <c r="V185" s="34" t="str">
        <f aca="false">IF(AND(A185&lt;&gt;"",OR(K185="",K185="Undecided",J185="")),SUMPRODUCT(($A$5:A185&lt;&gt;"")*((($K$5:K185="")+($K$5:K185="Undecided")+($J$5:J185=""))&gt;0)),"")</f>
        <v/>
      </c>
    </row>
    <row r="186" customFormat="false" ht="15" hidden="false" customHeight="false" outlineLevel="0" collapsed="false">
      <c r="A186" s="29"/>
      <c r="B186" s="30"/>
      <c r="C186" s="30"/>
      <c r="D186" s="29"/>
      <c r="E186" s="20" t="str">
        <f aca="false">IF(D186="","",IFERROR(INDEX(Tables!$B:$B,MATCH(D186,Tables!$A:$A,0)),"ID not found"))</f>
        <v/>
      </c>
      <c r="F186" s="20" t="str">
        <f aca="false">IF(D186="","",IFERROR(INDEX(Tables!$C:$C,MATCH(D186,Tables!$A:$A,0)),""))</f>
        <v/>
      </c>
      <c r="G186" s="30"/>
      <c r="H186" s="30"/>
      <c r="I186" s="30"/>
      <c r="J186" s="30"/>
      <c r="K186" s="30"/>
      <c r="L186" s="30"/>
      <c r="M186" s="30"/>
      <c r="N186" s="20" t="str">
        <f aca="false">IF(A186="","",COUNTIF('Metric to Field'!$B:$B,A186))</f>
        <v/>
      </c>
      <c r="O186" s="20" t="str">
        <f aca="false">IF(A186="","",SUMIF('Metric to Field'!$B:$B,A186,'Metric to Field'!$F:$F))</f>
        <v/>
      </c>
      <c r="P186" s="30"/>
      <c r="Q186" s="30"/>
      <c r="R186" s="30"/>
      <c r="S186" s="30"/>
      <c r="T186" s="34" t="str">
        <f aca="false">IF(AND(A186&lt;&gt;"",K186="Fix upstream"),COUNTIF($K$5:K186,"Fix upstream"),"")</f>
        <v/>
      </c>
      <c r="U186" s="34" t="str">
        <f aca="false">IF(AND(A186&lt;&gt;"",OR(K186="Move to business rules",K186="Merge into certified table")),COUNTIF($K$5:K186,"Move to business rules")+COUNTIF($K$5:K186,"Merge into certified table"),"")</f>
        <v/>
      </c>
      <c r="V186" s="34" t="str">
        <f aca="false">IF(AND(A186&lt;&gt;"",OR(K186="",K186="Undecided",J186="")),SUMPRODUCT(($A$5:A186&lt;&gt;"")*((($K$5:K186="")+($K$5:K186="Undecided")+($J$5:J186=""))&gt;0)),"")</f>
        <v/>
      </c>
    </row>
    <row r="187" customFormat="false" ht="15" hidden="false" customHeight="false" outlineLevel="0" collapsed="false">
      <c r="A187" s="29"/>
      <c r="B187" s="30"/>
      <c r="C187" s="30"/>
      <c r="D187" s="29"/>
      <c r="E187" s="20" t="str">
        <f aca="false">IF(D187="","",IFERROR(INDEX(Tables!$B:$B,MATCH(D187,Tables!$A:$A,0)),"ID not found"))</f>
        <v/>
      </c>
      <c r="F187" s="20" t="str">
        <f aca="false">IF(D187="","",IFERROR(INDEX(Tables!$C:$C,MATCH(D187,Tables!$A:$A,0)),""))</f>
        <v/>
      </c>
      <c r="G187" s="30"/>
      <c r="H187" s="30"/>
      <c r="I187" s="30"/>
      <c r="J187" s="30"/>
      <c r="K187" s="30"/>
      <c r="L187" s="30"/>
      <c r="M187" s="30"/>
      <c r="N187" s="20" t="str">
        <f aca="false">IF(A187="","",COUNTIF('Metric to Field'!$B:$B,A187))</f>
        <v/>
      </c>
      <c r="O187" s="20" t="str">
        <f aca="false">IF(A187="","",SUMIF('Metric to Field'!$B:$B,A187,'Metric to Field'!$F:$F))</f>
        <v/>
      </c>
      <c r="P187" s="30"/>
      <c r="Q187" s="30"/>
      <c r="R187" s="30"/>
      <c r="S187" s="30"/>
      <c r="T187" s="34" t="str">
        <f aca="false">IF(AND(A187&lt;&gt;"",K187="Fix upstream"),COUNTIF($K$5:K187,"Fix upstream"),"")</f>
        <v/>
      </c>
      <c r="U187" s="34" t="str">
        <f aca="false">IF(AND(A187&lt;&gt;"",OR(K187="Move to business rules",K187="Merge into certified table")),COUNTIF($K$5:K187,"Move to business rules")+COUNTIF($K$5:K187,"Merge into certified table"),"")</f>
        <v/>
      </c>
      <c r="V187" s="34" t="str">
        <f aca="false">IF(AND(A187&lt;&gt;"",OR(K187="",K187="Undecided",J187="")),SUMPRODUCT(($A$5:A187&lt;&gt;"")*((($K$5:K187="")+($K$5:K187="Undecided")+($J$5:J187=""))&gt;0)),"")</f>
        <v/>
      </c>
    </row>
    <row r="188" customFormat="false" ht="15" hidden="false" customHeight="false" outlineLevel="0" collapsed="false">
      <c r="A188" s="29"/>
      <c r="B188" s="30"/>
      <c r="C188" s="30"/>
      <c r="D188" s="29"/>
      <c r="E188" s="20" t="str">
        <f aca="false">IF(D188="","",IFERROR(INDEX(Tables!$B:$B,MATCH(D188,Tables!$A:$A,0)),"ID not found"))</f>
        <v/>
      </c>
      <c r="F188" s="20" t="str">
        <f aca="false">IF(D188="","",IFERROR(INDEX(Tables!$C:$C,MATCH(D188,Tables!$A:$A,0)),""))</f>
        <v/>
      </c>
      <c r="G188" s="30"/>
      <c r="H188" s="30"/>
      <c r="I188" s="30"/>
      <c r="J188" s="30"/>
      <c r="K188" s="30"/>
      <c r="L188" s="30"/>
      <c r="M188" s="30"/>
      <c r="N188" s="20" t="str">
        <f aca="false">IF(A188="","",COUNTIF('Metric to Field'!$B:$B,A188))</f>
        <v/>
      </c>
      <c r="O188" s="20" t="str">
        <f aca="false">IF(A188="","",SUMIF('Metric to Field'!$B:$B,A188,'Metric to Field'!$F:$F))</f>
        <v/>
      </c>
      <c r="P188" s="30"/>
      <c r="Q188" s="30"/>
      <c r="R188" s="30"/>
      <c r="S188" s="30"/>
      <c r="T188" s="34" t="str">
        <f aca="false">IF(AND(A188&lt;&gt;"",K188="Fix upstream"),COUNTIF($K$5:K188,"Fix upstream"),"")</f>
        <v/>
      </c>
      <c r="U188" s="34" t="str">
        <f aca="false">IF(AND(A188&lt;&gt;"",OR(K188="Move to business rules",K188="Merge into certified table")),COUNTIF($K$5:K188,"Move to business rules")+COUNTIF($K$5:K188,"Merge into certified table"),"")</f>
        <v/>
      </c>
      <c r="V188" s="34" t="str">
        <f aca="false">IF(AND(A188&lt;&gt;"",OR(K188="",K188="Undecided",J188="")),SUMPRODUCT(($A$5:A188&lt;&gt;"")*((($K$5:K188="")+($K$5:K188="Undecided")+($J$5:J188=""))&gt;0)),"")</f>
        <v/>
      </c>
    </row>
    <row r="189" customFormat="false" ht="15" hidden="false" customHeight="false" outlineLevel="0" collapsed="false">
      <c r="A189" s="29"/>
      <c r="B189" s="30"/>
      <c r="C189" s="30"/>
      <c r="D189" s="29"/>
      <c r="E189" s="20" t="str">
        <f aca="false">IF(D189="","",IFERROR(INDEX(Tables!$B:$B,MATCH(D189,Tables!$A:$A,0)),"ID not found"))</f>
        <v/>
      </c>
      <c r="F189" s="20" t="str">
        <f aca="false">IF(D189="","",IFERROR(INDEX(Tables!$C:$C,MATCH(D189,Tables!$A:$A,0)),""))</f>
        <v/>
      </c>
      <c r="G189" s="30"/>
      <c r="H189" s="30"/>
      <c r="I189" s="30"/>
      <c r="J189" s="30"/>
      <c r="K189" s="30"/>
      <c r="L189" s="30"/>
      <c r="M189" s="30"/>
      <c r="N189" s="20" t="str">
        <f aca="false">IF(A189="","",COUNTIF('Metric to Field'!$B:$B,A189))</f>
        <v/>
      </c>
      <c r="O189" s="20" t="str">
        <f aca="false">IF(A189="","",SUMIF('Metric to Field'!$B:$B,A189,'Metric to Field'!$F:$F))</f>
        <v/>
      </c>
      <c r="P189" s="30"/>
      <c r="Q189" s="30"/>
      <c r="R189" s="30"/>
      <c r="S189" s="30"/>
      <c r="T189" s="34" t="str">
        <f aca="false">IF(AND(A189&lt;&gt;"",K189="Fix upstream"),COUNTIF($K$5:K189,"Fix upstream"),"")</f>
        <v/>
      </c>
      <c r="U189" s="34" t="str">
        <f aca="false">IF(AND(A189&lt;&gt;"",OR(K189="Move to business rules",K189="Merge into certified table")),COUNTIF($K$5:K189,"Move to business rules")+COUNTIF($K$5:K189,"Merge into certified table"),"")</f>
        <v/>
      </c>
      <c r="V189" s="34" t="str">
        <f aca="false">IF(AND(A189&lt;&gt;"",OR(K189="",K189="Undecided",J189="")),SUMPRODUCT(($A$5:A189&lt;&gt;"")*((($K$5:K189="")+($K$5:K189="Undecided")+($J$5:J189=""))&gt;0)),"")</f>
        <v/>
      </c>
    </row>
    <row r="190" customFormat="false" ht="15" hidden="false" customHeight="false" outlineLevel="0" collapsed="false">
      <c r="A190" s="29"/>
      <c r="B190" s="30"/>
      <c r="C190" s="30"/>
      <c r="D190" s="29"/>
      <c r="E190" s="20" t="str">
        <f aca="false">IF(D190="","",IFERROR(INDEX(Tables!$B:$B,MATCH(D190,Tables!$A:$A,0)),"ID not found"))</f>
        <v/>
      </c>
      <c r="F190" s="20" t="str">
        <f aca="false">IF(D190="","",IFERROR(INDEX(Tables!$C:$C,MATCH(D190,Tables!$A:$A,0)),""))</f>
        <v/>
      </c>
      <c r="G190" s="30"/>
      <c r="H190" s="30"/>
      <c r="I190" s="30"/>
      <c r="J190" s="30"/>
      <c r="K190" s="30"/>
      <c r="L190" s="30"/>
      <c r="M190" s="30"/>
      <c r="N190" s="20" t="str">
        <f aca="false">IF(A190="","",COUNTIF('Metric to Field'!$B:$B,A190))</f>
        <v/>
      </c>
      <c r="O190" s="20" t="str">
        <f aca="false">IF(A190="","",SUMIF('Metric to Field'!$B:$B,A190,'Metric to Field'!$F:$F))</f>
        <v/>
      </c>
      <c r="P190" s="30"/>
      <c r="Q190" s="30"/>
      <c r="R190" s="30"/>
      <c r="S190" s="30"/>
      <c r="T190" s="34" t="str">
        <f aca="false">IF(AND(A190&lt;&gt;"",K190="Fix upstream"),COUNTIF($K$5:K190,"Fix upstream"),"")</f>
        <v/>
      </c>
      <c r="U190" s="34" t="str">
        <f aca="false">IF(AND(A190&lt;&gt;"",OR(K190="Move to business rules",K190="Merge into certified table")),COUNTIF($K$5:K190,"Move to business rules")+COUNTIF($K$5:K190,"Merge into certified table"),"")</f>
        <v/>
      </c>
      <c r="V190" s="34" t="str">
        <f aca="false">IF(AND(A190&lt;&gt;"",OR(K190="",K190="Undecided",J190="")),SUMPRODUCT(($A$5:A190&lt;&gt;"")*((($K$5:K190="")+($K$5:K190="Undecided")+($J$5:J190=""))&gt;0)),"")</f>
        <v/>
      </c>
    </row>
    <row r="191" customFormat="false" ht="15" hidden="false" customHeight="false" outlineLevel="0" collapsed="false">
      <c r="A191" s="29"/>
      <c r="B191" s="30"/>
      <c r="C191" s="30"/>
      <c r="D191" s="29"/>
      <c r="E191" s="20" t="str">
        <f aca="false">IF(D191="","",IFERROR(INDEX(Tables!$B:$B,MATCH(D191,Tables!$A:$A,0)),"ID not found"))</f>
        <v/>
      </c>
      <c r="F191" s="20" t="str">
        <f aca="false">IF(D191="","",IFERROR(INDEX(Tables!$C:$C,MATCH(D191,Tables!$A:$A,0)),""))</f>
        <v/>
      </c>
      <c r="G191" s="30"/>
      <c r="H191" s="30"/>
      <c r="I191" s="30"/>
      <c r="J191" s="30"/>
      <c r="K191" s="30"/>
      <c r="L191" s="30"/>
      <c r="M191" s="30"/>
      <c r="N191" s="20" t="str">
        <f aca="false">IF(A191="","",COUNTIF('Metric to Field'!$B:$B,A191))</f>
        <v/>
      </c>
      <c r="O191" s="20" t="str">
        <f aca="false">IF(A191="","",SUMIF('Metric to Field'!$B:$B,A191,'Metric to Field'!$F:$F))</f>
        <v/>
      </c>
      <c r="P191" s="30"/>
      <c r="Q191" s="30"/>
      <c r="R191" s="30"/>
      <c r="S191" s="30"/>
      <c r="T191" s="34" t="str">
        <f aca="false">IF(AND(A191&lt;&gt;"",K191="Fix upstream"),COUNTIF($K$5:K191,"Fix upstream"),"")</f>
        <v/>
      </c>
      <c r="U191" s="34" t="str">
        <f aca="false">IF(AND(A191&lt;&gt;"",OR(K191="Move to business rules",K191="Merge into certified table")),COUNTIF($K$5:K191,"Move to business rules")+COUNTIF($K$5:K191,"Merge into certified table"),"")</f>
        <v/>
      </c>
      <c r="V191" s="34" t="str">
        <f aca="false">IF(AND(A191&lt;&gt;"",OR(K191="",K191="Undecided",J191="")),SUMPRODUCT(($A$5:A191&lt;&gt;"")*((($K$5:K191="")+($K$5:K191="Undecided")+($J$5:J191=""))&gt;0)),"")</f>
        <v/>
      </c>
    </row>
    <row r="192" customFormat="false" ht="15" hidden="false" customHeight="false" outlineLevel="0" collapsed="false">
      <c r="A192" s="29"/>
      <c r="B192" s="30"/>
      <c r="C192" s="30"/>
      <c r="D192" s="29"/>
      <c r="E192" s="20" t="str">
        <f aca="false">IF(D192="","",IFERROR(INDEX(Tables!$B:$B,MATCH(D192,Tables!$A:$A,0)),"ID not found"))</f>
        <v/>
      </c>
      <c r="F192" s="20" t="str">
        <f aca="false">IF(D192="","",IFERROR(INDEX(Tables!$C:$C,MATCH(D192,Tables!$A:$A,0)),""))</f>
        <v/>
      </c>
      <c r="G192" s="30"/>
      <c r="H192" s="30"/>
      <c r="I192" s="30"/>
      <c r="J192" s="30"/>
      <c r="K192" s="30"/>
      <c r="L192" s="30"/>
      <c r="M192" s="30"/>
      <c r="N192" s="20" t="str">
        <f aca="false">IF(A192="","",COUNTIF('Metric to Field'!$B:$B,A192))</f>
        <v/>
      </c>
      <c r="O192" s="20" t="str">
        <f aca="false">IF(A192="","",SUMIF('Metric to Field'!$B:$B,A192,'Metric to Field'!$F:$F))</f>
        <v/>
      </c>
      <c r="P192" s="30"/>
      <c r="Q192" s="30"/>
      <c r="R192" s="30"/>
      <c r="S192" s="30"/>
      <c r="T192" s="34" t="str">
        <f aca="false">IF(AND(A192&lt;&gt;"",K192="Fix upstream"),COUNTIF($K$5:K192,"Fix upstream"),"")</f>
        <v/>
      </c>
      <c r="U192" s="34" t="str">
        <f aca="false">IF(AND(A192&lt;&gt;"",OR(K192="Move to business rules",K192="Merge into certified table")),COUNTIF($K$5:K192,"Move to business rules")+COUNTIF($K$5:K192,"Merge into certified table"),"")</f>
        <v/>
      </c>
      <c r="V192" s="34" t="str">
        <f aca="false">IF(AND(A192&lt;&gt;"",OR(K192="",K192="Undecided",J192="")),SUMPRODUCT(($A$5:A192&lt;&gt;"")*((($K$5:K192="")+($K$5:K192="Undecided")+($J$5:J192=""))&gt;0)),"")</f>
        <v/>
      </c>
    </row>
    <row r="193" customFormat="false" ht="15" hidden="false" customHeight="false" outlineLevel="0" collapsed="false">
      <c r="A193" s="29"/>
      <c r="B193" s="30"/>
      <c r="C193" s="30"/>
      <c r="D193" s="29"/>
      <c r="E193" s="20" t="str">
        <f aca="false">IF(D193="","",IFERROR(INDEX(Tables!$B:$B,MATCH(D193,Tables!$A:$A,0)),"ID not found"))</f>
        <v/>
      </c>
      <c r="F193" s="20" t="str">
        <f aca="false">IF(D193="","",IFERROR(INDEX(Tables!$C:$C,MATCH(D193,Tables!$A:$A,0)),""))</f>
        <v/>
      </c>
      <c r="G193" s="30"/>
      <c r="H193" s="30"/>
      <c r="I193" s="30"/>
      <c r="J193" s="30"/>
      <c r="K193" s="30"/>
      <c r="L193" s="30"/>
      <c r="M193" s="30"/>
      <c r="N193" s="20" t="str">
        <f aca="false">IF(A193="","",COUNTIF('Metric to Field'!$B:$B,A193))</f>
        <v/>
      </c>
      <c r="O193" s="20" t="str">
        <f aca="false">IF(A193="","",SUMIF('Metric to Field'!$B:$B,A193,'Metric to Field'!$F:$F))</f>
        <v/>
      </c>
      <c r="P193" s="30"/>
      <c r="Q193" s="30"/>
      <c r="R193" s="30"/>
      <c r="S193" s="30"/>
      <c r="T193" s="34" t="str">
        <f aca="false">IF(AND(A193&lt;&gt;"",K193="Fix upstream"),COUNTIF($K$5:K193,"Fix upstream"),"")</f>
        <v/>
      </c>
      <c r="U193" s="34" t="str">
        <f aca="false">IF(AND(A193&lt;&gt;"",OR(K193="Move to business rules",K193="Merge into certified table")),COUNTIF($K$5:K193,"Move to business rules")+COUNTIF($K$5:K193,"Merge into certified table"),"")</f>
        <v/>
      </c>
      <c r="V193" s="34" t="str">
        <f aca="false">IF(AND(A193&lt;&gt;"",OR(K193="",K193="Undecided",J193="")),SUMPRODUCT(($A$5:A193&lt;&gt;"")*((($K$5:K193="")+($K$5:K193="Undecided")+($J$5:J193=""))&gt;0)),"")</f>
        <v/>
      </c>
    </row>
    <row r="194" customFormat="false" ht="15" hidden="false" customHeight="false" outlineLevel="0" collapsed="false">
      <c r="A194" s="29"/>
      <c r="B194" s="30"/>
      <c r="C194" s="30"/>
      <c r="D194" s="29"/>
      <c r="E194" s="20" t="str">
        <f aca="false">IF(D194="","",IFERROR(INDEX(Tables!$B:$B,MATCH(D194,Tables!$A:$A,0)),"ID not found"))</f>
        <v/>
      </c>
      <c r="F194" s="20" t="str">
        <f aca="false">IF(D194="","",IFERROR(INDEX(Tables!$C:$C,MATCH(D194,Tables!$A:$A,0)),""))</f>
        <v/>
      </c>
      <c r="G194" s="30"/>
      <c r="H194" s="30"/>
      <c r="I194" s="30"/>
      <c r="J194" s="30"/>
      <c r="K194" s="30"/>
      <c r="L194" s="30"/>
      <c r="M194" s="30"/>
      <c r="N194" s="20" t="str">
        <f aca="false">IF(A194="","",COUNTIF('Metric to Field'!$B:$B,A194))</f>
        <v/>
      </c>
      <c r="O194" s="20" t="str">
        <f aca="false">IF(A194="","",SUMIF('Metric to Field'!$B:$B,A194,'Metric to Field'!$F:$F))</f>
        <v/>
      </c>
      <c r="P194" s="30"/>
      <c r="Q194" s="30"/>
      <c r="R194" s="30"/>
      <c r="S194" s="30"/>
      <c r="T194" s="34" t="str">
        <f aca="false">IF(AND(A194&lt;&gt;"",K194="Fix upstream"),COUNTIF($K$5:K194,"Fix upstream"),"")</f>
        <v/>
      </c>
      <c r="U194" s="34" t="str">
        <f aca="false">IF(AND(A194&lt;&gt;"",OR(K194="Move to business rules",K194="Merge into certified table")),COUNTIF($K$5:K194,"Move to business rules")+COUNTIF($K$5:K194,"Merge into certified table"),"")</f>
        <v/>
      </c>
      <c r="V194" s="34" t="str">
        <f aca="false">IF(AND(A194&lt;&gt;"",OR(K194="",K194="Undecided",J194="")),SUMPRODUCT(($A$5:A194&lt;&gt;"")*((($K$5:K194="")+($K$5:K194="Undecided")+($J$5:J194=""))&gt;0)),"")</f>
        <v/>
      </c>
    </row>
    <row r="195" customFormat="false" ht="15" hidden="false" customHeight="false" outlineLevel="0" collapsed="false">
      <c r="A195" s="29"/>
      <c r="B195" s="30"/>
      <c r="C195" s="30"/>
      <c r="D195" s="29"/>
      <c r="E195" s="20" t="str">
        <f aca="false">IF(D195="","",IFERROR(INDEX(Tables!$B:$B,MATCH(D195,Tables!$A:$A,0)),"ID not found"))</f>
        <v/>
      </c>
      <c r="F195" s="20" t="str">
        <f aca="false">IF(D195="","",IFERROR(INDEX(Tables!$C:$C,MATCH(D195,Tables!$A:$A,0)),""))</f>
        <v/>
      </c>
      <c r="G195" s="30"/>
      <c r="H195" s="30"/>
      <c r="I195" s="30"/>
      <c r="J195" s="30"/>
      <c r="K195" s="30"/>
      <c r="L195" s="30"/>
      <c r="M195" s="30"/>
      <c r="N195" s="20" t="str">
        <f aca="false">IF(A195="","",COUNTIF('Metric to Field'!$B:$B,A195))</f>
        <v/>
      </c>
      <c r="O195" s="20" t="str">
        <f aca="false">IF(A195="","",SUMIF('Metric to Field'!$B:$B,A195,'Metric to Field'!$F:$F))</f>
        <v/>
      </c>
      <c r="P195" s="30"/>
      <c r="Q195" s="30"/>
      <c r="R195" s="30"/>
      <c r="S195" s="30"/>
      <c r="T195" s="34" t="str">
        <f aca="false">IF(AND(A195&lt;&gt;"",K195="Fix upstream"),COUNTIF($K$5:K195,"Fix upstream"),"")</f>
        <v/>
      </c>
      <c r="U195" s="34" t="str">
        <f aca="false">IF(AND(A195&lt;&gt;"",OR(K195="Move to business rules",K195="Merge into certified table")),COUNTIF($K$5:K195,"Move to business rules")+COUNTIF($K$5:K195,"Merge into certified table"),"")</f>
        <v/>
      </c>
      <c r="V195" s="34" t="str">
        <f aca="false">IF(AND(A195&lt;&gt;"",OR(K195="",K195="Undecided",J195="")),SUMPRODUCT(($A$5:A195&lt;&gt;"")*((($K$5:K195="")+($K$5:K195="Undecided")+($J$5:J195=""))&gt;0)),"")</f>
        <v/>
      </c>
    </row>
    <row r="196" customFormat="false" ht="15" hidden="false" customHeight="false" outlineLevel="0" collapsed="false">
      <c r="A196" s="29"/>
      <c r="B196" s="30"/>
      <c r="C196" s="30"/>
      <c r="D196" s="29"/>
      <c r="E196" s="20" t="str">
        <f aca="false">IF(D196="","",IFERROR(INDEX(Tables!$B:$B,MATCH(D196,Tables!$A:$A,0)),"ID not found"))</f>
        <v/>
      </c>
      <c r="F196" s="20" t="str">
        <f aca="false">IF(D196="","",IFERROR(INDEX(Tables!$C:$C,MATCH(D196,Tables!$A:$A,0)),""))</f>
        <v/>
      </c>
      <c r="G196" s="30"/>
      <c r="H196" s="30"/>
      <c r="I196" s="30"/>
      <c r="J196" s="30"/>
      <c r="K196" s="30"/>
      <c r="L196" s="30"/>
      <c r="M196" s="30"/>
      <c r="N196" s="20" t="str">
        <f aca="false">IF(A196="","",COUNTIF('Metric to Field'!$B:$B,A196))</f>
        <v/>
      </c>
      <c r="O196" s="20" t="str">
        <f aca="false">IF(A196="","",SUMIF('Metric to Field'!$B:$B,A196,'Metric to Field'!$F:$F))</f>
        <v/>
      </c>
      <c r="P196" s="30"/>
      <c r="Q196" s="30"/>
      <c r="R196" s="30"/>
      <c r="S196" s="30"/>
      <c r="T196" s="34" t="str">
        <f aca="false">IF(AND(A196&lt;&gt;"",K196="Fix upstream"),COUNTIF($K$5:K196,"Fix upstream"),"")</f>
        <v/>
      </c>
      <c r="U196" s="34" t="str">
        <f aca="false">IF(AND(A196&lt;&gt;"",OR(K196="Move to business rules",K196="Merge into certified table")),COUNTIF($K$5:K196,"Move to business rules")+COUNTIF($K$5:K196,"Merge into certified table"),"")</f>
        <v/>
      </c>
      <c r="V196" s="34" t="str">
        <f aca="false">IF(AND(A196&lt;&gt;"",OR(K196="",K196="Undecided",J196="")),SUMPRODUCT(($A$5:A196&lt;&gt;"")*((($K$5:K196="")+($K$5:K196="Undecided")+($J$5:J196=""))&gt;0)),"")</f>
        <v/>
      </c>
    </row>
    <row r="197" customFormat="false" ht="15" hidden="false" customHeight="false" outlineLevel="0" collapsed="false">
      <c r="A197" s="29"/>
      <c r="B197" s="30"/>
      <c r="C197" s="30"/>
      <c r="D197" s="29"/>
      <c r="E197" s="20" t="str">
        <f aca="false">IF(D197="","",IFERROR(INDEX(Tables!$B:$B,MATCH(D197,Tables!$A:$A,0)),"ID not found"))</f>
        <v/>
      </c>
      <c r="F197" s="20" t="str">
        <f aca="false">IF(D197="","",IFERROR(INDEX(Tables!$C:$C,MATCH(D197,Tables!$A:$A,0)),""))</f>
        <v/>
      </c>
      <c r="G197" s="30"/>
      <c r="H197" s="30"/>
      <c r="I197" s="30"/>
      <c r="J197" s="30"/>
      <c r="K197" s="30"/>
      <c r="L197" s="30"/>
      <c r="M197" s="30"/>
      <c r="N197" s="20" t="str">
        <f aca="false">IF(A197="","",COUNTIF('Metric to Field'!$B:$B,A197))</f>
        <v/>
      </c>
      <c r="O197" s="20" t="str">
        <f aca="false">IF(A197="","",SUMIF('Metric to Field'!$B:$B,A197,'Metric to Field'!$F:$F))</f>
        <v/>
      </c>
      <c r="P197" s="30"/>
      <c r="Q197" s="30"/>
      <c r="R197" s="30"/>
      <c r="S197" s="30"/>
      <c r="T197" s="34" t="str">
        <f aca="false">IF(AND(A197&lt;&gt;"",K197="Fix upstream"),COUNTIF($K$5:K197,"Fix upstream"),"")</f>
        <v/>
      </c>
      <c r="U197" s="34" t="str">
        <f aca="false">IF(AND(A197&lt;&gt;"",OR(K197="Move to business rules",K197="Merge into certified table")),COUNTIF($K$5:K197,"Move to business rules")+COUNTIF($K$5:K197,"Merge into certified table"),"")</f>
        <v/>
      </c>
      <c r="V197" s="34" t="str">
        <f aca="false">IF(AND(A197&lt;&gt;"",OR(K197="",K197="Undecided",J197="")),SUMPRODUCT(($A$5:A197&lt;&gt;"")*((($K$5:K197="")+($K$5:K197="Undecided")+($J$5:J197=""))&gt;0)),"")</f>
        <v/>
      </c>
    </row>
    <row r="198" customFormat="false" ht="15" hidden="false" customHeight="false" outlineLevel="0" collapsed="false">
      <c r="A198" s="29"/>
      <c r="B198" s="30"/>
      <c r="C198" s="30"/>
      <c r="D198" s="29"/>
      <c r="E198" s="20" t="str">
        <f aca="false">IF(D198="","",IFERROR(INDEX(Tables!$B:$B,MATCH(D198,Tables!$A:$A,0)),"ID not found"))</f>
        <v/>
      </c>
      <c r="F198" s="20" t="str">
        <f aca="false">IF(D198="","",IFERROR(INDEX(Tables!$C:$C,MATCH(D198,Tables!$A:$A,0)),""))</f>
        <v/>
      </c>
      <c r="G198" s="30"/>
      <c r="H198" s="30"/>
      <c r="I198" s="30"/>
      <c r="J198" s="30"/>
      <c r="K198" s="30"/>
      <c r="L198" s="30"/>
      <c r="M198" s="30"/>
      <c r="N198" s="20" t="str">
        <f aca="false">IF(A198="","",COUNTIF('Metric to Field'!$B:$B,A198))</f>
        <v/>
      </c>
      <c r="O198" s="20" t="str">
        <f aca="false">IF(A198="","",SUMIF('Metric to Field'!$B:$B,A198,'Metric to Field'!$F:$F))</f>
        <v/>
      </c>
      <c r="P198" s="30"/>
      <c r="Q198" s="30"/>
      <c r="R198" s="30"/>
      <c r="S198" s="30"/>
      <c r="T198" s="34" t="str">
        <f aca="false">IF(AND(A198&lt;&gt;"",K198="Fix upstream"),COUNTIF($K$5:K198,"Fix upstream"),"")</f>
        <v/>
      </c>
      <c r="U198" s="34" t="str">
        <f aca="false">IF(AND(A198&lt;&gt;"",OR(K198="Move to business rules",K198="Merge into certified table")),COUNTIF($K$5:K198,"Move to business rules")+COUNTIF($K$5:K198,"Merge into certified table"),"")</f>
        <v/>
      </c>
      <c r="V198" s="34" t="str">
        <f aca="false">IF(AND(A198&lt;&gt;"",OR(K198="",K198="Undecided",J198="")),SUMPRODUCT(($A$5:A198&lt;&gt;"")*((($K$5:K198="")+($K$5:K198="Undecided")+($J$5:J198=""))&gt;0)),"")</f>
        <v/>
      </c>
    </row>
    <row r="199" customFormat="false" ht="15" hidden="false" customHeight="false" outlineLevel="0" collapsed="false">
      <c r="A199" s="29"/>
      <c r="B199" s="30"/>
      <c r="C199" s="30"/>
      <c r="D199" s="29"/>
      <c r="E199" s="20" t="str">
        <f aca="false">IF(D199="","",IFERROR(INDEX(Tables!$B:$B,MATCH(D199,Tables!$A:$A,0)),"ID not found"))</f>
        <v/>
      </c>
      <c r="F199" s="20" t="str">
        <f aca="false">IF(D199="","",IFERROR(INDEX(Tables!$C:$C,MATCH(D199,Tables!$A:$A,0)),""))</f>
        <v/>
      </c>
      <c r="G199" s="30"/>
      <c r="H199" s="30"/>
      <c r="I199" s="30"/>
      <c r="J199" s="30"/>
      <c r="K199" s="30"/>
      <c r="L199" s="30"/>
      <c r="M199" s="30"/>
      <c r="N199" s="20" t="str">
        <f aca="false">IF(A199="","",COUNTIF('Metric to Field'!$B:$B,A199))</f>
        <v/>
      </c>
      <c r="O199" s="20" t="str">
        <f aca="false">IF(A199="","",SUMIF('Metric to Field'!$B:$B,A199,'Metric to Field'!$F:$F))</f>
        <v/>
      </c>
      <c r="P199" s="30"/>
      <c r="Q199" s="30"/>
      <c r="R199" s="30"/>
      <c r="S199" s="30"/>
      <c r="T199" s="34" t="str">
        <f aca="false">IF(AND(A199&lt;&gt;"",K199="Fix upstream"),COUNTIF($K$5:K199,"Fix upstream"),"")</f>
        <v/>
      </c>
      <c r="U199" s="34" t="str">
        <f aca="false">IF(AND(A199&lt;&gt;"",OR(K199="Move to business rules",K199="Merge into certified table")),COUNTIF($K$5:K199,"Move to business rules")+COUNTIF($K$5:K199,"Merge into certified table"),"")</f>
        <v/>
      </c>
      <c r="V199" s="34" t="str">
        <f aca="false">IF(AND(A199&lt;&gt;"",OR(K199="",K199="Undecided",J199="")),SUMPRODUCT(($A$5:A199&lt;&gt;"")*((($K$5:K199="")+($K$5:K199="Undecided")+($J$5:J199=""))&gt;0)),"")</f>
        <v/>
      </c>
    </row>
    <row r="200" customFormat="false" ht="15" hidden="false" customHeight="false" outlineLevel="0" collapsed="false">
      <c r="A200" s="29"/>
      <c r="B200" s="30"/>
      <c r="C200" s="30"/>
      <c r="D200" s="29"/>
      <c r="E200" s="20" t="str">
        <f aca="false">IF(D200="","",IFERROR(INDEX(Tables!$B:$B,MATCH(D200,Tables!$A:$A,0)),"ID not found"))</f>
        <v/>
      </c>
      <c r="F200" s="20" t="str">
        <f aca="false">IF(D200="","",IFERROR(INDEX(Tables!$C:$C,MATCH(D200,Tables!$A:$A,0)),""))</f>
        <v/>
      </c>
      <c r="G200" s="30"/>
      <c r="H200" s="30"/>
      <c r="I200" s="30"/>
      <c r="J200" s="30"/>
      <c r="K200" s="30"/>
      <c r="L200" s="30"/>
      <c r="M200" s="30"/>
      <c r="N200" s="20" t="str">
        <f aca="false">IF(A200="","",COUNTIF('Metric to Field'!$B:$B,A200))</f>
        <v/>
      </c>
      <c r="O200" s="20" t="str">
        <f aca="false">IF(A200="","",SUMIF('Metric to Field'!$B:$B,A200,'Metric to Field'!$F:$F))</f>
        <v/>
      </c>
      <c r="P200" s="30"/>
      <c r="Q200" s="30"/>
      <c r="R200" s="30"/>
      <c r="S200" s="30"/>
      <c r="T200" s="34" t="str">
        <f aca="false">IF(AND(A200&lt;&gt;"",K200="Fix upstream"),COUNTIF($K$5:K200,"Fix upstream"),"")</f>
        <v/>
      </c>
      <c r="U200" s="34" t="str">
        <f aca="false">IF(AND(A200&lt;&gt;"",OR(K200="Move to business rules",K200="Merge into certified table")),COUNTIF($K$5:K200,"Move to business rules")+COUNTIF($K$5:K200,"Merge into certified table"),"")</f>
        <v/>
      </c>
      <c r="V200" s="34" t="str">
        <f aca="false">IF(AND(A200&lt;&gt;"",OR(K200="",K200="Undecided",J200="")),SUMPRODUCT(($A$5:A200&lt;&gt;"")*((($K$5:K200="")+($K$5:K200="Undecided")+($J$5:J200=""))&gt;0)),"")</f>
        <v/>
      </c>
    </row>
    <row r="201" customFormat="false" ht="15" hidden="false" customHeight="false" outlineLevel="0" collapsed="false">
      <c r="A201" s="29"/>
      <c r="B201" s="30"/>
      <c r="C201" s="30"/>
      <c r="D201" s="29"/>
      <c r="E201" s="20" t="str">
        <f aca="false">IF(D201="","",IFERROR(INDEX(Tables!$B:$B,MATCH(D201,Tables!$A:$A,0)),"ID not found"))</f>
        <v/>
      </c>
      <c r="F201" s="20" t="str">
        <f aca="false">IF(D201="","",IFERROR(INDEX(Tables!$C:$C,MATCH(D201,Tables!$A:$A,0)),""))</f>
        <v/>
      </c>
      <c r="G201" s="30"/>
      <c r="H201" s="30"/>
      <c r="I201" s="30"/>
      <c r="J201" s="30"/>
      <c r="K201" s="30"/>
      <c r="L201" s="30"/>
      <c r="M201" s="30"/>
      <c r="N201" s="20" t="str">
        <f aca="false">IF(A201="","",COUNTIF('Metric to Field'!$B:$B,A201))</f>
        <v/>
      </c>
      <c r="O201" s="20" t="str">
        <f aca="false">IF(A201="","",SUMIF('Metric to Field'!$B:$B,A201,'Metric to Field'!$F:$F))</f>
        <v/>
      </c>
      <c r="P201" s="30"/>
      <c r="Q201" s="30"/>
      <c r="R201" s="30"/>
      <c r="S201" s="30"/>
      <c r="T201" s="34" t="str">
        <f aca="false">IF(AND(A201&lt;&gt;"",K201="Fix upstream"),COUNTIF($K$5:K201,"Fix upstream"),"")</f>
        <v/>
      </c>
      <c r="U201" s="34" t="str">
        <f aca="false">IF(AND(A201&lt;&gt;"",OR(K201="Move to business rules",K201="Merge into certified table")),COUNTIF($K$5:K201,"Move to business rules")+COUNTIF($K$5:K201,"Merge into certified table"),"")</f>
        <v/>
      </c>
      <c r="V201" s="34" t="str">
        <f aca="false">IF(AND(A201&lt;&gt;"",OR(K201="",K201="Undecided",J201="")),SUMPRODUCT(($A$5:A201&lt;&gt;"")*((($K$5:K201="")+($K$5:K201="Undecided")+($J$5:J201=""))&gt;0)),"")</f>
        <v/>
      </c>
    </row>
    <row r="202" customFormat="false" ht="15" hidden="false" customHeight="false" outlineLevel="0" collapsed="false">
      <c r="A202" s="29"/>
      <c r="B202" s="30"/>
      <c r="C202" s="30"/>
      <c r="D202" s="29"/>
      <c r="E202" s="20" t="str">
        <f aca="false">IF(D202="","",IFERROR(INDEX(Tables!$B:$B,MATCH(D202,Tables!$A:$A,0)),"ID not found"))</f>
        <v/>
      </c>
      <c r="F202" s="20" t="str">
        <f aca="false">IF(D202="","",IFERROR(INDEX(Tables!$C:$C,MATCH(D202,Tables!$A:$A,0)),""))</f>
        <v/>
      </c>
      <c r="G202" s="30"/>
      <c r="H202" s="30"/>
      <c r="I202" s="30"/>
      <c r="J202" s="30"/>
      <c r="K202" s="30"/>
      <c r="L202" s="30"/>
      <c r="M202" s="30"/>
      <c r="N202" s="20" t="str">
        <f aca="false">IF(A202="","",COUNTIF('Metric to Field'!$B:$B,A202))</f>
        <v/>
      </c>
      <c r="O202" s="20" t="str">
        <f aca="false">IF(A202="","",SUMIF('Metric to Field'!$B:$B,A202,'Metric to Field'!$F:$F))</f>
        <v/>
      </c>
      <c r="P202" s="30"/>
      <c r="Q202" s="30"/>
      <c r="R202" s="30"/>
      <c r="S202" s="30"/>
      <c r="T202" s="34" t="str">
        <f aca="false">IF(AND(A202&lt;&gt;"",K202="Fix upstream"),COUNTIF($K$5:K202,"Fix upstream"),"")</f>
        <v/>
      </c>
      <c r="U202" s="34" t="str">
        <f aca="false">IF(AND(A202&lt;&gt;"",OR(K202="Move to business rules",K202="Merge into certified table")),COUNTIF($K$5:K202,"Move to business rules")+COUNTIF($K$5:K202,"Merge into certified table"),"")</f>
        <v/>
      </c>
      <c r="V202" s="34" t="str">
        <f aca="false">IF(AND(A202&lt;&gt;"",OR(K202="",K202="Undecided",J202="")),SUMPRODUCT(($A$5:A202&lt;&gt;"")*((($K$5:K202="")+($K$5:K202="Undecided")+($J$5:J202=""))&gt;0)),"")</f>
        <v/>
      </c>
    </row>
    <row r="203" customFormat="false" ht="15" hidden="false" customHeight="false" outlineLevel="0" collapsed="false">
      <c r="A203" s="29"/>
      <c r="B203" s="30"/>
      <c r="C203" s="30"/>
      <c r="D203" s="29"/>
      <c r="E203" s="20" t="str">
        <f aca="false">IF(D203="","",IFERROR(INDEX(Tables!$B:$B,MATCH(D203,Tables!$A:$A,0)),"ID not found"))</f>
        <v/>
      </c>
      <c r="F203" s="20" t="str">
        <f aca="false">IF(D203="","",IFERROR(INDEX(Tables!$C:$C,MATCH(D203,Tables!$A:$A,0)),""))</f>
        <v/>
      </c>
      <c r="G203" s="30"/>
      <c r="H203" s="30"/>
      <c r="I203" s="30"/>
      <c r="J203" s="30"/>
      <c r="K203" s="30"/>
      <c r="L203" s="30"/>
      <c r="M203" s="30"/>
      <c r="N203" s="20" t="str">
        <f aca="false">IF(A203="","",COUNTIF('Metric to Field'!$B:$B,A203))</f>
        <v/>
      </c>
      <c r="O203" s="20" t="str">
        <f aca="false">IF(A203="","",SUMIF('Metric to Field'!$B:$B,A203,'Metric to Field'!$F:$F))</f>
        <v/>
      </c>
      <c r="P203" s="30"/>
      <c r="Q203" s="30"/>
      <c r="R203" s="30"/>
      <c r="S203" s="30"/>
      <c r="T203" s="34" t="str">
        <f aca="false">IF(AND(A203&lt;&gt;"",K203="Fix upstream"),COUNTIF($K$5:K203,"Fix upstream"),"")</f>
        <v/>
      </c>
      <c r="U203" s="34" t="str">
        <f aca="false">IF(AND(A203&lt;&gt;"",OR(K203="Move to business rules",K203="Merge into certified table")),COUNTIF($K$5:K203,"Move to business rules")+COUNTIF($K$5:K203,"Merge into certified table"),"")</f>
        <v/>
      </c>
      <c r="V203" s="34" t="str">
        <f aca="false">IF(AND(A203&lt;&gt;"",OR(K203="",K203="Undecided",J203="")),SUMPRODUCT(($A$5:A203&lt;&gt;"")*((($K$5:K203="")+($K$5:K203="Undecided")+($J$5:J203=""))&gt;0)),"")</f>
        <v/>
      </c>
    </row>
    <row r="204" customFormat="false" ht="15" hidden="false" customHeight="false" outlineLevel="0" collapsed="false">
      <c r="A204" s="29"/>
      <c r="B204" s="30"/>
      <c r="C204" s="30"/>
      <c r="D204" s="29"/>
      <c r="E204" s="20" t="str">
        <f aca="false">IF(D204="","",IFERROR(INDEX(Tables!$B:$B,MATCH(D204,Tables!$A:$A,0)),"ID not found"))</f>
        <v/>
      </c>
      <c r="F204" s="20" t="str">
        <f aca="false">IF(D204="","",IFERROR(INDEX(Tables!$C:$C,MATCH(D204,Tables!$A:$A,0)),""))</f>
        <v/>
      </c>
      <c r="G204" s="30"/>
      <c r="H204" s="30"/>
      <c r="I204" s="30"/>
      <c r="J204" s="30"/>
      <c r="K204" s="30"/>
      <c r="L204" s="30"/>
      <c r="M204" s="30"/>
      <c r="N204" s="20" t="str">
        <f aca="false">IF(A204="","",COUNTIF('Metric to Field'!$B:$B,A204))</f>
        <v/>
      </c>
      <c r="O204" s="20" t="str">
        <f aca="false">IF(A204="","",SUMIF('Metric to Field'!$B:$B,A204,'Metric to Field'!$F:$F))</f>
        <v/>
      </c>
      <c r="P204" s="30"/>
      <c r="Q204" s="30"/>
      <c r="R204" s="30"/>
      <c r="S204" s="30"/>
      <c r="T204" s="34" t="str">
        <f aca="false">IF(AND(A204&lt;&gt;"",K204="Fix upstream"),COUNTIF($K$5:K204,"Fix upstream"),"")</f>
        <v/>
      </c>
      <c r="U204" s="34" t="str">
        <f aca="false">IF(AND(A204&lt;&gt;"",OR(K204="Move to business rules",K204="Merge into certified table")),COUNTIF($K$5:K204,"Move to business rules")+COUNTIF($K$5:K204,"Merge into certified table"),"")</f>
        <v/>
      </c>
      <c r="V204" s="34" t="str">
        <f aca="false">IF(AND(A204&lt;&gt;"",OR(K204="",K204="Undecided",J204="")),SUMPRODUCT(($A$5:A204&lt;&gt;"")*((($K$5:K204="")+($K$5:K204="Undecided")+($J$5:J204=""))&gt;0)),"")</f>
        <v/>
      </c>
    </row>
    <row r="205" customFormat="false" ht="15" hidden="false" customHeight="false" outlineLevel="0" collapsed="false">
      <c r="A205" s="29"/>
      <c r="B205" s="30"/>
      <c r="C205" s="30"/>
      <c r="D205" s="29"/>
      <c r="E205" s="20" t="str">
        <f aca="false">IF(D205="","",IFERROR(INDEX(Tables!$B:$B,MATCH(D205,Tables!$A:$A,0)),"ID not found"))</f>
        <v/>
      </c>
      <c r="F205" s="20" t="str">
        <f aca="false">IF(D205="","",IFERROR(INDEX(Tables!$C:$C,MATCH(D205,Tables!$A:$A,0)),""))</f>
        <v/>
      </c>
      <c r="G205" s="30"/>
      <c r="H205" s="30"/>
      <c r="I205" s="30"/>
      <c r="J205" s="30"/>
      <c r="K205" s="30"/>
      <c r="L205" s="30"/>
      <c r="M205" s="30"/>
      <c r="N205" s="20" t="str">
        <f aca="false">IF(A205="","",COUNTIF('Metric to Field'!$B:$B,A205))</f>
        <v/>
      </c>
      <c r="O205" s="20" t="str">
        <f aca="false">IF(A205="","",SUMIF('Metric to Field'!$B:$B,A205,'Metric to Field'!$F:$F))</f>
        <v/>
      </c>
      <c r="P205" s="30"/>
      <c r="Q205" s="30"/>
      <c r="R205" s="30"/>
      <c r="S205" s="30"/>
      <c r="T205" s="34" t="str">
        <f aca="false">IF(AND(A205&lt;&gt;"",K205="Fix upstream"),COUNTIF($K$5:K205,"Fix upstream"),"")</f>
        <v/>
      </c>
      <c r="U205" s="34" t="str">
        <f aca="false">IF(AND(A205&lt;&gt;"",OR(K205="Move to business rules",K205="Merge into certified table")),COUNTIF($K$5:K205,"Move to business rules")+COUNTIF($K$5:K205,"Merge into certified table"),"")</f>
        <v/>
      </c>
      <c r="V205" s="34" t="str">
        <f aca="false">IF(AND(A205&lt;&gt;"",OR(K205="",K205="Undecided",J205="")),SUMPRODUCT(($A$5:A205&lt;&gt;"")*((($K$5:K205="")+($K$5:K205="Undecided")+($J$5:J205=""))&gt;0)),"")</f>
        <v/>
      </c>
    </row>
    <row r="206" customFormat="false" ht="15" hidden="false" customHeight="false" outlineLevel="0" collapsed="false">
      <c r="A206" s="29"/>
      <c r="B206" s="30"/>
      <c r="C206" s="30"/>
      <c r="D206" s="29"/>
      <c r="E206" s="20" t="str">
        <f aca="false">IF(D206="","",IFERROR(INDEX(Tables!$B:$B,MATCH(D206,Tables!$A:$A,0)),"ID not found"))</f>
        <v/>
      </c>
      <c r="F206" s="20" t="str">
        <f aca="false">IF(D206="","",IFERROR(INDEX(Tables!$C:$C,MATCH(D206,Tables!$A:$A,0)),""))</f>
        <v/>
      </c>
      <c r="G206" s="30"/>
      <c r="H206" s="30"/>
      <c r="I206" s="30"/>
      <c r="J206" s="30"/>
      <c r="K206" s="30"/>
      <c r="L206" s="30"/>
      <c r="M206" s="30"/>
      <c r="N206" s="20" t="str">
        <f aca="false">IF(A206="","",COUNTIF('Metric to Field'!$B:$B,A206))</f>
        <v/>
      </c>
      <c r="O206" s="20" t="str">
        <f aca="false">IF(A206="","",SUMIF('Metric to Field'!$B:$B,A206,'Metric to Field'!$F:$F))</f>
        <v/>
      </c>
      <c r="P206" s="30"/>
      <c r="Q206" s="30"/>
      <c r="R206" s="30"/>
      <c r="S206" s="30"/>
      <c r="T206" s="34" t="str">
        <f aca="false">IF(AND(A206&lt;&gt;"",K206="Fix upstream"),COUNTIF($K$5:K206,"Fix upstream"),"")</f>
        <v/>
      </c>
      <c r="U206" s="34" t="str">
        <f aca="false">IF(AND(A206&lt;&gt;"",OR(K206="Move to business rules",K206="Merge into certified table")),COUNTIF($K$5:K206,"Move to business rules")+COUNTIF($K$5:K206,"Merge into certified table"),"")</f>
        <v/>
      </c>
      <c r="V206" s="34" t="str">
        <f aca="false">IF(AND(A206&lt;&gt;"",OR(K206="",K206="Undecided",J206="")),SUMPRODUCT(($A$5:A206&lt;&gt;"")*((($K$5:K206="")+($K$5:K206="Undecided")+($J$5:J206=""))&gt;0)),"")</f>
        <v/>
      </c>
    </row>
    <row r="207" customFormat="false" ht="15" hidden="false" customHeight="false" outlineLevel="0" collapsed="false">
      <c r="A207" s="29"/>
      <c r="B207" s="30"/>
      <c r="C207" s="30"/>
      <c r="D207" s="29"/>
      <c r="E207" s="20" t="str">
        <f aca="false">IF(D207="","",IFERROR(INDEX(Tables!$B:$B,MATCH(D207,Tables!$A:$A,0)),"ID not found"))</f>
        <v/>
      </c>
      <c r="F207" s="20" t="str">
        <f aca="false">IF(D207="","",IFERROR(INDEX(Tables!$C:$C,MATCH(D207,Tables!$A:$A,0)),""))</f>
        <v/>
      </c>
      <c r="G207" s="30"/>
      <c r="H207" s="30"/>
      <c r="I207" s="30"/>
      <c r="J207" s="30"/>
      <c r="K207" s="30"/>
      <c r="L207" s="30"/>
      <c r="M207" s="30"/>
      <c r="N207" s="20" t="str">
        <f aca="false">IF(A207="","",COUNTIF('Metric to Field'!$B:$B,A207))</f>
        <v/>
      </c>
      <c r="O207" s="20" t="str">
        <f aca="false">IF(A207="","",SUMIF('Metric to Field'!$B:$B,A207,'Metric to Field'!$F:$F))</f>
        <v/>
      </c>
      <c r="P207" s="30"/>
      <c r="Q207" s="30"/>
      <c r="R207" s="30"/>
      <c r="S207" s="30"/>
      <c r="T207" s="34" t="str">
        <f aca="false">IF(AND(A207&lt;&gt;"",K207="Fix upstream"),COUNTIF($K$5:K207,"Fix upstream"),"")</f>
        <v/>
      </c>
      <c r="U207" s="34" t="str">
        <f aca="false">IF(AND(A207&lt;&gt;"",OR(K207="Move to business rules",K207="Merge into certified table")),COUNTIF($K$5:K207,"Move to business rules")+COUNTIF($K$5:K207,"Merge into certified table"),"")</f>
        <v/>
      </c>
      <c r="V207" s="34" t="str">
        <f aca="false">IF(AND(A207&lt;&gt;"",OR(K207="",K207="Undecided",J207="")),SUMPRODUCT(($A$5:A207&lt;&gt;"")*((($K$5:K207="")+($K$5:K207="Undecided")+($J$5:J207=""))&gt;0)),"")</f>
        <v/>
      </c>
    </row>
    <row r="208" customFormat="false" ht="15" hidden="false" customHeight="false" outlineLevel="0" collapsed="false">
      <c r="A208" s="29"/>
      <c r="B208" s="30"/>
      <c r="C208" s="30"/>
      <c r="D208" s="29"/>
      <c r="E208" s="20" t="str">
        <f aca="false">IF(D208="","",IFERROR(INDEX(Tables!$B:$B,MATCH(D208,Tables!$A:$A,0)),"ID not found"))</f>
        <v/>
      </c>
      <c r="F208" s="20" t="str">
        <f aca="false">IF(D208="","",IFERROR(INDEX(Tables!$C:$C,MATCH(D208,Tables!$A:$A,0)),""))</f>
        <v/>
      </c>
      <c r="G208" s="30"/>
      <c r="H208" s="30"/>
      <c r="I208" s="30"/>
      <c r="J208" s="30"/>
      <c r="K208" s="30"/>
      <c r="L208" s="30"/>
      <c r="M208" s="30"/>
      <c r="N208" s="20" t="str">
        <f aca="false">IF(A208="","",COUNTIF('Metric to Field'!$B:$B,A208))</f>
        <v/>
      </c>
      <c r="O208" s="20" t="str">
        <f aca="false">IF(A208="","",SUMIF('Metric to Field'!$B:$B,A208,'Metric to Field'!$F:$F))</f>
        <v/>
      </c>
      <c r="P208" s="30"/>
      <c r="Q208" s="30"/>
      <c r="R208" s="30"/>
      <c r="S208" s="30"/>
      <c r="T208" s="34" t="str">
        <f aca="false">IF(AND(A208&lt;&gt;"",K208="Fix upstream"),COUNTIF($K$5:K208,"Fix upstream"),"")</f>
        <v/>
      </c>
      <c r="U208" s="34" t="str">
        <f aca="false">IF(AND(A208&lt;&gt;"",OR(K208="Move to business rules",K208="Merge into certified table")),COUNTIF($K$5:K208,"Move to business rules")+COUNTIF($K$5:K208,"Merge into certified table"),"")</f>
        <v/>
      </c>
      <c r="V208" s="34" t="str">
        <f aca="false">IF(AND(A208&lt;&gt;"",OR(K208="",K208="Undecided",J208="")),SUMPRODUCT(($A$5:A208&lt;&gt;"")*((($K$5:K208="")+($K$5:K208="Undecided")+($J$5:J208=""))&gt;0)),"")</f>
        <v/>
      </c>
    </row>
    <row r="209" customFormat="false" ht="15" hidden="false" customHeight="false" outlineLevel="0" collapsed="false">
      <c r="A209" s="29"/>
      <c r="B209" s="30"/>
      <c r="C209" s="30"/>
      <c r="D209" s="29"/>
      <c r="E209" s="20" t="str">
        <f aca="false">IF(D209="","",IFERROR(INDEX(Tables!$B:$B,MATCH(D209,Tables!$A:$A,0)),"ID not found"))</f>
        <v/>
      </c>
      <c r="F209" s="20" t="str">
        <f aca="false">IF(D209="","",IFERROR(INDEX(Tables!$C:$C,MATCH(D209,Tables!$A:$A,0)),""))</f>
        <v/>
      </c>
      <c r="G209" s="30"/>
      <c r="H209" s="30"/>
      <c r="I209" s="30"/>
      <c r="J209" s="30"/>
      <c r="K209" s="30"/>
      <c r="L209" s="30"/>
      <c r="M209" s="30"/>
      <c r="N209" s="20" t="str">
        <f aca="false">IF(A209="","",COUNTIF('Metric to Field'!$B:$B,A209))</f>
        <v/>
      </c>
      <c r="O209" s="20" t="str">
        <f aca="false">IF(A209="","",SUMIF('Metric to Field'!$B:$B,A209,'Metric to Field'!$F:$F))</f>
        <v/>
      </c>
      <c r="P209" s="30"/>
      <c r="Q209" s="30"/>
      <c r="R209" s="30"/>
      <c r="S209" s="30"/>
      <c r="T209" s="34" t="str">
        <f aca="false">IF(AND(A209&lt;&gt;"",K209="Fix upstream"),COUNTIF($K$5:K209,"Fix upstream"),"")</f>
        <v/>
      </c>
      <c r="U209" s="34" t="str">
        <f aca="false">IF(AND(A209&lt;&gt;"",OR(K209="Move to business rules",K209="Merge into certified table")),COUNTIF($K$5:K209,"Move to business rules")+COUNTIF($K$5:K209,"Merge into certified table"),"")</f>
        <v/>
      </c>
      <c r="V209" s="34" t="str">
        <f aca="false">IF(AND(A209&lt;&gt;"",OR(K209="",K209="Undecided",J209="")),SUMPRODUCT(($A$5:A209&lt;&gt;"")*((($K$5:K209="")+($K$5:K209="Undecided")+($J$5:J209=""))&gt;0)),"")</f>
        <v/>
      </c>
    </row>
    <row r="210" customFormat="false" ht="15" hidden="false" customHeight="false" outlineLevel="0" collapsed="false">
      <c r="A210" s="29"/>
      <c r="B210" s="30"/>
      <c r="C210" s="30"/>
      <c r="D210" s="29"/>
      <c r="E210" s="20" t="str">
        <f aca="false">IF(D210="","",IFERROR(INDEX(Tables!$B:$B,MATCH(D210,Tables!$A:$A,0)),"ID not found"))</f>
        <v/>
      </c>
      <c r="F210" s="20" t="str">
        <f aca="false">IF(D210="","",IFERROR(INDEX(Tables!$C:$C,MATCH(D210,Tables!$A:$A,0)),""))</f>
        <v/>
      </c>
      <c r="G210" s="30"/>
      <c r="H210" s="30"/>
      <c r="I210" s="30"/>
      <c r="J210" s="30"/>
      <c r="K210" s="30"/>
      <c r="L210" s="30"/>
      <c r="M210" s="30"/>
      <c r="N210" s="20" t="str">
        <f aca="false">IF(A210="","",COUNTIF('Metric to Field'!$B:$B,A210))</f>
        <v/>
      </c>
      <c r="O210" s="20" t="str">
        <f aca="false">IF(A210="","",SUMIF('Metric to Field'!$B:$B,A210,'Metric to Field'!$F:$F))</f>
        <v/>
      </c>
      <c r="P210" s="30"/>
      <c r="Q210" s="30"/>
      <c r="R210" s="30"/>
      <c r="S210" s="30"/>
      <c r="T210" s="34" t="str">
        <f aca="false">IF(AND(A210&lt;&gt;"",K210="Fix upstream"),COUNTIF($K$5:K210,"Fix upstream"),"")</f>
        <v/>
      </c>
      <c r="U210" s="34" t="str">
        <f aca="false">IF(AND(A210&lt;&gt;"",OR(K210="Move to business rules",K210="Merge into certified table")),COUNTIF($K$5:K210,"Move to business rules")+COUNTIF($K$5:K210,"Merge into certified table"),"")</f>
        <v/>
      </c>
      <c r="V210" s="34" t="str">
        <f aca="false">IF(AND(A210&lt;&gt;"",OR(K210="",K210="Undecided",J210="")),SUMPRODUCT(($A$5:A210&lt;&gt;"")*((($K$5:K210="")+($K$5:K210="Undecided")+($J$5:J210=""))&gt;0)),"")</f>
        <v/>
      </c>
    </row>
    <row r="211" customFormat="false" ht="15" hidden="false" customHeight="false" outlineLevel="0" collapsed="false">
      <c r="A211" s="29"/>
      <c r="B211" s="30"/>
      <c r="C211" s="30"/>
      <c r="D211" s="29"/>
      <c r="E211" s="20" t="str">
        <f aca="false">IF(D211="","",IFERROR(INDEX(Tables!$B:$B,MATCH(D211,Tables!$A:$A,0)),"ID not found"))</f>
        <v/>
      </c>
      <c r="F211" s="20" t="str">
        <f aca="false">IF(D211="","",IFERROR(INDEX(Tables!$C:$C,MATCH(D211,Tables!$A:$A,0)),""))</f>
        <v/>
      </c>
      <c r="G211" s="30"/>
      <c r="H211" s="30"/>
      <c r="I211" s="30"/>
      <c r="J211" s="30"/>
      <c r="K211" s="30"/>
      <c r="L211" s="30"/>
      <c r="M211" s="30"/>
      <c r="N211" s="20" t="str">
        <f aca="false">IF(A211="","",COUNTIF('Metric to Field'!$B:$B,A211))</f>
        <v/>
      </c>
      <c r="O211" s="20" t="str">
        <f aca="false">IF(A211="","",SUMIF('Metric to Field'!$B:$B,A211,'Metric to Field'!$F:$F))</f>
        <v/>
      </c>
      <c r="P211" s="30"/>
      <c r="Q211" s="30"/>
      <c r="R211" s="30"/>
      <c r="S211" s="30"/>
      <c r="T211" s="34" t="str">
        <f aca="false">IF(AND(A211&lt;&gt;"",K211="Fix upstream"),COUNTIF($K$5:K211,"Fix upstream"),"")</f>
        <v/>
      </c>
      <c r="U211" s="34" t="str">
        <f aca="false">IF(AND(A211&lt;&gt;"",OR(K211="Move to business rules",K211="Merge into certified table")),COUNTIF($K$5:K211,"Move to business rules")+COUNTIF($K$5:K211,"Merge into certified table"),"")</f>
        <v/>
      </c>
      <c r="V211" s="34" t="str">
        <f aca="false">IF(AND(A211&lt;&gt;"",OR(K211="",K211="Undecided",J211="")),SUMPRODUCT(($A$5:A211&lt;&gt;"")*((($K$5:K211="")+($K$5:K211="Undecided")+($J$5:J211=""))&gt;0)),"")</f>
        <v/>
      </c>
    </row>
    <row r="212" customFormat="false" ht="15" hidden="false" customHeight="false" outlineLevel="0" collapsed="false">
      <c r="A212" s="29"/>
      <c r="B212" s="30"/>
      <c r="C212" s="30"/>
      <c r="D212" s="29"/>
      <c r="E212" s="20" t="str">
        <f aca="false">IF(D212="","",IFERROR(INDEX(Tables!$B:$B,MATCH(D212,Tables!$A:$A,0)),"ID not found"))</f>
        <v/>
      </c>
      <c r="F212" s="20" t="str">
        <f aca="false">IF(D212="","",IFERROR(INDEX(Tables!$C:$C,MATCH(D212,Tables!$A:$A,0)),""))</f>
        <v/>
      </c>
      <c r="G212" s="30"/>
      <c r="H212" s="30"/>
      <c r="I212" s="30"/>
      <c r="J212" s="30"/>
      <c r="K212" s="30"/>
      <c r="L212" s="30"/>
      <c r="M212" s="30"/>
      <c r="N212" s="20" t="str">
        <f aca="false">IF(A212="","",COUNTIF('Metric to Field'!$B:$B,A212))</f>
        <v/>
      </c>
      <c r="O212" s="20" t="str">
        <f aca="false">IF(A212="","",SUMIF('Metric to Field'!$B:$B,A212,'Metric to Field'!$F:$F))</f>
        <v/>
      </c>
      <c r="P212" s="30"/>
      <c r="Q212" s="30"/>
      <c r="R212" s="30"/>
      <c r="S212" s="30"/>
      <c r="T212" s="34" t="str">
        <f aca="false">IF(AND(A212&lt;&gt;"",K212="Fix upstream"),COUNTIF($K$5:K212,"Fix upstream"),"")</f>
        <v/>
      </c>
      <c r="U212" s="34" t="str">
        <f aca="false">IF(AND(A212&lt;&gt;"",OR(K212="Move to business rules",K212="Merge into certified table")),COUNTIF($K$5:K212,"Move to business rules")+COUNTIF($K$5:K212,"Merge into certified table"),"")</f>
        <v/>
      </c>
      <c r="V212" s="34" t="str">
        <f aca="false">IF(AND(A212&lt;&gt;"",OR(K212="",K212="Undecided",J212="")),SUMPRODUCT(($A$5:A212&lt;&gt;"")*((($K$5:K212="")+($K$5:K212="Undecided")+($J$5:J212=""))&gt;0)),"")</f>
        <v/>
      </c>
    </row>
    <row r="213" customFormat="false" ht="15" hidden="false" customHeight="false" outlineLevel="0" collapsed="false">
      <c r="A213" s="29"/>
      <c r="B213" s="30"/>
      <c r="C213" s="30"/>
      <c r="D213" s="29"/>
      <c r="E213" s="20" t="str">
        <f aca="false">IF(D213="","",IFERROR(INDEX(Tables!$B:$B,MATCH(D213,Tables!$A:$A,0)),"ID not found"))</f>
        <v/>
      </c>
      <c r="F213" s="20" t="str">
        <f aca="false">IF(D213="","",IFERROR(INDEX(Tables!$C:$C,MATCH(D213,Tables!$A:$A,0)),""))</f>
        <v/>
      </c>
      <c r="G213" s="30"/>
      <c r="H213" s="30"/>
      <c r="I213" s="30"/>
      <c r="J213" s="30"/>
      <c r="K213" s="30"/>
      <c r="L213" s="30"/>
      <c r="M213" s="30"/>
      <c r="N213" s="20" t="str">
        <f aca="false">IF(A213="","",COUNTIF('Metric to Field'!$B:$B,A213))</f>
        <v/>
      </c>
      <c r="O213" s="20" t="str">
        <f aca="false">IF(A213="","",SUMIF('Metric to Field'!$B:$B,A213,'Metric to Field'!$F:$F))</f>
        <v/>
      </c>
      <c r="P213" s="30"/>
      <c r="Q213" s="30"/>
      <c r="R213" s="30"/>
      <c r="S213" s="30"/>
      <c r="T213" s="34" t="str">
        <f aca="false">IF(AND(A213&lt;&gt;"",K213="Fix upstream"),COUNTIF($K$5:K213,"Fix upstream"),"")</f>
        <v/>
      </c>
      <c r="U213" s="34" t="str">
        <f aca="false">IF(AND(A213&lt;&gt;"",OR(K213="Move to business rules",K213="Merge into certified table")),COUNTIF($K$5:K213,"Move to business rules")+COUNTIF($K$5:K213,"Merge into certified table"),"")</f>
        <v/>
      </c>
      <c r="V213" s="34" t="str">
        <f aca="false">IF(AND(A213&lt;&gt;"",OR(K213="",K213="Undecided",J213="")),SUMPRODUCT(($A$5:A213&lt;&gt;"")*((($K$5:K213="")+($K$5:K213="Undecided")+($J$5:J213=""))&gt;0)),"")</f>
        <v/>
      </c>
    </row>
    <row r="214" customFormat="false" ht="15" hidden="false" customHeight="false" outlineLevel="0" collapsed="false">
      <c r="A214" s="29"/>
      <c r="B214" s="30"/>
      <c r="C214" s="30"/>
      <c r="D214" s="29"/>
      <c r="E214" s="20" t="str">
        <f aca="false">IF(D214="","",IFERROR(INDEX(Tables!$B:$B,MATCH(D214,Tables!$A:$A,0)),"ID not found"))</f>
        <v/>
      </c>
      <c r="F214" s="20" t="str">
        <f aca="false">IF(D214="","",IFERROR(INDEX(Tables!$C:$C,MATCH(D214,Tables!$A:$A,0)),""))</f>
        <v/>
      </c>
      <c r="G214" s="30"/>
      <c r="H214" s="30"/>
      <c r="I214" s="30"/>
      <c r="J214" s="30"/>
      <c r="K214" s="30"/>
      <c r="L214" s="30"/>
      <c r="M214" s="30"/>
      <c r="N214" s="20" t="str">
        <f aca="false">IF(A214="","",COUNTIF('Metric to Field'!$B:$B,A214))</f>
        <v/>
      </c>
      <c r="O214" s="20" t="str">
        <f aca="false">IF(A214="","",SUMIF('Metric to Field'!$B:$B,A214,'Metric to Field'!$F:$F))</f>
        <v/>
      </c>
      <c r="P214" s="30"/>
      <c r="Q214" s="30"/>
      <c r="R214" s="30"/>
      <c r="S214" s="30"/>
      <c r="T214" s="34" t="str">
        <f aca="false">IF(AND(A214&lt;&gt;"",K214="Fix upstream"),COUNTIF($K$5:K214,"Fix upstream"),"")</f>
        <v/>
      </c>
      <c r="U214" s="34" t="str">
        <f aca="false">IF(AND(A214&lt;&gt;"",OR(K214="Move to business rules",K214="Merge into certified table")),COUNTIF($K$5:K214,"Move to business rules")+COUNTIF($K$5:K214,"Merge into certified table"),"")</f>
        <v/>
      </c>
      <c r="V214" s="34" t="str">
        <f aca="false">IF(AND(A214&lt;&gt;"",OR(K214="",K214="Undecided",J214="")),SUMPRODUCT(($A$5:A214&lt;&gt;"")*((($K$5:K214="")+($K$5:K214="Undecided")+($J$5:J214=""))&gt;0)),"")</f>
        <v/>
      </c>
    </row>
    <row r="215" customFormat="false" ht="15" hidden="false" customHeight="false" outlineLevel="0" collapsed="false">
      <c r="A215" s="29"/>
      <c r="B215" s="30"/>
      <c r="C215" s="30"/>
      <c r="D215" s="29"/>
      <c r="E215" s="20" t="str">
        <f aca="false">IF(D215="","",IFERROR(INDEX(Tables!$B:$B,MATCH(D215,Tables!$A:$A,0)),"ID not found"))</f>
        <v/>
      </c>
      <c r="F215" s="20" t="str">
        <f aca="false">IF(D215="","",IFERROR(INDEX(Tables!$C:$C,MATCH(D215,Tables!$A:$A,0)),""))</f>
        <v/>
      </c>
      <c r="G215" s="30"/>
      <c r="H215" s="30"/>
      <c r="I215" s="30"/>
      <c r="J215" s="30"/>
      <c r="K215" s="30"/>
      <c r="L215" s="30"/>
      <c r="M215" s="30"/>
      <c r="N215" s="20" t="str">
        <f aca="false">IF(A215="","",COUNTIF('Metric to Field'!$B:$B,A215))</f>
        <v/>
      </c>
      <c r="O215" s="20" t="str">
        <f aca="false">IF(A215="","",SUMIF('Metric to Field'!$B:$B,A215,'Metric to Field'!$F:$F))</f>
        <v/>
      </c>
      <c r="P215" s="30"/>
      <c r="Q215" s="30"/>
      <c r="R215" s="30"/>
      <c r="S215" s="30"/>
      <c r="T215" s="34" t="str">
        <f aca="false">IF(AND(A215&lt;&gt;"",K215="Fix upstream"),COUNTIF($K$5:K215,"Fix upstream"),"")</f>
        <v/>
      </c>
      <c r="U215" s="34" t="str">
        <f aca="false">IF(AND(A215&lt;&gt;"",OR(K215="Move to business rules",K215="Merge into certified table")),COUNTIF($K$5:K215,"Move to business rules")+COUNTIF($K$5:K215,"Merge into certified table"),"")</f>
        <v/>
      </c>
      <c r="V215" s="34" t="str">
        <f aca="false">IF(AND(A215&lt;&gt;"",OR(K215="",K215="Undecided",J215="")),SUMPRODUCT(($A$5:A215&lt;&gt;"")*((($K$5:K215="")+($K$5:K215="Undecided")+($J$5:J215=""))&gt;0)),"")</f>
        <v/>
      </c>
    </row>
    <row r="216" customFormat="false" ht="15" hidden="false" customHeight="false" outlineLevel="0" collapsed="false">
      <c r="A216" s="29"/>
      <c r="B216" s="30"/>
      <c r="C216" s="30"/>
      <c r="D216" s="29"/>
      <c r="E216" s="20" t="str">
        <f aca="false">IF(D216="","",IFERROR(INDEX(Tables!$B:$B,MATCH(D216,Tables!$A:$A,0)),"ID not found"))</f>
        <v/>
      </c>
      <c r="F216" s="20" t="str">
        <f aca="false">IF(D216="","",IFERROR(INDEX(Tables!$C:$C,MATCH(D216,Tables!$A:$A,0)),""))</f>
        <v/>
      </c>
      <c r="G216" s="30"/>
      <c r="H216" s="30"/>
      <c r="I216" s="30"/>
      <c r="J216" s="30"/>
      <c r="K216" s="30"/>
      <c r="L216" s="30"/>
      <c r="M216" s="30"/>
      <c r="N216" s="20" t="str">
        <f aca="false">IF(A216="","",COUNTIF('Metric to Field'!$B:$B,A216))</f>
        <v/>
      </c>
      <c r="O216" s="20" t="str">
        <f aca="false">IF(A216="","",SUMIF('Metric to Field'!$B:$B,A216,'Metric to Field'!$F:$F))</f>
        <v/>
      </c>
      <c r="P216" s="30"/>
      <c r="Q216" s="30"/>
      <c r="R216" s="30"/>
      <c r="S216" s="30"/>
      <c r="T216" s="34" t="str">
        <f aca="false">IF(AND(A216&lt;&gt;"",K216="Fix upstream"),COUNTIF($K$5:K216,"Fix upstream"),"")</f>
        <v/>
      </c>
      <c r="U216" s="34" t="str">
        <f aca="false">IF(AND(A216&lt;&gt;"",OR(K216="Move to business rules",K216="Merge into certified table")),COUNTIF($K$5:K216,"Move to business rules")+COUNTIF($K$5:K216,"Merge into certified table"),"")</f>
        <v/>
      </c>
      <c r="V216" s="34" t="str">
        <f aca="false">IF(AND(A216&lt;&gt;"",OR(K216="",K216="Undecided",J216="")),SUMPRODUCT(($A$5:A216&lt;&gt;"")*((($K$5:K216="")+($K$5:K216="Undecided")+($J$5:J216=""))&gt;0)),"")</f>
        <v/>
      </c>
    </row>
    <row r="217" customFormat="false" ht="15" hidden="false" customHeight="false" outlineLevel="0" collapsed="false">
      <c r="A217" s="29"/>
      <c r="B217" s="30"/>
      <c r="C217" s="30"/>
      <c r="D217" s="29"/>
      <c r="E217" s="20" t="str">
        <f aca="false">IF(D217="","",IFERROR(INDEX(Tables!$B:$B,MATCH(D217,Tables!$A:$A,0)),"ID not found"))</f>
        <v/>
      </c>
      <c r="F217" s="20" t="str">
        <f aca="false">IF(D217="","",IFERROR(INDEX(Tables!$C:$C,MATCH(D217,Tables!$A:$A,0)),""))</f>
        <v/>
      </c>
      <c r="G217" s="30"/>
      <c r="H217" s="30"/>
      <c r="I217" s="30"/>
      <c r="J217" s="30"/>
      <c r="K217" s="30"/>
      <c r="L217" s="30"/>
      <c r="M217" s="30"/>
      <c r="N217" s="20" t="str">
        <f aca="false">IF(A217="","",COUNTIF('Metric to Field'!$B:$B,A217))</f>
        <v/>
      </c>
      <c r="O217" s="20" t="str">
        <f aca="false">IF(A217="","",SUMIF('Metric to Field'!$B:$B,A217,'Metric to Field'!$F:$F))</f>
        <v/>
      </c>
      <c r="P217" s="30"/>
      <c r="Q217" s="30"/>
      <c r="R217" s="30"/>
      <c r="S217" s="30"/>
      <c r="T217" s="34" t="str">
        <f aca="false">IF(AND(A217&lt;&gt;"",K217="Fix upstream"),COUNTIF($K$5:K217,"Fix upstream"),"")</f>
        <v/>
      </c>
      <c r="U217" s="34" t="str">
        <f aca="false">IF(AND(A217&lt;&gt;"",OR(K217="Move to business rules",K217="Merge into certified table")),COUNTIF($K$5:K217,"Move to business rules")+COUNTIF($K$5:K217,"Merge into certified table"),"")</f>
        <v/>
      </c>
      <c r="V217" s="34" t="str">
        <f aca="false">IF(AND(A217&lt;&gt;"",OR(K217="",K217="Undecided",J217="")),SUMPRODUCT(($A$5:A217&lt;&gt;"")*((($K$5:K217="")+($K$5:K217="Undecided")+($J$5:J217=""))&gt;0)),"")</f>
        <v/>
      </c>
    </row>
    <row r="218" customFormat="false" ht="15" hidden="false" customHeight="false" outlineLevel="0" collapsed="false">
      <c r="A218" s="29"/>
      <c r="B218" s="30"/>
      <c r="C218" s="30"/>
      <c r="D218" s="29"/>
      <c r="E218" s="20" t="str">
        <f aca="false">IF(D218="","",IFERROR(INDEX(Tables!$B:$B,MATCH(D218,Tables!$A:$A,0)),"ID not found"))</f>
        <v/>
      </c>
      <c r="F218" s="20" t="str">
        <f aca="false">IF(D218="","",IFERROR(INDEX(Tables!$C:$C,MATCH(D218,Tables!$A:$A,0)),""))</f>
        <v/>
      </c>
      <c r="G218" s="30"/>
      <c r="H218" s="30"/>
      <c r="I218" s="30"/>
      <c r="J218" s="30"/>
      <c r="K218" s="30"/>
      <c r="L218" s="30"/>
      <c r="M218" s="30"/>
      <c r="N218" s="20" t="str">
        <f aca="false">IF(A218="","",COUNTIF('Metric to Field'!$B:$B,A218))</f>
        <v/>
      </c>
      <c r="O218" s="20" t="str">
        <f aca="false">IF(A218="","",SUMIF('Metric to Field'!$B:$B,A218,'Metric to Field'!$F:$F))</f>
        <v/>
      </c>
      <c r="P218" s="30"/>
      <c r="Q218" s="30"/>
      <c r="R218" s="30"/>
      <c r="S218" s="30"/>
      <c r="T218" s="34" t="str">
        <f aca="false">IF(AND(A218&lt;&gt;"",K218="Fix upstream"),COUNTIF($K$5:K218,"Fix upstream"),"")</f>
        <v/>
      </c>
      <c r="U218" s="34" t="str">
        <f aca="false">IF(AND(A218&lt;&gt;"",OR(K218="Move to business rules",K218="Merge into certified table")),COUNTIF($K$5:K218,"Move to business rules")+COUNTIF($K$5:K218,"Merge into certified table"),"")</f>
        <v/>
      </c>
      <c r="V218" s="34" t="str">
        <f aca="false">IF(AND(A218&lt;&gt;"",OR(K218="",K218="Undecided",J218="")),SUMPRODUCT(($A$5:A218&lt;&gt;"")*((($K$5:K218="")+($K$5:K218="Undecided")+($J$5:J218=""))&gt;0)),"")</f>
        <v/>
      </c>
    </row>
    <row r="219" customFormat="false" ht="15" hidden="false" customHeight="false" outlineLevel="0" collapsed="false">
      <c r="A219" s="29"/>
      <c r="B219" s="30"/>
      <c r="C219" s="30"/>
      <c r="D219" s="29"/>
      <c r="E219" s="20" t="str">
        <f aca="false">IF(D219="","",IFERROR(INDEX(Tables!$B:$B,MATCH(D219,Tables!$A:$A,0)),"ID not found"))</f>
        <v/>
      </c>
      <c r="F219" s="20" t="str">
        <f aca="false">IF(D219="","",IFERROR(INDEX(Tables!$C:$C,MATCH(D219,Tables!$A:$A,0)),""))</f>
        <v/>
      </c>
      <c r="G219" s="30"/>
      <c r="H219" s="30"/>
      <c r="I219" s="30"/>
      <c r="J219" s="30"/>
      <c r="K219" s="30"/>
      <c r="L219" s="30"/>
      <c r="M219" s="30"/>
      <c r="N219" s="20" t="str">
        <f aca="false">IF(A219="","",COUNTIF('Metric to Field'!$B:$B,A219))</f>
        <v/>
      </c>
      <c r="O219" s="20" t="str">
        <f aca="false">IF(A219="","",SUMIF('Metric to Field'!$B:$B,A219,'Metric to Field'!$F:$F))</f>
        <v/>
      </c>
      <c r="P219" s="30"/>
      <c r="Q219" s="30"/>
      <c r="R219" s="30"/>
      <c r="S219" s="30"/>
      <c r="T219" s="34" t="str">
        <f aca="false">IF(AND(A219&lt;&gt;"",K219="Fix upstream"),COUNTIF($K$5:K219,"Fix upstream"),"")</f>
        <v/>
      </c>
      <c r="U219" s="34" t="str">
        <f aca="false">IF(AND(A219&lt;&gt;"",OR(K219="Move to business rules",K219="Merge into certified table")),COUNTIF($K$5:K219,"Move to business rules")+COUNTIF($K$5:K219,"Merge into certified table"),"")</f>
        <v/>
      </c>
      <c r="V219" s="34" t="str">
        <f aca="false">IF(AND(A219&lt;&gt;"",OR(K219="",K219="Undecided",J219="")),SUMPRODUCT(($A$5:A219&lt;&gt;"")*((($K$5:K219="")+($K$5:K219="Undecided")+($J$5:J219=""))&gt;0)),"")</f>
        <v/>
      </c>
    </row>
    <row r="220" customFormat="false" ht="15" hidden="false" customHeight="false" outlineLevel="0" collapsed="false">
      <c r="A220" s="29"/>
      <c r="B220" s="30"/>
      <c r="C220" s="30"/>
      <c r="D220" s="29"/>
      <c r="E220" s="20" t="str">
        <f aca="false">IF(D220="","",IFERROR(INDEX(Tables!$B:$B,MATCH(D220,Tables!$A:$A,0)),"ID not found"))</f>
        <v/>
      </c>
      <c r="F220" s="20" t="str">
        <f aca="false">IF(D220="","",IFERROR(INDEX(Tables!$C:$C,MATCH(D220,Tables!$A:$A,0)),""))</f>
        <v/>
      </c>
      <c r="G220" s="30"/>
      <c r="H220" s="30"/>
      <c r="I220" s="30"/>
      <c r="J220" s="30"/>
      <c r="K220" s="30"/>
      <c r="L220" s="30"/>
      <c r="M220" s="30"/>
      <c r="N220" s="20" t="str">
        <f aca="false">IF(A220="","",COUNTIF('Metric to Field'!$B:$B,A220))</f>
        <v/>
      </c>
      <c r="O220" s="20" t="str">
        <f aca="false">IF(A220="","",SUMIF('Metric to Field'!$B:$B,A220,'Metric to Field'!$F:$F))</f>
        <v/>
      </c>
      <c r="P220" s="30"/>
      <c r="Q220" s="30"/>
      <c r="R220" s="30"/>
      <c r="S220" s="30"/>
      <c r="T220" s="34" t="str">
        <f aca="false">IF(AND(A220&lt;&gt;"",K220="Fix upstream"),COUNTIF($K$5:K220,"Fix upstream"),"")</f>
        <v/>
      </c>
      <c r="U220" s="34" t="str">
        <f aca="false">IF(AND(A220&lt;&gt;"",OR(K220="Move to business rules",K220="Merge into certified table")),COUNTIF($K$5:K220,"Move to business rules")+COUNTIF($K$5:K220,"Merge into certified table"),"")</f>
        <v/>
      </c>
      <c r="V220" s="34" t="str">
        <f aca="false">IF(AND(A220&lt;&gt;"",OR(K220="",K220="Undecided",J220="")),SUMPRODUCT(($A$5:A220&lt;&gt;"")*((($K$5:K220="")+($K$5:K220="Undecided")+($J$5:J220=""))&gt;0)),"")</f>
        <v/>
      </c>
    </row>
    <row r="221" customFormat="false" ht="15" hidden="false" customHeight="false" outlineLevel="0" collapsed="false">
      <c r="A221" s="29"/>
      <c r="B221" s="30"/>
      <c r="C221" s="30"/>
      <c r="D221" s="29"/>
      <c r="E221" s="20" t="str">
        <f aca="false">IF(D221="","",IFERROR(INDEX(Tables!$B:$B,MATCH(D221,Tables!$A:$A,0)),"ID not found"))</f>
        <v/>
      </c>
      <c r="F221" s="20" t="str">
        <f aca="false">IF(D221="","",IFERROR(INDEX(Tables!$C:$C,MATCH(D221,Tables!$A:$A,0)),""))</f>
        <v/>
      </c>
      <c r="G221" s="30"/>
      <c r="H221" s="30"/>
      <c r="I221" s="30"/>
      <c r="J221" s="30"/>
      <c r="K221" s="30"/>
      <c r="L221" s="30"/>
      <c r="M221" s="30"/>
      <c r="N221" s="20" t="str">
        <f aca="false">IF(A221="","",COUNTIF('Metric to Field'!$B:$B,A221))</f>
        <v/>
      </c>
      <c r="O221" s="20" t="str">
        <f aca="false">IF(A221="","",SUMIF('Metric to Field'!$B:$B,A221,'Metric to Field'!$F:$F))</f>
        <v/>
      </c>
      <c r="P221" s="30"/>
      <c r="Q221" s="30"/>
      <c r="R221" s="30"/>
      <c r="S221" s="30"/>
      <c r="T221" s="34" t="str">
        <f aca="false">IF(AND(A221&lt;&gt;"",K221="Fix upstream"),COUNTIF($K$5:K221,"Fix upstream"),"")</f>
        <v/>
      </c>
      <c r="U221" s="34" t="str">
        <f aca="false">IF(AND(A221&lt;&gt;"",OR(K221="Move to business rules",K221="Merge into certified table")),COUNTIF($K$5:K221,"Move to business rules")+COUNTIF($K$5:K221,"Merge into certified table"),"")</f>
        <v/>
      </c>
      <c r="V221" s="34" t="str">
        <f aca="false">IF(AND(A221&lt;&gt;"",OR(K221="",K221="Undecided",J221="")),SUMPRODUCT(($A$5:A221&lt;&gt;"")*((($K$5:K221="")+($K$5:K221="Undecided")+($J$5:J221=""))&gt;0)),"")</f>
        <v/>
      </c>
    </row>
    <row r="222" customFormat="false" ht="15" hidden="false" customHeight="false" outlineLevel="0" collapsed="false">
      <c r="A222" s="29"/>
      <c r="B222" s="30"/>
      <c r="C222" s="30"/>
      <c r="D222" s="29"/>
      <c r="E222" s="20" t="str">
        <f aca="false">IF(D222="","",IFERROR(INDEX(Tables!$B:$B,MATCH(D222,Tables!$A:$A,0)),"ID not found"))</f>
        <v/>
      </c>
      <c r="F222" s="20" t="str">
        <f aca="false">IF(D222="","",IFERROR(INDEX(Tables!$C:$C,MATCH(D222,Tables!$A:$A,0)),""))</f>
        <v/>
      </c>
      <c r="G222" s="30"/>
      <c r="H222" s="30"/>
      <c r="I222" s="30"/>
      <c r="J222" s="30"/>
      <c r="K222" s="30"/>
      <c r="L222" s="30"/>
      <c r="M222" s="30"/>
      <c r="N222" s="20" t="str">
        <f aca="false">IF(A222="","",COUNTIF('Metric to Field'!$B:$B,A222))</f>
        <v/>
      </c>
      <c r="O222" s="20" t="str">
        <f aca="false">IF(A222="","",SUMIF('Metric to Field'!$B:$B,A222,'Metric to Field'!$F:$F))</f>
        <v/>
      </c>
      <c r="P222" s="30"/>
      <c r="Q222" s="30"/>
      <c r="R222" s="30"/>
      <c r="S222" s="30"/>
      <c r="T222" s="34" t="str">
        <f aca="false">IF(AND(A222&lt;&gt;"",K222="Fix upstream"),COUNTIF($K$5:K222,"Fix upstream"),"")</f>
        <v/>
      </c>
      <c r="U222" s="34" t="str">
        <f aca="false">IF(AND(A222&lt;&gt;"",OR(K222="Move to business rules",K222="Merge into certified table")),COUNTIF($K$5:K222,"Move to business rules")+COUNTIF($K$5:K222,"Merge into certified table"),"")</f>
        <v/>
      </c>
      <c r="V222" s="34" t="str">
        <f aca="false">IF(AND(A222&lt;&gt;"",OR(K222="",K222="Undecided",J222="")),SUMPRODUCT(($A$5:A222&lt;&gt;"")*((($K$5:K222="")+($K$5:K222="Undecided")+($J$5:J222=""))&gt;0)),"")</f>
        <v/>
      </c>
    </row>
    <row r="223" customFormat="false" ht="15" hidden="false" customHeight="false" outlineLevel="0" collapsed="false">
      <c r="A223" s="29"/>
      <c r="B223" s="30"/>
      <c r="C223" s="30"/>
      <c r="D223" s="29"/>
      <c r="E223" s="20" t="str">
        <f aca="false">IF(D223="","",IFERROR(INDEX(Tables!$B:$B,MATCH(D223,Tables!$A:$A,0)),"ID not found"))</f>
        <v/>
      </c>
      <c r="F223" s="20" t="str">
        <f aca="false">IF(D223="","",IFERROR(INDEX(Tables!$C:$C,MATCH(D223,Tables!$A:$A,0)),""))</f>
        <v/>
      </c>
      <c r="G223" s="30"/>
      <c r="H223" s="30"/>
      <c r="I223" s="30"/>
      <c r="J223" s="30"/>
      <c r="K223" s="30"/>
      <c r="L223" s="30"/>
      <c r="M223" s="30"/>
      <c r="N223" s="20" t="str">
        <f aca="false">IF(A223="","",COUNTIF('Metric to Field'!$B:$B,A223))</f>
        <v/>
      </c>
      <c r="O223" s="20" t="str">
        <f aca="false">IF(A223="","",SUMIF('Metric to Field'!$B:$B,A223,'Metric to Field'!$F:$F))</f>
        <v/>
      </c>
      <c r="P223" s="30"/>
      <c r="Q223" s="30"/>
      <c r="R223" s="30"/>
      <c r="S223" s="30"/>
      <c r="T223" s="34" t="str">
        <f aca="false">IF(AND(A223&lt;&gt;"",K223="Fix upstream"),COUNTIF($K$5:K223,"Fix upstream"),"")</f>
        <v/>
      </c>
      <c r="U223" s="34" t="str">
        <f aca="false">IF(AND(A223&lt;&gt;"",OR(K223="Move to business rules",K223="Merge into certified table")),COUNTIF($K$5:K223,"Move to business rules")+COUNTIF($K$5:K223,"Merge into certified table"),"")</f>
        <v/>
      </c>
      <c r="V223" s="34" t="str">
        <f aca="false">IF(AND(A223&lt;&gt;"",OR(K223="",K223="Undecided",J223="")),SUMPRODUCT(($A$5:A223&lt;&gt;"")*((($K$5:K223="")+($K$5:K223="Undecided")+($J$5:J223=""))&gt;0)),"")</f>
        <v/>
      </c>
    </row>
    <row r="224" customFormat="false" ht="15" hidden="false" customHeight="false" outlineLevel="0" collapsed="false">
      <c r="A224" s="29"/>
      <c r="B224" s="30"/>
      <c r="C224" s="30"/>
      <c r="D224" s="29"/>
      <c r="E224" s="20" t="str">
        <f aca="false">IF(D224="","",IFERROR(INDEX(Tables!$B:$B,MATCH(D224,Tables!$A:$A,0)),"ID not found"))</f>
        <v/>
      </c>
      <c r="F224" s="20" t="str">
        <f aca="false">IF(D224="","",IFERROR(INDEX(Tables!$C:$C,MATCH(D224,Tables!$A:$A,0)),""))</f>
        <v/>
      </c>
      <c r="G224" s="30"/>
      <c r="H224" s="30"/>
      <c r="I224" s="30"/>
      <c r="J224" s="30"/>
      <c r="K224" s="30"/>
      <c r="L224" s="30"/>
      <c r="M224" s="30"/>
      <c r="N224" s="20" t="str">
        <f aca="false">IF(A224="","",COUNTIF('Metric to Field'!$B:$B,A224))</f>
        <v/>
      </c>
      <c r="O224" s="20" t="str">
        <f aca="false">IF(A224="","",SUMIF('Metric to Field'!$B:$B,A224,'Metric to Field'!$F:$F))</f>
        <v/>
      </c>
      <c r="P224" s="30"/>
      <c r="Q224" s="30"/>
      <c r="R224" s="30"/>
      <c r="S224" s="30"/>
      <c r="T224" s="34" t="str">
        <f aca="false">IF(AND(A224&lt;&gt;"",K224="Fix upstream"),COUNTIF($K$5:K224,"Fix upstream"),"")</f>
        <v/>
      </c>
      <c r="U224" s="34" t="str">
        <f aca="false">IF(AND(A224&lt;&gt;"",OR(K224="Move to business rules",K224="Merge into certified table")),COUNTIF($K$5:K224,"Move to business rules")+COUNTIF($K$5:K224,"Merge into certified table"),"")</f>
        <v/>
      </c>
      <c r="V224" s="34" t="str">
        <f aca="false">IF(AND(A224&lt;&gt;"",OR(K224="",K224="Undecided",J224="")),SUMPRODUCT(($A$5:A224&lt;&gt;"")*((($K$5:K224="")+($K$5:K224="Undecided")+($J$5:J224=""))&gt;0)),"")</f>
        <v/>
      </c>
    </row>
    <row r="225" customFormat="false" ht="15" hidden="false" customHeight="false" outlineLevel="0" collapsed="false">
      <c r="A225" s="29"/>
      <c r="B225" s="30"/>
      <c r="C225" s="30"/>
      <c r="D225" s="29"/>
      <c r="E225" s="20" t="str">
        <f aca="false">IF(D225="","",IFERROR(INDEX(Tables!$B:$B,MATCH(D225,Tables!$A:$A,0)),"ID not found"))</f>
        <v/>
      </c>
      <c r="F225" s="20" t="str">
        <f aca="false">IF(D225="","",IFERROR(INDEX(Tables!$C:$C,MATCH(D225,Tables!$A:$A,0)),""))</f>
        <v/>
      </c>
      <c r="G225" s="30"/>
      <c r="H225" s="30"/>
      <c r="I225" s="30"/>
      <c r="J225" s="30"/>
      <c r="K225" s="30"/>
      <c r="L225" s="30"/>
      <c r="M225" s="30"/>
      <c r="N225" s="20" t="str">
        <f aca="false">IF(A225="","",COUNTIF('Metric to Field'!$B:$B,A225))</f>
        <v/>
      </c>
      <c r="O225" s="20" t="str">
        <f aca="false">IF(A225="","",SUMIF('Metric to Field'!$B:$B,A225,'Metric to Field'!$F:$F))</f>
        <v/>
      </c>
      <c r="P225" s="30"/>
      <c r="Q225" s="30"/>
      <c r="R225" s="30"/>
      <c r="S225" s="30"/>
      <c r="T225" s="34" t="str">
        <f aca="false">IF(AND(A225&lt;&gt;"",K225="Fix upstream"),COUNTIF($K$5:K225,"Fix upstream"),"")</f>
        <v/>
      </c>
      <c r="U225" s="34" t="str">
        <f aca="false">IF(AND(A225&lt;&gt;"",OR(K225="Move to business rules",K225="Merge into certified table")),COUNTIF($K$5:K225,"Move to business rules")+COUNTIF($K$5:K225,"Merge into certified table"),"")</f>
        <v/>
      </c>
      <c r="V225" s="34" t="str">
        <f aca="false">IF(AND(A225&lt;&gt;"",OR(K225="",K225="Undecided",J225="")),SUMPRODUCT(($A$5:A225&lt;&gt;"")*((($K$5:K225="")+($K$5:K225="Undecided")+($J$5:J225=""))&gt;0)),"")</f>
        <v/>
      </c>
    </row>
    <row r="226" customFormat="false" ht="15" hidden="false" customHeight="false" outlineLevel="0" collapsed="false">
      <c r="A226" s="29"/>
      <c r="B226" s="30"/>
      <c r="C226" s="30"/>
      <c r="D226" s="29"/>
      <c r="E226" s="20" t="str">
        <f aca="false">IF(D226="","",IFERROR(INDEX(Tables!$B:$B,MATCH(D226,Tables!$A:$A,0)),"ID not found"))</f>
        <v/>
      </c>
      <c r="F226" s="20" t="str">
        <f aca="false">IF(D226="","",IFERROR(INDEX(Tables!$C:$C,MATCH(D226,Tables!$A:$A,0)),""))</f>
        <v/>
      </c>
      <c r="G226" s="30"/>
      <c r="H226" s="30"/>
      <c r="I226" s="30"/>
      <c r="J226" s="30"/>
      <c r="K226" s="30"/>
      <c r="L226" s="30"/>
      <c r="M226" s="30"/>
      <c r="N226" s="20" t="str">
        <f aca="false">IF(A226="","",COUNTIF('Metric to Field'!$B:$B,A226))</f>
        <v/>
      </c>
      <c r="O226" s="20" t="str">
        <f aca="false">IF(A226="","",SUMIF('Metric to Field'!$B:$B,A226,'Metric to Field'!$F:$F))</f>
        <v/>
      </c>
      <c r="P226" s="30"/>
      <c r="Q226" s="30"/>
      <c r="R226" s="30"/>
      <c r="S226" s="30"/>
      <c r="T226" s="34" t="str">
        <f aca="false">IF(AND(A226&lt;&gt;"",K226="Fix upstream"),COUNTIF($K$5:K226,"Fix upstream"),"")</f>
        <v/>
      </c>
      <c r="U226" s="34" t="str">
        <f aca="false">IF(AND(A226&lt;&gt;"",OR(K226="Move to business rules",K226="Merge into certified table")),COUNTIF($K$5:K226,"Move to business rules")+COUNTIF($K$5:K226,"Merge into certified table"),"")</f>
        <v/>
      </c>
      <c r="V226" s="34" t="str">
        <f aca="false">IF(AND(A226&lt;&gt;"",OR(K226="",K226="Undecided",J226="")),SUMPRODUCT(($A$5:A226&lt;&gt;"")*((($K$5:K226="")+($K$5:K226="Undecided")+($J$5:J226=""))&gt;0)),"")</f>
        <v/>
      </c>
    </row>
    <row r="227" customFormat="false" ht="15" hidden="false" customHeight="false" outlineLevel="0" collapsed="false">
      <c r="A227" s="29"/>
      <c r="B227" s="30"/>
      <c r="C227" s="30"/>
      <c r="D227" s="29"/>
      <c r="E227" s="20" t="str">
        <f aca="false">IF(D227="","",IFERROR(INDEX(Tables!$B:$B,MATCH(D227,Tables!$A:$A,0)),"ID not found"))</f>
        <v/>
      </c>
      <c r="F227" s="20" t="str">
        <f aca="false">IF(D227="","",IFERROR(INDEX(Tables!$C:$C,MATCH(D227,Tables!$A:$A,0)),""))</f>
        <v/>
      </c>
      <c r="G227" s="30"/>
      <c r="H227" s="30"/>
      <c r="I227" s="30"/>
      <c r="J227" s="30"/>
      <c r="K227" s="30"/>
      <c r="L227" s="30"/>
      <c r="M227" s="30"/>
      <c r="N227" s="20" t="str">
        <f aca="false">IF(A227="","",COUNTIF('Metric to Field'!$B:$B,A227))</f>
        <v/>
      </c>
      <c r="O227" s="20" t="str">
        <f aca="false">IF(A227="","",SUMIF('Metric to Field'!$B:$B,A227,'Metric to Field'!$F:$F))</f>
        <v/>
      </c>
      <c r="P227" s="30"/>
      <c r="Q227" s="30"/>
      <c r="R227" s="30"/>
      <c r="S227" s="30"/>
      <c r="T227" s="34" t="str">
        <f aca="false">IF(AND(A227&lt;&gt;"",K227="Fix upstream"),COUNTIF($K$5:K227,"Fix upstream"),"")</f>
        <v/>
      </c>
      <c r="U227" s="34" t="str">
        <f aca="false">IF(AND(A227&lt;&gt;"",OR(K227="Move to business rules",K227="Merge into certified table")),COUNTIF($K$5:K227,"Move to business rules")+COUNTIF($K$5:K227,"Merge into certified table"),"")</f>
        <v/>
      </c>
      <c r="V227" s="34" t="str">
        <f aca="false">IF(AND(A227&lt;&gt;"",OR(K227="",K227="Undecided",J227="")),SUMPRODUCT(($A$5:A227&lt;&gt;"")*((($K$5:K227="")+($K$5:K227="Undecided")+($J$5:J227=""))&gt;0)),"")</f>
        <v/>
      </c>
    </row>
    <row r="228" customFormat="false" ht="15" hidden="false" customHeight="false" outlineLevel="0" collapsed="false">
      <c r="A228" s="29"/>
      <c r="B228" s="30"/>
      <c r="C228" s="30"/>
      <c r="D228" s="29"/>
      <c r="E228" s="20" t="str">
        <f aca="false">IF(D228="","",IFERROR(INDEX(Tables!$B:$B,MATCH(D228,Tables!$A:$A,0)),"ID not found"))</f>
        <v/>
      </c>
      <c r="F228" s="20" t="str">
        <f aca="false">IF(D228="","",IFERROR(INDEX(Tables!$C:$C,MATCH(D228,Tables!$A:$A,0)),""))</f>
        <v/>
      </c>
      <c r="G228" s="30"/>
      <c r="H228" s="30"/>
      <c r="I228" s="30"/>
      <c r="J228" s="30"/>
      <c r="K228" s="30"/>
      <c r="L228" s="30"/>
      <c r="M228" s="30"/>
      <c r="N228" s="20" t="str">
        <f aca="false">IF(A228="","",COUNTIF('Metric to Field'!$B:$B,A228))</f>
        <v/>
      </c>
      <c r="O228" s="20" t="str">
        <f aca="false">IF(A228="","",SUMIF('Metric to Field'!$B:$B,A228,'Metric to Field'!$F:$F))</f>
        <v/>
      </c>
      <c r="P228" s="30"/>
      <c r="Q228" s="30"/>
      <c r="R228" s="30"/>
      <c r="S228" s="30"/>
      <c r="T228" s="34" t="str">
        <f aca="false">IF(AND(A228&lt;&gt;"",K228="Fix upstream"),COUNTIF($K$5:K228,"Fix upstream"),"")</f>
        <v/>
      </c>
      <c r="U228" s="34" t="str">
        <f aca="false">IF(AND(A228&lt;&gt;"",OR(K228="Move to business rules",K228="Merge into certified table")),COUNTIF($K$5:K228,"Move to business rules")+COUNTIF($K$5:K228,"Merge into certified table"),"")</f>
        <v/>
      </c>
      <c r="V228" s="34" t="str">
        <f aca="false">IF(AND(A228&lt;&gt;"",OR(K228="",K228="Undecided",J228="")),SUMPRODUCT(($A$5:A228&lt;&gt;"")*((($K$5:K228="")+($K$5:K228="Undecided")+($J$5:J228=""))&gt;0)),"")</f>
        <v/>
      </c>
    </row>
    <row r="229" customFormat="false" ht="15" hidden="false" customHeight="false" outlineLevel="0" collapsed="false">
      <c r="A229" s="29"/>
      <c r="B229" s="30"/>
      <c r="C229" s="30"/>
      <c r="D229" s="29"/>
      <c r="E229" s="20" t="str">
        <f aca="false">IF(D229="","",IFERROR(INDEX(Tables!$B:$B,MATCH(D229,Tables!$A:$A,0)),"ID not found"))</f>
        <v/>
      </c>
      <c r="F229" s="20" t="str">
        <f aca="false">IF(D229="","",IFERROR(INDEX(Tables!$C:$C,MATCH(D229,Tables!$A:$A,0)),""))</f>
        <v/>
      </c>
      <c r="G229" s="30"/>
      <c r="H229" s="30"/>
      <c r="I229" s="30"/>
      <c r="J229" s="30"/>
      <c r="K229" s="30"/>
      <c r="L229" s="30"/>
      <c r="M229" s="30"/>
      <c r="N229" s="20" t="str">
        <f aca="false">IF(A229="","",COUNTIF('Metric to Field'!$B:$B,A229))</f>
        <v/>
      </c>
      <c r="O229" s="20" t="str">
        <f aca="false">IF(A229="","",SUMIF('Metric to Field'!$B:$B,A229,'Metric to Field'!$F:$F))</f>
        <v/>
      </c>
      <c r="P229" s="30"/>
      <c r="Q229" s="30"/>
      <c r="R229" s="30"/>
      <c r="S229" s="30"/>
      <c r="T229" s="34" t="str">
        <f aca="false">IF(AND(A229&lt;&gt;"",K229="Fix upstream"),COUNTIF($K$5:K229,"Fix upstream"),"")</f>
        <v/>
      </c>
      <c r="U229" s="34" t="str">
        <f aca="false">IF(AND(A229&lt;&gt;"",OR(K229="Move to business rules",K229="Merge into certified table")),COUNTIF($K$5:K229,"Move to business rules")+COUNTIF($K$5:K229,"Merge into certified table"),"")</f>
        <v/>
      </c>
      <c r="V229" s="34" t="str">
        <f aca="false">IF(AND(A229&lt;&gt;"",OR(K229="",K229="Undecided",J229="")),SUMPRODUCT(($A$5:A229&lt;&gt;"")*((($K$5:K229="")+($K$5:K229="Undecided")+($J$5:J229=""))&gt;0)),"")</f>
        <v/>
      </c>
    </row>
    <row r="230" customFormat="false" ht="15" hidden="false" customHeight="false" outlineLevel="0" collapsed="false">
      <c r="A230" s="29"/>
      <c r="B230" s="30"/>
      <c r="C230" s="30"/>
      <c r="D230" s="29"/>
      <c r="E230" s="20" t="str">
        <f aca="false">IF(D230="","",IFERROR(INDEX(Tables!$B:$B,MATCH(D230,Tables!$A:$A,0)),"ID not found"))</f>
        <v/>
      </c>
      <c r="F230" s="20" t="str">
        <f aca="false">IF(D230="","",IFERROR(INDEX(Tables!$C:$C,MATCH(D230,Tables!$A:$A,0)),""))</f>
        <v/>
      </c>
      <c r="G230" s="30"/>
      <c r="H230" s="30"/>
      <c r="I230" s="30"/>
      <c r="J230" s="30"/>
      <c r="K230" s="30"/>
      <c r="L230" s="30"/>
      <c r="M230" s="30"/>
      <c r="N230" s="20" t="str">
        <f aca="false">IF(A230="","",COUNTIF('Metric to Field'!$B:$B,A230))</f>
        <v/>
      </c>
      <c r="O230" s="20" t="str">
        <f aca="false">IF(A230="","",SUMIF('Metric to Field'!$B:$B,A230,'Metric to Field'!$F:$F))</f>
        <v/>
      </c>
      <c r="P230" s="30"/>
      <c r="Q230" s="30"/>
      <c r="R230" s="30"/>
      <c r="S230" s="30"/>
      <c r="T230" s="34" t="str">
        <f aca="false">IF(AND(A230&lt;&gt;"",K230="Fix upstream"),COUNTIF($K$5:K230,"Fix upstream"),"")</f>
        <v/>
      </c>
      <c r="U230" s="34" t="str">
        <f aca="false">IF(AND(A230&lt;&gt;"",OR(K230="Move to business rules",K230="Merge into certified table")),COUNTIF($K$5:K230,"Move to business rules")+COUNTIF($K$5:K230,"Merge into certified table"),"")</f>
        <v/>
      </c>
      <c r="V230" s="34" t="str">
        <f aca="false">IF(AND(A230&lt;&gt;"",OR(K230="",K230="Undecided",J230="")),SUMPRODUCT(($A$5:A230&lt;&gt;"")*((($K$5:K230="")+($K$5:K230="Undecided")+($J$5:J230=""))&gt;0)),"")</f>
        <v/>
      </c>
    </row>
    <row r="231" customFormat="false" ht="15" hidden="false" customHeight="false" outlineLevel="0" collapsed="false">
      <c r="A231" s="29"/>
      <c r="B231" s="30"/>
      <c r="C231" s="30"/>
      <c r="D231" s="29"/>
      <c r="E231" s="20" t="str">
        <f aca="false">IF(D231="","",IFERROR(INDEX(Tables!$B:$B,MATCH(D231,Tables!$A:$A,0)),"ID not found"))</f>
        <v/>
      </c>
      <c r="F231" s="20" t="str">
        <f aca="false">IF(D231="","",IFERROR(INDEX(Tables!$C:$C,MATCH(D231,Tables!$A:$A,0)),""))</f>
        <v/>
      </c>
      <c r="G231" s="30"/>
      <c r="H231" s="30"/>
      <c r="I231" s="30"/>
      <c r="J231" s="30"/>
      <c r="K231" s="30"/>
      <c r="L231" s="30"/>
      <c r="M231" s="30"/>
      <c r="N231" s="20" t="str">
        <f aca="false">IF(A231="","",COUNTIF('Metric to Field'!$B:$B,A231))</f>
        <v/>
      </c>
      <c r="O231" s="20" t="str">
        <f aca="false">IF(A231="","",SUMIF('Metric to Field'!$B:$B,A231,'Metric to Field'!$F:$F))</f>
        <v/>
      </c>
      <c r="P231" s="30"/>
      <c r="Q231" s="30"/>
      <c r="R231" s="30"/>
      <c r="S231" s="30"/>
      <c r="T231" s="34" t="str">
        <f aca="false">IF(AND(A231&lt;&gt;"",K231="Fix upstream"),COUNTIF($K$5:K231,"Fix upstream"),"")</f>
        <v/>
      </c>
      <c r="U231" s="34" t="str">
        <f aca="false">IF(AND(A231&lt;&gt;"",OR(K231="Move to business rules",K231="Merge into certified table")),COUNTIF($K$5:K231,"Move to business rules")+COUNTIF($K$5:K231,"Merge into certified table"),"")</f>
        <v/>
      </c>
      <c r="V231" s="34" t="str">
        <f aca="false">IF(AND(A231&lt;&gt;"",OR(K231="",K231="Undecided",J231="")),SUMPRODUCT(($A$5:A231&lt;&gt;"")*((($K$5:K231="")+($K$5:K231="Undecided")+($J$5:J231=""))&gt;0)),"")</f>
        <v/>
      </c>
    </row>
    <row r="232" customFormat="false" ht="15" hidden="false" customHeight="false" outlineLevel="0" collapsed="false">
      <c r="A232" s="29"/>
      <c r="B232" s="30"/>
      <c r="C232" s="30"/>
      <c r="D232" s="29"/>
      <c r="E232" s="20" t="str">
        <f aca="false">IF(D232="","",IFERROR(INDEX(Tables!$B:$B,MATCH(D232,Tables!$A:$A,0)),"ID not found"))</f>
        <v/>
      </c>
      <c r="F232" s="20" t="str">
        <f aca="false">IF(D232="","",IFERROR(INDEX(Tables!$C:$C,MATCH(D232,Tables!$A:$A,0)),""))</f>
        <v/>
      </c>
      <c r="G232" s="30"/>
      <c r="H232" s="30"/>
      <c r="I232" s="30"/>
      <c r="J232" s="30"/>
      <c r="K232" s="30"/>
      <c r="L232" s="30"/>
      <c r="M232" s="30"/>
      <c r="N232" s="20" t="str">
        <f aca="false">IF(A232="","",COUNTIF('Metric to Field'!$B:$B,A232))</f>
        <v/>
      </c>
      <c r="O232" s="20" t="str">
        <f aca="false">IF(A232="","",SUMIF('Metric to Field'!$B:$B,A232,'Metric to Field'!$F:$F))</f>
        <v/>
      </c>
      <c r="P232" s="30"/>
      <c r="Q232" s="30"/>
      <c r="R232" s="30"/>
      <c r="S232" s="30"/>
      <c r="T232" s="34" t="str">
        <f aca="false">IF(AND(A232&lt;&gt;"",K232="Fix upstream"),COUNTIF($K$5:K232,"Fix upstream"),"")</f>
        <v/>
      </c>
      <c r="U232" s="34" t="str">
        <f aca="false">IF(AND(A232&lt;&gt;"",OR(K232="Move to business rules",K232="Merge into certified table")),COUNTIF($K$5:K232,"Move to business rules")+COUNTIF($K$5:K232,"Merge into certified table"),"")</f>
        <v/>
      </c>
      <c r="V232" s="34" t="str">
        <f aca="false">IF(AND(A232&lt;&gt;"",OR(K232="",K232="Undecided",J232="")),SUMPRODUCT(($A$5:A232&lt;&gt;"")*((($K$5:K232="")+($K$5:K232="Undecided")+($J$5:J232=""))&gt;0)),"")</f>
        <v/>
      </c>
    </row>
    <row r="233" customFormat="false" ht="15" hidden="false" customHeight="false" outlineLevel="0" collapsed="false">
      <c r="A233" s="29"/>
      <c r="B233" s="30"/>
      <c r="C233" s="30"/>
      <c r="D233" s="29"/>
      <c r="E233" s="20" t="str">
        <f aca="false">IF(D233="","",IFERROR(INDEX(Tables!$B:$B,MATCH(D233,Tables!$A:$A,0)),"ID not found"))</f>
        <v/>
      </c>
      <c r="F233" s="20" t="str">
        <f aca="false">IF(D233="","",IFERROR(INDEX(Tables!$C:$C,MATCH(D233,Tables!$A:$A,0)),""))</f>
        <v/>
      </c>
      <c r="G233" s="30"/>
      <c r="H233" s="30"/>
      <c r="I233" s="30"/>
      <c r="J233" s="30"/>
      <c r="K233" s="30"/>
      <c r="L233" s="30"/>
      <c r="M233" s="30"/>
      <c r="N233" s="20" t="str">
        <f aca="false">IF(A233="","",COUNTIF('Metric to Field'!$B:$B,A233))</f>
        <v/>
      </c>
      <c r="O233" s="20" t="str">
        <f aca="false">IF(A233="","",SUMIF('Metric to Field'!$B:$B,A233,'Metric to Field'!$F:$F))</f>
        <v/>
      </c>
      <c r="P233" s="30"/>
      <c r="Q233" s="30"/>
      <c r="R233" s="30"/>
      <c r="S233" s="30"/>
      <c r="T233" s="34" t="str">
        <f aca="false">IF(AND(A233&lt;&gt;"",K233="Fix upstream"),COUNTIF($K$5:K233,"Fix upstream"),"")</f>
        <v/>
      </c>
      <c r="U233" s="34" t="str">
        <f aca="false">IF(AND(A233&lt;&gt;"",OR(K233="Move to business rules",K233="Merge into certified table")),COUNTIF($K$5:K233,"Move to business rules")+COUNTIF($K$5:K233,"Merge into certified table"),"")</f>
        <v/>
      </c>
      <c r="V233" s="34" t="str">
        <f aca="false">IF(AND(A233&lt;&gt;"",OR(K233="",K233="Undecided",J233="")),SUMPRODUCT(($A$5:A233&lt;&gt;"")*((($K$5:K233="")+($K$5:K233="Undecided")+($J$5:J233=""))&gt;0)),"")</f>
        <v/>
      </c>
    </row>
    <row r="234" customFormat="false" ht="15" hidden="false" customHeight="false" outlineLevel="0" collapsed="false">
      <c r="A234" s="29"/>
      <c r="B234" s="30"/>
      <c r="C234" s="30"/>
      <c r="D234" s="29"/>
      <c r="E234" s="20" t="str">
        <f aca="false">IF(D234="","",IFERROR(INDEX(Tables!$B:$B,MATCH(D234,Tables!$A:$A,0)),"ID not found"))</f>
        <v/>
      </c>
      <c r="F234" s="20" t="str">
        <f aca="false">IF(D234="","",IFERROR(INDEX(Tables!$C:$C,MATCH(D234,Tables!$A:$A,0)),""))</f>
        <v/>
      </c>
      <c r="G234" s="30"/>
      <c r="H234" s="30"/>
      <c r="I234" s="30"/>
      <c r="J234" s="30"/>
      <c r="K234" s="30"/>
      <c r="L234" s="30"/>
      <c r="M234" s="30"/>
      <c r="N234" s="20" t="str">
        <f aca="false">IF(A234="","",COUNTIF('Metric to Field'!$B:$B,A234))</f>
        <v/>
      </c>
      <c r="O234" s="20" t="str">
        <f aca="false">IF(A234="","",SUMIF('Metric to Field'!$B:$B,A234,'Metric to Field'!$F:$F))</f>
        <v/>
      </c>
      <c r="P234" s="30"/>
      <c r="Q234" s="30"/>
      <c r="R234" s="30"/>
      <c r="S234" s="30"/>
      <c r="T234" s="34" t="str">
        <f aca="false">IF(AND(A234&lt;&gt;"",K234="Fix upstream"),COUNTIF($K$5:K234,"Fix upstream"),"")</f>
        <v/>
      </c>
      <c r="U234" s="34" t="str">
        <f aca="false">IF(AND(A234&lt;&gt;"",OR(K234="Move to business rules",K234="Merge into certified table")),COUNTIF($K$5:K234,"Move to business rules")+COUNTIF($K$5:K234,"Merge into certified table"),"")</f>
        <v/>
      </c>
      <c r="V234" s="34" t="str">
        <f aca="false">IF(AND(A234&lt;&gt;"",OR(K234="",K234="Undecided",J234="")),SUMPRODUCT(($A$5:A234&lt;&gt;"")*((($K$5:K234="")+($K$5:K234="Undecided")+($J$5:J234=""))&gt;0)),"")</f>
        <v/>
      </c>
    </row>
    <row r="235" customFormat="false" ht="15" hidden="false" customHeight="false" outlineLevel="0" collapsed="false">
      <c r="A235" s="29"/>
      <c r="B235" s="30"/>
      <c r="C235" s="30"/>
      <c r="D235" s="29"/>
      <c r="E235" s="20" t="str">
        <f aca="false">IF(D235="","",IFERROR(INDEX(Tables!$B:$B,MATCH(D235,Tables!$A:$A,0)),"ID not found"))</f>
        <v/>
      </c>
      <c r="F235" s="20" t="str">
        <f aca="false">IF(D235="","",IFERROR(INDEX(Tables!$C:$C,MATCH(D235,Tables!$A:$A,0)),""))</f>
        <v/>
      </c>
      <c r="G235" s="30"/>
      <c r="H235" s="30"/>
      <c r="I235" s="30"/>
      <c r="J235" s="30"/>
      <c r="K235" s="30"/>
      <c r="L235" s="30"/>
      <c r="M235" s="30"/>
      <c r="N235" s="20" t="str">
        <f aca="false">IF(A235="","",COUNTIF('Metric to Field'!$B:$B,A235))</f>
        <v/>
      </c>
      <c r="O235" s="20" t="str">
        <f aca="false">IF(A235="","",SUMIF('Metric to Field'!$B:$B,A235,'Metric to Field'!$F:$F))</f>
        <v/>
      </c>
      <c r="P235" s="30"/>
      <c r="Q235" s="30"/>
      <c r="R235" s="30"/>
      <c r="S235" s="30"/>
      <c r="T235" s="34" t="str">
        <f aca="false">IF(AND(A235&lt;&gt;"",K235="Fix upstream"),COUNTIF($K$5:K235,"Fix upstream"),"")</f>
        <v/>
      </c>
      <c r="U235" s="34" t="str">
        <f aca="false">IF(AND(A235&lt;&gt;"",OR(K235="Move to business rules",K235="Merge into certified table")),COUNTIF($K$5:K235,"Move to business rules")+COUNTIF($K$5:K235,"Merge into certified table"),"")</f>
        <v/>
      </c>
      <c r="V235" s="34" t="str">
        <f aca="false">IF(AND(A235&lt;&gt;"",OR(K235="",K235="Undecided",J235="")),SUMPRODUCT(($A$5:A235&lt;&gt;"")*((($K$5:K235="")+($K$5:K235="Undecided")+($J$5:J235=""))&gt;0)),"")</f>
        <v/>
      </c>
    </row>
    <row r="236" customFormat="false" ht="15" hidden="false" customHeight="false" outlineLevel="0" collapsed="false">
      <c r="A236" s="29"/>
      <c r="B236" s="30"/>
      <c r="C236" s="30"/>
      <c r="D236" s="29"/>
      <c r="E236" s="20" t="str">
        <f aca="false">IF(D236="","",IFERROR(INDEX(Tables!$B:$B,MATCH(D236,Tables!$A:$A,0)),"ID not found"))</f>
        <v/>
      </c>
      <c r="F236" s="20" t="str">
        <f aca="false">IF(D236="","",IFERROR(INDEX(Tables!$C:$C,MATCH(D236,Tables!$A:$A,0)),""))</f>
        <v/>
      </c>
      <c r="G236" s="30"/>
      <c r="H236" s="30"/>
      <c r="I236" s="30"/>
      <c r="J236" s="30"/>
      <c r="K236" s="30"/>
      <c r="L236" s="30"/>
      <c r="M236" s="30"/>
      <c r="N236" s="20" t="str">
        <f aca="false">IF(A236="","",COUNTIF('Metric to Field'!$B:$B,A236))</f>
        <v/>
      </c>
      <c r="O236" s="20" t="str">
        <f aca="false">IF(A236="","",SUMIF('Metric to Field'!$B:$B,A236,'Metric to Field'!$F:$F))</f>
        <v/>
      </c>
      <c r="P236" s="30"/>
      <c r="Q236" s="30"/>
      <c r="R236" s="30"/>
      <c r="S236" s="30"/>
      <c r="T236" s="34" t="str">
        <f aca="false">IF(AND(A236&lt;&gt;"",K236="Fix upstream"),COUNTIF($K$5:K236,"Fix upstream"),"")</f>
        <v/>
      </c>
      <c r="U236" s="34" t="str">
        <f aca="false">IF(AND(A236&lt;&gt;"",OR(K236="Move to business rules",K236="Merge into certified table")),COUNTIF($K$5:K236,"Move to business rules")+COUNTIF($K$5:K236,"Merge into certified table"),"")</f>
        <v/>
      </c>
      <c r="V236" s="34" t="str">
        <f aca="false">IF(AND(A236&lt;&gt;"",OR(K236="",K236="Undecided",J236="")),SUMPRODUCT(($A$5:A236&lt;&gt;"")*((($K$5:K236="")+($K$5:K236="Undecided")+($J$5:J236=""))&gt;0)),"")</f>
        <v/>
      </c>
    </row>
    <row r="237" customFormat="false" ht="15" hidden="false" customHeight="false" outlineLevel="0" collapsed="false">
      <c r="A237" s="29"/>
      <c r="B237" s="30"/>
      <c r="C237" s="30"/>
      <c r="D237" s="29"/>
      <c r="E237" s="20" t="str">
        <f aca="false">IF(D237="","",IFERROR(INDEX(Tables!$B:$B,MATCH(D237,Tables!$A:$A,0)),"ID not found"))</f>
        <v/>
      </c>
      <c r="F237" s="20" t="str">
        <f aca="false">IF(D237="","",IFERROR(INDEX(Tables!$C:$C,MATCH(D237,Tables!$A:$A,0)),""))</f>
        <v/>
      </c>
      <c r="G237" s="30"/>
      <c r="H237" s="30"/>
      <c r="I237" s="30"/>
      <c r="J237" s="30"/>
      <c r="K237" s="30"/>
      <c r="L237" s="30"/>
      <c r="M237" s="30"/>
      <c r="N237" s="20" t="str">
        <f aca="false">IF(A237="","",COUNTIF('Metric to Field'!$B:$B,A237))</f>
        <v/>
      </c>
      <c r="O237" s="20" t="str">
        <f aca="false">IF(A237="","",SUMIF('Metric to Field'!$B:$B,A237,'Metric to Field'!$F:$F))</f>
        <v/>
      </c>
      <c r="P237" s="30"/>
      <c r="Q237" s="30"/>
      <c r="R237" s="30"/>
      <c r="S237" s="30"/>
      <c r="T237" s="34" t="str">
        <f aca="false">IF(AND(A237&lt;&gt;"",K237="Fix upstream"),COUNTIF($K$5:K237,"Fix upstream"),"")</f>
        <v/>
      </c>
      <c r="U237" s="34" t="str">
        <f aca="false">IF(AND(A237&lt;&gt;"",OR(K237="Move to business rules",K237="Merge into certified table")),COUNTIF($K$5:K237,"Move to business rules")+COUNTIF($K$5:K237,"Merge into certified table"),"")</f>
        <v/>
      </c>
      <c r="V237" s="34" t="str">
        <f aca="false">IF(AND(A237&lt;&gt;"",OR(K237="",K237="Undecided",J237="")),SUMPRODUCT(($A$5:A237&lt;&gt;"")*((($K$5:K237="")+($K$5:K237="Undecided")+($J$5:J237=""))&gt;0)),"")</f>
        <v/>
      </c>
    </row>
    <row r="238" customFormat="false" ht="15" hidden="false" customHeight="false" outlineLevel="0" collapsed="false">
      <c r="A238" s="29"/>
      <c r="B238" s="30"/>
      <c r="C238" s="30"/>
      <c r="D238" s="29"/>
      <c r="E238" s="20" t="str">
        <f aca="false">IF(D238="","",IFERROR(INDEX(Tables!$B:$B,MATCH(D238,Tables!$A:$A,0)),"ID not found"))</f>
        <v/>
      </c>
      <c r="F238" s="20" t="str">
        <f aca="false">IF(D238="","",IFERROR(INDEX(Tables!$C:$C,MATCH(D238,Tables!$A:$A,0)),""))</f>
        <v/>
      </c>
      <c r="G238" s="30"/>
      <c r="H238" s="30"/>
      <c r="I238" s="30"/>
      <c r="J238" s="30"/>
      <c r="K238" s="30"/>
      <c r="L238" s="30"/>
      <c r="M238" s="30"/>
      <c r="N238" s="20" t="str">
        <f aca="false">IF(A238="","",COUNTIF('Metric to Field'!$B:$B,A238))</f>
        <v/>
      </c>
      <c r="O238" s="20" t="str">
        <f aca="false">IF(A238="","",SUMIF('Metric to Field'!$B:$B,A238,'Metric to Field'!$F:$F))</f>
        <v/>
      </c>
      <c r="P238" s="30"/>
      <c r="Q238" s="30"/>
      <c r="R238" s="30"/>
      <c r="S238" s="30"/>
      <c r="T238" s="34" t="str">
        <f aca="false">IF(AND(A238&lt;&gt;"",K238="Fix upstream"),COUNTIF($K$5:K238,"Fix upstream"),"")</f>
        <v/>
      </c>
      <c r="U238" s="34" t="str">
        <f aca="false">IF(AND(A238&lt;&gt;"",OR(K238="Move to business rules",K238="Merge into certified table")),COUNTIF($K$5:K238,"Move to business rules")+COUNTIF($K$5:K238,"Merge into certified table"),"")</f>
        <v/>
      </c>
      <c r="V238" s="34" t="str">
        <f aca="false">IF(AND(A238&lt;&gt;"",OR(K238="",K238="Undecided",J238="")),SUMPRODUCT(($A$5:A238&lt;&gt;"")*((($K$5:K238="")+($K$5:K238="Undecided")+($J$5:J238=""))&gt;0)),"")</f>
        <v/>
      </c>
    </row>
    <row r="239" customFormat="false" ht="15" hidden="false" customHeight="false" outlineLevel="0" collapsed="false">
      <c r="A239" s="29"/>
      <c r="B239" s="30"/>
      <c r="C239" s="30"/>
      <c r="D239" s="29"/>
      <c r="E239" s="20" t="str">
        <f aca="false">IF(D239="","",IFERROR(INDEX(Tables!$B:$B,MATCH(D239,Tables!$A:$A,0)),"ID not found"))</f>
        <v/>
      </c>
      <c r="F239" s="20" t="str">
        <f aca="false">IF(D239="","",IFERROR(INDEX(Tables!$C:$C,MATCH(D239,Tables!$A:$A,0)),""))</f>
        <v/>
      </c>
      <c r="G239" s="30"/>
      <c r="H239" s="30"/>
      <c r="I239" s="30"/>
      <c r="J239" s="30"/>
      <c r="K239" s="30"/>
      <c r="L239" s="30"/>
      <c r="M239" s="30"/>
      <c r="N239" s="20" t="str">
        <f aca="false">IF(A239="","",COUNTIF('Metric to Field'!$B:$B,A239))</f>
        <v/>
      </c>
      <c r="O239" s="20" t="str">
        <f aca="false">IF(A239="","",SUMIF('Metric to Field'!$B:$B,A239,'Metric to Field'!$F:$F))</f>
        <v/>
      </c>
      <c r="P239" s="30"/>
      <c r="Q239" s="30"/>
      <c r="R239" s="30"/>
      <c r="S239" s="30"/>
      <c r="T239" s="34" t="str">
        <f aca="false">IF(AND(A239&lt;&gt;"",K239="Fix upstream"),COUNTIF($K$5:K239,"Fix upstream"),"")</f>
        <v/>
      </c>
      <c r="U239" s="34" t="str">
        <f aca="false">IF(AND(A239&lt;&gt;"",OR(K239="Move to business rules",K239="Merge into certified table")),COUNTIF($K$5:K239,"Move to business rules")+COUNTIF($K$5:K239,"Merge into certified table"),"")</f>
        <v/>
      </c>
      <c r="V239" s="34" t="str">
        <f aca="false">IF(AND(A239&lt;&gt;"",OR(K239="",K239="Undecided",J239="")),SUMPRODUCT(($A$5:A239&lt;&gt;"")*((($K$5:K239="")+($K$5:K239="Undecided")+($J$5:J239=""))&gt;0)),"")</f>
        <v/>
      </c>
    </row>
    <row r="240" customFormat="false" ht="15" hidden="false" customHeight="false" outlineLevel="0" collapsed="false">
      <c r="A240" s="29"/>
      <c r="B240" s="30"/>
      <c r="C240" s="30"/>
      <c r="D240" s="29"/>
      <c r="E240" s="20" t="str">
        <f aca="false">IF(D240="","",IFERROR(INDEX(Tables!$B:$B,MATCH(D240,Tables!$A:$A,0)),"ID not found"))</f>
        <v/>
      </c>
      <c r="F240" s="20" t="str">
        <f aca="false">IF(D240="","",IFERROR(INDEX(Tables!$C:$C,MATCH(D240,Tables!$A:$A,0)),""))</f>
        <v/>
      </c>
      <c r="G240" s="30"/>
      <c r="H240" s="30"/>
      <c r="I240" s="30"/>
      <c r="J240" s="30"/>
      <c r="K240" s="30"/>
      <c r="L240" s="30"/>
      <c r="M240" s="30"/>
      <c r="N240" s="20" t="str">
        <f aca="false">IF(A240="","",COUNTIF('Metric to Field'!$B:$B,A240))</f>
        <v/>
      </c>
      <c r="O240" s="20" t="str">
        <f aca="false">IF(A240="","",SUMIF('Metric to Field'!$B:$B,A240,'Metric to Field'!$F:$F))</f>
        <v/>
      </c>
      <c r="P240" s="30"/>
      <c r="Q240" s="30"/>
      <c r="R240" s="30"/>
      <c r="S240" s="30"/>
      <c r="T240" s="34" t="str">
        <f aca="false">IF(AND(A240&lt;&gt;"",K240="Fix upstream"),COUNTIF($K$5:K240,"Fix upstream"),"")</f>
        <v/>
      </c>
      <c r="U240" s="34" t="str">
        <f aca="false">IF(AND(A240&lt;&gt;"",OR(K240="Move to business rules",K240="Merge into certified table")),COUNTIF($K$5:K240,"Move to business rules")+COUNTIF($K$5:K240,"Merge into certified table"),"")</f>
        <v/>
      </c>
      <c r="V240" s="34" t="str">
        <f aca="false">IF(AND(A240&lt;&gt;"",OR(K240="",K240="Undecided",J240="")),SUMPRODUCT(($A$5:A240&lt;&gt;"")*((($K$5:K240="")+($K$5:K240="Undecided")+($J$5:J240=""))&gt;0)),"")</f>
        <v/>
      </c>
    </row>
    <row r="241" customFormat="false" ht="15" hidden="false" customHeight="false" outlineLevel="0" collapsed="false">
      <c r="A241" s="29"/>
      <c r="B241" s="30"/>
      <c r="C241" s="30"/>
      <c r="D241" s="29"/>
      <c r="E241" s="20" t="str">
        <f aca="false">IF(D241="","",IFERROR(INDEX(Tables!$B:$B,MATCH(D241,Tables!$A:$A,0)),"ID not found"))</f>
        <v/>
      </c>
      <c r="F241" s="20" t="str">
        <f aca="false">IF(D241="","",IFERROR(INDEX(Tables!$C:$C,MATCH(D241,Tables!$A:$A,0)),""))</f>
        <v/>
      </c>
      <c r="G241" s="30"/>
      <c r="H241" s="30"/>
      <c r="I241" s="30"/>
      <c r="J241" s="30"/>
      <c r="K241" s="30"/>
      <c r="L241" s="30"/>
      <c r="M241" s="30"/>
      <c r="N241" s="20" t="str">
        <f aca="false">IF(A241="","",COUNTIF('Metric to Field'!$B:$B,A241))</f>
        <v/>
      </c>
      <c r="O241" s="20" t="str">
        <f aca="false">IF(A241="","",SUMIF('Metric to Field'!$B:$B,A241,'Metric to Field'!$F:$F))</f>
        <v/>
      </c>
      <c r="P241" s="30"/>
      <c r="Q241" s="30"/>
      <c r="R241" s="30"/>
      <c r="S241" s="30"/>
      <c r="T241" s="34" t="str">
        <f aca="false">IF(AND(A241&lt;&gt;"",K241="Fix upstream"),COUNTIF($K$5:K241,"Fix upstream"),"")</f>
        <v/>
      </c>
      <c r="U241" s="34" t="str">
        <f aca="false">IF(AND(A241&lt;&gt;"",OR(K241="Move to business rules",K241="Merge into certified table")),COUNTIF($K$5:K241,"Move to business rules")+COUNTIF($K$5:K241,"Merge into certified table"),"")</f>
        <v/>
      </c>
      <c r="V241" s="34" t="str">
        <f aca="false">IF(AND(A241&lt;&gt;"",OR(K241="",K241="Undecided",J241="")),SUMPRODUCT(($A$5:A241&lt;&gt;"")*((($K$5:K241="")+($K$5:K241="Undecided")+($J$5:J241=""))&gt;0)),"")</f>
        <v/>
      </c>
    </row>
    <row r="242" customFormat="false" ht="15" hidden="false" customHeight="false" outlineLevel="0" collapsed="false">
      <c r="A242" s="29"/>
      <c r="B242" s="30"/>
      <c r="C242" s="30"/>
      <c r="D242" s="29"/>
      <c r="E242" s="20" t="str">
        <f aca="false">IF(D242="","",IFERROR(INDEX(Tables!$B:$B,MATCH(D242,Tables!$A:$A,0)),"ID not found"))</f>
        <v/>
      </c>
      <c r="F242" s="20" t="str">
        <f aca="false">IF(D242="","",IFERROR(INDEX(Tables!$C:$C,MATCH(D242,Tables!$A:$A,0)),""))</f>
        <v/>
      </c>
      <c r="G242" s="30"/>
      <c r="H242" s="30"/>
      <c r="I242" s="30"/>
      <c r="J242" s="30"/>
      <c r="K242" s="30"/>
      <c r="L242" s="30"/>
      <c r="M242" s="30"/>
      <c r="N242" s="20" t="str">
        <f aca="false">IF(A242="","",COUNTIF('Metric to Field'!$B:$B,A242))</f>
        <v/>
      </c>
      <c r="O242" s="20" t="str">
        <f aca="false">IF(A242="","",SUMIF('Metric to Field'!$B:$B,A242,'Metric to Field'!$F:$F))</f>
        <v/>
      </c>
      <c r="P242" s="30"/>
      <c r="Q242" s="30"/>
      <c r="R242" s="30"/>
      <c r="S242" s="30"/>
      <c r="T242" s="34" t="str">
        <f aca="false">IF(AND(A242&lt;&gt;"",K242="Fix upstream"),COUNTIF($K$5:K242,"Fix upstream"),"")</f>
        <v/>
      </c>
      <c r="U242" s="34" t="str">
        <f aca="false">IF(AND(A242&lt;&gt;"",OR(K242="Move to business rules",K242="Merge into certified table")),COUNTIF($K$5:K242,"Move to business rules")+COUNTIF($K$5:K242,"Merge into certified table"),"")</f>
        <v/>
      </c>
      <c r="V242" s="34" t="str">
        <f aca="false">IF(AND(A242&lt;&gt;"",OR(K242="",K242="Undecided",J242="")),SUMPRODUCT(($A$5:A242&lt;&gt;"")*((($K$5:K242="")+($K$5:K242="Undecided")+($J$5:J242=""))&gt;0)),"")</f>
        <v/>
      </c>
    </row>
    <row r="243" customFormat="false" ht="15" hidden="false" customHeight="false" outlineLevel="0" collapsed="false">
      <c r="A243" s="29"/>
      <c r="B243" s="30"/>
      <c r="C243" s="30"/>
      <c r="D243" s="29"/>
      <c r="E243" s="20" t="str">
        <f aca="false">IF(D243="","",IFERROR(INDEX(Tables!$B:$B,MATCH(D243,Tables!$A:$A,0)),"ID not found"))</f>
        <v/>
      </c>
      <c r="F243" s="20" t="str">
        <f aca="false">IF(D243="","",IFERROR(INDEX(Tables!$C:$C,MATCH(D243,Tables!$A:$A,0)),""))</f>
        <v/>
      </c>
      <c r="G243" s="30"/>
      <c r="H243" s="30"/>
      <c r="I243" s="30"/>
      <c r="J243" s="30"/>
      <c r="K243" s="30"/>
      <c r="L243" s="30"/>
      <c r="M243" s="30"/>
      <c r="N243" s="20" t="str">
        <f aca="false">IF(A243="","",COUNTIF('Metric to Field'!$B:$B,A243))</f>
        <v/>
      </c>
      <c r="O243" s="20" t="str">
        <f aca="false">IF(A243="","",SUMIF('Metric to Field'!$B:$B,A243,'Metric to Field'!$F:$F))</f>
        <v/>
      </c>
      <c r="P243" s="30"/>
      <c r="Q243" s="30"/>
      <c r="R243" s="30"/>
      <c r="S243" s="30"/>
      <c r="T243" s="34" t="str">
        <f aca="false">IF(AND(A243&lt;&gt;"",K243="Fix upstream"),COUNTIF($K$5:K243,"Fix upstream"),"")</f>
        <v/>
      </c>
      <c r="U243" s="34" t="str">
        <f aca="false">IF(AND(A243&lt;&gt;"",OR(K243="Move to business rules",K243="Merge into certified table")),COUNTIF($K$5:K243,"Move to business rules")+COUNTIF($K$5:K243,"Merge into certified table"),"")</f>
        <v/>
      </c>
      <c r="V243" s="34" t="str">
        <f aca="false">IF(AND(A243&lt;&gt;"",OR(K243="",K243="Undecided",J243="")),SUMPRODUCT(($A$5:A243&lt;&gt;"")*((($K$5:K243="")+($K$5:K243="Undecided")+($J$5:J243=""))&gt;0)),"")</f>
        <v/>
      </c>
    </row>
    <row r="244" customFormat="false" ht="15" hidden="false" customHeight="false" outlineLevel="0" collapsed="false">
      <c r="A244" s="29"/>
      <c r="B244" s="30"/>
      <c r="C244" s="30"/>
      <c r="D244" s="29"/>
      <c r="E244" s="20" t="str">
        <f aca="false">IF(D244="","",IFERROR(INDEX(Tables!$B:$B,MATCH(D244,Tables!$A:$A,0)),"ID not found"))</f>
        <v/>
      </c>
      <c r="F244" s="20" t="str">
        <f aca="false">IF(D244="","",IFERROR(INDEX(Tables!$C:$C,MATCH(D244,Tables!$A:$A,0)),""))</f>
        <v/>
      </c>
      <c r="G244" s="30"/>
      <c r="H244" s="30"/>
      <c r="I244" s="30"/>
      <c r="J244" s="30"/>
      <c r="K244" s="30"/>
      <c r="L244" s="30"/>
      <c r="M244" s="30"/>
      <c r="N244" s="20" t="str">
        <f aca="false">IF(A244="","",COUNTIF('Metric to Field'!$B:$B,A244))</f>
        <v/>
      </c>
      <c r="O244" s="20" t="str">
        <f aca="false">IF(A244="","",SUMIF('Metric to Field'!$B:$B,A244,'Metric to Field'!$F:$F))</f>
        <v/>
      </c>
      <c r="P244" s="30"/>
      <c r="Q244" s="30"/>
      <c r="R244" s="30"/>
      <c r="S244" s="30"/>
      <c r="T244" s="34" t="str">
        <f aca="false">IF(AND(A244&lt;&gt;"",K244="Fix upstream"),COUNTIF($K$5:K244,"Fix upstream"),"")</f>
        <v/>
      </c>
      <c r="U244" s="34" t="str">
        <f aca="false">IF(AND(A244&lt;&gt;"",OR(K244="Move to business rules",K244="Merge into certified table")),COUNTIF($K$5:K244,"Move to business rules")+COUNTIF($K$5:K244,"Merge into certified table"),"")</f>
        <v/>
      </c>
      <c r="V244" s="34" t="str">
        <f aca="false">IF(AND(A244&lt;&gt;"",OR(K244="",K244="Undecided",J244="")),SUMPRODUCT(($A$5:A244&lt;&gt;"")*((($K$5:K244="")+($K$5:K244="Undecided")+($J$5:J244=""))&gt;0)),"")</f>
        <v/>
      </c>
    </row>
    <row r="245" customFormat="false" ht="15" hidden="false" customHeight="false" outlineLevel="0" collapsed="false">
      <c r="A245" s="29"/>
      <c r="B245" s="30"/>
      <c r="C245" s="30"/>
      <c r="D245" s="29"/>
      <c r="E245" s="20" t="str">
        <f aca="false">IF(D245="","",IFERROR(INDEX(Tables!$B:$B,MATCH(D245,Tables!$A:$A,0)),"ID not found"))</f>
        <v/>
      </c>
      <c r="F245" s="20" t="str">
        <f aca="false">IF(D245="","",IFERROR(INDEX(Tables!$C:$C,MATCH(D245,Tables!$A:$A,0)),""))</f>
        <v/>
      </c>
      <c r="G245" s="30"/>
      <c r="H245" s="30"/>
      <c r="I245" s="30"/>
      <c r="J245" s="30"/>
      <c r="K245" s="30"/>
      <c r="L245" s="30"/>
      <c r="M245" s="30"/>
      <c r="N245" s="20" t="str">
        <f aca="false">IF(A245="","",COUNTIF('Metric to Field'!$B:$B,A245))</f>
        <v/>
      </c>
      <c r="O245" s="20" t="str">
        <f aca="false">IF(A245="","",SUMIF('Metric to Field'!$B:$B,A245,'Metric to Field'!$F:$F))</f>
        <v/>
      </c>
      <c r="P245" s="30"/>
      <c r="Q245" s="30"/>
      <c r="R245" s="30"/>
      <c r="S245" s="30"/>
      <c r="T245" s="34" t="str">
        <f aca="false">IF(AND(A245&lt;&gt;"",K245="Fix upstream"),COUNTIF($K$5:K245,"Fix upstream"),"")</f>
        <v/>
      </c>
      <c r="U245" s="34" t="str">
        <f aca="false">IF(AND(A245&lt;&gt;"",OR(K245="Move to business rules",K245="Merge into certified table")),COUNTIF($K$5:K245,"Move to business rules")+COUNTIF($K$5:K245,"Merge into certified table"),"")</f>
        <v/>
      </c>
      <c r="V245" s="34" t="str">
        <f aca="false">IF(AND(A245&lt;&gt;"",OR(K245="",K245="Undecided",J245="")),SUMPRODUCT(($A$5:A245&lt;&gt;"")*((($K$5:K245="")+($K$5:K245="Undecided")+($J$5:J245=""))&gt;0)),"")</f>
        <v/>
      </c>
    </row>
    <row r="246" customFormat="false" ht="15" hidden="false" customHeight="false" outlineLevel="0" collapsed="false">
      <c r="A246" s="29"/>
      <c r="B246" s="30"/>
      <c r="C246" s="30"/>
      <c r="D246" s="29"/>
      <c r="E246" s="20" t="str">
        <f aca="false">IF(D246="","",IFERROR(INDEX(Tables!$B:$B,MATCH(D246,Tables!$A:$A,0)),"ID not found"))</f>
        <v/>
      </c>
      <c r="F246" s="20" t="str">
        <f aca="false">IF(D246="","",IFERROR(INDEX(Tables!$C:$C,MATCH(D246,Tables!$A:$A,0)),""))</f>
        <v/>
      </c>
      <c r="G246" s="30"/>
      <c r="H246" s="30"/>
      <c r="I246" s="30"/>
      <c r="J246" s="30"/>
      <c r="K246" s="30"/>
      <c r="L246" s="30"/>
      <c r="M246" s="30"/>
      <c r="N246" s="20" t="str">
        <f aca="false">IF(A246="","",COUNTIF('Metric to Field'!$B:$B,A246))</f>
        <v/>
      </c>
      <c r="O246" s="20" t="str">
        <f aca="false">IF(A246="","",SUMIF('Metric to Field'!$B:$B,A246,'Metric to Field'!$F:$F))</f>
        <v/>
      </c>
      <c r="P246" s="30"/>
      <c r="Q246" s="30"/>
      <c r="R246" s="30"/>
      <c r="S246" s="30"/>
      <c r="T246" s="34" t="str">
        <f aca="false">IF(AND(A246&lt;&gt;"",K246="Fix upstream"),COUNTIF($K$5:K246,"Fix upstream"),"")</f>
        <v/>
      </c>
      <c r="U246" s="34" t="str">
        <f aca="false">IF(AND(A246&lt;&gt;"",OR(K246="Move to business rules",K246="Merge into certified table")),COUNTIF($K$5:K246,"Move to business rules")+COUNTIF($K$5:K246,"Merge into certified table"),"")</f>
        <v/>
      </c>
      <c r="V246" s="34" t="str">
        <f aca="false">IF(AND(A246&lt;&gt;"",OR(K246="",K246="Undecided",J246="")),SUMPRODUCT(($A$5:A246&lt;&gt;"")*((($K$5:K246="")+($K$5:K246="Undecided")+($J$5:J246=""))&gt;0)),"")</f>
        <v/>
      </c>
    </row>
    <row r="247" customFormat="false" ht="15" hidden="false" customHeight="false" outlineLevel="0" collapsed="false">
      <c r="A247" s="29"/>
      <c r="B247" s="30"/>
      <c r="C247" s="30"/>
      <c r="D247" s="29"/>
      <c r="E247" s="20" t="str">
        <f aca="false">IF(D247="","",IFERROR(INDEX(Tables!$B:$B,MATCH(D247,Tables!$A:$A,0)),"ID not found"))</f>
        <v/>
      </c>
      <c r="F247" s="20" t="str">
        <f aca="false">IF(D247="","",IFERROR(INDEX(Tables!$C:$C,MATCH(D247,Tables!$A:$A,0)),""))</f>
        <v/>
      </c>
      <c r="G247" s="30"/>
      <c r="H247" s="30"/>
      <c r="I247" s="30"/>
      <c r="J247" s="30"/>
      <c r="K247" s="30"/>
      <c r="L247" s="30"/>
      <c r="M247" s="30"/>
      <c r="N247" s="20" t="str">
        <f aca="false">IF(A247="","",COUNTIF('Metric to Field'!$B:$B,A247))</f>
        <v/>
      </c>
      <c r="O247" s="20" t="str">
        <f aca="false">IF(A247="","",SUMIF('Metric to Field'!$B:$B,A247,'Metric to Field'!$F:$F))</f>
        <v/>
      </c>
      <c r="P247" s="30"/>
      <c r="Q247" s="30"/>
      <c r="R247" s="30"/>
      <c r="S247" s="30"/>
      <c r="T247" s="34" t="str">
        <f aca="false">IF(AND(A247&lt;&gt;"",K247="Fix upstream"),COUNTIF($K$5:K247,"Fix upstream"),"")</f>
        <v/>
      </c>
      <c r="U247" s="34" t="str">
        <f aca="false">IF(AND(A247&lt;&gt;"",OR(K247="Move to business rules",K247="Merge into certified table")),COUNTIF($K$5:K247,"Move to business rules")+COUNTIF($K$5:K247,"Merge into certified table"),"")</f>
        <v/>
      </c>
      <c r="V247" s="34" t="str">
        <f aca="false">IF(AND(A247&lt;&gt;"",OR(K247="",K247="Undecided",J247="")),SUMPRODUCT(($A$5:A247&lt;&gt;"")*((($K$5:K247="")+($K$5:K247="Undecided")+($J$5:J247=""))&gt;0)),"")</f>
        <v/>
      </c>
    </row>
    <row r="248" customFormat="false" ht="15" hidden="false" customHeight="false" outlineLevel="0" collapsed="false">
      <c r="A248" s="29"/>
      <c r="B248" s="30"/>
      <c r="C248" s="30"/>
      <c r="D248" s="29"/>
      <c r="E248" s="20" t="str">
        <f aca="false">IF(D248="","",IFERROR(INDEX(Tables!$B:$B,MATCH(D248,Tables!$A:$A,0)),"ID not found"))</f>
        <v/>
      </c>
      <c r="F248" s="20" t="str">
        <f aca="false">IF(D248="","",IFERROR(INDEX(Tables!$C:$C,MATCH(D248,Tables!$A:$A,0)),""))</f>
        <v/>
      </c>
      <c r="G248" s="30"/>
      <c r="H248" s="30"/>
      <c r="I248" s="30"/>
      <c r="J248" s="30"/>
      <c r="K248" s="30"/>
      <c r="L248" s="30"/>
      <c r="M248" s="30"/>
      <c r="N248" s="20" t="str">
        <f aca="false">IF(A248="","",COUNTIF('Metric to Field'!$B:$B,A248))</f>
        <v/>
      </c>
      <c r="O248" s="20" t="str">
        <f aca="false">IF(A248="","",SUMIF('Metric to Field'!$B:$B,A248,'Metric to Field'!$F:$F))</f>
        <v/>
      </c>
      <c r="P248" s="30"/>
      <c r="Q248" s="30"/>
      <c r="R248" s="30"/>
      <c r="S248" s="30"/>
      <c r="T248" s="34" t="str">
        <f aca="false">IF(AND(A248&lt;&gt;"",K248="Fix upstream"),COUNTIF($K$5:K248,"Fix upstream"),"")</f>
        <v/>
      </c>
      <c r="U248" s="34" t="str">
        <f aca="false">IF(AND(A248&lt;&gt;"",OR(K248="Move to business rules",K248="Merge into certified table")),COUNTIF($K$5:K248,"Move to business rules")+COUNTIF($K$5:K248,"Merge into certified table"),"")</f>
        <v/>
      </c>
      <c r="V248" s="34" t="str">
        <f aca="false">IF(AND(A248&lt;&gt;"",OR(K248="",K248="Undecided",J248="")),SUMPRODUCT(($A$5:A248&lt;&gt;"")*((($K$5:K248="")+($K$5:K248="Undecided")+($J$5:J248=""))&gt;0)),"")</f>
        <v/>
      </c>
    </row>
    <row r="249" customFormat="false" ht="15" hidden="false" customHeight="false" outlineLevel="0" collapsed="false">
      <c r="A249" s="29"/>
      <c r="B249" s="30"/>
      <c r="C249" s="30"/>
      <c r="D249" s="29"/>
      <c r="E249" s="20" t="str">
        <f aca="false">IF(D249="","",IFERROR(INDEX(Tables!$B:$B,MATCH(D249,Tables!$A:$A,0)),"ID not found"))</f>
        <v/>
      </c>
      <c r="F249" s="20" t="str">
        <f aca="false">IF(D249="","",IFERROR(INDEX(Tables!$C:$C,MATCH(D249,Tables!$A:$A,0)),""))</f>
        <v/>
      </c>
      <c r="G249" s="30"/>
      <c r="H249" s="30"/>
      <c r="I249" s="30"/>
      <c r="J249" s="30"/>
      <c r="K249" s="30"/>
      <c r="L249" s="30"/>
      <c r="M249" s="30"/>
      <c r="N249" s="20" t="str">
        <f aca="false">IF(A249="","",COUNTIF('Metric to Field'!$B:$B,A249))</f>
        <v/>
      </c>
      <c r="O249" s="20" t="str">
        <f aca="false">IF(A249="","",SUMIF('Metric to Field'!$B:$B,A249,'Metric to Field'!$F:$F))</f>
        <v/>
      </c>
      <c r="P249" s="30"/>
      <c r="Q249" s="30"/>
      <c r="R249" s="30"/>
      <c r="S249" s="30"/>
      <c r="T249" s="34" t="str">
        <f aca="false">IF(AND(A249&lt;&gt;"",K249="Fix upstream"),COUNTIF($K$5:K249,"Fix upstream"),"")</f>
        <v/>
      </c>
      <c r="U249" s="34" t="str">
        <f aca="false">IF(AND(A249&lt;&gt;"",OR(K249="Move to business rules",K249="Merge into certified table")),COUNTIF($K$5:K249,"Move to business rules")+COUNTIF($K$5:K249,"Merge into certified table"),"")</f>
        <v/>
      </c>
      <c r="V249" s="34" t="str">
        <f aca="false">IF(AND(A249&lt;&gt;"",OR(K249="",K249="Undecided",J249="")),SUMPRODUCT(($A$5:A249&lt;&gt;"")*((($K$5:K249="")+($K$5:K249="Undecided")+($J$5:J249=""))&gt;0)),"")</f>
        <v/>
      </c>
    </row>
    <row r="250" customFormat="false" ht="15" hidden="false" customHeight="false" outlineLevel="0" collapsed="false">
      <c r="A250" s="29"/>
      <c r="B250" s="30"/>
      <c r="C250" s="30"/>
      <c r="D250" s="29"/>
      <c r="E250" s="20" t="str">
        <f aca="false">IF(D250="","",IFERROR(INDEX(Tables!$B:$B,MATCH(D250,Tables!$A:$A,0)),"ID not found"))</f>
        <v/>
      </c>
      <c r="F250" s="20" t="str">
        <f aca="false">IF(D250="","",IFERROR(INDEX(Tables!$C:$C,MATCH(D250,Tables!$A:$A,0)),""))</f>
        <v/>
      </c>
      <c r="G250" s="30"/>
      <c r="H250" s="30"/>
      <c r="I250" s="30"/>
      <c r="J250" s="30"/>
      <c r="K250" s="30"/>
      <c r="L250" s="30"/>
      <c r="M250" s="30"/>
      <c r="N250" s="20" t="str">
        <f aca="false">IF(A250="","",COUNTIF('Metric to Field'!$B:$B,A250))</f>
        <v/>
      </c>
      <c r="O250" s="20" t="str">
        <f aca="false">IF(A250="","",SUMIF('Metric to Field'!$B:$B,A250,'Metric to Field'!$F:$F))</f>
        <v/>
      </c>
      <c r="P250" s="30"/>
      <c r="Q250" s="30"/>
      <c r="R250" s="30"/>
      <c r="S250" s="30"/>
      <c r="T250" s="34" t="str">
        <f aca="false">IF(AND(A250&lt;&gt;"",K250="Fix upstream"),COUNTIF($K$5:K250,"Fix upstream"),"")</f>
        <v/>
      </c>
      <c r="U250" s="34" t="str">
        <f aca="false">IF(AND(A250&lt;&gt;"",OR(K250="Move to business rules",K250="Merge into certified table")),COUNTIF($K$5:K250,"Move to business rules")+COUNTIF($K$5:K250,"Merge into certified table"),"")</f>
        <v/>
      </c>
      <c r="V250" s="34" t="str">
        <f aca="false">IF(AND(A250&lt;&gt;"",OR(K250="",K250="Undecided",J250="")),SUMPRODUCT(($A$5:A250&lt;&gt;"")*((($K$5:K250="")+($K$5:K250="Undecided")+($J$5:J250=""))&gt;0)),"")</f>
        <v/>
      </c>
    </row>
    <row r="251" customFormat="false" ht="15" hidden="false" customHeight="false" outlineLevel="0" collapsed="false">
      <c r="A251" s="29"/>
      <c r="B251" s="30"/>
      <c r="C251" s="30"/>
      <c r="D251" s="29"/>
      <c r="E251" s="20" t="str">
        <f aca="false">IF(D251="","",IFERROR(INDEX(Tables!$B:$B,MATCH(D251,Tables!$A:$A,0)),"ID not found"))</f>
        <v/>
      </c>
      <c r="F251" s="20" t="str">
        <f aca="false">IF(D251="","",IFERROR(INDEX(Tables!$C:$C,MATCH(D251,Tables!$A:$A,0)),""))</f>
        <v/>
      </c>
      <c r="G251" s="30"/>
      <c r="H251" s="30"/>
      <c r="I251" s="30"/>
      <c r="J251" s="30"/>
      <c r="K251" s="30"/>
      <c r="L251" s="30"/>
      <c r="M251" s="30"/>
      <c r="N251" s="20" t="str">
        <f aca="false">IF(A251="","",COUNTIF('Metric to Field'!$B:$B,A251))</f>
        <v/>
      </c>
      <c r="O251" s="20" t="str">
        <f aca="false">IF(A251="","",SUMIF('Metric to Field'!$B:$B,A251,'Metric to Field'!$F:$F))</f>
        <v/>
      </c>
      <c r="P251" s="30"/>
      <c r="Q251" s="30"/>
      <c r="R251" s="30"/>
      <c r="S251" s="30"/>
      <c r="T251" s="34" t="str">
        <f aca="false">IF(AND(A251&lt;&gt;"",K251="Fix upstream"),COUNTIF($K$5:K251,"Fix upstream"),"")</f>
        <v/>
      </c>
      <c r="U251" s="34" t="str">
        <f aca="false">IF(AND(A251&lt;&gt;"",OR(K251="Move to business rules",K251="Merge into certified table")),COUNTIF($K$5:K251,"Move to business rules")+COUNTIF($K$5:K251,"Merge into certified table"),"")</f>
        <v/>
      </c>
      <c r="V251" s="34" t="str">
        <f aca="false">IF(AND(A251&lt;&gt;"",OR(K251="",K251="Undecided",J251="")),SUMPRODUCT(($A$5:A251&lt;&gt;"")*((($K$5:K251="")+($K$5:K251="Undecided")+($J$5:J251=""))&gt;0)),"")</f>
        <v/>
      </c>
    </row>
    <row r="252" customFormat="false" ht="15" hidden="false" customHeight="false" outlineLevel="0" collapsed="false">
      <c r="A252" s="29"/>
      <c r="B252" s="30"/>
      <c r="C252" s="30"/>
      <c r="D252" s="29"/>
      <c r="E252" s="20" t="str">
        <f aca="false">IF(D252="","",IFERROR(INDEX(Tables!$B:$B,MATCH(D252,Tables!$A:$A,0)),"ID not found"))</f>
        <v/>
      </c>
      <c r="F252" s="20" t="str">
        <f aca="false">IF(D252="","",IFERROR(INDEX(Tables!$C:$C,MATCH(D252,Tables!$A:$A,0)),""))</f>
        <v/>
      </c>
      <c r="G252" s="30"/>
      <c r="H252" s="30"/>
      <c r="I252" s="30"/>
      <c r="J252" s="30"/>
      <c r="K252" s="30"/>
      <c r="L252" s="30"/>
      <c r="M252" s="30"/>
      <c r="N252" s="20" t="str">
        <f aca="false">IF(A252="","",COUNTIF('Metric to Field'!$B:$B,A252))</f>
        <v/>
      </c>
      <c r="O252" s="20" t="str">
        <f aca="false">IF(A252="","",SUMIF('Metric to Field'!$B:$B,A252,'Metric to Field'!$F:$F))</f>
        <v/>
      </c>
      <c r="P252" s="30"/>
      <c r="Q252" s="30"/>
      <c r="R252" s="30"/>
      <c r="S252" s="30"/>
      <c r="T252" s="34" t="str">
        <f aca="false">IF(AND(A252&lt;&gt;"",K252="Fix upstream"),COUNTIF($K$5:K252,"Fix upstream"),"")</f>
        <v/>
      </c>
      <c r="U252" s="34" t="str">
        <f aca="false">IF(AND(A252&lt;&gt;"",OR(K252="Move to business rules",K252="Merge into certified table")),COUNTIF($K$5:K252,"Move to business rules")+COUNTIF($K$5:K252,"Merge into certified table"),"")</f>
        <v/>
      </c>
      <c r="V252" s="34" t="str">
        <f aca="false">IF(AND(A252&lt;&gt;"",OR(K252="",K252="Undecided",J252="")),SUMPRODUCT(($A$5:A252&lt;&gt;"")*((($K$5:K252="")+($K$5:K252="Undecided")+($J$5:J252=""))&gt;0)),"")</f>
        <v/>
      </c>
    </row>
    <row r="253" customFormat="false" ht="15" hidden="false" customHeight="false" outlineLevel="0" collapsed="false">
      <c r="A253" s="29"/>
      <c r="B253" s="30"/>
      <c r="C253" s="30"/>
      <c r="D253" s="29"/>
      <c r="E253" s="20" t="str">
        <f aca="false">IF(D253="","",IFERROR(INDEX(Tables!$B:$B,MATCH(D253,Tables!$A:$A,0)),"ID not found"))</f>
        <v/>
      </c>
      <c r="F253" s="20" t="str">
        <f aca="false">IF(D253="","",IFERROR(INDEX(Tables!$C:$C,MATCH(D253,Tables!$A:$A,0)),""))</f>
        <v/>
      </c>
      <c r="G253" s="30"/>
      <c r="H253" s="30"/>
      <c r="I253" s="30"/>
      <c r="J253" s="30"/>
      <c r="K253" s="30"/>
      <c r="L253" s="30"/>
      <c r="M253" s="30"/>
      <c r="N253" s="20" t="str">
        <f aca="false">IF(A253="","",COUNTIF('Metric to Field'!$B:$B,A253))</f>
        <v/>
      </c>
      <c r="O253" s="20" t="str">
        <f aca="false">IF(A253="","",SUMIF('Metric to Field'!$B:$B,A253,'Metric to Field'!$F:$F))</f>
        <v/>
      </c>
      <c r="P253" s="30"/>
      <c r="Q253" s="30"/>
      <c r="R253" s="30"/>
      <c r="S253" s="30"/>
      <c r="T253" s="34" t="str">
        <f aca="false">IF(AND(A253&lt;&gt;"",K253="Fix upstream"),COUNTIF($K$5:K253,"Fix upstream"),"")</f>
        <v/>
      </c>
      <c r="U253" s="34" t="str">
        <f aca="false">IF(AND(A253&lt;&gt;"",OR(K253="Move to business rules",K253="Merge into certified table")),COUNTIF($K$5:K253,"Move to business rules")+COUNTIF($K$5:K253,"Merge into certified table"),"")</f>
        <v/>
      </c>
      <c r="V253" s="34" t="str">
        <f aca="false">IF(AND(A253&lt;&gt;"",OR(K253="",K253="Undecided",J253="")),SUMPRODUCT(($A$5:A253&lt;&gt;"")*((($K$5:K253="")+($K$5:K253="Undecided")+($J$5:J253=""))&gt;0)),"")</f>
        <v/>
      </c>
    </row>
    <row r="254" customFormat="false" ht="15" hidden="false" customHeight="false" outlineLevel="0" collapsed="false">
      <c r="A254" s="29"/>
      <c r="B254" s="30"/>
      <c r="C254" s="30"/>
      <c r="D254" s="29"/>
      <c r="E254" s="20" t="str">
        <f aca="false">IF(D254="","",IFERROR(INDEX(Tables!$B:$B,MATCH(D254,Tables!$A:$A,0)),"ID not found"))</f>
        <v/>
      </c>
      <c r="F254" s="20" t="str">
        <f aca="false">IF(D254="","",IFERROR(INDEX(Tables!$C:$C,MATCH(D254,Tables!$A:$A,0)),""))</f>
        <v/>
      </c>
      <c r="G254" s="30"/>
      <c r="H254" s="30"/>
      <c r="I254" s="30"/>
      <c r="J254" s="30"/>
      <c r="K254" s="30"/>
      <c r="L254" s="30"/>
      <c r="M254" s="30"/>
      <c r="N254" s="20" t="str">
        <f aca="false">IF(A254="","",COUNTIF('Metric to Field'!$B:$B,A254))</f>
        <v/>
      </c>
      <c r="O254" s="20" t="str">
        <f aca="false">IF(A254="","",SUMIF('Metric to Field'!$B:$B,A254,'Metric to Field'!$F:$F))</f>
        <v/>
      </c>
      <c r="P254" s="30"/>
      <c r="Q254" s="30"/>
      <c r="R254" s="30"/>
      <c r="S254" s="30"/>
      <c r="T254" s="34" t="str">
        <f aca="false">IF(AND(A254&lt;&gt;"",K254="Fix upstream"),COUNTIF($K$5:K254,"Fix upstream"),"")</f>
        <v/>
      </c>
      <c r="U254" s="34" t="str">
        <f aca="false">IF(AND(A254&lt;&gt;"",OR(K254="Move to business rules",K254="Merge into certified table")),COUNTIF($K$5:K254,"Move to business rules")+COUNTIF($K$5:K254,"Merge into certified table"),"")</f>
        <v/>
      </c>
      <c r="V254" s="34" t="str">
        <f aca="false">IF(AND(A254&lt;&gt;"",OR(K254="",K254="Undecided",J254="")),SUMPRODUCT(($A$5:A254&lt;&gt;"")*((($K$5:K254="")+($K$5:K254="Undecided")+($J$5:J254=""))&gt;0)),"")</f>
        <v/>
      </c>
    </row>
    <row r="255" customFormat="false" ht="15" hidden="false" customHeight="false" outlineLevel="0" collapsed="false">
      <c r="A255" s="29"/>
      <c r="B255" s="30"/>
      <c r="C255" s="30"/>
      <c r="D255" s="29"/>
      <c r="E255" s="20" t="str">
        <f aca="false">IF(D255="","",IFERROR(INDEX(Tables!$B:$B,MATCH(D255,Tables!$A:$A,0)),"ID not found"))</f>
        <v/>
      </c>
      <c r="F255" s="20" t="str">
        <f aca="false">IF(D255="","",IFERROR(INDEX(Tables!$C:$C,MATCH(D255,Tables!$A:$A,0)),""))</f>
        <v/>
      </c>
      <c r="G255" s="30"/>
      <c r="H255" s="30"/>
      <c r="I255" s="30"/>
      <c r="J255" s="30"/>
      <c r="K255" s="30"/>
      <c r="L255" s="30"/>
      <c r="M255" s="30"/>
      <c r="N255" s="20" t="str">
        <f aca="false">IF(A255="","",COUNTIF('Metric to Field'!$B:$B,A255))</f>
        <v/>
      </c>
      <c r="O255" s="20" t="str">
        <f aca="false">IF(A255="","",SUMIF('Metric to Field'!$B:$B,A255,'Metric to Field'!$F:$F))</f>
        <v/>
      </c>
      <c r="P255" s="30"/>
      <c r="Q255" s="30"/>
      <c r="R255" s="30"/>
      <c r="S255" s="30"/>
      <c r="T255" s="34" t="str">
        <f aca="false">IF(AND(A255&lt;&gt;"",K255="Fix upstream"),COUNTIF($K$5:K255,"Fix upstream"),"")</f>
        <v/>
      </c>
      <c r="U255" s="34" t="str">
        <f aca="false">IF(AND(A255&lt;&gt;"",OR(K255="Move to business rules",K255="Merge into certified table")),COUNTIF($K$5:K255,"Move to business rules")+COUNTIF($K$5:K255,"Merge into certified table"),"")</f>
        <v/>
      </c>
      <c r="V255" s="34" t="str">
        <f aca="false">IF(AND(A255&lt;&gt;"",OR(K255="",K255="Undecided",J255="")),SUMPRODUCT(($A$5:A255&lt;&gt;"")*((($K$5:K255="")+($K$5:K255="Undecided")+($J$5:J255=""))&gt;0)),"")</f>
        <v/>
      </c>
    </row>
    <row r="256" customFormat="false" ht="15" hidden="false" customHeight="false" outlineLevel="0" collapsed="false">
      <c r="A256" s="29"/>
      <c r="B256" s="30"/>
      <c r="C256" s="30"/>
      <c r="D256" s="29"/>
      <c r="E256" s="20" t="str">
        <f aca="false">IF(D256="","",IFERROR(INDEX(Tables!$B:$B,MATCH(D256,Tables!$A:$A,0)),"ID not found"))</f>
        <v/>
      </c>
      <c r="F256" s="20" t="str">
        <f aca="false">IF(D256="","",IFERROR(INDEX(Tables!$C:$C,MATCH(D256,Tables!$A:$A,0)),""))</f>
        <v/>
      </c>
      <c r="G256" s="30"/>
      <c r="H256" s="30"/>
      <c r="I256" s="30"/>
      <c r="J256" s="30"/>
      <c r="K256" s="30"/>
      <c r="L256" s="30"/>
      <c r="M256" s="30"/>
      <c r="N256" s="20" t="str">
        <f aca="false">IF(A256="","",COUNTIF('Metric to Field'!$B:$B,A256))</f>
        <v/>
      </c>
      <c r="O256" s="20" t="str">
        <f aca="false">IF(A256="","",SUMIF('Metric to Field'!$B:$B,A256,'Metric to Field'!$F:$F))</f>
        <v/>
      </c>
      <c r="P256" s="30"/>
      <c r="Q256" s="30"/>
      <c r="R256" s="30"/>
      <c r="S256" s="30"/>
      <c r="T256" s="34" t="str">
        <f aca="false">IF(AND(A256&lt;&gt;"",K256="Fix upstream"),COUNTIF($K$5:K256,"Fix upstream"),"")</f>
        <v/>
      </c>
      <c r="U256" s="34" t="str">
        <f aca="false">IF(AND(A256&lt;&gt;"",OR(K256="Move to business rules",K256="Merge into certified table")),COUNTIF($K$5:K256,"Move to business rules")+COUNTIF($K$5:K256,"Merge into certified table"),"")</f>
        <v/>
      </c>
      <c r="V256" s="34" t="str">
        <f aca="false">IF(AND(A256&lt;&gt;"",OR(K256="",K256="Undecided",J256="")),SUMPRODUCT(($A$5:A256&lt;&gt;"")*((($K$5:K256="")+($K$5:K256="Undecided")+($J$5:J256=""))&gt;0)),"")</f>
        <v/>
      </c>
    </row>
    <row r="257" customFormat="false" ht="15" hidden="false" customHeight="false" outlineLevel="0" collapsed="false">
      <c r="A257" s="29"/>
      <c r="B257" s="30"/>
      <c r="C257" s="30"/>
      <c r="D257" s="29"/>
      <c r="E257" s="20" t="str">
        <f aca="false">IF(D257="","",IFERROR(INDEX(Tables!$B:$B,MATCH(D257,Tables!$A:$A,0)),"ID not found"))</f>
        <v/>
      </c>
      <c r="F257" s="20" t="str">
        <f aca="false">IF(D257="","",IFERROR(INDEX(Tables!$C:$C,MATCH(D257,Tables!$A:$A,0)),""))</f>
        <v/>
      </c>
      <c r="G257" s="30"/>
      <c r="H257" s="30"/>
      <c r="I257" s="30"/>
      <c r="J257" s="30"/>
      <c r="K257" s="30"/>
      <c r="L257" s="30"/>
      <c r="M257" s="30"/>
      <c r="N257" s="20" t="str">
        <f aca="false">IF(A257="","",COUNTIF('Metric to Field'!$B:$B,A257))</f>
        <v/>
      </c>
      <c r="O257" s="20" t="str">
        <f aca="false">IF(A257="","",SUMIF('Metric to Field'!$B:$B,A257,'Metric to Field'!$F:$F))</f>
        <v/>
      </c>
      <c r="P257" s="30"/>
      <c r="Q257" s="30"/>
      <c r="R257" s="30"/>
      <c r="S257" s="30"/>
      <c r="T257" s="34" t="str">
        <f aca="false">IF(AND(A257&lt;&gt;"",K257="Fix upstream"),COUNTIF($K$5:K257,"Fix upstream"),"")</f>
        <v/>
      </c>
      <c r="U257" s="34" t="str">
        <f aca="false">IF(AND(A257&lt;&gt;"",OR(K257="Move to business rules",K257="Merge into certified table")),COUNTIF($K$5:K257,"Move to business rules")+COUNTIF($K$5:K257,"Merge into certified table"),"")</f>
        <v/>
      </c>
      <c r="V257" s="34" t="str">
        <f aca="false">IF(AND(A257&lt;&gt;"",OR(K257="",K257="Undecided",J257="")),SUMPRODUCT(($A$5:A257&lt;&gt;"")*((($K$5:K257="")+($K$5:K257="Undecided")+($J$5:J257=""))&gt;0)),"")</f>
        <v/>
      </c>
    </row>
    <row r="258" customFormat="false" ht="15" hidden="false" customHeight="false" outlineLevel="0" collapsed="false">
      <c r="A258" s="29"/>
      <c r="B258" s="30"/>
      <c r="C258" s="30"/>
      <c r="D258" s="29"/>
      <c r="E258" s="20" t="str">
        <f aca="false">IF(D258="","",IFERROR(INDEX(Tables!$B:$B,MATCH(D258,Tables!$A:$A,0)),"ID not found"))</f>
        <v/>
      </c>
      <c r="F258" s="20" t="str">
        <f aca="false">IF(D258="","",IFERROR(INDEX(Tables!$C:$C,MATCH(D258,Tables!$A:$A,0)),""))</f>
        <v/>
      </c>
      <c r="G258" s="30"/>
      <c r="H258" s="30"/>
      <c r="I258" s="30"/>
      <c r="J258" s="30"/>
      <c r="K258" s="30"/>
      <c r="L258" s="30"/>
      <c r="M258" s="30"/>
      <c r="N258" s="20" t="str">
        <f aca="false">IF(A258="","",COUNTIF('Metric to Field'!$B:$B,A258))</f>
        <v/>
      </c>
      <c r="O258" s="20" t="str">
        <f aca="false">IF(A258="","",SUMIF('Metric to Field'!$B:$B,A258,'Metric to Field'!$F:$F))</f>
        <v/>
      </c>
      <c r="P258" s="30"/>
      <c r="Q258" s="30"/>
      <c r="R258" s="30"/>
      <c r="S258" s="30"/>
      <c r="T258" s="34" t="str">
        <f aca="false">IF(AND(A258&lt;&gt;"",K258="Fix upstream"),COUNTIF($K$5:K258,"Fix upstream"),"")</f>
        <v/>
      </c>
      <c r="U258" s="34" t="str">
        <f aca="false">IF(AND(A258&lt;&gt;"",OR(K258="Move to business rules",K258="Merge into certified table")),COUNTIF($K$5:K258,"Move to business rules")+COUNTIF($K$5:K258,"Merge into certified table"),"")</f>
        <v/>
      </c>
      <c r="V258" s="34" t="str">
        <f aca="false">IF(AND(A258&lt;&gt;"",OR(K258="",K258="Undecided",J258="")),SUMPRODUCT(($A$5:A258&lt;&gt;"")*((($K$5:K258="")+($K$5:K258="Undecided")+($J$5:J258=""))&gt;0)),"")</f>
        <v/>
      </c>
    </row>
    <row r="259" customFormat="false" ht="15" hidden="false" customHeight="false" outlineLevel="0" collapsed="false">
      <c r="A259" s="29"/>
      <c r="B259" s="30"/>
      <c r="C259" s="30"/>
      <c r="D259" s="29"/>
      <c r="E259" s="20" t="str">
        <f aca="false">IF(D259="","",IFERROR(INDEX(Tables!$B:$B,MATCH(D259,Tables!$A:$A,0)),"ID not found"))</f>
        <v/>
      </c>
      <c r="F259" s="20" t="str">
        <f aca="false">IF(D259="","",IFERROR(INDEX(Tables!$C:$C,MATCH(D259,Tables!$A:$A,0)),""))</f>
        <v/>
      </c>
      <c r="G259" s="30"/>
      <c r="H259" s="30"/>
      <c r="I259" s="30"/>
      <c r="J259" s="30"/>
      <c r="K259" s="30"/>
      <c r="L259" s="30"/>
      <c r="M259" s="30"/>
      <c r="N259" s="20" t="str">
        <f aca="false">IF(A259="","",COUNTIF('Metric to Field'!$B:$B,A259))</f>
        <v/>
      </c>
      <c r="O259" s="20" t="str">
        <f aca="false">IF(A259="","",SUMIF('Metric to Field'!$B:$B,A259,'Metric to Field'!$F:$F))</f>
        <v/>
      </c>
      <c r="P259" s="30"/>
      <c r="Q259" s="30"/>
      <c r="R259" s="30"/>
      <c r="S259" s="30"/>
      <c r="T259" s="34" t="str">
        <f aca="false">IF(AND(A259&lt;&gt;"",K259="Fix upstream"),COUNTIF($K$5:K259,"Fix upstream"),"")</f>
        <v/>
      </c>
      <c r="U259" s="34" t="str">
        <f aca="false">IF(AND(A259&lt;&gt;"",OR(K259="Move to business rules",K259="Merge into certified table")),COUNTIF($K$5:K259,"Move to business rules")+COUNTIF($K$5:K259,"Merge into certified table"),"")</f>
        <v/>
      </c>
      <c r="V259" s="34" t="str">
        <f aca="false">IF(AND(A259&lt;&gt;"",OR(K259="",K259="Undecided",J259="")),SUMPRODUCT(($A$5:A259&lt;&gt;"")*((($K$5:K259="")+($K$5:K259="Undecided")+($J$5:J259=""))&gt;0)),"")</f>
        <v/>
      </c>
    </row>
    <row r="260" customFormat="false" ht="15" hidden="false" customHeight="false" outlineLevel="0" collapsed="false">
      <c r="A260" s="29"/>
      <c r="B260" s="30"/>
      <c r="C260" s="30"/>
      <c r="D260" s="29"/>
      <c r="E260" s="20" t="str">
        <f aca="false">IF(D260="","",IFERROR(INDEX(Tables!$B:$B,MATCH(D260,Tables!$A:$A,0)),"ID not found"))</f>
        <v/>
      </c>
      <c r="F260" s="20" t="str">
        <f aca="false">IF(D260="","",IFERROR(INDEX(Tables!$C:$C,MATCH(D260,Tables!$A:$A,0)),""))</f>
        <v/>
      </c>
      <c r="G260" s="30"/>
      <c r="H260" s="30"/>
      <c r="I260" s="30"/>
      <c r="J260" s="30"/>
      <c r="K260" s="30"/>
      <c r="L260" s="30"/>
      <c r="M260" s="30"/>
      <c r="N260" s="20" t="str">
        <f aca="false">IF(A260="","",COUNTIF('Metric to Field'!$B:$B,A260))</f>
        <v/>
      </c>
      <c r="O260" s="20" t="str">
        <f aca="false">IF(A260="","",SUMIF('Metric to Field'!$B:$B,A260,'Metric to Field'!$F:$F))</f>
        <v/>
      </c>
      <c r="P260" s="30"/>
      <c r="Q260" s="30"/>
      <c r="R260" s="30"/>
      <c r="S260" s="30"/>
      <c r="T260" s="34" t="str">
        <f aca="false">IF(AND(A260&lt;&gt;"",K260="Fix upstream"),COUNTIF($K$5:K260,"Fix upstream"),"")</f>
        <v/>
      </c>
      <c r="U260" s="34" t="str">
        <f aca="false">IF(AND(A260&lt;&gt;"",OR(K260="Move to business rules",K260="Merge into certified table")),COUNTIF($K$5:K260,"Move to business rules")+COUNTIF($K$5:K260,"Merge into certified table"),"")</f>
        <v/>
      </c>
      <c r="V260" s="34" t="str">
        <f aca="false">IF(AND(A260&lt;&gt;"",OR(K260="",K260="Undecided",J260="")),SUMPRODUCT(($A$5:A260&lt;&gt;"")*((($K$5:K260="")+($K$5:K260="Undecided")+($J$5:J260=""))&gt;0)),"")</f>
        <v/>
      </c>
    </row>
    <row r="261" customFormat="false" ht="15" hidden="false" customHeight="false" outlineLevel="0" collapsed="false">
      <c r="A261" s="29"/>
      <c r="B261" s="30"/>
      <c r="C261" s="30"/>
      <c r="D261" s="29"/>
      <c r="E261" s="20" t="str">
        <f aca="false">IF(D261="","",IFERROR(INDEX(Tables!$B:$B,MATCH(D261,Tables!$A:$A,0)),"ID not found"))</f>
        <v/>
      </c>
      <c r="F261" s="20" t="str">
        <f aca="false">IF(D261="","",IFERROR(INDEX(Tables!$C:$C,MATCH(D261,Tables!$A:$A,0)),""))</f>
        <v/>
      </c>
      <c r="G261" s="30"/>
      <c r="H261" s="30"/>
      <c r="I261" s="30"/>
      <c r="J261" s="30"/>
      <c r="K261" s="30"/>
      <c r="L261" s="30"/>
      <c r="M261" s="30"/>
      <c r="N261" s="20" t="str">
        <f aca="false">IF(A261="","",COUNTIF('Metric to Field'!$B:$B,A261))</f>
        <v/>
      </c>
      <c r="O261" s="20" t="str">
        <f aca="false">IF(A261="","",SUMIF('Metric to Field'!$B:$B,A261,'Metric to Field'!$F:$F))</f>
        <v/>
      </c>
      <c r="P261" s="30"/>
      <c r="Q261" s="30"/>
      <c r="R261" s="30"/>
      <c r="S261" s="30"/>
      <c r="T261" s="34" t="str">
        <f aca="false">IF(AND(A261&lt;&gt;"",K261="Fix upstream"),COUNTIF($K$5:K261,"Fix upstream"),"")</f>
        <v/>
      </c>
      <c r="U261" s="34" t="str">
        <f aca="false">IF(AND(A261&lt;&gt;"",OR(K261="Move to business rules",K261="Merge into certified table")),COUNTIF($K$5:K261,"Move to business rules")+COUNTIF($K$5:K261,"Merge into certified table"),"")</f>
        <v/>
      </c>
      <c r="V261" s="34" t="str">
        <f aca="false">IF(AND(A261&lt;&gt;"",OR(K261="",K261="Undecided",J261="")),SUMPRODUCT(($A$5:A261&lt;&gt;"")*((($K$5:K261="")+($K$5:K261="Undecided")+($J$5:J261=""))&gt;0)),"")</f>
        <v/>
      </c>
    </row>
    <row r="262" customFormat="false" ht="15" hidden="false" customHeight="false" outlineLevel="0" collapsed="false">
      <c r="A262" s="29"/>
      <c r="B262" s="30"/>
      <c r="C262" s="30"/>
      <c r="D262" s="29"/>
      <c r="E262" s="20" t="str">
        <f aca="false">IF(D262="","",IFERROR(INDEX(Tables!$B:$B,MATCH(D262,Tables!$A:$A,0)),"ID not found"))</f>
        <v/>
      </c>
      <c r="F262" s="20" t="str">
        <f aca="false">IF(D262="","",IFERROR(INDEX(Tables!$C:$C,MATCH(D262,Tables!$A:$A,0)),""))</f>
        <v/>
      </c>
      <c r="G262" s="30"/>
      <c r="H262" s="30"/>
      <c r="I262" s="30"/>
      <c r="J262" s="30"/>
      <c r="K262" s="30"/>
      <c r="L262" s="30"/>
      <c r="M262" s="30"/>
      <c r="N262" s="20" t="str">
        <f aca="false">IF(A262="","",COUNTIF('Metric to Field'!$B:$B,A262))</f>
        <v/>
      </c>
      <c r="O262" s="20" t="str">
        <f aca="false">IF(A262="","",SUMIF('Metric to Field'!$B:$B,A262,'Metric to Field'!$F:$F))</f>
        <v/>
      </c>
      <c r="P262" s="30"/>
      <c r="Q262" s="30"/>
      <c r="R262" s="30"/>
      <c r="S262" s="30"/>
      <c r="T262" s="34" t="str">
        <f aca="false">IF(AND(A262&lt;&gt;"",K262="Fix upstream"),COUNTIF($K$5:K262,"Fix upstream"),"")</f>
        <v/>
      </c>
      <c r="U262" s="34" t="str">
        <f aca="false">IF(AND(A262&lt;&gt;"",OR(K262="Move to business rules",K262="Merge into certified table")),COUNTIF($K$5:K262,"Move to business rules")+COUNTIF($K$5:K262,"Merge into certified table"),"")</f>
        <v/>
      </c>
      <c r="V262" s="34" t="str">
        <f aca="false">IF(AND(A262&lt;&gt;"",OR(K262="",K262="Undecided",J262="")),SUMPRODUCT(($A$5:A262&lt;&gt;"")*((($K$5:K262="")+($K$5:K262="Undecided")+($J$5:J262=""))&gt;0)),"")</f>
        <v/>
      </c>
    </row>
    <row r="263" customFormat="false" ht="15" hidden="false" customHeight="false" outlineLevel="0" collapsed="false">
      <c r="A263" s="29"/>
      <c r="B263" s="30"/>
      <c r="C263" s="30"/>
      <c r="D263" s="29"/>
      <c r="E263" s="20" t="str">
        <f aca="false">IF(D263="","",IFERROR(INDEX(Tables!$B:$B,MATCH(D263,Tables!$A:$A,0)),"ID not found"))</f>
        <v/>
      </c>
      <c r="F263" s="20" t="str">
        <f aca="false">IF(D263="","",IFERROR(INDEX(Tables!$C:$C,MATCH(D263,Tables!$A:$A,0)),""))</f>
        <v/>
      </c>
      <c r="G263" s="30"/>
      <c r="H263" s="30"/>
      <c r="I263" s="30"/>
      <c r="J263" s="30"/>
      <c r="K263" s="30"/>
      <c r="L263" s="30"/>
      <c r="M263" s="30"/>
      <c r="N263" s="20" t="str">
        <f aca="false">IF(A263="","",COUNTIF('Metric to Field'!$B:$B,A263))</f>
        <v/>
      </c>
      <c r="O263" s="20" t="str">
        <f aca="false">IF(A263="","",SUMIF('Metric to Field'!$B:$B,A263,'Metric to Field'!$F:$F))</f>
        <v/>
      </c>
      <c r="P263" s="30"/>
      <c r="Q263" s="30"/>
      <c r="R263" s="30"/>
      <c r="S263" s="30"/>
      <c r="T263" s="34" t="str">
        <f aca="false">IF(AND(A263&lt;&gt;"",K263="Fix upstream"),COUNTIF($K$5:K263,"Fix upstream"),"")</f>
        <v/>
      </c>
      <c r="U263" s="34" t="str">
        <f aca="false">IF(AND(A263&lt;&gt;"",OR(K263="Move to business rules",K263="Merge into certified table")),COUNTIF($K$5:K263,"Move to business rules")+COUNTIF($K$5:K263,"Merge into certified table"),"")</f>
        <v/>
      </c>
      <c r="V263" s="34" t="str">
        <f aca="false">IF(AND(A263&lt;&gt;"",OR(K263="",K263="Undecided",J263="")),SUMPRODUCT(($A$5:A263&lt;&gt;"")*((($K$5:K263="")+($K$5:K263="Undecided")+($J$5:J263=""))&gt;0)),"")</f>
        <v/>
      </c>
    </row>
    <row r="264" customFormat="false" ht="15" hidden="false" customHeight="false" outlineLevel="0" collapsed="false">
      <c r="A264" s="29"/>
      <c r="B264" s="30"/>
      <c r="C264" s="30"/>
      <c r="D264" s="29"/>
      <c r="E264" s="20" t="str">
        <f aca="false">IF(D264="","",IFERROR(INDEX(Tables!$B:$B,MATCH(D264,Tables!$A:$A,0)),"ID not found"))</f>
        <v/>
      </c>
      <c r="F264" s="20" t="str">
        <f aca="false">IF(D264="","",IFERROR(INDEX(Tables!$C:$C,MATCH(D264,Tables!$A:$A,0)),""))</f>
        <v/>
      </c>
      <c r="G264" s="30"/>
      <c r="H264" s="30"/>
      <c r="I264" s="30"/>
      <c r="J264" s="30"/>
      <c r="K264" s="30"/>
      <c r="L264" s="30"/>
      <c r="M264" s="30"/>
      <c r="N264" s="20" t="str">
        <f aca="false">IF(A264="","",COUNTIF('Metric to Field'!$B:$B,A264))</f>
        <v/>
      </c>
      <c r="O264" s="20" t="str">
        <f aca="false">IF(A264="","",SUMIF('Metric to Field'!$B:$B,A264,'Metric to Field'!$F:$F))</f>
        <v/>
      </c>
      <c r="P264" s="30"/>
      <c r="Q264" s="30"/>
      <c r="R264" s="30"/>
      <c r="S264" s="30"/>
      <c r="T264" s="34" t="str">
        <f aca="false">IF(AND(A264&lt;&gt;"",K264="Fix upstream"),COUNTIF($K$5:K264,"Fix upstream"),"")</f>
        <v/>
      </c>
      <c r="U264" s="34" t="str">
        <f aca="false">IF(AND(A264&lt;&gt;"",OR(K264="Move to business rules",K264="Merge into certified table")),COUNTIF($K$5:K264,"Move to business rules")+COUNTIF($K$5:K264,"Merge into certified table"),"")</f>
        <v/>
      </c>
      <c r="V264" s="34" t="str">
        <f aca="false">IF(AND(A264&lt;&gt;"",OR(K264="",K264="Undecided",J264="")),SUMPRODUCT(($A$5:A264&lt;&gt;"")*((($K$5:K264="")+($K$5:K264="Undecided")+($J$5:J264=""))&gt;0)),"")</f>
        <v/>
      </c>
    </row>
    <row r="265" customFormat="false" ht="15" hidden="false" customHeight="false" outlineLevel="0" collapsed="false">
      <c r="A265" s="29"/>
      <c r="B265" s="30"/>
      <c r="C265" s="30"/>
      <c r="D265" s="29"/>
      <c r="E265" s="20" t="str">
        <f aca="false">IF(D265="","",IFERROR(INDEX(Tables!$B:$B,MATCH(D265,Tables!$A:$A,0)),"ID not found"))</f>
        <v/>
      </c>
      <c r="F265" s="20" t="str">
        <f aca="false">IF(D265="","",IFERROR(INDEX(Tables!$C:$C,MATCH(D265,Tables!$A:$A,0)),""))</f>
        <v/>
      </c>
      <c r="G265" s="30"/>
      <c r="H265" s="30"/>
      <c r="I265" s="30"/>
      <c r="J265" s="30"/>
      <c r="K265" s="30"/>
      <c r="L265" s="30"/>
      <c r="M265" s="30"/>
      <c r="N265" s="20" t="str">
        <f aca="false">IF(A265="","",COUNTIF('Metric to Field'!$B:$B,A265))</f>
        <v/>
      </c>
      <c r="O265" s="20" t="str">
        <f aca="false">IF(A265="","",SUMIF('Metric to Field'!$B:$B,A265,'Metric to Field'!$F:$F))</f>
        <v/>
      </c>
      <c r="P265" s="30"/>
      <c r="Q265" s="30"/>
      <c r="R265" s="30"/>
      <c r="S265" s="30"/>
      <c r="T265" s="34" t="str">
        <f aca="false">IF(AND(A265&lt;&gt;"",K265="Fix upstream"),COUNTIF($K$5:K265,"Fix upstream"),"")</f>
        <v/>
      </c>
      <c r="U265" s="34" t="str">
        <f aca="false">IF(AND(A265&lt;&gt;"",OR(K265="Move to business rules",K265="Merge into certified table")),COUNTIF($K$5:K265,"Move to business rules")+COUNTIF($K$5:K265,"Merge into certified table"),"")</f>
        <v/>
      </c>
      <c r="V265" s="34" t="str">
        <f aca="false">IF(AND(A265&lt;&gt;"",OR(K265="",K265="Undecided",J265="")),SUMPRODUCT(($A$5:A265&lt;&gt;"")*((($K$5:K265="")+($K$5:K265="Undecided")+($J$5:J265=""))&gt;0)),"")</f>
        <v/>
      </c>
    </row>
    <row r="266" customFormat="false" ht="15" hidden="false" customHeight="false" outlineLevel="0" collapsed="false">
      <c r="A266" s="29"/>
      <c r="B266" s="30"/>
      <c r="C266" s="30"/>
      <c r="D266" s="29"/>
      <c r="E266" s="20" t="str">
        <f aca="false">IF(D266="","",IFERROR(INDEX(Tables!$B:$B,MATCH(D266,Tables!$A:$A,0)),"ID not found"))</f>
        <v/>
      </c>
      <c r="F266" s="20" t="str">
        <f aca="false">IF(D266="","",IFERROR(INDEX(Tables!$C:$C,MATCH(D266,Tables!$A:$A,0)),""))</f>
        <v/>
      </c>
      <c r="G266" s="30"/>
      <c r="H266" s="30"/>
      <c r="I266" s="30"/>
      <c r="J266" s="30"/>
      <c r="K266" s="30"/>
      <c r="L266" s="30"/>
      <c r="M266" s="30"/>
      <c r="N266" s="20" t="str">
        <f aca="false">IF(A266="","",COUNTIF('Metric to Field'!$B:$B,A266))</f>
        <v/>
      </c>
      <c r="O266" s="20" t="str">
        <f aca="false">IF(A266="","",SUMIF('Metric to Field'!$B:$B,A266,'Metric to Field'!$F:$F))</f>
        <v/>
      </c>
      <c r="P266" s="30"/>
      <c r="Q266" s="30"/>
      <c r="R266" s="30"/>
      <c r="S266" s="30"/>
      <c r="T266" s="34" t="str">
        <f aca="false">IF(AND(A266&lt;&gt;"",K266="Fix upstream"),COUNTIF($K$5:K266,"Fix upstream"),"")</f>
        <v/>
      </c>
      <c r="U266" s="34" t="str">
        <f aca="false">IF(AND(A266&lt;&gt;"",OR(K266="Move to business rules",K266="Merge into certified table")),COUNTIF($K$5:K266,"Move to business rules")+COUNTIF($K$5:K266,"Merge into certified table"),"")</f>
        <v/>
      </c>
      <c r="V266" s="34" t="str">
        <f aca="false">IF(AND(A266&lt;&gt;"",OR(K266="",K266="Undecided",J266="")),SUMPRODUCT(($A$5:A266&lt;&gt;"")*((($K$5:K266="")+($K$5:K266="Undecided")+($J$5:J266=""))&gt;0)),"")</f>
        <v/>
      </c>
    </row>
    <row r="267" customFormat="false" ht="15" hidden="false" customHeight="false" outlineLevel="0" collapsed="false">
      <c r="A267" s="29"/>
      <c r="B267" s="30"/>
      <c r="C267" s="30"/>
      <c r="D267" s="29"/>
      <c r="E267" s="20" t="str">
        <f aca="false">IF(D267="","",IFERROR(INDEX(Tables!$B:$B,MATCH(D267,Tables!$A:$A,0)),"ID not found"))</f>
        <v/>
      </c>
      <c r="F267" s="20" t="str">
        <f aca="false">IF(D267="","",IFERROR(INDEX(Tables!$C:$C,MATCH(D267,Tables!$A:$A,0)),""))</f>
        <v/>
      </c>
      <c r="G267" s="30"/>
      <c r="H267" s="30"/>
      <c r="I267" s="30"/>
      <c r="J267" s="30"/>
      <c r="K267" s="30"/>
      <c r="L267" s="30"/>
      <c r="M267" s="30"/>
      <c r="N267" s="20" t="str">
        <f aca="false">IF(A267="","",COUNTIF('Metric to Field'!$B:$B,A267))</f>
        <v/>
      </c>
      <c r="O267" s="20" t="str">
        <f aca="false">IF(A267="","",SUMIF('Metric to Field'!$B:$B,A267,'Metric to Field'!$F:$F))</f>
        <v/>
      </c>
      <c r="P267" s="30"/>
      <c r="Q267" s="30"/>
      <c r="R267" s="30"/>
      <c r="S267" s="30"/>
      <c r="T267" s="34" t="str">
        <f aca="false">IF(AND(A267&lt;&gt;"",K267="Fix upstream"),COUNTIF($K$5:K267,"Fix upstream"),"")</f>
        <v/>
      </c>
      <c r="U267" s="34" t="str">
        <f aca="false">IF(AND(A267&lt;&gt;"",OR(K267="Move to business rules",K267="Merge into certified table")),COUNTIF($K$5:K267,"Move to business rules")+COUNTIF($K$5:K267,"Merge into certified table"),"")</f>
        <v/>
      </c>
      <c r="V267" s="34" t="str">
        <f aca="false">IF(AND(A267&lt;&gt;"",OR(K267="",K267="Undecided",J267="")),SUMPRODUCT(($A$5:A267&lt;&gt;"")*((($K$5:K267="")+($K$5:K267="Undecided")+($J$5:J267=""))&gt;0)),"")</f>
        <v/>
      </c>
    </row>
    <row r="268" customFormat="false" ht="15" hidden="false" customHeight="false" outlineLevel="0" collapsed="false">
      <c r="A268" s="29"/>
      <c r="B268" s="30"/>
      <c r="C268" s="30"/>
      <c r="D268" s="29"/>
      <c r="E268" s="20" t="str">
        <f aca="false">IF(D268="","",IFERROR(INDEX(Tables!$B:$B,MATCH(D268,Tables!$A:$A,0)),"ID not found"))</f>
        <v/>
      </c>
      <c r="F268" s="20" t="str">
        <f aca="false">IF(D268="","",IFERROR(INDEX(Tables!$C:$C,MATCH(D268,Tables!$A:$A,0)),""))</f>
        <v/>
      </c>
      <c r="G268" s="30"/>
      <c r="H268" s="30"/>
      <c r="I268" s="30"/>
      <c r="J268" s="30"/>
      <c r="K268" s="30"/>
      <c r="L268" s="30"/>
      <c r="M268" s="30"/>
      <c r="N268" s="20" t="str">
        <f aca="false">IF(A268="","",COUNTIF('Metric to Field'!$B:$B,A268))</f>
        <v/>
      </c>
      <c r="O268" s="20" t="str">
        <f aca="false">IF(A268="","",SUMIF('Metric to Field'!$B:$B,A268,'Metric to Field'!$F:$F))</f>
        <v/>
      </c>
      <c r="P268" s="30"/>
      <c r="Q268" s="30"/>
      <c r="R268" s="30"/>
      <c r="S268" s="30"/>
      <c r="T268" s="34" t="str">
        <f aca="false">IF(AND(A268&lt;&gt;"",K268="Fix upstream"),COUNTIF($K$5:K268,"Fix upstream"),"")</f>
        <v/>
      </c>
      <c r="U268" s="34" t="str">
        <f aca="false">IF(AND(A268&lt;&gt;"",OR(K268="Move to business rules",K268="Merge into certified table")),COUNTIF($K$5:K268,"Move to business rules")+COUNTIF($K$5:K268,"Merge into certified table"),"")</f>
        <v/>
      </c>
      <c r="V268" s="34" t="str">
        <f aca="false">IF(AND(A268&lt;&gt;"",OR(K268="",K268="Undecided",J268="")),SUMPRODUCT(($A$5:A268&lt;&gt;"")*((($K$5:K268="")+($K$5:K268="Undecided")+($J$5:J268=""))&gt;0)),"")</f>
        <v/>
      </c>
    </row>
    <row r="269" customFormat="false" ht="15" hidden="false" customHeight="false" outlineLevel="0" collapsed="false">
      <c r="A269" s="29"/>
      <c r="B269" s="30"/>
      <c r="C269" s="30"/>
      <c r="D269" s="29"/>
      <c r="E269" s="20" t="str">
        <f aca="false">IF(D269="","",IFERROR(INDEX(Tables!$B:$B,MATCH(D269,Tables!$A:$A,0)),"ID not found"))</f>
        <v/>
      </c>
      <c r="F269" s="20" t="str">
        <f aca="false">IF(D269="","",IFERROR(INDEX(Tables!$C:$C,MATCH(D269,Tables!$A:$A,0)),""))</f>
        <v/>
      </c>
      <c r="G269" s="30"/>
      <c r="H269" s="30"/>
      <c r="I269" s="30"/>
      <c r="J269" s="30"/>
      <c r="K269" s="30"/>
      <c r="L269" s="30"/>
      <c r="M269" s="30"/>
      <c r="N269" s="20" t="str">
        <f aca="false">IF(A269="","",COUNTIF('Metric to Field'!$B:$B,A269))</f>
        <v/>
      </c>
      <c r="O269" s="20" t="str">
        <f aca="false">IF(A269="","",SUMIF('Metric to Field'!$B:$B,A269,'Metric to Field'!$F:$F))</f>
        <v/>
      </c>
      <c r="P269" s="30"/>
      <c r="Q269" s="30"/>
      <c r="R269" s="30"/>
      <c r="S269" s="30"/>
      <c r="T269" s="34" t="str">
        <f aca="false">IF(AND(A269&lt;&gt;"",K269="Fix upstream"),COUNTIF($K$5:K269,"Fix upstream"),"")</f>
        <v/>
      </c>
      <c r="U269" s="34" t="str">
        <f aca="false">IF(AND(A269&lt;&gt;"",OR(K269="Move to business rules",K269="Merge into certified table")),COUNTIF($K$5:K269,"Move to business rules")+COUNTIF($K$5:K269,"Merge into certified table"),"")</f>
        <v/>
      </c>
      <c r="V269" s="34" t="str">
        <f aca="false">IF(AND(A269&lt;&gt;"",OR(K269="",K269="Undecided",J269="")),SUMPRODUCT(($A$5:A269&lt;&gt;"")*((($K$5:K269="")+($K$5:K269="Undecided")+($J$5:J269=""))&gt;0)),"")</f>
        <v/>
      </c>
    </row>
    <row r="270" customFormat="false" ht="15" hidden="false" customHeight="false" outlineLevel="0" collapsed="false">
      <c r="A270" s="29"/>
      <c r="B270" s="30"/>
      <c r="C270" s="30"/>
      <c r="D270" s="29"/>
      <c r="E270" s="20" t="str">
        <f aca="false">IF(D270="","",IFERROR(INDEX(Tables!$B:$B,MATCH(D270,Tables!$A:$A,0)),"ID not found"))</f>
        <v/>
      </c>
      <c r="F270" s="20" t="str">
        <f aca="false">IF(D270="","",IFERROR(INDEX(Tables!$C:$C,MATCH(D270,Tables!$A:$A,0)),""))</f>
        <v/>
      </c>
      <c r="G270" s="30"/>
      <c r="H270" s="30"/>
      <c r="I270" s="30"/>
      <c r="J270" s="30"/>
      <c r="K270" s="30"/>
      <c r="L270" s="30"/>
      <c r="M270" s="30"/>
      <c r="N270" s="20" t="str">
        <f aca="false">IF(A270="","",COUNTIF('Metric to Field'!$B:$B,A270))</f>
        <v/>
      </c>
      <c r="O270" s="20" t="str">
        <f aca="false">IF(A270="","",SUMIF('Metric to Field'!$B:$B,A270,'Metric to Field'!$F:$F))</f>
        <v/>
      </c>
      <c r="P270" s="30"/>
      <c r="Q270" s="30"/>
      <c r="R270" s="30"/>
      <c r="S270" s="30"/>
      <c r="T270" s="34" t="str">
        <f aca="false">IF(AND(A270&lt;&gt;"",K270="Fix upstream"),COUNTIF($K$5:K270,"Fix upstream"),"")</f>
        <v/>
      </c>
      <c r="U270" s="34" t="str">
        <f aca="false">IF(AND(A270&lt;&gt;"",OR(K270="Move to business rules",K270="Merge into certified table")),COUNTIF($K$5:K270,"Move to business rules")+COUNTIF($K$5:K270,"Merge into certified table"),"")</f>
        <v/>
      </c>
      <c r="V270" s="34" t="str">
        <f aca="false">IF(AND(A270&lt;&gt;"",OR(K270="",K270="Undecided",J270="")),SUMPRODUCT(($A$5:A270&lt;&gt;"")*((($K$5:K270="")+($K$5:K270="Undecided")+($J$5:J270=""))&gt;0)),"")</f>
        <v/>
      </c>
    </row>
    <row r="271" customFormat="false" ht="15" hidden="false" customHeight="false" outlineLevel="0" collapsed="false">
      <c r="A271" s="29"/>
      <c r="B271" s="30"/>
      <c r="C271" s="30"/>
      <c r="D271" s="29"/>
      <c r="E271" s="20" t="str">
        <f aca="false">IF(D271="","",IFERROR(INDEX(Tables!$B:$B,MATCH(D271,Tables!$A:$A,0)),"ID not found"))</f>
        <v/>
      </c>
      <c r="F271" s="20" t="str">
        <f aca="false">IF(D271="","",IFERROR(INDEX(Tables!$C:$C,MATCH(D271,Tables!$A:$A,0)),""))</f>
        <v/>
      </c>
      <c r="G271" s="30"/>
      <c r="H271" s="30"/>
      <c r="I271" s="30"/>
      <c r="J271" s="30"/>
      <c r="K271" s="30"/>
      <c r="L271" s="30"/>
      <c r="M271" s="30"/>
      <c r="N271" s="20" t="str">
        <f aca="false">IF(A271="","",COUNTIF('Metric to Field'!$B:$B,A271))</f>
        <v/>
      </c>
      <c r="O271" s="20" t="str">
        <f aca="false">IF(A271="","",SUMIF('Metric to Field'!$B:$B,A271,'Metric to Field'!$F:$F))</f>
        <v/>
      </c>
      <c r="P271" s="30"/>
      <c r="Q271" s="30"/>
      <c r="R271" s="30"/>
      <c r="S271" s="30"/>
      <c r="T271" s="34" t="str">
        <f aca="false">IF(AND(A271&lt;&gt;"",K271="Fix upstream"),COUNTIF($K$5:K271,"Fix upstream"),"")</f>
        <v/>
      </c>
      <c r="U271" s="34" t="str">
        <f aca="false">IF(AND(A271&lt;&gt;"",OR(K271="Move to business rules",K271="Merge into certified table")),COUNTIF($K$5:K271,"Move to business rules")+COUNTIF($K$5:K271,"Merge into certified table"),"")</f>
        <v/>
      </c>
      <c r="V271" s="34" t="str">
        <f aca="false">IF(AND(A271&lt;&gt;"",OR(K271="",K271="Undecided",J271="")),SUMPRODUCT(($A$5:A271&lt;&gt;"")*((($K$5:K271="")+($K$5:K271="Undecided")+($J$5:J271=""))&gt;0)),"")</f>
        <v/>
      </c>
    </row>
    <row r="272" customFormat="false" ht="15" hidden="false" customHeight="false" outlineLevel="0" collapsed="false">
      <c r="A272" s="29"/>
      <c r="B272" s="30"/>
      <c r="C272" s="30"/>
      <c r="D272" s="29"/>
      <c r="E272" s="20" t="str">
        <f aca="false">IF(D272="","",IFERROR(INDEX(Tables!$B:$B,MATCH(D272,Tables!$A:$A,0)),"ID not found"))</f>
        <v/>
      </c>
      <c r="F272" s="20" t="str">
        <f aca="false">IF(D272="","",IFERROR(INDEX(Tables!$C:$C,MATCH(D272,Tables!$A:$A,0)),""))</f>
        <v/>
      </c>
      <c r="G272" s="30"/>
      <c r="H272" s="30"/>
      <c r="I272" s="30"/>
      <c r="J272" s="30"/>
      <c r="K272" s="30"/>
      <c r="L272" s="30"/>
      <c r="M272" s="30"/>
      <c r="N272" s="20" t="str">
        <f aca="false">IF(A272="","",COUNTIF('Metric to Field'!$B:$B,A272))</f>
        <v/>
      </c>
      <c r="O272" s="20" t="str">
        <f aca="false">IF(A272="","",SUMIF('Metric to Field'!$B:$B,A272,'Metric to Field'!$F:$F))</f>
        <v/>
      </c>
      <c r="P272" s="30"/>
      <c r="Q272" s="30"/>
      <c r="R272" s="30"/>
      <c r="S272" s="30"/>
      <c r="T272" s="34" t="str">
        <f aca="false">IF(AND(A272&lt;&gt;"",K272="Fix upstream"),COUNTIF($K$5:K272,"Fix upstream"),"")</f>
        <v/>
      </c>
      <c r="U272" s="34" t="str">
        <f aca="false">IF(AND(A272&lt;&gt;"",OR(K272="Move to business rules",K272="Merge into certified table")),COUNTIF($K$5:K272,"Move to business rules")+COUNTIF($K$5:K272,"Merge into certified table"),"")</f>
        <v/>
      </c>
      <c r="V272" s="34" t="str">
        <f aca="false">IF(AND(A272&lt;&gt;"",OR(K272="",K272="Undecided",J272="")),SUMPRODUCT(($A$5:A272&lt;&gt;"")*((($K$5:K272="")+($K$5:K272="Undecided")+($J$5:J272=""))&gt;0)),"")</f>
        <v/>
      </c>
    </row>
    <row r="273" customFormat="false" ht="15" hidden="false" customHeight="false" outlineLevel="0" collapsed="false">
      <c r="A273" s="29"/>
      <c r="B273" s="30"/>
      <c r="C273" s="30"/>
      <c r="D273" s="29"/>
      <c r="E273" s="20" t="str">
        <f aca="false">IF(D273="","",IFERROR(INDEX(Tables!$B:$B,MATCH(D273,Tables!$A:$A,0)),"ID not found"))</f>
        <v/>
      </c>
      <c r="F273" s="20" t="str">
        <f aca="false">IF(D273="","",IFERROR(INDEX(Tables!$C:$C,MATCH(D273,Tables!$A:$A,0)),""))</f>
        <v/>
      </c>
      <c r="G273" s="30"/>
      <c r="H273" s="30"/>
      <c r="I273" s="30"/>
      <c r="J273" s="30"/>
      <c r="K273" s="30"/>
      <c r="L273" s="30"/>
      <c r="M273" s="30"/>
      <c r="N273" s="20" t="str">
        <f aca="false">IF(A273="","",COUNTIF('Metric to Field'!$B:$B,A273))</f>
        <v/>
      </c>
      <c r="O273" s="20" t="str">
        <f aca="false">IF(A273="","",SUMIF('Metric to Field'!$B:$B,A273,'Metric to Field'!$F:$F))</f>
        <v/>
      </c>
      <c r="P273" s="30"/>
      <c r="Q273" s="30"/>
      <c r="R273" s="30"/>
      <c r="S273" s="30"/>
      <c r="T273" s="34" t="str">
        <f aca="false">IF(AND(A273&lt;&gt;"",K273="Fix upstream"),COUNTIF($K$5:K273,"Fix upstream"),"")</f>
        <v/>
      </c>
      <c r="U273" s="34" t="str">
        <f aca="false">IF(AND(A273&lt;&gt;"",OR(K273="Move to business rules",K273="Merge into certified table")),COUNTIF($K$5:K273,"Move to business rules")+COUNTIF($K$5:K273,"Merge into certified table"),"")</f>
        <v/>
      </c>
      <c r="V273" s="34" t="str">
        <f aca="false">IF(AND(A273&lt;&gt;"",OR(K273="",K273="Undecided",J273="")),SUMPRODUCT(($A$5:A273&lt;&gt;"")*((($K$5:K273="")+($K$5:K273="Undecided")+($J$5:J273=""))&gt;0)),"")</f>
        <v/>
      </c>
    </row>
    <row r="274" customFormat="false" ht="15" hidden="false" customHeight="false" outlineLevel="0" collapsed="false">
      <c r="A274" s="29"/>
      <c r="B274" s="30"/>
      <c r="C274" s="30"/>
      <c r="D274" s="29"/>
      <c r="E274" s="20" t="str">
        <f aca="false">IF(D274="","",IFERROR(INDEX(Tables!$B:$B,MATCH(D274,Tables!$A:$A,0)),"ID not found"))</f>
        <v/>
      </c>
      <c r="F274" s="20" t="str">
        <f aca="false">IF(D274="","",IFERROR(INDEX(Tables!$C:$C,MATCH(D274,Tables!$A:$A,0)),""))</f>
        <v/>
      </c>
      <c r="G274" s="30"/>
      <c r="H274" s="30"/>
      <c r="I274" s="30"/>
      <c r="J274" s="30"/>
      <c r="K274" s="30"/>
      <c r="L274" s="30"/>
      <c r="M274" s="30"/>
      <c r="N274" s="20" t="str">
        <f aca="false">IF(A274="","",COUNTIF('Metric to Field'!$B:$B,A274))</f>
        <v/>
      </c>
      <c r="O274" s="20" t="str">
        <f aca="false">IF(A274="","",SUMIF('Metric to Field'!$B:$B,A274,'Metric to Field'!$F:$F))</f>
        <v/>
      </c>
      <c r="P274" s="30"/>
      <c r="Q274" s="30"/>
      <c r="R274" s="30"/>
      <c r="S274" s="30"/>
      <c r="T274" s="34" t="str">
        <f aca="false">IF(AND(A274&lt;&gt;"",K274="Fix upstream"),COUNTIF($K$5:K274,"Fix upstream"),"")</f>
        <v/>
      </c>
      <c r="U274" s="34" t="str">
        <f aca="false">IF(AND(A274&lt;&gt;"",OR(K274="Move to business rules",K274="Merge into certified table")),COUNTIF($K$5:K274,"Move to business rules")+COUNTIF($K$5:K274,"Merge into certified table"),"")</f>
        <v/>
      </c>
      <c r="V274" s="34" t="str">
        <f aca="false">IF(AND(A274&lt;&gt;"",OR(K274="",K274="Undecided",J274="")),SUMPRODUCT(($A$5:A274&lt;&gt;"")*((($K$5:K274="")+($K$5:K274="Undecided")+($J$5:J274=""))&gt;0)),"")</f>
        <v/>
      </c>
    </row>
    <row r="275" customFormat="false" ht="15" hidden="false" customHeight="false" outlineLevel="0" collapsed="false">
      <c r="A275" s="29"/>
      <c r="B275" s="30"/>
      <c r="C275" s="30"/>
      <c r="D275" s="29"/>
      <c r="E275" s="20" t="str">
        <f aca="false">IF(D275="","",IFERROR(INDEX(Tables!$B:$B,MATCH(D275,Tables!$A:$A,0)),"ID not found"))</f>
        <v/>
      </c>
      <c r="F275" s="20" t="str">
        <f aca="false">IF(D275="","",IFERROR(INDEX(Tables!$C:$C,MATCH(D275,Tables!$A:$A,0)),""))</f>
        <v/>
      </c>
      <c r="G275" s="30"/>
      <c r="H275" s="30"/>
      <c r="I275" s="30"/>
      <c r="J275" s="30"/>
      <c r="K275" s="30"/>
      <c r="L275" s="30"/>
      <c r="M275" s="30"/>
      <c r="N275" s="20" t="str">
        <f aca="false">IF(A275="","",COUNTIF('Metric to Field'!$B:$B,A275))</f>
        <v/>
      </c>
      <c r="O275" s="20" t="str">
        <f aca="false">IF(A275="","",SUMIF('Metric to Field'!$B:$B,A275,'Metric to Field'!$F:$F))</f>
        <v/>
      </c>
      <c r="P275" s="30"/>
      <c r="Q275" s="30"/>
      <c r="R275" s="30"/>
      <c r="S275" s="30"/>
      <c r="T275" s="34" t="str">
        <f aca="false">IF(AND(A275&lt;&gt;"",K275="Fix upstream"),COUNTIF($K$5:K275,"Fix upstream"),"")</f>
        <v/>
      </c>
      <c r="U275" s="34" t="str">
        <f aca="false">IF(AND(A275&lt;&gt;"",OR(K275="Move to business rules",K275="Merge into certified table")),COUNTIF($K$5:K275,"Move to business rules")+COUNTIF($K$5:K275,"Merge into certified table"),"")</f>
        <v/>
      </c>
      <c r="V275" s="34" t="str">
        <f aca="false">IF(AND(A275&lt;&gt;"",OR(K275="",K275="Undecided",J275="")),SUMPRODUCT(($A$5:A275&lt;&gt;"")*((($K$5:K275="")+($K$5:K275="Undecided")+($J$5:J275=""))&gt;0)),"")</f>
        <v/>
      </c>
    </row>
    <row r="276" customFormat="false" ht="15" hidden="false" customHeight="false" outlineLevel="0" collapsed="false">
      <c r="A276" s="29"/>
      <c r="B276" s="30"/>
      <c r="C276" s="30"/>
      <c r="D276" s="29"/>
      <c r="E276" s="20" t="str">
        <f aca="false">IF(D276="","",IFERROR(INDEX(Tables!$B:$B,MATCH(D276,Tables!$A:$A,0)),"ID not found"))</f>
        <v/>
      </c>
      <c r="F276" s="20" t="str">
        <f aca="false">IF(D276="","",IFERROR(INDEX(Tables!$C:$C,MATCH(D276,Tables!$A:$A,0)),""))</f>
        <v/>
      </c>
      <c r="G276" s="30"/>
      <c r="H276" s="30"/>
      <c r="I276" s="30"/>
      <c r="J276" s="30"/>
      <c r="K276" s="30"/>
      <c r="L276" s="30"/>
      <c r="M276" s="30"/>
      <c r="N276" s="20" t="str">
        <f aca="false">IF(A276="","",COUNTIF('Metric to Field'!$B:$B,A276))</f>
        <v/>
      </c>
      <c r="O276" s="20" t="str">
        <f aca="false">IF(A276="","",SUMIF('Metric to Field'!$B:$B,A276,'Metric to Field'!$F:$F))</f>
        <v/>
      </c>
      <c r="P276" s="30"/>
      <c r="Q276" s="30"/>
      <c r="R276" s="30"/>
      <c r="S276" s="30"/>
      <c r="T276" s="34" t="str">
        <f aca="false">IF(AND(A276&lt;&gt;"",K276="Fix upstream"),COUNTIF($K$5:K276,"Fix upstream"),"")</f>
        <v/>
      </c>
      <c r="U276" s="34" t="str">
        <f aca="false">IF(AND(A276&lt;&gt;"",OR(K276="Move to business rules",K276="Merge into certified table")),COUNTIF($K$5:K276,"Move to business rules")+COUNTIF($K$5:K276,"Merge into certified table"),"")</f>
        <v/>
      </c>
      <c r="V276" s="34" t="str">
        <f aca="false">IF(AND(A276&lt;&gt;"",OR(K276="",K276="Undecided",J276="")),SUMPRODUCT(($A$5:A276&lt;&gt;"")*((($K$5:K276="")+($K$5:K276="Undecided")+($J$5:J276=""))&gt;0)),"")</f>
        <v/>
      </c>
    </row>
    <row r="277" customFormat="false" ht="15" hidden="false" customHeight="false" outlineLevel="0" collapsed="false">
      <c r="A277" s="29"/>
      <c r="B277" s="30"/>
      <c r="C277" s="30"/>
      <c r="D277" s="29"/>
      <c r="E277" s="20" t="str">
        <f aca="false">IF(D277="","",IFERROR(INDEX(Tables!$B:$B,MATCH(D277,Tables!$A:$A,0)),"ID not found"))</f>
        <v/>
      </c>
      <c r="F277" s="20" t="str">
        <f aca="false">IF(D277="","",IFERROR(INDEX(Tables!$C:$C,MATCH(D277,Tables!$A:$A,0)),""))</f>
        <v/>
      </c>
      <c r="G277" s="30"/>
      <c r="H277" s="30"/>
      <c r="I277" s="30"/>
      <c r="J277" s="30"/>
      <c r="K277" s="30"/>
      <c r="L277" s="30"/>
      <c r="M277" s="30"/>
      <c r="N277" s="20" t="str">
        <f aca="false">IF(A277="","",COUNTIF('Metric to Field'!$B:$B,A277))</f>
        <v/>
      </c>
      <c r="O277" s="20" t="str">
        <f aca="false">IF(A277="","",SUMIF('Metric to Field'!$B:$B,A277,'Metric to Field'!$F:$F))</f>
        <v/>
      </c>
      <c r="P277" s="30"/>
      <c r="Q277" s="30"/>
      <c r="R277" s="30"/>
      <c r="S277" s="30"/>
      <c r="T277" s="34" t="str">
        <f aca="false">IF(AND(A277&lt;&gt;"",K277="Fix upstream"),COUNTIF($K$5:K277,"Fix upstream"),"")</f>
        <v/>
      </c>
      <c r="U277" s="34" t="str">
        <f aca="false">IF(AND(A277&lt;&gt;"",OR(K277="Move to business rules",K277="Merge into certified table")),COUNTIF($K$5:K277,"Move to business rules")+COUNTIF($K$5:K277,"Merge into certified table"),"")</f>
        <v/>
      </c>
      <c r="V277" s="34" t="str">
        <f aca="false">IF(AND(A277&lt;&gt;"",OR(K277="",K277="Undecided",J277="")),SUMPRODUCT(($A$5:A277&lt;&gt;"")*((($K$5:K277="")+($K$5:K277="Undecided")+($J$5:J277=""))&gt;0)),"")</f>
        <v/>
      </c>
    </row>
    <row r="278" customFormat="false" ht="15" hidden="false" customHeight="false" outlineLevel="0" collapsed="false">
      <c r="A278" s="29"/>
      <c r="B278" s="30"/>
      <c r="C278" s="30"/>
      <c r="D278" s="29"/>
      <c r="E278" s="20" t="str">
        <f aca="false">IF(D278="","",IFERROR(INDEX(Tables!$B:$B,MATCH(D278,Tables!$A:$A,0)),"ID not found"))</f>
        <v/>
      </c>
      <c r="F278" s="20" t="str">
        <f aca="false">IF(D278="","",IFERROR(INDEX(Tables!$C:$C,MATCH(D278,Tables!$A:$A,0)),""))</f>
        <v/>
      </c>
      <c r="G278" s="30"/>
      <c r="H278" s="30"/>
      <c r="I278" s="30"/>
      <c r="J278" s="30"/>
      <c r="K278" s="30"/>
      <c r="L278" s="30"/>
      <c r="M278" s="30"/>
      <c r="N278" s="20" t="str">
        <f aca="false">IF(A278="","",COUNTIF('Metric to Field'!$B:$B,A278))</f>
        <v/>
      </c>
      <c r="O278" s="20" t="str">
        <f aca="false">IF(A278="","",SUMIF('Metric to Field'!$B:$B,A278,'Metric to Field'!$F:$F))</f>
        <v/>
      </c>
      <c r="P278" s="30"/>
      <c r="Q278" s="30"/>
      <c r="R278" s="30"/>
      <c r="S278" s="30"/>
      <c r="T278" s="34" t="str">
        <f aca="false">IF(AND(A278&lt;&gt;"",K278="Fix upstream"),COUNTIF($K$5:K278,"Fix upstream"),"")</f>
        <v/>
      </c>
      <c r="U278" s="34" t="str">
        <f aca="false">IF(AND(A278&lt;&gt;"",OR(K278="Move to business rules",K278="Merge into certified table")),COUNTIF($K$5:K278,"Move to business rules")+COUNTIF($K$5:K278,"Merge into certified table"),"")</f>
        <v/>
      </c>
      <c r="V278" s="34" t="str">
        <f aca="false">IF(AND(A278&lt;&gt;"",OR(K278="",K278="Undecided",J278="")),SUMPRODUCT(($A$5:A278&lt;&gt;"")*((($K$5:K278="")+($K$5:K278="Undecided")+($J$5:J278=""))&gt;0)),"")</f>
        <v/>
      </c>
    </row>
    <row r="279" customFormat="false" ht="15" hidden="false" customHeight="false" outlineLevel="0" collapsed="false">
      <c r="A279" s="29"/>
      <c r="B279" s="30"/>
      <c r="C279" s="30"/>
      <c r="D279" s="29"/>
      <c r="E279" s="20" t="str">
        <f aca="false">IF(D279="","",IFERROR(INDEX(Tables!$B:$B,MATCH(D279,Tables!$A:$A,0)),"ID not found"))</f>
        <v/>
      </c>
      <c r="F279" s="20" t="str">
        <f aca="false">IF(D279="","",IFERROR(INDEX(Tables!$C:$C,MATCH(D279,Tables!$A:$A,0)),""))</f>
        <v/>
      </c>
      <c r="G279" s="30"/>
      <c r="H279" s="30"/>
      <c r="I279" s="30"/>
      <c r="J279" s="30"/>
      <c r="K279" s="30"/>
      <c r="L279" s="30"/>
      <c r="M279" s="30"/>
      <c r="N279" s="20" t="str">
        <f aca="false">IF(A279="","",COUNTIF('Metric to Field'!$B:$B,A279))</f>
        <v/>
      </c>
      <c r="O279" s="20" t="str">
        <f aca="false">IF(A279="","",SUMIF('Metric to Field'!$B:$B,A279,'Metric to Field'!$F:$F))</f>
        <v/>
      </c>
      <c r="P279" s="30"/>
      <c r="Q279" s="30"/>
      <c r="R279" s="30"/>
      <c r="S279" s="30"/>
      <c r="T279" s="34" t="str">
        <f aca="false">IF(AND(A279&lt;&gt;"",K279="Fix upstream"),COUNTIF($K$5:K279,"Fix upstream"),"")</f>
        <v/>
      </c>
      <c r="U279" s="34" t="str">
        <f aca="false">IF(AND(A279&lt;&gt;"",OR(K279="Move to business rules",K279="Merge into certified table")),COUNTIF($K$5:K279,"Move to business rules")+COUNTIF($K$5:K279,"Merge into certified table"),"")</f>
        <v/>
      </c>
      <c r="V279" s="34" t="str">
        <f aca="false">IF(AND(A279&lt;&gt;"",OR(K279="",K279="Undecided",J279="")),SUMPRODUCT(($A$5:A279&lt;&gt;"")*((($K$5:K279="")+($K$5:K279="Undecided")+($J$5:J279=""))&gt;0)),"")</f>
        <v/>
      </c>
    </row>
    <row r="280" customFormat="false" ht="15" hidden="false" customHeight="false" outlineLevel="0" collapsed="false">
      <c r="A280" s="29"/>
      <c r="B280" s="30"/>
      <c r="C280" s="30"/>
      <c r="D280" s="29"/>
      <c r="E280" s="20" t="str">
        <f aca="false">IF(D280="","",IFERROR(INDEX(Tables!$B:$B,MATCH(D280,Tables!$A:$A,0)),"ID not found"))</f>
        <v/>
      </c>
      <c r="F280" s="20" t="str">
        <f aca="false">IF(D280="","",IFERROR(INDEX(Tables!$C:$C,MATCH(D280,Tables!$A:$A,0)),""))</f>
        <v/>
      </c>
      <c r="G280" s="30"/>
      <c r="H280" s="30"/>
      <c r="I280" s="30"/>
      <c r="J280" s="30"/>
      <c r="K280" s="30"/>
      <c r="L280" s="30"/>
      <c r="M280" s="30"/>
      <c r="N280" s="20" t="str">
        <f aca="false">IF(A280="","",COUNTIF('Metric to Field'!$B:$B,A280))</f>
        <v/>
      </c>
      <c r="O280" s="20" t="str">
        <f aca="false">IF(A280="","",SUMIF('Metric to Field'!$B:$B,A280,'Metric to Field'!$F:$F))</f>
        <v/>
      </c>
      <c r="P280" s="30"/>
      <c r="Q280" s="30"/>
      <c r="R280" s="30"/>
      <c r="S280" s="30"/>
      <c r="T280" s="34" t="str">
        <f aca="false">IF(AND(A280&lt;&gt;"",K280="Fix upstream"),COUNTIF($K$5:K280,"Fix upstream"),"")</f>
        <v/>
      </c>
      <c r="U280" s="34" t="str">
        <f aca="false">IF(AND(A280&lt;&gt;"",OR(K280="Move to business rules",K280="Merge into certified table")),COUNTIF($K$5:K280,"Move to business rules")+COUNTIF($K$5:K280,"Merge into certified table"),"")</f>
        <v/>
      </c>
      <c r="V280" s="34" t="str">
        <f aca="false">IF(AND(A280&lt;&gt;"",OR(K280="",K280="Undecided",J280="")),SUMPRODUCT(($A$5:A280&lt;&gt;"")*((($K$5:K280="")+($K$5:K280="Undecided")+($J$5:J280=""))&gt;0)),"")</f>
        <v/>
      </c>
    </row>
    <row r="281" customFormat="false" ht="15" hidden="false" customHeight="false" outlineLevel="0" collapsed="false">
      <c r="A281" s="29"/>
      <c r="B281" s="30"/>
      <c r="C281" s="30"/>
      <c r="D281" s="29"/>
      <c r="E281" s="20" t="str">
        <f aca="false">IF(D281="","",IFERROR(INDEX(Tables!$B:$B,MATCH(D281,Tables!$A:$A,0)),"ID not found"))</f>
        <v/>
      </c>
      <c r="F281" s="20" t="str">
        <f aca="false">IF(D281="","",IFERROR(INDEX(Tables!$C:$C,MATCH(D281,Tables!$A:$A,0)),""))</f>
        <v/>
      </c>
      <c r="G281" s="30"/>
      <c r="H281" s="30"/>
      <c r="I281" s="30"/>
      <c r="J281" s="30"/>
      <c r="K281" s="30"/>
      <c r="L281" s="30"/>
      <c r="M281" s="30"/>
      <c r="N281" s="20" t="str">
        <f aca="false">IF(A281="","",COUNTIF('Metric to Field'!$B:$B,A281))</f>
        <v/>
      </c>
      <c r="O281" s="20" t="str">
        <f aca="false">IF(A281="","",SUMIF('Metric to Field'!$B:$B,A281,'Metric to Field'!$F:$F))</f>
        <v/>
      </c>
      <c r="P281" s="30"/>
      <c r="Q281" s="30"/>
      <c r="R281" s="30"/>
      <c r="S281" s="30"/>
      <c r="T281" s="34" t="str">
        <f aca="false">IF(AND(A281&lt;&gt;"",K281="Fix upstream"),COUNTIF($K$5:K281,"Fix upstream"),"")</f>
        <v/>
      </c>
      <c r="U281" s="34" t="str">
        <f aca="false">IF(AND(A281&lt;&gt;"",OR(K281="Move to business rules",K281="Merge into certified table")),COUNTIF($K$5:K281,"Move to business rules")+COUNTIF($K$5:K281,"Merge into certified table"),"")</f>
        <v/>
      </c>
      <c r="V281" s="34" t="str">
        <f aca="false">IF(AND(A281&lt;&gt;"",OR(K281="",K281="Undecided",J281="")),SUMPRODUCT(($A$5:A281&lt;&gt;"")*((($K$5:K281="")+($K$5:K281="Undecided")+($J$5:J281=""))&gt;0)),"")</f>
        <v/>
      </c>
    </row>
    <row r="282" customFormat="false" ht="15" hidden="false" customHeight="false" outlineLevel="0" collapsed="false">
      <c r="A282" s="29"/>
      <c r="B282" s="30"/>
      <c r="C282" s="30"/>
      <c r="D282" s="29"/>
      <c r="E282" s="20" t="str">
        <f aca="false">IF(D282="","",IFERROR(INDEX(Tables!$B:$B,MATCH(D282,Tables!$A:$A,0)),"ID not found"))</f>
        <v/>
      </c>
      <c r="F282" s="20" t="str">
        <f aca="false">IF(D282="","",IFERROR(INDEX(Tables!$C:$C,MATCH(D282,Tables!$A:$A,0)),""))</f>
        <v/>
      </c>
      <c r="G282" s="30"/>
      <c r="H282" s="30"/>
      <c r="I282" s="30"/>
      <c r="J282" s="30"/>
      <c r="K282" s="30"/>
      <c r="L282" s="30"/>
      <c r="M282" s="30"/>
      <c r="N282" s="20" t="str">
        <f aca="false">IF(A282="","",COUNTIF('Metric to Field'!$B:$B,A282))</f>
        <v/>
      </c>
      <c r="O282" s="20" t="str">
        <f aca="false">IF(A282="","",SUMIF('Metric to Field'!$B:$B,A282,'Metric to Field'!$F:$F))</f>
        <v/>
      </c>
      <c r="P282" s="30"/>
      <c r="Q282" s="30"/>
      <c r="R282" s="30"/>
      <c r="S282" s="30"/>
      <c r="T282" s="34" t="str">
        <f aca="false">IF(AND(A282&lt;&gt;"",K282="Fix upstream"),COUNTIF($K$5:K282,"Fix upstream"),"")</f>
        <v/>
      </c>
      <c r="U282" s="34" t="str">
        <f aca="false">IF(AND(A282&lt;&gt;"",OR(K282="Move to business rules",K282="Merge into certified table")),COUNTIF($K$5:K282,"Move to business rules")+COUNTIF($K$5:K282,"Merge into certified table"),"")</f>
        <v/>
      </c>
      <c r="V282" s="34" t="str">
        <f aca="false">IF(AND(A282&lt;&gt;"",OR(K282="",K282="Undecided",J282="")),SUMPRODUCT(($A$5:A282&lt;&gt;"")*((($K$5:K282="")+($K$5:K282="Undecided")+($J$5:J282=""))&gt;0)),"")</f>
        <v/>
      </c>
    </row>
    <row r="283" customFormat="false" ht="15" hidden="false" customHeight="false" outlineLevel="0" collapsed="false">
      <c r="A283" s="29"/>
      <c r="B283" s="30"/>
      <c r="C283" s="30"/>
      <c r="D283" s="29"/>
      <c r="E283" s="20" t="str">
        <f aca="false">IF(D283="","",IFERROR(INDEX(Tables!$B:$B,MATCH(D283,Tables!$A:$A,0)),"ID not found"))</f>
        <v/>
      </c>
      <c r="F283" s="20" t="str">
        <f aca="false">IF(D283="","",IFERROR(INDEX(Tables!$C:$C,MATCH(D283,Tables!$A:$A,0)),""))</f>
        <v/>
      </c>
      <c r="G283" s="30"/>
      <c r="H283" s="30"/>
      <c r="I283" s="30"/>
      <c r="J283" s="30"/>
      <c r="K283" s="30"/>
      <c r="L283" s="30"/>
      <c r="M283" s="30"/>
      <c r="N283" s="20" t="str">
        <f aca="false">IF(A283="","",COUNTIF('Metric to Field'!$B:$B,A283))</f>
        <v/>
      </c>
      <c r="O283" s="20" t="str">
        <f aca="false">IF(A283="","",SUMIF('Metric to Field'!$B:$B,A283,'Metric to Field'!$F:$F))</f>
        <v/>
      </c>
      <c r="P283" s="30"/>
      <c r="Q283" s="30"/>
      <c r="R283" s="30"/>
      <c r="S283" s="30"/>
      <c r="T283" s="34" t="str">
        <f aca="false">IF(AND(A283&lt;&gt;"",K283="Fix upstream"),COUNTIF($K$5:K283,"Fix upstream"),"")</f>
        <v/>
      </c>
      <c r="U283" s="34" t="str">
        <f aca="false">IF(AND(A283&lt;&gt;"",OR(K283="Move to business rules",K283="Merge into certified table")),COUNTIF($K$5:K283,"Move to business rules")+COUNTIF($K$5:K283,"Merge into certified table"),"")</f>
        <v/>
      </c>
      <c r="V283" s="34" t="str">
        <f aca="false">IF(AND(A283&lt;&gt;"",OR(K283="",K283="Undecided",J283="")),SUMPRODUCT(($A$5:A283&lt;&gt;"")*((($K$5:K283="")+($K$5:K283="Undecided")+($J$5:J283=""))&gt;0)),"")</f>
        <v/>
      </c>
    </row>
    <row r="284" customFormat="false" ht="15" hidden="false" customHeight="false" outlineLevel="0" collapsed="false">
      <c r="A284" s="29"/>
      <c r="B284" s="30"/>
      <c r="C284" s="30"/>
      <c r="D284" s="29"/>
      <c r="E284" s="20" t="str">
        <f aca="false">IF(D284="","",IFERROR(INDEX(Tables!$B:$B,MATCH(D284,Tables!$A:$A,0)),"ID not found"))</f>
        <v/>
      </c>
      <c r="F284" s="20" t="str">
        <f aca="false">IF(D284="","",IFERROR(INDEX(Tables!$C:$C,MATCH(D284,Tables!$A:$A,0)),""))</f>
        <v/>
      </c>
      <c r="G284" s="30"/>
      <c r="H284" s="30"/>
      <c r="I284" s="30"/>
      <c r="J284" s="30"/>
      <c r="K284" s="30"/>
      <c r="L284" s="30"/>
      <c r="M284" s="30"/>
      <c r="N284" s="20" t="str">
        <f aca="false">IF(A284="","",COUNTIF('Metric to Field'!$B:$B,A284))</f>
        <v/>
      </c>
      <c r="O284" s="20" t="str">
        <f aca="false">IF(A284="","",SUMIF('Metric to Field'!$B:$B,A284,'Metric to Field'!$F:$F))</f>
        <v/>
      </c>
      <c r="P284" s="30"/>
      <c r="Q284" s="30"/>
      <c r="R284" s="30"/>
      <c r="S284" s="30"/>
      <c r="T284" s="34" t="str">
        <f aca="false">IF(AND(A284&lt;&gt;"",K284="Fix upstream"),COUNTIF($K$5:K284,"Fix upstream"),"")</f>
        <v/>
      </c>
      <c r="U284" s="34" t="str">
        <f aca="false">IF(AND(A284&lt;&gt;"",OR(K284="Move to business rules",K284="Merge into certified table")),COUNTIF($K$5:K284,"Move to business rules")+COUNTIF($K$5:K284,"Merge into certified table"),"")</f>
        <v/>
      </c>
      <c r="V284" s="34" t="str">
        <f aca="false">IF(AND(A284&lt;&gt;"",OR(K284="",K284="Undecided",J284="")),SUMPRODUCT(($A$5:A284&lt;&gt;"")*((($K$5:K284="")+($K$5:K284="Undecided")+($J$5:J284=""))&gt;0)),"")</f>
        <v/>
      </c>
    </row>
    <row r="285" customFormat="false" ht="15" hidden="false" customHeight="false" outlineLevel="0" collapsed="false">
      <c r="A285" s="29"/>
      <c r="B285" s="30"/>
      <c r="C285" s="30"/>
      <c r="D285" s="29"/>
      <c r="E285" s="20" t="str">
        <f aca="false">IF(D285="","",IFERROR(INDEX(Tables!$B:$B,MATCH(D285,Tables!$A:$A,0)),"ID not found"))</f>
        <v/>
      </c>
      <c r="F285" s="20" t="str">
        <f aca="false">IF(D285="","",IFERROR(INDEX(Tables!$C:$C,MATCH(D285,Tables!$A:$A,0)),""))</f>
        <v/>
      </c>
      <c r="G285" s="30"/>
      <c r="H285" s="30"/>
      <c r="I285" s="30"/>
      <c r="J285" s="30"/>
      <c r="K285" s="30"/>
      <c r="L285" s="30"/>
      <c r="M285" s="30"/>
      <c r="N285" s="20" t="str">
        <f aca="false">IF(A285="","",COUNTIF('Metric to Field'!$B:$B,A285))</f>
        <v/>
      </c>
      <c r="O285" s="20" t="str">
        <f aca="false">IF(A285="","",SUMIF('Metric to Field'!$B:$B,A285,'Metric to Field'!$F:$F))</f>
        <v/>
      </c>
      <c r="P285" s="30"/>
      <c r="Q285" s="30"/>
      <c r="R285" s="30"/>
      <c r="S285" s="30"/>
      <c r="T285" s="34" t="str">
        <f aca="false">IF(AND(A285&lt;&gt;"",K285="Fix upstream"),COUNTIF($K$5:K285,"Fix upstream"),"")</f>
        <v/>
      </c>
      <c r="U285" s="34" t="str">
        <f aca="false">IF(AND(A285&lt;&gt;"",OR(K285="Move to business rules",K285="Merge into certified table")),COUNTIF($K$5:K285,"Move to business rules")+COUNTIF($K$5:K285,"Merge into certified table"),"")</f>
        <v/>
      </c>
      <c r="V285" s="34" t="str">
        <f aca="false">IF(AND(A285&lt;&gt;"",OR(K285="",K285="Undecided",J285="")),SUMPRODUCT(($A$5:A285&lt;&gt;"")*((($K$5:K285="")+($K$5:K285="Undecided")+($J$5:J285=""))&gt;0)),"")</f>
        <v/>
      </c>
    </row>
    <row r="286" customFormat="false" ht="15" hidden="false" customHeight="false" outlineLevel="0" collapsed="false">
      <c r="A286" s="29"/>
      <c r="B286" s="30"/>
      <c r="C286" s="30"/>
      <c r="D286" s="29"/>
      <c r="E286" s="20" t="str">
        <f aca="false">IF(D286="","",IFERROR(INDEX(Tables!$B:$B,MATCH(D286,Tables!$A:$A,0)),"ID not found"))</f>
        <v/>
      </c>
      <c r="F286" s="20" t="str">
        <f aca="false">IF(D286="","",IFERROR(INDEX(Tables!$C:$C,MATCH(D286,Tables!$A:$A,0)),""))</f>
        <v/>
      </c>
      <c r="G286" s="30"/>
      <c r="H286" s="30"/>
      <c r="I286" s="30"/>
      <c r="J286" s="30"/>
      <c r="K286" s="30"/>
      <c r="L286" s="30"/>
      <c r="M286" s="30"/>
      <c r="N286" s="20" t="str">
        <f aca="false">IF(A286="","",COUNTIF('Metric to Field'!$B:$B,A286))</f>
        <v/>
      </c>
      <c r="O286" s="20" t="str">
        <f aca="false">IF(A286="","",SUMIF('Metric to Field'!$B:$B,A286,'Metric to Field'!$F:$F))</f>
        <v/>
      </c>
      <c r="P286" s="30"/>
      <c r="Q286" s="30"/>
      <c r="R286" s="30"/>
      <c r="S286" s="30"/>
      <c r="T286" s="34" t="str">
        <f aca="false">IF(AND(A286&lt;&gt;"",K286="Fix upstream"),COUNTIF($K$5:K286,"Fix upstream"),"")</f>
        <v/>
      </c>
      <c r="U286" s="34" t="str">
        <f aca="false">IF(AND(A286&lt;&gt;"",OR(K286="Move to business rules",K286="Merge into certified table")),COUNTIF($K$5:K286,"Move to business rules")+COUNTIF($K$5:K286,"Merge into certified table"),"")</f>
        <v/>
      </c>
      <c r="V286" s="34" t="str">
        <f aca="false">IF(AND(A286&lt;&gt;"",OR(K286="",K286="Undecided",J286="")),SUMPRODUCT(($A$5:A286&lt;&gt;"")*((($K$5:K286="")+($K$5:K286="Undecided")+($J$5:J286=""))&gt;0)),"")</f>
        <v/>
      </c>
    </row>
    <row r="287" customFormat="false" ht="15" hidden="false" customHeight="false" outlineLevel="0" collapsed="false">
      <c r="A287" s="29"/>
      <c r="B287" s="30"/>
      <c r="C287" s="30"/>
      <c r="D287" s="29"/>
      <c r="E287" s="20" t="str">
        <f aca="false">IF(D287="","",IFERROR(INDEX(Tables!$B:$B,MATCH(D287,Tables!$A:$A,0)),"ID not found"))</f>
        <v/>
      </c>
      <c r="F287" s="20" t="str">
        <f aca="false">IF(D287="","",IFERROR(INDEX(Tables!$C:$C,MATCH(D287,Tables!$A:$A,0)),""))</f>
        <v/>
      </c>
      <c r="G287" s="30"/>
      <c r="H287" s="30"/>
      <c r="I287" s="30"/>
      <c r="J287" s="30"/>
      <c r="K287" s="30"/>
      <c r="L287" s="30"/>
      <c r="M287" s="30"/>
      <c r="N287" s="20" t="str">
        <f aca="false">IF(A287="","",COUNTIF('Metric to Field'!$B:$B,A287))</f>
        <v/>
      </c>
      <c r="O287" s="20" t="str">
        <f aca="false">IF(A287="","",SUMIF('Metric to Field'!$B:$B,A287,'Metric to Field'!$F:$F))</f>
        <v/>
      </c>
      <c r="P287" s="30"/>
      <c r="Q287" s="30"/>
      <c r="R287" s="30"/>
      <c r="S287" s="30"/>
      <c r="T287" s="34" t="str">
        <f aca="false">IF(AND(A287&lt;&gt;"",K287="Fix upstream"),COUNTIF($K$5:K287,"Fix upstream"),"")</f>
        <v/>
      </c>
      <c r="U287" s="34" t="str">
        <f aca="false">IF(AND(A287&lt;&gt;"",OR(K287="Move to business rules",K287="Merge into certified table")),COUNTIF($K$5:K287,"Move to business rules")+COUNTIF($K$5:K287,"Merge into certified table"),"")</f>
        <v/>
      </c>
      <c r="V287" s="34" t="str">
        <f aca="false">IF(AND(A287&lt;&gt;"",OR(K287="",K287="Undecided",J287="")),SUMPRODUCT(($A$5:A287&lt;&gt;"")*((($K$5:K287="")+($K$5:K287="Undecided")+($J$5:J287=""))&gt;0)),"")</f>
        <v/>
      </c>
    </row>
    <row r="288" customFormat="false" ht="15" hidden="false" customHeight="false" outlineLevel="0" collapsed="false">
      <c r="A288" s="29"/>
      <c r="B288" s="30"/>
      <c r="C288" s="30"/>
      <c r="D288" s="29"/>
      <c r="E288" s="20" t="str">
        <f aca="false">IF(D288="","",IFERROR(INDEX(Tables!$B:$B,MATCH(D288,Tables!$A:$A,0)),"ID not found"))</f>
        <v/>
      </c>
      <c r="F288" s="20" t="str">
        <f aca="false">IF(D288="","",IFERROR(INDEX(Tables!$C:$C,MATCH(D288,Tables!$A:$A,0)),""))</f>
        <v/>
      </c>
      <c r="G288" s="30"/>
      <c r="H288" s="30"/>
      <c r="I288" s="30"/>
      <c r="J288" s="30"/>
      <c r="K288" s="30"/>
      <c r="L288" s="30"/>
      <c r="M288" s="30"/>
      <c r="N288" s="20" t="str">
        <f aca="false">IF(A288="","",COUNTIF('Metric to Field'!$B:$B,A288))</f>
        <v/>
      </c>
      <c r="O288" s="20" t="str">
        <f aca="false">IF(A288="","",SUMIF('Metric to Field'!$B:$B,A288,'Metric to Field'!$F:$F))</f>
        <v/>
      </c>
      <c r="P288" s="30"/>
      <c r="Q288" s="30"/>
      <c r="R288" s="30"/>
      <c r="S288" s="30"/>
      <c r="T288" s="34" t="str">
        <f aca="false">IF(AND(A288&lt;&gt;"",K288="Fix upstream"),COUNTIF($K$5:K288,"Fix upstream"),"")</f>
        <v/>
      </c>
      <c r="U288" s="34" t="str">
        <f aca="false">IF(AND(A288&lt;&gt;"",OR(K288="Move to business rules",K288="Merge into certified table")),COUNTIF($K$5:K288,"Move to business rules")+COUNTIF($K$5:K288,"Merge into certified table"),"")</f>
        <v/>
      </c>
      <c r="V288" s="34" t="str">
        <f aca="false">IF(AND(A288&lt;&gt;"",OR(K288="",K288="Undecided",J288="")),SUMPRODUCT(($A$5:A288&lt;&gt;"")*((($K$5:K288="")+($K$5:K288="Undecided")+($J$5:J288=""))&gt;0)),"")</f>
        <v/>
      </c>
    </row>
    <row r="289" customFormat="false" ht="15" hidden="false" customHeight="false" outlineLevel="0" collapsed="false">
      <c r="A289" s="29"/>
      <c r="B289" s="30"/>
      <c r="C289" s="30"/>
      <c r="D289" s="29"/>
      <c r="E289" s="20" t="str">
        <f aca="false">IF(D289="","",IFERROR(INDEX(Tables!$B:$B,MATCH(D289,Tables!$A:$A,0)),"ID not found"))</f>
        <v/>
      </c>
      <c r="F289" s="20" t="str">
        <f aca="false">IF(D289="","",IFERROR(INDEX(Tables!$C:$C,MATCH(D289,Tables!$A:$A,0)),""))</f>
        <v/>
      </c>
      <c r="G289" s="30"/>
      <c r="H289" s="30"/>
      <c r="I289" s="30"/>
      <c r="J289" s="30"/>
      <c r="K289" s="30"/>
      <c r="L289" s="30"/>
      <c r="M289" s="30"/>
      <c r="N289" s="20" t="str">
        <f aca="false">IF(A289="","",COUNTIF('Metric to Field'!$B:$B,A289))</f>
        <v/>
      </c>
      <c r="O289" s="20" t="str">
        <f aca="false">IF(A289="","",SUMIF('Metric to Field'!$B:$B,A289,'Metric to Field'!$F:$F))</f>
        <v/>
      </c>
      <c r="P289" s="30"/>
      <c r="Q289" s="30"/>
      <c r="R289" s="30"/>
      <c r="S289" s="30"/>
      <c r="T289" s="34" t="str">
        <f aca="false">IF(AND(A289&lt;&gt;"",K289="Fix upstream"),COUNTIF($K$5:K289,"Fix upstream"),"")</f>
        <v/>
      </c>
      <c r="U289" s="34" t="str">
        <f aca="false">IF(AND(A289&lt;&gt;"",OR(K289="Move to business rules",K289="Merge into certified table")),COUNTIF($K$5:K289,"Move to business rules")+COUNTIF($K$5:K289,"Merge into certified table"),"")</f>
        <v/>
      </c>
      <c r="V289" s="34" t="str">
        <f aca="false">IF(AND(A289&lt;&gt;"",OR(K289="",K289="Undecided",J289="")),SUMPRODUCT(($A$5:A289&lt;&gt;"")*((($K$5:K289="")+($K$5:K289="Undecided")+($J$5:J289=""))&gt;0)),"")</f>
        <v/>
      </c>
    </row>
    <row r="290" customFormat="false" ht="15" hidden="false" customHeight="false" outlineLevel="0" collapsed="false">
      <c r="A290" s="29"/>
      <c r="B290" s="30"/>
      <c r="C290" s="30"/>
      <c r="D290" s="29"/>
      <c r="E290" s="20" t="str">
        <f aca="false">IF(D290="","",IFERROR(INDEX(Tables!$B:$B,MATCH(D290,Tables!$A:$A,0)),"ID not found"))</f>
        <v/>
      </c>
      <c r="F290" s="20" t="str">
        <f aca="false">IF(D290="","",IFERROR(INDEX(Tables!$C:$C,MATCH(D290,Tables!$A:$A,0)),""))</f>
        <v/>
      </c>
      <c r="G290" s="30"/>
      <c r="H290" s="30"/>
      <c r="I290" s="30"/>
      <c r="J290" s="30"/>
      <c r="K290" s="30"/>
      <c r="L290" s="30"/>
      <c r="M290" s="30"/>
      <c r="N290" s="20" t="str">
        <f aca="false">IF(A290="","",COUNTIF('Metric to Field'!$B:$B,A290))</f>
        <v/>
      </c>
      <c r="O290" s="20" t="str">
        <f aca="false">IF(A290="","",SUMIF('Metric to Field'!$B:$B,A290,'Metric to Field'!$F:$F))</f>
        <v/>
      </c>
      <c r="P290" s="30"/>
      <c r="Q290" s="30"/>
      <c r="R290" s="30"/>
      <c r="S290" s="30"/>
      <c r="T290" s="34" t="str">
        <f aca="false">IF(AND(A290&lt;&gt;"",K290="Fix upstream"),COUNTIF($K$5:K290,"Fix upstream"),"")</f>
        <v/>
      </c>
      <c r="U290" s="34" t="str">
        <f aca="false">IF(AND(A290&lt;&gt;"",OR(K290="Move to business rules",K290="Merge into certified table")),COUNTIF($K$5:K290,"Move to business rules")+COUNTIF($K$5:K290,"Merge into certified table"),"")</f>
        <v/>
      </c>
      <c r="V290" s="34" t="str">
        <f aca="false">IF(AND(A290&lt;&gt;"",OR(K290="",K290="Undecided",J290="")),SUMPRODUCT(($A$5:A290&lt;&gt;"")*((($K$5:K290="")+($K$5:K290="Undecided")+($J$5:J290=""))&gt;0)),"")</f>
        <v/>
      </c>
    </row>
    <row r="291" customFormat="false" ht="15" hidden="false" customHeight="false" outlineLevel="0" collapsed="false">
      <c r="A291" s="29"/>
      <c r="B291" s="30"/>
      <c r="C291" s="30"/>
      <c r="D291" s="29"/>
      <c r="E291" s="20" t="str">
        <f aca="false">IF(D291="","",IFERROR(INDEX(Tables!$B:$B,MATCH(D291,Tables!$A:$A,0)),"ID not found"))</f>
        <v/>
      </c>
      <c r="F291" s="20" t="str">
        <f aca="false">IF(D291="","",IFERROR(INDEX(Tables!$C:$C,MATCH(D291,Tables!$A:$A,0)),""))</f>
        <v/>
      </c>
      <c r="G291" s="30"/>
      <c r="H291" s="30"/>
      <c r="I291" s="30"/>
      <c r="J291" s="30"/>
      <c r="K291" s="30"/>
      <c r="L291" s="30"/>
      <c r="M291" s="30"/>
      <c r="N291" s="20" t="str">
        <f aca="false">IF(A291="","",COUNTIF('Metric to Field'!$B:$B,A291))</f>
        <v/>
      </c>
      <c r="O291" s="20" t="str">
        <f aca="false">IF(A291="","",SUMIF('Metric to Field'!$B:$B,A291,'Metric to Field'!$F:$F))</f>
        <v/>
      </c>
      <c r="P291" s="30"/>
      <c r="Q291" s="30"/>
      <c r="R291" s="30"/>
      <c r="S291" s="30"/>
      <c r="T291" s="34" t="str">
        <f aca="false">IF(AND(A291&lt;&gt;"",K291="Fix upstream"),COUNTIF($K$5:K291,"Fix upstream"),"")</f>
        <v/>
      </c>
      <c r="U291" s="34" t="str">
        <f aca="false">IF(AND(A291&lt;&gt;"",OR(K291="Move to business rules",K291="Merge into certified table")),COUNTIF($K$5:K291,"Move to business rules")+COUNTIF($K$5:K291,"Merge into certified table"),"")</f>
        <v/>
      </c>
      <c r="V291" s="34" t="str">
        <f aca="false">IF(AND(A291&lt;&gt;"",OR(K291="",K291="Undecided",J291="")),SUMPRODUCT(($A$5:A291&lt;&gt;"")*((($K$5:K291="")+($K$5:K291="Undecided")+($J$5:J291=""))&gt;0)),"")</f>
        <v/>
      </c>
    </row>
    <row r="292" customFormat="false" ht="15" hidden="false" customHeight="false" outlineLevel="0" collapsed="false">
      <c r="A292" s="29"/>
      <c r="B292" s="30"/>
      <c r="C292" s="30"/>
      <c r="D292" s="29"/>
      <c r="E292" s="20" t="str">
        <f aca="false">IF(D292="","",IFERROR(INDEX(Tables!$B:$B,MATCH(D292,Tables!$A:$A,0)),"ID not found"))</f>
        <v/>
      </c>
      <c r="F292" s="20" t="str">
        <f aca="false">IF(D292="","",IFERROR(INDEX(Tables!$C:$C,MATCH(D292,Tables!$A:$A,0)),""))</f>
        <v/>
      </c>
      <c r="G292" s="30"/>
      <c r="H292" s="30"/>
      <c r="I292" s="30"/>
      <c r="J292" s="30"/>
      <c r="K292" s="30"/>
      <c r="L292" s="30"/>
      <c r="M292" s="30"/>
      <c r="N292" s="20" t="str">
        <f aca="false">IF(A292="","",COUNTIF('Metric to Field'!$B:$B,A292))</f>
        <v/>
      </c>
      <c r="O292" s="20" t="str">
        <f aca="false">IF(A292="","",SUMIF('Metric to Field'!$B:$B,A292,'Metric to Field'!$F:$F))</f>
        <v/>
      </c>
      <c r="P292" s="30"/>
      <c r="Q292" s="30"/>
      <c r="R292" s="30"/>
      <c r="S292" s="30"/>
      <c r="T292" s="34" t="str">
        <f aca="false">IF(AND(A292&lt;&gt;"",K292="Fix upstream"),COUNTIF($K$5:K292,"Fix upstream"),"")</f>
        <v/>
      </c>
      <c r="U292" s="34" t="str">
        <f aca="false">IF(AND(A292&lt;&gt;"",OR(K292="Move to business rules",K292="Merge into certified table")),COUNTIF($K$5:K292,"Move to business rules")+COUNTIF($K$5:K292,"Merge into certified table"),"")</f>
        <v/>
      </c>
      <c r="V292" s="34" t="str">
        <f aca="false">IF(AND(A292&lt;&gt;"",OR(K292="",K292="Undecided",J292="")),SUMPRODUCT(($A$5:A292&lt;&gt;"")*((($K$5:K292="")+($K$5:K292="Undecided")+($J$5:J292=""))&gt;0)),"")</f>
        <v/>
      </c>
    </row>
    <row r="293" customFormat="false" ht="15" hidden="false" customHeight="false" outlineLevel="0" collapsed="false">
      <c r="A293" s="29"/>
      <c r="B293" s="30"/>
      <c r="C293" s="30"/>
      <c r="D293" s="29"/>
      <c r="E293" s="20" t="str">
        <f aca="false">IF(D293="","",IFERROR(INDEX(Tables!$B:$B,MATCH(D293,Tables!$A:$A,0)),"ID not found"))</f>
        <v/>
      </c>
      <c r="F293" s="20" t="str">
        <f aca="false">IF(D293="","",IFERROR(INDEX(Tables!$C:$C,MATCH(D293,Tables!$A:$A,0)),""))</f>
        <v/>
      </c>
      <c r="G293" s="30"/>
      <c r="H293" s="30"/>
      <c r="I293" s="30"/>
      <c r="J293" s="30"/>
      <c r="K293" s="30"/>
      <c r="L293" s="30"/>
      <c r="M293" s="30"/>
      <c r="N293" s="20" t="str">
        <f aca="false">IF(A293="","",COUNTIF('Metric to Field'!$B:$B,A293))</f>
        <v/>
      </c>
      <c r="O293" s="20" t="str">
        <f aca="false">IF(A293="","",SUMIF('Metric to Field'!$B:$B,A293,'Metric to Field'!$F:$F))</f>
        <v/>
      </c>
      <c r="P293" s="30"/>
      <c r="Q293" s="30"/>
      <c r="R293" s="30"/>
      <c r="S293" s="30"/>
      <c r="T293" s="34" t="str">
        <f aca="false">IF(AND(A293&lt;&gt;"",K293="Fix upstream"),COUNTIF($K$5:K293,"Fix upstream"),"")</f>
        <v/>
      </c>
      <c r="U293" s="34" t="str">
        <f aca="false">IF(AND(A293&lt;&gt;"",OR(K293="Move to business rules",K293="Merge into certified table")),COUNTIF($K$5:K293,"Move to business rules")+COUNTIF($K$5:K293,"Merge into certified table"),"")</f>
        <v/>
      </c>
      <c r="V293" s="34" t="str">
        <f aca="false">IF(AND(A293&lt;&gt;"",OR(K293="",K293="Undecided",J293="")),SUMPRODUCT(($A$5:A293&lt;&gt;"")*((($K$5:K293="")+($K$5:K293="Undecided")+($J$5:J293=""))&gt;0)),"")</f>
        <v/>
      </c>
    </row>
    <row r="294" customFormat="false" ht="15" hidden="false" customHeight="false" outlineLevel="0" collapsed="false">
      <c r="A294" s="29"/>
      <c r="B294" s="30"/>
      <c r="C294" s="30"/>
      <c r="D294" s="29"/>
      <c r="E294" s="20" t="str">
        <f aca="false">IF(D294="","",IFERROR(INDEX(Tables!$B:$B,MATCH(D294,Tables!$A:$A,0)),"ID not found"))</f>
        <v/>
      </c>
      <c r="F294" s="20" t="str">
        <f aca="false">IF(D294="","",IFERROR(INDEX(Tables!$C:$C,MATCH(D294,Tables!$A:$A,0)),""))</f>
        <v/>
      </c>
      <c r="G294" s="30"/>
      <c r="H294" s="30"/>
      <c r="I294" s="30"/>
      <c r="J294" s="30"/>
      <c r="K294" s="30"/>
      <c r="L294" s="30"/>
      <c r="M294" s="30"/>
      <c r="N294" s="20" t="str">
        <f aca="false">IF(A294="","",COUNTIF('Metric to Field'!$B:$B,A294))</f>
        <v/>
      </c>
      <c r="O294" s="20" t="str">
        <f aca="false">IF(A294="","",SUMIF('Metric to Field'!$B:$B,A294,'Metric to Field'!$F:$F))</f>
        <v/>
      </c>
      <c r="P294" s="30"/>
      <c r="Q294" s="30"/>
      <c r="R294" s="30"/>
      <c r="S294" s="30"/>
      <c r="T294" s="34" t="str">
        <f aca="false">IF(AND(A294&lt;&gt;"",K294="Fix upstream"),COUNTIF($K$5:K294,"Fix upstream"),"")</f>
        <v/>
      </c>
      <c r="U294" s="34" t="str">
        <f aca="false">IF(AND(A294&lt;&gt;"",OR(K294="Move to business rules",K294="Merge into certified table")),COUNTIF($K$5:K294,"Move to business rules")+COUNTIF($K$5:K294,"Merge into certified table"),"")</f>
        <v/>
      </c>
      <c r="V294" s="34" t="str">
        <f aca="false">IF(AND(A294&lt;&gt;"",OR(K294="",K294="Undecided",J294="")),SUMPRODUCT(($A$5:A294&lt;&gt;"")*((($K$5:K294="")+($K$5:K294="Undecided")+($J$5:J294=""))&gt;0)),"")</f>
        <v/>
      </c>
    </row>
    <row r="295" customFormat="false" ht="15" hidden="false" customHeight="false" outlineLevel="0" collapsed="false">
      <c r="A295" s="29"/>
      <c r="B295" s="30"/>
      <c r="C295" s="30"/>
      <c r="D295" s="29"/>
      <c r="E295" s="20" t="str">
        <f aca="false">IF(D295="","",IFERROR(INDEX(Tables!$B:$B,MATCH(D295,Tables!$A:$A,0)),"ID not found"))</f>
        <v/>
      </c>
      <c r="F295" s="20" t="str">
        <f aca="false">IF(D295="","",IFERROR(INDEX(Tables!$C:$C,MATCH(D295,Tables!$A:$A,0)),""))</f>
        <v/>
      </c>
      <c r="G295" s="30"/>
      <c r="H295" s="30"/>
      <c r="I295" s="30"/>
      <c r="J295" s="30"/>
      <c r="K295" s="30"/>
      <c r="L295" s="30"/>
      <c r="M295" s="30"/>
      <c r="N295" s="20" t="str">
        <f aca="false">IF(A295="","",COUNTIF('Metric to Field'!$B:$B,A295))</f>
        <v/>
      </c>
      <c r="O295" s="20" t="str">
        <f aca="false">IF(A295="","",SUMIF('Metric to Field'!$B:$B,A295,'Metric to Field'!$F:$F))</f>
        <v/>
      </c>
      <c r="P295" s="30"/>
      <c r="Q295" s="30"/>
      <c r="R295" s="30"/>
      <c r="S295" s="30"/>
      <c r="T295" s="34" t="str">
        <f aca="false">IF(AND(A295&lt;&gt;"",K295="Fix upstream"),COUNTIF($K$5:K295,"Fix upstream"),"")</f>
        <v/>
      </c>
      <c r="U295" s="34" t="str">
        <f aca="false">IF(AND(A295&lt;&gt;"",OR(K295="Move to business rules",K295="Merge into certified table")),COUNTIF($K$5:K295,"Move to business rules")+COUNTIF($K$5:K295,"Merge into certified table"),"")</f>
        <v/>
      </c>
      <c r="V295" s="34" t="str">
        <f aca="false">IF(AND(A295&lt;&gt;"",OR(K295="",K295="Undecided",J295="")),SUMPRODUCT(($A$5:A295&lt;&gt;"")*((($K$5:K295="")+($K$5:K295="Undecided")+($J$5:J295=""))&gt;0)),"")</f>
        <v/>
      </c>
    </row>
    <row r="296" customFormat="false" ht="15" hidden="false" customHeight="false" outlineLevel="0" collapsed="false">
      <c r="A296" s="29"/>
      <c r="B296" s="30"/>
      <c r="C296" s="30"/>
      <c r="D296" s="29"/>
      <c r="E296" s="20" t="str">
        <f aca="false">IF(D296="","",IFERROR(INDEX(Tables!$B:$B,MATCH(D296,Tables!$A:$A,0)),"ID not found"))</f>
        <v/>
      </c>
      <c r="F296" s="20" t="str">
        <f aca="false">IF(D296="","",IFERROR(INDEX(Tables!$C:$C,MATCH(D296,Tables!$A:$A,0)),""))</f>
        <v/>
      </c>
      <c r="G296" s="30"/>
      <c r="H296" s="30"/>
      <c r="I296" s="30"/>
      <c r="J296" s="30"/>
      <c r="K296" s="30"/>
      <c r="L296" s="30"/>
      <c r="M296" s="30"/>
      <c r="N296" s="20" t="str">
        <f aca="false">IF(A296="","",COUNTIF('Metric to Field'!$B:$B,A296))</f>
        <v/>
      </c>
      <c r="O296" s="20" t="str">
        <f aca="false">IF(A296="","",SUMIF('Metric to Field'!$B:$B,A296,'Metric to Field'!$F:$F))</f>
        <v/>
      </c>
      <c r="P296" s="30"/>
      <c r="Q296" s="30"/>
      <c r="R296" s="30"/>
      <c r="S296" s="30"/>
      <c r="T296" s="34" t="str">
        <f aca="false">IF(AND(A296&lt;&gt;"",K296="Fix upstream"),COUNTIF($K$5:K296,"Fix upstream"),"")</f>
        <v/>
      </c>
      <c r="U296" s="34" t="str">
        <f aca="false">IF(AND(A296&lt;&gt;"",OR(K296="Move to business rules",K296="Merge into certified table")),COUNTIF($K$5:K296,"Move to business rules")+COUNTIF($K$5:K296,"Merge into certified table"),"")</f>
        <v/>
      </c>
      <c r="V296" s="34" t="str">
        <f aca="false">IF(AND(A296&lt;&gt;"",OR(K296="",K296="Undecided",J296="")),SUMPRODUCT(($A$5:A296&lt;&gt;"")*((($K$5:K296="")+($K$5:K296="Undecided")+($J$5:J296=""))&gt;0)),"")</f>
        <v/>
      </c>
    </row>
    <row r="297" customFormat="false" ht="15" hidden="false" customHeight="false" outlineLevel="0" collapsed="false">
      <c r="A297" s="29"/>
      <c r="B297" s="30"/>
      <c r="C297" s="30"/>
      <c r="D297" s="29"/>
      <c r="E297" s="20" t="str">
        <f aca="false">IF(D297="","",IFERROR(INDEX(Tables!$B:$B,MATCH(D297,Tables!$A:$A,0)),"ID not found"))</f>
        <v/>
      </c>
      <c r="F297" s="20" t="str">
        <f aca="false">IF(D297="","",IFERROR(INDEX(Tables!$C:$C,MATCH(D297,Tables!$A:$A,0)),""))</f>
        <v/>
      </c>
      <c r="G297" s="30"/>
      <c r="H297" s="30"/>
      <c r="I297" s="30"/>
      <c r="J297" s="30"/>
      <c r="K297" s="30"/>
      <c r="L297" s="30"/>
      <c r="M297" s="30"/>
      <c r="N297" s="20" t="str">
        <f aca="false">IF(A297="","",COUNTIF('Metric to Field'!$B:$B,A297))</f>
        <v/>
      </c>
      <c r="O297" s="20" t="str">
        <f aca="false">IF(A297="","",SUMIF('Metric to Field'!$B:$B,A297,'Metric to Field'!$F:$F))</f>
        <v/>
      </c>
      <c r="P297" s="30"/>
      <c r="Q297" s="30"/>
      <c r="R297" s="30"/>
      <c r="S297" s="30"/>
      <c r="T297" s="34" t="str">
        <f aca="false">IF(AND(A297&lt;&gt;"",K297="Fix upstream"),COUNTIF($K$5:K297,"Fix upstream"),"")</f>
        <v/>
      </c>
      <c r="U297" s="34" t="str">
        <f aca="false">IF(AND(A297&lt;&gt;"",OR(K297="Move to business rules",K297="Merge into certified table")),COUNTIF($K$5:K297,"Move to business rules")+COUNTIF($K$5:K297,"Merge into certified table"),"")</f>
        <v/>
      </c>
      <c r="V297" s="34" t="str">
        <f aca="false">IF(AND(A297&lt;&gt;"",OR(K297="",K297="Undecided",J297="")),SUMPRODUCT(($A$5:A297&lt;&gt;"")*((($K$5:K297="")+($K$5:K297="Undecided")+($J$5:J297=""))&gt;0)),"")</f>
        <v/>
      </c>
    </row>
    <row r="298" customFormat="false" ht="15" hidden="false" customHeight="false" outlineLevel="0" collapsed="false">
      <c r="A298" s="29"/>
      <c r="B298" s="30"/>
      <c r="C298" s="30"/>
      <c r="D298" s="29"/>
      <c r="E298" s="20" t="str">
        <f aca="false">IF(D298="","",IFERROR(INDEX(Tables!$B:$B,MATCH(D298,Tables!$A:$A,0)),"ID not found"))</f>
        <v/>
      </c>
      <c r="F298" s="20" t="str">
        <f aca="false">IF(D298="","",IFERROR(INDEX(Tables!$C:$C,MATCH(D298,Tables!$A:$A,0)),""))</f>
        <v/>
      </c>
      <c r="G298" s="30"/>
      <c r="H298" s="30"/>
      <c r="I298" s="30"/>
      <c r="J298" s="30"/>
      <c r="K298" s="30"/>
      <c r="L298" s="30"/>
      <c r="M298" s="30"/>
      <c r="N298" s="20" t="str">
        <f aca="false">IF(A298="","",COUNTIF('Metric to Field'!$B:$B,A298))</f>
        <v/>
      </c>
      <c r="O298" s="20" t="str">
        <f aca="false">IF(A298="","",SUMIF('Metric to Field'!$B:$B,A298,'Metric to Field'!$F:$F))</f>
        <v/>
      </c>
      <c r="P298" s="30"/>
      <c r="Q298" s="30"/>
      <c r="R298" s="30"/>
      <c r="S298" s="30"/>
      <c r="T298" s="34" t="str">
        <f aca="false">IF(AND(A298&lt;&gt;"",K298="Fix upstream"),COUNTIF($K$5:K298,"Fix upstream"),"")</f>
        <v/>
      </c>
      <c r="U298" s="34" t="str">
        <f aca="false">IF(AND(A298&lt;&gt;"",OR(K298="Move to business rules",K298="Merge into certified table")),COUNTIF($K$5:K298,"Move to business rules")+COUNTIF($K$5:K298,"Merge into certified table"),"")</f>
        <v/>
      </c>
      <c r="V298" s="34" t="str">
        <f aca="false">IF(AND(A298&lt;&gt;"",OR(K298="",K298="Undecided",J298="")),SUMPRODUCT(($A$5:A298&lt;&gt;"")*((($K$5:K298="")+($K$5:K298="Undecided")+($J$5:J298=""))&gt;0)),"")</f>
        <v/>
      </c>
    </row>
    <row r="299" customFormat="false" ht="15" hidden="false" customHeight="false" outlineLevel="0" collapsed="false">
      <c r="A299" s="29"/>
      <c r="B299" s="30"/>
      <c r="C299" s="30"/>
      <c r="D299" s="29"/>
      <c r="E299" s="20" t="str">
        <f aca="false">IF(D299="","",IFERROR(INDEX(Tables!$B:$B,MATCH(D299,Tables!$A:$A,0)),"ID not found"))</f>
        <v/>
      </c>
      <c r="F299" s="20" t="str">
        <f aca="false">IF(D299="","",IFERROR(INDEX(Tables!$C:$C,MATCH(D299,Tables!$A:$A,0)),""))</f>
        <v/>
      </c>
      <c r="G299" s="30"/>
      <c r="H299" s="30"/>
      <c r="I299" s="30"/>
      <c r="J299" s="30"/>
      <c r="K299" s="30"/>
      <c r="L299" s="30"/>
      <c r="M299" s="30"/>
      <c r="N299" s="20" t="str">
        <f aca="false">IF(A299="","",COUNTIF('Metric to Field'!$B:$B,A299))</f>
        <v/>
      </c>
      <c r="O299" s="20" t="str">
        <f aca="false">IF(A299="","",SUMIF('Metric to Field'!$B:$B,A299,'Metric to Field'!$F:$F))</f>
        <v/>
      </c>
      <c r="P299" s="30"/>
      <c r="Q299" s="30"/>
      <c r="R299" s="30"/>
      <c r="S299" s="30"/>
      <c r="T299" s="34" t="str">
        <f aca="false">IF(AND(A299&lt;&gt;"",K299="Fix upstream"),COUNTIF($K$5:K299,"Fix upstream"),"")</f>
        <v/>
      </c>
      <c r="U299" s="34" t="str">
        <f aca="false">IF(AND(A299&lt;&gt;"",OR(K299="Move to business rules",K299="Merge into certified table")),COUNTIF($K$5:K299,"Move to business rules")+COUNTIF($K$5:K299,"Merge into certified table"),"")</f>
        <v/>
      </c>
      <c r="V299" s="34" t="str">
        <f aca="false">IF(AND(A299&lt;&gt;"",OR(K299="",K299="Undecided",J299="")),SUMPRODUCT(($A$5:A299&lt;&gt;"")*((($K$5:K299="")+($K$5:K299="Undecided")+($J$5:J299=""))&gt;0)),"")</f>
        <v/>
      </c>
    </row>
    <row r="300" customFormat="false" ht="15" hidden="false" customHeight="false" outlineLevel="0" collapsed="false">
      <c r="A300" s="29"/>
      <c r="B300" s="30"/>
      <c r="C300" s="30"/>
      <c r="D300" s="29"/>
      <c r="E300" s="20" t="str">
        <f aca="false">IF(D300="","",IFERROR(INDEX(Tables!$B:$B,MATCH(D300,Tables!$A:$A,0)),"ID not found"))</f>
        <v/>
      </c>
      <c r="F300" s="20" t="str">
        <f aca="false">IF(D300="","",IFERROR(INDEX(Tables!$C:$C,MATCH(D300,Tables!$A:$A,0)),""))</f>
        <v/>
      </c>
      <c r="G300" s="30"/>
      <c r="H300" s="30"/>
      <c r="I300" s="30"/>
      <c r="J300" s="30"/>
      <c r="K300" s="30"/>
      <c r="L300" s="30"/>
      <c r="M300" s="30"/>
      <c r="N300" s="20" t="str">
        <f aca="false">IF(A300="","",COUNTIF('Metric to Field'!$B:$B,A300))</f>
        <v/>
      </c>
      <c r="O300" s="20" t="str">
        <f aca="false">IF(A300="","",SUMIF('Metric to Field'!$B:$B,A300,'Metric to Field'!$F:$F))</f>
        <v/>
      </c>
      <c r="P300" s="30"/>
      <c r="Q300" s="30"/>
      <c r="R300" s="30"/>
      <c r="S300" s="30"/>
      <c r="T300" s="34" t="str">
        <f aca="false">IF(AND(A300&lt;&gt;"",K300="Fix upstream"),COUNTIF($K$5:K300,"Fix upstream"),"")</f>
        <v/>
      </c>
      <c r="U300" s="34" t="str">
        <f aca="false">IF(AND(A300&lt;&gt;"",OR(K300="Move to business rules",K300="Merge into certified table")),COUNTIF($K$5:K300,"Move to business rules")+COUNTIF($K$5:K300,"Merge into certified table"),"")</f>
        <v/>
      </c>
      <c r="V300" s="34" t="str">
        <f aca="false">IF(AND(A300&lt;&gt;"",OR(K300="",K300="Undecided",J300="")),SUMPRODUCT(($A$5:A300&lt;&gt;"")*((($K$5:K300="")+($K$5:K300="Undecided")+($J$5:J300=""))&gt;0)),"")</f>
        <v/>
      </c>
    </row>
    <row r="301" customFormat="false" ht="15" hidden="false" customHeight="false" outlineLevel="0" collapsed="false">
      <c r="A301" s="29"/>
      <c r="B301" s="30"/>
      <c r="C301" s="30"/>
      <c r="D301" s="29"/>
      <c r="E301" s="20" t="str">
        <f aca="false">IF(D301="","",IFERROR(INDEX(Tables!$B:$B,MATCH(D301,Tables!$A:$A,0)),"ID not found"))</f>
        <v/>
      </c>
      <c r="F301" s="20" t="str">
        <f aca="false">IF(D301="","",IFERROR(INDEX(Tables!$C:$C,MATCH(D301,Tables!$A:$A,0)),""))</f>
        <v/>
      </c>
      <c r="G301" s="30"/>
      <c r="H301" s="30"/>
      <c r="I301" s="30"/>
      <c r="J301" s="30"/>
      <c r="K301" s="30"/>
      <c r="L301" s="30"/>
      <c r="M301" s="30"/>
      <c r="N301" s="20" t="str">
        <f aca="false">IF(A301="","",COUNTIF('Metric to Field'!$B:$B,A301))</f>
        <v/>
      </c>
      <c r="O301" s="20" t="str">
        <f aca="false">IF(A301="","",SUMIF('Metric to Field'!$B:$B,A301,'Metric to Field'!$F:$F))</f>
        <v/>
      </c>
      <c r="P301" s="30"/>
      <c r="Q301" s="30"/>
      <c r="R301" s="30"/>
      <c r="S301" s="30"/>
      <c r="T301" s="34" t="str">
        <f aca="false">IF(AND(A301&lt;&gt;"",K301="Fix upstream"),COUNTIF($K$5:K301,"Fix upstream"),"")</f>
        <v/>
      </c>
      <c r="U301" s="34" t="str">
        <f aca="false">IF(AND(A301&lt;&gt;"",OR(K301="Move to business rules",K301="Merge into certified table")),COUNTIF($K$5:K301,"Move to business rules")+COUNTIF($K$5:K301,"Merge into certified table"),"")</f>
        <v/>
      </c>
      <c r="V301" s="34" t="str">
        <f aca="false">IF(AND(A301&lt;&gt;"",OR(K301="",K301="Undecided",J301="")),SUMPRODUCT(($A$5:A301&lt;&gt;"")*((($K$5:K301="")+($K$5:K301="Undecided")+($J$5:J301=""))&gt;0)),"")</f>
        <v/>
      </c>
    </row>
    <row r="302" customFormat="false" ht="15" hidden="false" customHeight="false" outlineLevel="0" collapsed="false">
      <c r="A302" s="29"/>
      <c r="B302" s="30"/>
      <c r="C302" s="30"/>
      <c r="D302" s="29"/>
      <c r="E302" s="20" t="str">
        <f aca="false">IF(D302="","",IFERROR(INDEX(Tables!$B:$B,MATCH(D302,Tables!$A:$A,0)),"ID not found"))</f>
        <v/>
      </c>
      <c r="F302" s="20" t="str">
        <f aca="false">IF(D302="","",IFERROR(INDEX(Tables!$C:$C,MATCH(D302,Tables!$A:$A,0)),""))</f>
        <v/>
      </c>
      <c r="G302" s="30"/>
      <c r="H302" s="30"/>
      <c r="I302" s="30"/>
      <c r="J302" s="30"/>
      <c r="K302" s="30"/>
      <c r="L302" s="30"/>
      <c r="M302" s="30"/>
      <c r="N302" s="20" t="str">
        <f aca="false">IF(A302="","",COUNTIF('Metric to Field'!$B:$B,A302))</f>
        <v/>
      </c>
      <c r="O302" s="20" t="str">
        <f aca="false">IF(A302="","",SUMIF('Metric to Field'!$B:$B,A302,'Metric to Field'!$F:$F))</f>
        <v/>
      </c>
      <c r="P302" s="30"/>
      <c r="Q302" s="30"/>
      <c r="R302" s="30"/>
      <c r="S302" s="30"/>
      <c r="T302" s="34" t="str">
        <f aca="false">IF(AND(A302&lt;&gt;"",K302="Fix upstream"),COUNTIF($K$5:K302,"Fix upstream"),"")</f>
        <v/>
      </c>
      <c r="U302" s="34" t="str">
        <f aca="false">IF(AND(A302&lt;&gt;"",OR(K302="Move to business rules",K302="Merge into certified table")),COUNTIF($K$5:K302,"Move to business rules")+COUNTIF($K$5:K302,"Merge into certified table"),"")</f>
        <v/>
      </c>
      <c r="V302" s="34" t="str">
        <f aca="false">IF(AND(A302&lt;&gt;"",OR(K302="",K302="Undecided",J302="")),SUMPRODUCT(($A$5:A302&lt;&gt;"")*((($K$5:K302="")+($K$5:K302="Undecided")+($J$5:J302=""))&gt;0)),"")</f>
        <v/>
      </c>
    </row>
    <row r="303" customFormat="false" ht="15" hidden="false" customHeight="false" outlineLevel="0" collapsed="false">
      <c r="A303" s="29"/>
      <c r="B303" s="30"/>
      <c r="C303" s="30"/>
      <c r="D303" s="29"/>
      <c r="E303" s="20" t="str">
        <f aca="false">IF(D303="","",IFERROR(INDEX(Tables!$B:$B,MATCH(D303,Tables!$A:$A,0)),"ID not found"))</f>
        <v/>
      </c>
      <c r="F303" s="20" t="str">
        <f aca="false">IF(D303="","",IFERROR(INDEX(Tables!$C:$C,MATCH(D303,Tables!$A:$A,0)),""))</f>
        <v/>
      </c>
      <c r="G303" s="30"/>
      <c r="H303" s="30"/>
      <c r="I303" s="30"/>
      <c r="J303" s="30"/>
      <c r="K303" s="30"/>
      <c r="L303" s="30"/>
      <c r="M303" s="30"/>
      <c r="N303" s="20" t="str">
        <f aca="false">IF(A303="","",COUNTIF('Metric to Field'!$B:$B,A303))</f>
        <v/>
      </c>
      <c r="O303" s="20" t="str">
        <f aca="false">IF(A303="","",SUMIF('Metric to Field'!$B:$B,A303,'Metric to Field'!$F:$F))</f>
        <v/>
      </c>
      <c r="P303" s="30"/>
      <c r="Q303" s="30"/>
      <c r="R303" s="30"/>
      <c r="S303" s="30"/>
      <c r="T303" s="34" t="str">
        <f aca="false">IF(AND(A303&lt;&gt;"",K303="Fix upstream"),COUNTIF($K$5:K303,"Fix upstream"),"")</f>
        <v/>
      </c>
      <c r="U303" s="34" t="str">
        <f aca="false">IF(AND(A303&lt;&gt;"",OR(K303="Move to business rules",K303="Merge into certified table")),COUNTIF($K$5:K303,"Move to business rules")+COUNTIF($K$5:K303,"Merge into certified table"),"")</f>
        <v/>
      </c>
      <c r="V303" s="34" t="str">
        <f aca="false">IF(AND(A303&lt;&gt;"",OR(K303="",K303="Undecided",J303="")),SUMPRODUCT(($A$5:A303&lt;&gt;"")*((($K$5:K303="")+($K$5:K303="Undecided")+($J$5:J303=""))&gt;0)),"")</f>
        <v/>
      </c>
    </row>
    <row r="304" customFormat="false" ht="15" hidden="false" customHeight="false" outlineLevel="0" collapsed="false">
      <c r="A304" s="29"/>
      <c r="B304" s="30"/>
      <c r="C304" s="30"/>
      <c r="D304" s="29"/>
      <c r="E304" s="20" t="str">
        <f aca="false">IF(D304="","",IFERROR(INDEX(Tables!$B:$B,MATCH(D304,Tables!$A:$A,0)),"ID not found"))</f>
        <v/>
      </c>
      <c r="F304" s="20" t="str">
        <f aca="false">IF(D304="","",IFERROR(INDEX(Tables!$C:$C,MATCH(D304,Tables!$A:$A,0)),""))</f>
        <v/>
      </c>
      <c r="G304" s="30"/>
      <c r="H304" s="30"/>
      <c r="I304" s="30"/>
      <c r="J304" s="30"/>
      <c r="K304" s="30"/>
      <c r="L304" s="30"/>
      <c r="M304" s="30"/>
      <c r="N304" s="20" t="str">
        <f aca="false">IF(A304="","",COUNTIF('Metric to Field'!$B:$B,A304))</f>
        <v/>
      </c>
      <c r="O304" s="20" t="str">
        <f aca="false">IF(A304="","",SUMIF('Metric to Field'!$B:$B,A304,'Metric to Field'!$F:$F))</f>
        <v/>
      </c>
      <c r="P304" s="30"/>
      <c r="Q304" s="30"/>
      <c r="R304" s="30"/>
      <c r="S304" s="30"/>
      <c r="T304" s="34" t="str">
        <f aca="false">IF(AND(A304&lt;&gt;"",K304="Fix upstream"),COUNTIF($K$5:K304,"Fix upstream"),"")</f>
        <v/>
      </c>
      <c r="U304" s="34" t="str">
        <f aca="false">IF(AND(A304&lt;&gt;"",OR(K304="Move to business rules",K304="Merge into certified table")),COUNTIF($K$5:K304,"Move to business rules")+COUNTIF($K$5:K304,"Merge into certified table"),"")</f>
        <v/>
      </c>
      <c r="V304" s="34" t="str">
        <f aca="false">IF(AND(A304&lt;&gt;"",OR(K304="",K304="Undecided",J304="")),SUMPRODUCT(($A$5:A304&lt;&gt;"")*((($K$5:K304="")+($K$5:K304="Undecided")+($J$5:J304=""))&gt;0)),"")</f>
        <v/>
      </c>
    </row>
    <row r="305" customFormat="false" ht="15" hidden="false" customHeight="false" outlineLevel="0" collapsed="false">
      <c r="A305" s="29"/>
      <c r="B305" s="30"/>
      <c r="C305" s="30"/>
      <c r="D305" s="29"/>
      <c r="E305" s="20" t="str">
        <f aca="false">IF(D305="","",IFERROR(INDEX(Tables!$B:$B,MATCH(D305,Tables!$A:$A,0)),"ID not found"))</f>
        <v/>
      </c>
      <c r="F305" s="20" t="str">
        <f aca="false">IF(D305="","",IFERROR(INDEX(Tables!$C:$C,MATCH(D305,Tables!$A:$A,0)),""))</f>
        <v/>
      </c>
      <c r="G305" s="30"/>
      <c r="H305" s="30"/>
      <c r="I305" s="30"/>
      <c r="J305" s="30"/>
      <c r="K305" s="30"/>
      <c r="L305" s="30"/>
      <c r="M305" s="30"/>
      <c r="N305" s="20" t="str">
        <f aca="false">IF(A305="","",COUNTIF('Metric to Field'!$B:$B,A305))</f>
        <v/>
      </c>
      <c r="O305" s="20" t="str">
        <f aca="false">IF(A305="","",SUMIF('Metric to Field'!$B:$B,A305,'Metric to Field'!$F:$F))</f>
        <v/>
      </c>
      <c r="P305" s="30"/>
      <c r="Q305" s="30"/>
      <c r="R305" s="30"/>
      <c r="S305" s="30"/>
      <c r="T305" s="34" t="str">
        <f aca="false">IF(AND(A305&lt;&gt;"",K305="Fix upstream"),COUNTIF($K$5:K305,"Fix upstream"),"")</f>
        <v/>
      </c>
      <c r="U305" s="34" t="str">
        <f aca="false">IF(AND(A305&lt;&gt;"",OR(K305="Move to business rules",K305="Merge into certified table")),COUNTIF($K$5:K305,"Move to business rules")+COUNTIF($K$5:K305,"Merge into certified table"),"")</f>
        <v/>
      </c>
      <c r="V305" s="34" t="str">
        <f aca="false">IF(AND(A305&lt;&gt;"",OR(K305="",K305="Undecided",J305="")),SUMPRODUCT(($A$5:A305&lt;&gt;"")*((($K$5:K305="")+($K$5:K305="Undecided")+($J$5:J305=""))&gt;0)),"")</f>
        <v/>
      </c>
    </row>
    <row r="306" customFormat="false" ht="15" hidden="false" customHeight="false" outlineLevel="0" collapsed="false">
      <c r="A306" s="29"/>
      <c r="B306" s="30"/>
      <c r="C306" s="30"/>
      <c r="D306" s="29"/>
      <c r="E306" s="20" t="str">
        <f aca="false">IF(D306="","",IFERROR(INDEX(Tables!$B:$B,MATCH(D306,Tables!$A:$A,0)),"ID not found"))</f>
        <v/>
      </c>
      <c r="F306" s="20" t="str">
        <f aca="false">IF(D306="","",IFERROR(INDEX(Tables!$C:$C,MATCH(D306,Tables!$A:$A,0)),""))</f>
        <v/>
      </c>
      <c r="G306" s="30"/>
      <c r="H306" s="30"/>
      <c r="I306" s="30"/>
      <c r="J306" s="30"/>
      <c r="K306" s="30"/>
      <c r="L306" s="30"/>
      <c r="M306" s="30"/>
      <c r="N306" s="20" t="str">
        <f aca="false">IF(A306="","",COUNTIF('Metric to Field'!$B:$B,A306))</f>
        <v/>
      </c>
      <c r="O306" s="20" t="str">
        <f aca="false">IF(A306="","",SUMIF('Metric to Field'!$B:$B,A306,'Metric to Field'!$F:$F))</f>
        <v/>
      </c>
      <c r="P306" s="30"/>
      <c r="Q306" s="30"/>
      <c r="R306" s="30"/>
      <c r="S306" s="30"/>
      <c r="T306" s="34" t="str">
        <f aca="false">IF(AND(A306&lt;&gt;"",K306="Fix upstream"),COUNTIF($K$5:K306,"Fix upstream"),"")</f>
        <v/>
      </c>
      <c r="U306" s="34" t="str">
        <f aca="false">IF(AND(A306&lt;&gt;"",OR(K306="Move to business rules",K306="Merge into certified table")),COUNTIF($K$5:K306,"Move to business rules")+COUNTIF($K$5:K306,"Merge into certified table"),"")</f>
        <v/>
      </c>
      <c r="V306" s="34" t="str">
        <f aca="false">IF(AND(A306&lt;&gt;"",OR(K306="",K306="Undecided",J306="")),SUMPRODUCT(($A$5:A306&lt;&gt;"")*((($K$5:K306="")+($K$5:K306="Undecided")+($J$5:J306=""))&gt;0)),"")</f>
        <v/>
      </c>
    </row>
    <row r="307" customFormat="false" ht="15" hidden="false" customHeight="false" outlineLevel="0" collapsed="false">
      <c r="A307" s="29"/>
      <c r="B307" s="30"/>
      <c r="C307" s="30"/>
      <c r="D307" s="29"/>
      <c r="E307" s="20" t="str">
        <f aca="false">IF(D307="","",IFERROR(INDEX(Tables!$B:$B,MATCH(D307,Tables!$A:$A,0)),"ID not found"))</f>
        <v/>
      </c>
      <c r="F307" s="20" t="str">
        <f aca="false">IF(D307="","",IFERROR(INDEX(Tables!$C:$C,MATCH(D307,Tables!$A:$A,0)),""))</f>
        <v/>
      </c>
      <c r="G307" s="30"/>
      <c r="H307" s="30"/>
      <c r="I307" s="30"/>
      <c r="J307" s="30"/>
      <c r="K307" s="30"/>
      <c r="L307" s="30"/>
      <c r="M307" s="30"/>
      <c r="N307" s="20" t="str">
        <f aca="false">IF(A307="","",COUNTIF('Metric to Field'!$B:$B,A307))</f>
        <v/>
      </c>
      <c r="O307" s="20" t="str">
        <f aca="false">IF(A307="","",SUMIF('Metric to Field'!$B:$B,A307,'Metric to Field'!$F:$F))</f>
        <v/>
      </c>
      <c r="P307" s="30"/>
      <c r="Q307" s="30"/>
      <c r="R307" s="30"/>
      <c r="S307" s="30"/>
      <c r="T307" s="34" t="str">
        <f aca="false">IF(AND(A307&lt;&gt;"",K307="Fix upstream"),COUNTIF($K$5:K307,"Fix upstream"),"")</f>
        <v/>
      </c>
      <c r="U307" s="34" t="str">
        <f aca="false">IF(AND(A307&lt;&gt;"",OR(K307="Move to business rules",K307="Merge into certified table")),COUNTIF($K$5:K307,"Move to business rules")+COUNTIF($K$5:K307,"Merge into certified table"),"")</f>
        <v/>
      </c>
      <c r="V307" s="34" t="str">
        <f aca="false">IF(AND(A307&lt;&gt;"",OR(K307="",K307="Undecided",J307="")),SUMPRODUCT(($A$5:A307&lt;&gt;"")*((($K$5:K307="")+($K$5:K307="Undecided")+($J$5:J307=""))&gt;0)),"")</f>
        <v/>
      </c>
    </row>
    <row r="308" customFormat="false" ht="15" hidden="false" customHeight="false" outlineLevel="0" collapsed="false">
      <c r="A308" s="29"/>
      <c r="B308" s="30"/>
      <c r="C308" s="30"/>
      <c r="D308" s="29"/>
      <c r="E308" s="20" t="str">
        <f aca="false">IF(D308="","",IFERROR(INDEX(Tables!$B:$B,MATCH(D308,Tables!$A:$A,0)),"ID not found"))</f>
        <v/>
      </c>
      <c r="F308" s="20" t="str">
        <f aca="false">IF(D308="","",IFERROR(INDEX(Tables!$C:$C,MATCH(D308,Tables!$A:$A,0)),""))</f>
        <v/>
      </c>
      <c r="G308" s="30"/>
      <c r="H308" s="30"/>
      <c r="I308" s="30"/>
      <c r="J308" s="30"/>
      <c r="K308" s="30"/>
      <c r="L308" s="30"/>
      <c r="M308" s="30"/>
      <c r="N308" s="20" t="str">
        <f aca="false">IF(A308="","",COUNTIF('Metric to Field'!$B:$B,A308))</f>
        <v/>
      </c>
      <c r="O308" s="20" t="str">
        <f aca="false">IF(A308="","",SUMIF('Metric to Field'!$B:$B,A308,'Metric to Field'!$F:$F))</f>
        <v/>
      </c>
      <c r="P308" s="30"/>
      <c r="Q308" s="30"/>
      <c r="R308" s="30"/>
      <c r="S308" s="30"/>
      <c r="T308" s="34" t="str">
        <f aca="false">IF(AND(A308&lt;&gt;"",K308="Fix upstream"),COUNTIF($K$5:K308,"Fix upstream"),"")</f>
        <v/>
      </c>
      <c r="U308" s="34" t="str">
        <f aca="false">IF(AND(A308&lt;&gt;"",OR(K308="Move to business rules",K308="Merge into certified table")),COUNTIF($K$5:K308,"Move to business rules")+COUNTIF($K$5:K308,"Merge into certified table"),"")</f>
        <v/>
      </c>
      <c r="V308" s="34" t="str">
        <f aca="false">IF(AND(A308&lt;&gt;"",OR(K308="",K308="Undecided",J308="")),SUMPRODUCT(($A$5:A308&lt;&gt;"")*((($K$5:K308="")+($K$5:K308="Undecided")+($J$5:J308=""))&gt;0)),"")</f>
        <v/>
      </c>
    </row>
    <row r="309" customFormat="false" ht="15" hidden="false" customHeight="false" outlineLevel="0" collapsed="false">
      <c r="A309" s="29"/>
      <c r="B309" s="30"/>
      <c r="C309" s="30"/>
      <c r="D309" s="29"/>
      <c r="E309" s="20" t="str">
        <f aca="false">IF(D309="","",IFERROR(INDEX(Tables!$B:$B,MATCH(D309,Tables!$A:$A,0)),"ID not found"))</f>
        <v/>
      </c>
      <c r="F309" s="20" t="str">
        <f aca="false">IF(D309="","",IFERROR(INDEX(Tables!$C:$C,MATCH(D309,Tables!$A:$A,0)),""))</f>
        <v/>
      </c>
      <c r="G309" s="30"/>
      <c r="H309" s="30"/>
      <c r="I309" s="30"/>
      <c r="J309" s="30"/>
      <c r="K309" s="30"/>
      <c r="L309" s="30"/>
      <c r="M309" s="30"/>
      <c r="N309" s="20" t="str">
        <f aca="false">IF(A309="","",COUNTIF('Metric to Field'!$B:$B,A309))</f>
        <v/>
      </c>
      <c r="O309" s="20" t="str">
        <f aca="false">IF(A309="","",SUMIF('Metric to Field'!$B:$B,A309,'Metric to Field'!$F:$F))</f>
        <v/>
      </c>
      <c r="P309" s="30"/>
      <c r="Q309" s="30"/>
      <c r="R309" s="30"/>
      <c r="S309" s="30"/>
      <c r="T309" s="34" t="str">
        <f aca="false">IF(AND(A309&lt;&gt;"",K309="Fix upstream"),COUNTIF($K$5:K309,"Fix upstream"),"")</f>
        <v/>
      </c>
      <c r="U309" s="34" t="str">
        <f aca="false">IF(AND(A309&lt;&gt;"",OR(K309="Move to business rules",K309="Merge into certified table")),COUNTIF($K$5:K309,"Move to business rules")+COUNTIF($K$5:K309,"Merge into certified table"),"")</f>
        <v/>
      </c>
      <c r="V309" s="34" t="str">
        <f aca="false">IF(AND(A309&lt;&gt;"",OR(K309="",K309="Undecided",J309="")),SUMPRODUCT(($A$5:A309&lt;&gt;"")*((($K$5:K309="")+($K$5:K309="Undecided")+($J$5:J309=""))&gt;0)),"")</f>
        <v/>
      </c>
    </row>
    <row r="310" customFormat="false" ht="15" hidden="false" customHeight="false" outlineLevel="0" collapsed="false">
      <c r="A310" s="29"/>
      <c r="B310" s="30"/>
      <c r="C310" s="30"/>
      <c r="D310" s="29"/>
      <c r="E310" s="20" t="str">
        <f aca="false">IF(D310="","",IFERROR(INDEX(Tables!$B:$B,MATCH(D310,Tables!$A:$A,0)),"ID not found"))</f>
        <v/>
      </c>
      <c r="F310" s="20" t="str">
        <f aca="false">IF(D310="","",IFERROR(INDEX(Tables!$C:$C,MATCH(D310,Tables!$A:$A,0)),""))</f>
        <v/>
      </c>
      <c r="G310" s="30"/>
      <c r="H310" s="30"/>
      <c r="I310" s="30"/>
      <c r="J310" s="30"/>
      <c r="K310" s="30"/>
      <c r="L310" s="30"/>
      <c r="M310" s="30"/>
      <c r="N310" s="20" t="str">
        <f aca="false">IF(A310="","",COUNTIF('Metric to Field'!$B:$B,A310))</f>
        <v/>
      </c>
      <c r="O310" s="20" t="str">
        <f aca="false">IF(A310="","",SUMIF('Metric to Field'!$B:$B,A310,'Metric to Field'!$F:$F))</f>
        <v/>
      </c>
      <c r="P310" s="30"/>
      <c r="Q310" s="30"/>
      <c r="R310" s="30"/>
      <c r="S310" s="30"/>
      <c r="T310" s="34" t="str">
        <f aca="false">IF(AND(A310&lt;&gt;"",K310="Fix upstream"),COUNTIF($K$5:K310,"Fix upstream"),"")</f>
        <v/>
      </c>
      <c r="U310" s="34" t="str">
        <f aca="false">IF(AND(A310&lt;&gt;"",OR(K310="Move to business rules",K310="Merge into certified table")),COUNTIF($K$5:K310,"Move to business rules")+COUNTIF($K$5:K310,"Merge into certified table"),"")</f>
        <v/>
      </c>
      <c r="V310" s="34" t="str">
        <f aca="false">IF(AND(A310&lt;&gt;"",OR(K310="",K310="Undecided",J310="")),SUMPRODUCT(($A$5:A310&lt;&gt;"")*((($K$5:K310="")+($K$5:K310="Undecided")+($J$5:J310=""))&gt;0)),"")</f>
        <v/>
      </c>
    </row>
    <row r="311" customFormat="false" ht="15" hidden="false" customHeight="false" outlineLevel="0" collapsed="false">
      <c r="A311" s="29"/>
      <c r="B311" s="30"/>
      <c r="C311" s="30"/>
      <c r="D311" s="29"/>
      <c r="E311" s="20" t="str">
        <f aca="false">IF(D311="","",IFERROR(INDEX(Tables!$B:$B,MATCH(D311,Tables!$A:$A,0)),"ID not found"))</f>
        <v/>
      </c>
      <c r="F311" s="20" t="str">
        <f aca="false">IF(D311="","",IFERROR(INDEX(Tables!$C:$C,MATCH(D311,Tables!$A:$A,0)),""))</f>
        <v/>
      </c>
      <c r="G311" s="30"/>
      <c r="H311" s="30"/>
      <c r="I311" s="30"/>
      <c r="J311" s="30"/>
      <c r="K311" s="30"/>
      <c r="L311" s="30"/>
      <c r="M311" s="30"/>
      <c r="N311" s="20" t="str">
        <f aca="false">IF(A311="","",COUNTIF('Metric to Field'!$B:$B,A311))</f>
        <v/>
      </c>
      <c r="O311" s="20" t="str">
        <f aca="false">IF(A311="","",SUMIF('Metric to Field'!$B:$B,A311,'Metric to Field'!$F:$F))</f>
        <v/>
      </c>
      <c r="P311" s="30"/>
      <c r="Q311" s="30"/>
      <c r="R311" s="30"/>
      <c r="S311" s="30"/>
      <c r="T311" s="34" t="str">
        <f aca="false">IF(AND(A311&lt;&gt;"",K311="Fix upstream"),COUNTIF($K$5:K311,"Fix upstream"),"")</f>
        <v/>
      </c>
      <c r="U311" s="34" t="str">
        <f aca="false">IF(AND(A311&lt;&gt;"",OR(K311="Move to business rules",K311="Merge into certified table")),COUNTIF($K$5:K311,"Move to business rules")+COUNTIF($K$5:K311,"Merge into certified table"),"")</f>
        <v/>
      </c>
      <c r="V311" s="34" t="str">
        <f aca="false">IF(AND(A311&lt;&gt;"",OR(K311="",K311="Undecided",J311="")),SUMPRODUCT(($A$5:A311&lt;&gt;"")*((($K$5:K311="")+($K$5:K311="Undecided")+($J$5:J311=""))&gt;0)),"")</f>
        <v/>
      </c>
    </row>
    <row r="312" customFormat="false" ht="15" hidden="false" customHeight="false" outlineLevel="0" collapsed="false">
      <c r="A312" s="29"/>
      <c r="B312" s="30"/>
      <c r="C312" s="30"/>
      <c r="D312" s="29"/>
      <c r="E312" s="20" t="str">
        <f aca="false">IF(D312="","",IFERROR(INDEX(Tables!$B:$B,MATCH(D312,Tables!$A:$A,0)),"ID not found"))</f>
        <v/>
      </c>
      <c r="F312" s="20" t="str">
        <f aca="false">IF(D312="","",IFERROR(INDEX(Tables!$C:$C,MATCH(D312,Tables!$A:$A,0)),""))</f>
        <v/>
      </c>
      <c r="G312" s="30"/>
      <c r="H312" s="30"/>
      <c r="I312" s="30"/>
      <c r="J312" s="30"/>
      <c r="K312" s="30"/>
      <c r="L312" s="30"/>
      <c r="M312" s="30"/>
      <c r="N312" s="20" t="str">
        <f aca="false">IF(A312="","",COUNTIF('Metric to Field'!$B:$B,A312))</f>
        <v/>
      </c>
      <c r="O312" s="20" t="str">
        <f aca="false">IF(A312="","",SUMIF('Metric to Field'!$B:$B,A312,'Metric to Field'!$F:$F))</f>
        <v/>
      </c>
      <c r="P312" s="30"/>
      <c r="Q312" s="30"/>
      <c r="R312" s="30"/>
      <c r="S312" s="30"/>
      <c r="T312" s="34" t="str">
        <f aca="false">IF(AND(A312&lt;&gt;"",K312="Fix upstream"),COUNTIF($K$5:K312,"Fix upstream"),"")</f>
        <v/>
      </c>
      <c r="U312" s="34" t="str">
        <f aca="false">IF(AND(A312&lt;&gt;"",OR(K312="Move to business rules",K312="Merge into certified table")),COUNTIF($K$5:K312,"Move to business rules")+COUNTIF($K$5:K312,"Merge into certified table"),"")</f>
        <v/>
      </c>
      <c r="V312" s="34" t="str">
        <f aca="false">IF(AND(A312&lt;&gt;"",OR(K312="",K312="Undecided",J312="")),SUMPRODUCT(($A$5:A312&lt;&gt;"")*((($K$5:K312="")+($K$5:K312="Undecided")+($J$5:J312=""))&gt;0)),"")</f>
        <v/>
      </c>
    </row>
    <row r="313" customFormat="false" ht="15" hidden="false" customHeight="false" outlineLevel="0" collapsed="false">
      <c r="A313" s="29"/>
      <c r="B313" s="30"/>
      <c r="C313" s="30"/>
      <c r="D313" s="29"/>
      <c r="E313" s="20" t="str">
        <f aca="false">IF(D313="","",IFERROR(INDEX(Tables!$B:$B,MATCH(D313,Tables!$A:$A,0)),"ID not found"))</f>
        <v/>
      </c>
      <c r="F313" s="20" t="str">
        <f aca="false">IF(D313="","",IFERROR(INDEX(Tables!$C:$C,MATCH(D313,Tables!$A:$A,0)),""))</f>
        <v/>
      </c>
      <c r="G313" s="30"/>
      <c r="H313" s="30"/>
      <c r="I313" s="30"/>
      <c r="J313" s="30"/>
      <c r="K313" s="30"/>
      <c r="L313" s="30"/>
      <c r="M313" s="30"/>
      <c r="N313" s="20" t="str">
        <f aca="false">IF(A313="","",COUNTIF('Metric to Field'!$B:$B,A313))</f>
        <v/>
      </c>
      <c r="O313" s="20" t="str">
        <f aca="false">IF(A313="","",SUMIF('Metric to Field'!$B:$B,A313,'Metric to Field'!$F:$F))</f>
        <v/>
      </c>
      <c r="P313" s="30"/>
      <c r="Q313" s="30"/>
      <c r="R313" s="30"/>
      <c r="S313" s="30"/>
      <c r="T313" s="34" t="str">
        <f aca="false">IF(AND(A313&lt;&gt;"",K313="Fix upstream"),COUNTIF($K$5:K313,"Fix upstream"),"")</f>
        <v/>
      </c>
      <c r="U313" s="34" t="str">
        <f aca="false">IF(AND(A313&lt;&gt;"",OR(K313="Move to business rules",K313="Merge into certified table")),COUNTIF($K$5:K313,"Move to business rules")+COUNTIF($K$5:K313,"Merge into certified table"),"")</f>
        <v/>
      </c>
      <c r="V313" s="34" t="str">
        <f aca="false">IF(AND(A313&lt;&gt;"",OR(K313="",K313="Undecided",J313="")),SUMPRODUCT(($A$5:A313&lt;&gt;"")*((($K$5:K313="")+($K$5:K313="Undecided")+($J$5:J313=""))&gt;0)),"")</f>
        <v/>
      </c>
    </row>
    <row r="314" customFormat="false" ht="15" hidden="false" customHeight="false" outlineLevel="0" collapsed="false">
      <c r="A314" s="29"/>
      <c r="B314" s="30"/>
      <c r="C314" s="30"/>
      <c r="D314" s="29"/>
      <c r="E314" s="20" t="str">
        <f aca="false">IF(D314="","",IFERROR(INDEX(Tables!$B:$B,MATCH(D314,Tables!$A:$A,0)),"ID not found"))</f>
        <v/>
      </c>
      <c r="F314" s="20" t="str">
        <f aca="false">IF(D314="","",IFERROR(INDEX(Tables!$C:$C,MATCH(D314,Tables!$A:$A,0)),""))</f>
        <v/>
      </c>
      <c r="G314" s="30"/>
      <c r="H314" s="30"/>
      <c r="I314" s="30"/>
      <c r="J314" s="30"/>
      <c r="K314" s="30"/>
      <c r="L314" s="30"/>
      <c r="M314" s="30"/>
      <c r="N314" s="20" t="str">
        <f aca="false">IF(A314="","",COUNTIF('Metric to Field'!$B:$B,A314))</f>
        <v/>
      </c>
      <c r="O314" s="20" t="str">
        <f aca="false">IF(A314="","",SUMIF('Metric to Field'!$B:$B,A314,'Metric to Field'!$F:$F))</f>
        <v/>
      </c>
      <c r="P314" s="30"/>
      <c r="Q314" s="30"/>
      <c r="R314" s="30"/>
      <c r="S314" s="30"/>
      <c r="T314" s="34" t="str">
        <f aca="false">IF(AND(A314&lt;&gt;"",K314="Fix upstream"),COUNTIF($K$5:K314,"Fix upstream"),"")</f>
        <v/>
      </c>
      <c r="U314" s="34" t="str">
        <f aca="false">IF(AND(A314&lt;&gt;"",OR(K314="Move to business rules",K314="Merge into certified table")),COUNTIF($K$5:K314,"Move to business rules")+COUNTIF($K$5:K314,"Merge into certified table"),"")</f>
        <v/>
      </c>
      <c r="V314" s="34" t="str">
        <f aca="false">IF(AND(A314&lt;&gt;"",OR(K314="",K314="Undecided",J314="")),SUMPRODUCT(($A$5:A314&lt;&gt;"")*((($K$5:K314="")+($K$5:K314="Undecided")+($J$5:J314=""))&gt;0)),"")</f>
        <v/>
      </c>
    </row>
    <row r="315" customFormat="false" ht="15" hidden="false" customHeight="false" outlineLevel="0" collapsed="false">
      <c r="A315" s="29"/>
      <c r="B315" s="30"/>
      <c r="C315" s="30"/>
      <c r="D315" s="29"/>
      <c r="E315" s="20" t="str">
        <f aca="false">IF(D315="","",IFERROR(INDEX(Tables!$B:$B,MATCH(D315,Tables!$A:$A,0)),"ID not found"))</f>
        <v/>
      </c>
      <c r="F315" s="20" t="str">
        <f aca="false">IF(D315="","",IFERROR(INDEX(Tables!$C:$C,MATCH(D315,Tables!$A:$A,0)),""))</f>
        <v/>
      </c>
      <c r="G315" s="30"/>
      <c r="H315" s="30"/>
      <c r="I315" s="30"/>
      <c r="J315" s="30"/>
      <c r="K315" s="30"/>
      <c r="L315" s="30"/>
      <c r="M315" s="30"/>
      <c r="N315" s="20" t="str">
        <f aca="false">IF(A315="","",COUNTIF('Metric to Field'!$B:$B,A315))</f>
        <v/>
      </c>
      <c r="O315" s="20" t="str">
        <f aca="false">IF(A315="","",SUMIF('Metric to Field'!$B:$B,A315,'Metric to Field'!$F:$F))</f>
        <v/>
      </c>
      <c r="P315" s="30"/>
      <c r="Q315" s="30"/>
      <c r="R315" s="30"/>
      <c r="S315" s="30"/>
      <c r="T315" s="34" t="str">
        <f aca="false">IF(AND(A315&lt;&gt;"",K315="Fix upstream"),COUNTIF($K$5:K315,"Fix upstream"),"")</f>
        <v/>
      </c>
      <c r="U315" s="34" t="str">
        <f aca="false">IF(AND(A315&lt;&gt;"",OR(K315="Move to business rules",K315="Merge into certified table")),COUNTIF($K$5:K315,"Move to business rules")+COUNTIF($K$5:K315,"Merge into certified table"),"")</f>
        <v/>
      </c>
      <c r="V315" s="34" t="str">
        <f aca="false">IF(AND(A315&lt;&gt;"",OR(K315="",K315="Undecided",J315="")),SUMPRODUCT(($A$5:A315&lt;&gt;"")*((($K$5:K315="")+($K$5:K315="Undecided")+($J$5:J315=""))&gt;0)),"")</f>
        <v/>
      </c>
    </row>
    <row r="316" customFormat="false" ht="15" hidden="false" customHeight="false" outlineLevel="0" collapsed="false">
      <c r="A316" s="29"/>
      <c r="B316" s="30"/>
      <c r="C316" s="30"/>
      <c r="D316" s="29"/>
      <c r="E316" s="20" t="str">
        <f aca="false">IF(D316="","",IFERROR(INDEX(Tables!$B:$B,MATCH(D316,Tables!$A:$A,0)),"ID not found"))</f>
        <v/>
      </c>
      <c r="F316" s="20" t="str">
        <f aca="false">IF(D316="","",IFERROR(INDEX(Tables!$C:$C,MATCH(D316,Tables!$A:$A,0)),""))</f>
        <v/>
      </c>
      <c r="G316" s="30"/>
      <c r="H316" s="30"/>
      <c r="I316" s="30"/>
      <c r="J316" s="30"/>
      <c r="K316" s="30"/>
      <c r="L316" s="30"/>
      <c r="M316" s="30"/>
      <c r="N316" s="20" t="str">
        <f aca="false">IF(A316="","",COUNTIF('Metric to Field'!$B:$B,A316))</f>
        <v/>
      </c>
      <c r="O316" s="20" t="str">
        <f aca="false">IF(A316="","",SUMIF('Metric to Field'!$B:$B,A316,'Metric to Field'!$F:$F))</f>
        <v/>
      </c>
      <c r="P316" s="30"/>
      <c r="Q316" s="30"/>
      <c r="R316" s="30"/>
      <c r="S316" s="30"/>
      <c r="T316" s="34" t="str">
        <f aca="false">IF(AND(A316&lt;&gt;"",K316="Fix upstream"),COUNTIF($K$5:K316,"Fix upstream"),"")</f>
        <v/>
      </c>
      <c r="U316" s="34" t="str">
        <f aca="false">IF(AND(A316&lt;&gt;"",OR(K316="Move to business rules",K316="Merge into certified table")),COUNTIF($K$5:K316,"Move to business rules")+COUNTIF($K$5:K316,"Merge into certified table"),"")</f>
        <v/>
      </c>
      <c r="V316" s="34" t="str">
        <f aca="false">IF(AND(A316&lt;&gt;"",OR(K316="",K316="Undecided",J316="")),SUMPRODUCT(($A$5:A316&lt;&gt;"")*((($K$5:K316="")+($K$5:K316="Undecided")+($J$5:J316=""))&gt;0)),"")</f>
        <v/>
      </c>
    </row>
    <row r="317" customFormat="false" ht="15" hidden="false" customHeight="false" outlineLevel="0" collapsed="false">
      <c r="A317" s="29"/>
      <c r="B317" s="30"/>
      <c r="C317" s="30"/>
      <c r="D317" s="29"/>
      <c r="E317" s="20" t="str">
        <f aca="false">IF(D317="","",IFERROR(INDEX(Tables!$B:$B,MATCH(D317,Tables!$A:$A,0)),"ID not found"))</f>
        <v/>
      </c>
      <c r="F317" s="20" t="str">
        <f aca="false">IF(D317="","",IFERROR(INDEX(Tables!$C:$C,MATCH(D317,Tables!$A:$A,0)),""))</f>
        <v/>
      </c>
      <c r="G317" s="30"/>
      <c r="H317" s="30"/>
      <c r="I317" s="30"/>
      <c r="J317" s="30"/>
      <c r="K317" s="30"/>
      <c r="L317" s="30"/>
      <c r="M317" s="30"/>
      <c r="N317" s="20" t="str">
        <f aca="false">IF(A317="","",COUNTIF('Metric to Field'!$B:$B,A317))</f>
        <v/>
      </c>
      <c r="O317" s="20" t="str">
        <f aca="false">IF(A317="","",SUMIF('Metric to Field'!$B:$B,A317,'Metric to Field'!$F:$F))</f>
        <v/>
      </c>
      <c r="P317" s="30"/>
      <c r="Q317" s="30"/>
      <c r="R317" s="30"/>
      <c r="S317" s="30"/>
      <c r="T317" s="34" t="str">
        <f aca="false">IF(AND(A317&lt;&gt;"",K317="Fix upstream"),COUNTIF($K$5:K317,"Fix upstream"),"")</f>
        <v/>
      </c>
      <c r="U317" s="34" t="str">
        <f aca="false">IF(AND(A317&lt;&gt;"",OR(K317="Move to business rules",K317="Merge into certified table")),COUNTIF($K$5:K317,"Move to business rules")+COUNTIF($K$5:K317,"Merge into certified table"),"")</f>
        <v/>
      </c>
      <c r="V317" s="34" t="str">
        <f aca="false">IF(AND(A317&lt;&gt;"",OR(K317="",K317="Undecided",J317="")),SUMPRODUCT(($A$5:A317&lt;&gt;"")*((($K$5:K317="")+($K$5:K317="Undecided")+($J$5:J317=""))&gt;0)),"")</f>
        <v/>
      </c>
    </row>
    <row r="318" customFormat="false" ht="15" hidden="false" customHeight="false" outlineLevel="0" collapsed="false">
      <c r="A318" s="29"/>
      <c r="B318" s="30"/>
      <c r="C318" s="30"/>
      <c r="D318" s="29"/>
      <c r="E318" s="20" t="str">
        <f aca="false">IF(D318="","",IFERROR(INDEX(Tables!$B:$B,MATCH(D318,Tables!$A:$A,0)),"ID not found"))</f>
        <v/>
      </c>
      <c r="F318" s="20" t="str">
        <f aca="false">IF(D318="","",IFERROR(INDEX(Tables!$C:$C,MATCH(D318,Tables!$A:$A,0)),""))</f>
        <v/>
      </c>
      <c r="G318" s="30"/>
      <c r="H318" s="30"/>
      <c r="I318" s="30"/>
      <c r="J318" s="30"/>
      <c r="K318" s="30"/>
      <c r="L318" s="30"/>
      <c r="M318" s="30"/>
      <c r="N318" s="20" t="str">
        <f aca="false">IF(A318="","",COUNTIF('Metric to Field'!$B:$B,A318))</f>
        <v/>
      </c>
      <c r="O318" s="20" t="str">
        <f aca="false">IF(A318="","",SUMIF('Metric to Field'!$B:$B,A318,'Metric to Field'!$F:$F))</f>
        <v/>
      </c>
      <c r="P318" s="30"/>
      <c r="Q318" s="30"/>
      <c r="R318" s="30"/>
      <c r="S318" s="30"/>
      <c r="T318" s="34" t="str">
        <f aca="false">IF(AND(A318&lt;&gt;"",K318="Fix upstream"),COUNTIF($K$5:K318,"Fix upstream"),"")</f>
        <v/>
      </c>
      <c r="U318" s="34" t="str">
        <f aca="false">IF(AND(A318&lt;&gt;"",OR(K318="Move to business rules",K318="Merge into certified table")),COUNTIF($K$5:K318,"Move to business rules")+COUNTIF($K$5:K318,"Merge into certified table"),"")</f>
        <v/>
      </c>
      <c r="V318" s="34" t="str">
        <f aca="false">IF(AND(A318&lt;&gt;"",OR(K318="",K318="Undecided",J318="")),SUMPRODUCT(($A$5:A318&lt;&gt;"")*((($K$5:K318="")+($K$5:K318="Undecided")+($J$5:J318=""))&gt;0)),"")</f>
        <v/>
      </c>
    </row>
    <row r="319" customFormat="false" ht="15" hidden="false" customHeight="false" outlineLevel="0" collapsed="false">
      <c r="A319" s="29"/>
      <c r="B319" s="30"/>
      <c r="C319" s="30"/>
      <c r="D319" s="29"/>
      <c r="E319" s="20" t="str">
        <f aca="false">IF(D319="","",IFERROR(INDEX(Tables!$B:$B,MATCH(D319,Tables!$A:$A,0)),"ID not found"))</f>
        <v/>
      </c>
      <c r="F319" s="20" t="str">
        <f aca="false">IF(D319="","",IFERROR(INDEX(Tables!$C:$C,MATCH(D319,Tables!$A:$A,0)),""))</f>
        <v/>
      </c>
      <c r="G319" s="30"/>
      <c r="H319" s="30"/>
      <c r="I319" s="30"/>
      <c r="J319" s="30"/>
      <c r="K319" s="30"/>
      <c r="L319" s="30"/>
      <c r="M319" s="30"/>
      <c r="N319" s="20" t="str">
        <f aca="false">IF(A319="","",COUNTIF('Metric to Field'!$B:$B,A319))</f>
        <v/>
      </c>
      <c r="O319" s="20" t="str">
        <f aca="false">IF(A319="","",SUMIF('Metric to Field'!$B:$B,A319,'Metric to Field'!$F:$F))</f>
        <v/>
      </c>
      <c r="P319" s="30"/>
      <c r="Q319" s="30"/>
      <c r="R319" s="30"/>
      <c r="S319" s="30"/>
      <c r="T319" s="34" t="str">
        <f aca="false">IF(AND(A319&lt;&gt;"",K319="Fix upstream"),COUNTIF($K$5:K319,"Fix upstream"),"")</f>
        <v/>
      </c>
      <c r="U319" s="34" t="str">
        <f aca="false">IF(AND(A319&lt;&gt;"",OR(K319="Move to business rules",K319="Merge into certified table")),COUNTIF($K$5:K319,"Move to business rules")+COUNTIF($K$5:K319,"Merge into certified table"),"")</f>
        <v/>
      </c>
      <c r="V319" s="34" t="str">
        <f aca="false">IF(AND(A319&lt;&gt;"",OR(K319="",K319="Undecided",J319="")),SUMPRODUCT(($A$5:A319&lt;&gt;"")*((($K$5:K319="")+($K$5:K319="Undecided")+($J$5:J319=""))&gt;0)),"")</f>
        <v/>
      </c>
    </row>
    <row r="320" customFormat="false" ht="15" hidden="false" customHeight="false" outlineLevel="0" collapsed="false">
      <c r="A320" s="29"/>
      <c r="B320" s="30"/>
      <c r="C320" s="30"/>
      <c r="D320" s="29"/>
      <c r="E320" s="20" t="str">
        <f aca="false">IF(D320="","",IFERROR(INDEX(Tables!$B:$B,MATCH(D320,Tables!$A:$A,0)),"ID not found"))</f>
        <v/>
      </c>
      <c r="F320" s="20" t="str">
        <f aca="false">IF(D320="","",IFERROR(INDEX(Tables!$C:$C,MATCH(D320,Tables!$A:$A,0)),""))</f>
        <v/>
      </c>
      <c r="G320" s="30"/>
      <c r="H320" s="30"/>
      <c r="I320" s="30"/>
      <c r="J320" s="30"/>
      <c r="K320" s="30"/>
      <c r="L320" s="30"/>
      <c r="M320" s="30"/>
      <c r="N320" s="20" t="str">
        <f aca="false">IF(A320="","",COUNTIF('Metric to Field'!$B:$B,A320))</f>
        <v/>
      </c>
      <c r="O320" s="20" t="str">
        <f aca="false">IF(A320="","",SUMIF('Metric to Field'!$B:$B,A320,'Metric to Field'!$F:$F))</f>
        <v/>
      </c>
      <c r="P320" s="30"/>
      <c r="Q320" s="30"/>
      <c r="R320" s="30"/>
      <c r="S320" s="30"/>
      <c r="T320" s="34" t="str">
        <f aca="false">IF(AND(A320&lt;&gt;"",K320="Fix upstream"),COUNTIF($K$5:K320,"Fix upstream"),"")</f>
        <v/>
      </c>
      <c r="U320" s="34" t="str">
        <f aca="false">IF(AND(A320&lt;&gt;"",OR(K320="Move to business rules",K320="Merge into certified table")),COUNTIF($K$5:K320,"Move to business rules")+COUNTIF($K$5:K320,"Merge into certified table"),"")</f>
        <v/>
      </c>
      <c r="V320" s="34" t="str">
        <f aca="false">IF(AND(A320&lt;&gt;"",OR(K320="",K320="Undecided",J320="")),SUMPRODUCT(($A$5:A320&lt;&gt;"")*((($K$5:K320="")+($K$5:K320="Undecided")+($J$5:J320=""))&gt;0)),"")</f>
        <v/>
      </c>
    </row>
    <row r="321" customFormat="false" ht="15" hidden="false" customHeight="false" outlineLevel="0" collapsed="false">
      <c r="A321" s="29"/>
      <c r="B321" s="30"/>
      <c r="C321" s="30"/>
      <c r="D321" s="29"/>
      <c r="E321" s="20" t="str">
        <f aca="false">IF(D321="","",IFERROR(INDEX(Tables!$B:$B,MATCH(D321,Tables!$A:$A,0)),"ID not found"))</f>
        <v/>
      </c>
      <c r="F321" s="20" t="str">
        <f aca="false">IF(D321="","",IFERROR(INDEX(Tables!$C:$C,MATCH(D321,Tables!$A:$A,0)),""))</f>
        <v/>
      </c>
      <c r="G321" s="30"/>
      <c r="H321" s="30"/>
      <c r="I321" s="30"/>
      <c r="J321" s="30"/>
      <c r="K321" s="30"/>
      <c r="L321" s="30"/>
      <c r="M321" s="30"/>
      <c r="N321" s="20" t="str">
        <f aca="false">IF(A321="","",COUNTIF('Metric to Field'!$B:$B,A321))</f>
        <v/>
      </c>
      <c r="O321" s="20" t="str">
        <f aca="false">IF(A321="","",SUMIF('Metric to Field'!$B:$B,A321,'Metric to Field'!$F:$F))</f>
        <v/>
      </c>
      <c r="P321" s="30"/>
      <c r="Q321" s="30"/>
      <c r="R321" s="30"/>
      <c r="S321" s="30"/>
      <c r="T321" s="34" t="str">
        <f aca="false">IF(AND(A321&lt;&gt;"",K321="Fix upstream"),COUNTIF($K$5:K321,"Fix upstream"),"")</f>
        <v/>
      </c>
      <c r="U321" s="34" t="str">
        <f aca="false">IF(AND(A321&lt;&gt;"",OR(K321="Move to business rules",K321="Merge into certified table")),COUNTIF($K$5:K321,"Move to business rules")+COUNTIF($K$5:K321,"Merge into certified table"),"")</f>
        <v/>
      </c>
      <c r="V321" s="34" t="str">
        <f aca="false">IF(AND(A321&lt;&gt;"",OR(K321="",K321="Undecided",J321="")),SUMPRODUCT(($A$5:A321&lt;&gt;"")*((($K$5:K321="")+($K$5:K321="Undecided")+($J$5:J321=""))&gt;0)),"")</f>
        <v/>
      </c>
    </row>
    <row r="322" customFormat="false" ht="15" hidden="false" customHeight="false" outlineLevel="0" collapsed="false">
      <c r="A322" s="29"/>
      <c r="B322" s="30"/>
      <c r="C322" s="30"/>
      <c r="D322" s="29"/>
      <c r="E322" s="20" t="str">
        <f aca="false">IF(D322="","",IFERROR(INDEX(Tables!$B:$B,MATCH(D322,Tables!$A:$A,0)),"ID not found"))</f>
        <v/>
      </c>
      <c r="F322" s="20" t="str">
        <f aca="false">IF(D322="","",IFERROR(INDEX(Tables!$C:$C,MATCH(D322,Tables!$A:$A,0)),""))</f>
        <v/>
      </c>
      <c r="G322" s="30"/>
      <c r="H322" s="30"/>
      <c r="I322" s="30"/>
      <c r="J322" s="30"/>
      <c r="K322" s="30"/>
      <c r="L322" s="30"/>
      <c r="M322" s="30"/>
      <c r="N322" s="20" t="str">
        <f aca="false">IF(A322="","",COUNTIF('Metric to Field'!$B:$B,A322))</f>
        <v/>
      </c>
      <c r="O322" s="20" t="str">
        <f aca="false">IF(A322="","",SUMIF('Metric to Field'!$B:$B,A322,'Metric to Field'!$F:$F))</f>
        <v/>
      </c>
      <c r="P322" s="30"/>
      <c r="Q322" s="30"/>
      <c r="R322" s="30"/>
      <c r="S322" s="30"/>
      <c r="T322" s="34" t="str">
        <f aca="false">IF(AND(A322&lt;&gt;"",K322="Fix upstream"),COUNTIF($K$5:K322,"Fix upstream"),"")</f>
        <v/>
      </c>
      <c r="U322" s="34" t="str">
        <f aca="false">IF(AND(A322&lt;&gt;"",OR(K322="Move to business rules",K322="Merge into certified table")),COUNTIF($K$5:K322,"Move to business rules")+COUNTIF($K$5:K322,"Merge into certified table"),"")</f>
        <v/>
      </c>
      <c r="V322" s="34" t="str">
        <f aca="false">IF(AND(A322&lt;&gt;"",OR(K322="",K322="Undecided",J322="")),SUMPRODUCT(($A$5:A322&lt;&gt;"")*((($K$5:K322="")+($K$5:K322="Undecided")+($J$5:J322=""))&gt;0)),"")</f>
        <v/>
      </c>
    </row>
    <row r="323" customFormat="false" ht="15" hidden="false" customHeight="false" outlineLevel="0" collapsed="false">
      <c r="A323" s="29"/>
      <c r="B323" s="30"/>
      <c r="C323" s="30"/>
      <c r="D323" s="29"/>
      <c r="E323" s="20" t="str">
        <f aca="false">IF(D323="","",IFERROR(INDEX(Tables!$B:$B,MATCH(D323,Tables!$A:$A,0)),"ID not found"))</f>
        <v/>
      </c>
      <c r="F323" s="20" t="str">
        <f aca="false">IF(D323="","",IFERROR(INDEX(Tables!$C:$C,MATCH(D323,Tables!$A:$A,0)),""))</f>
        <v/>
      </c>
      <c r="G323" s="30"/>
      <c r="H323" s="30"/>
      <c r="I323" s="30"/>
      <c r="J323" s="30"/>
      <c r="K323" s="30"/>
      <c r="L323" s="30"/>
      <c r="M323" s="30"/>
      <c r="N323" s="20" t="str">
        <f aca="false">IF(A323="","",COUNTIF('Metric to Field'!$B:$B,A323))</f>
        <v/>
      </c>
      <c r="O323" s="20" t="str">
        <f aca="false">IF(A323="","",SUMIF('Metric to Field'!$B:$B,A323,'Metric to Field'!$F:$F))</f>
        <v/>
      </c>
      <c r="P323" s="30"/>
      <c r="Q323" s="30"/>
      <c r="R323" s="30"/>
      <c r="S323" s="30"/>
      <c r="T323" s="34" t="str">
        <f aca="false">IF(AND(A323&lt;&gt;"",K323="Fix upstream"),COUNTIF($K$5:K323,"Fix upstream"),"")</f>
        <v/>
      </c>
      <c r="U323" s="34" t="str">
        <f aca="false">IF(AND(A323&lt;&gt;"",OR(K323="Move to business rules",K323="Merge into certified table")),COUNTIF($K$5:K323,"Move to business rules")+COUNTIF($K$5:K323,"Merge into certified table"),"")</f>
        <v/>
      </c>
      <c r="V323" s="34" t="str">
        <f aca="false">IF(AND(A323&lt;&gt;"",OR(K323="",K323="Undecided",J323="")),SUMPRODUCT(($A$5:A323&lt;&gt;"")*((($K$5:K323="")+($K$5:K323="Undecided")+($J$5:J323=""))&gt;0)),"")</f>
        <v/>
      </c>
    </row>
    <row r="324" customFormat="false" ht="15" hidden="false" customHeight="false" outlineLevel="0" collapsed="false">
      <c r="A324" s="29"/>
      <c r="B324" s="30"/>
      <c r="C324" s="30"/>
      <c r="D324" s="29"/>
      <c r="E324" s="20" t="str">
        <f aca="false">IF(D324="","",IFERROR(INDEX(Tables!$B:$B,MATCH(D324,Tables!$A:$A,0)),"ID not found"))</f>
        <v/>
      </c>
      <c r="F324" s="20" t="str">
        <f aca="false">IF(D324="","",IFERROR(INDEX(Tables!$C:$C,MATCH(D324,Tables!$A:$A,0)),""))</f>
        <v/>
      </c>
      <c r="G324" s="30"/>
      <c r="H324" s="30"/>
      <c r="I324" s="30"/>
      <c r="J324" s="30"/>
      <c r="K324" s="30"/>
      <c r="L324" s="30"/>
      <c r="M324" s="30"/>
      <c r="N324" s="20" t="str">
        <f aca="false">IF(A324="","",COUNTIF('Metric to Field'!$B:$B,A324))</f>
        <v/>
      </c>
      <c r="O324" s="20" t="str">
        <f aca="false">IF(A324="","",SUMIF('Metric to Field'!$B:$B,A324,'Metric to Field'!$F:$F))</f>
        <v/>
      </c>
      <c r="P324" s="30"/>
      <c r="Q324" s="30"/>
      <c r="R324" s="30"/>
      <c r="S324" s="30"/>
      <c r="T324" s="34" t="str">
        <f aca="false">IF(AND(A324&lt;&gt;"",K324="Fix upstream"),COUNTIF($K$5:K324,"Fix upstream"),"")</f>
        <v/>
      </c>
      <c r="U324" s="34" t="str">
        <f aca="false">IF(AND(A324&lt;&gt;"",OR(K324="Move to business rules",K324="Merge into certified table")),COUNTIF($K$5:K324,"Move to business rules")+COUNTIF($K$5:K324,"Merge into certified table"),"")</f>
        <v/>
      </c>
      <c r="V324" s="34" t="str">
        <f aca="false">IF(AND(A324&lt;&gt;"",OR(K324="",K324="Undecided",J324="")),SUMPRODUCT(($A$5:A324&lt;&gt;"")*((($K$5:K324="")+($K$5:K324="Undecided")+($J$5:J324=""))&gt;0)),"")</f>
        <v/>
      </c>
    </row>
    <row r="325" customFormat="false" ht="15" hidden="false" customHeight="false" outlineLevel="0" collapsed="false">
      <c r="A325" s="29"/>
      <c r="B325" s="30"/>
      <c r="C325" s="30"/>
      <c r="D325" s="29"/>
      <c r="E325" s="20" t="str">
        <f aca="false">IF(D325="","",IFERROR(INDEX(Tables!$B:$B,MATCH(D325,Tables!$A:$A,0)),"ID not found"))</f>
        <v/>
      </c>
      <c r="F325" s="20" t="str">
        <f aca="false">IF(D325="","",IFERROR(INDEX(Tables!$C:$C,MATCH(D325,Tables!$A:$A,0)),""))</f>
        <v/>
      </c>
      <c r="G325" s="30"/>
      <c r="H325" s="30"/>
      <c r="I325" s="30"/>
      <c r="J325" s="30"/>
      <c r="K325" s="30"/>
      <c r="L325" s="30"/>
      <c r="M325" s="30"/>
      <c r="N325" s="20" t="str">
        <f aca="false">IF(A325="","",COUNTIF('Metric to Field'!$B:$B,A325))</f>
        <v/>
      </c>
      <c r="O325" s="20" t="str">
        <f aca="false">IF(A325="","",SUMIF('Metric to Field'!$B:$B,A325,'Metric to Field'!$F:$F))</f>
        <v/>
      </c>
      <c r="P325" s="30"/>
      <c r="Q325" s="30"/>
      <c r="R325" s="30"/>
      <c r="S325" s="30"/>
      <c r="T325" s="34" t="str">
        <f aca="false">IF(AND(A325&lt;&gt;"",K325="Fix upstream"),COUNTIF($K$5:K325,"Fix upstream"),"")</f>
        <v/>
      </c>
      <c r="U325" s="34" t="str">
        <f aca="false">IF(AND(A325&lt;&gt;"",OR(K325="Move to business rules",K325="Merge into certified table")),COUNTIF($K$5:K325,"Move to business rules")+COUNTIF($K$5:K325,"Merge into certified table"),"")</f>
        <v/>
      </c>
      <c r="V325" s="34" t="str">
        <f aca="false">IF(AND(A325&lt;&gt;"",OR(K325="",K325="Undecided",J325="")),SUMPRODUCT(($A$5:A325&lt;&gt;"")*((($K$5:K325="")+($K$5:K325="Undecided")+($J$5:J325=""))&gt;0)),"")</f>
        <v/>
      </c>
    </row>
    <row r="326" customFormat="false" ht="15" hidden="false" customHeight="false" outlineLevel="0" collapsed="false">
      <c r="A326" s="29"/>
      <c r="B326" s="30"/>
      <c r="C326" s="30"/>
      <c r="D326" s="29"/>
      <c r="E326" s="20" t="str">
        <f aca="false">IF(D326="","",IFERROR(INDEX(Tables!$B:$B,MATCH(D326,Tables!$A:$A,0)),"ID not found"))</f>
        <v/>
      </c>
      <c r="F326" s="20" t="str">
        <f aca="false">IF(D326="","",IFERROR(INDEX(Tables!$C:$C,MATCH(D326,Tables!$A:$A,0)),""))</f>
        <v/>
      </c>
      <c r="G326" s="30"/>
      <c r="H326" s="30"/>
      <c r="I326" s="30"/>
      <c r="J326" s="30"/>
      <c r="K326" s="30"/>
      <c r="L326" s="30"/>
      <c r="M326" s="30"/>
      <c r="N326" s="20" t="str">
        <f aca="false">IF(A326="","",COUNTIF('Metric to Field'!$B:$B,A326))</f>
        <v/>
      </c>
      <c r="O326" s="20" t="str">
        <f aca="false">IF(A326="","",SUMIF('Metric to Field'!$B:$B,A326,'Metric to Field'!$F:$F))</f>
        <v/>
      </c>
      <c r="P326" s="30"/>
      <c r="Q326" s="30"/>
      <c r="R326" s="30"/>
      <c r="S326" s="30"/>
      <c r="T326" s="34" t="str">
        <f aca="false">IF(AND(A326&lt;&gt;"",K326="Fix upstream"),COUNTIF($K$5:K326,"Fix upstream"),"")</f>
        <v/>
      </c>
      <c r="U326" s="34" t="str">
        <f aca="false">IF(AND(A326&lt;&gt;"",OR(K326="Move to business rules",K326="Merge into certified table")),COUNTIF($K$5:K326,"Move to business rules")+COUNTIF($K$5:K326,"Merge into certified table"),"")</f>
        <v/>
      </c>
      <c r="V326" s="34" t="str">
        <f aca="false">IF(AND(A326&lt;&gt;"",OR(K326="",K326="Undecided",J326="")),SUMPRODUCT(($A$5:A326&lt;&gt;"")*((($K$5:K326="")+($K$5:K326="Undecided")+($J$5:J326=""))&gt;0)),"")</f>
        <v/>
      </c>
    </row>
    <row r="327" customFormat="false" ht="15" hidden="false" customHeight="false" outlineLevel="0" collapsed="false">
      <c r="A327" s="29"/>
      <c r="B327" s="30"/>
      <c r="C327" s="30"/>
      <c r="D327" s="29"/>
      <c r="E327" s="20" t="str">
        <f aca="false">IF(D327="","",IFERROR(INDEX(Tables!$B:$B,MATCH(D327,Tables!$A:$A,0)),"ID not found"))</f>
        <v/>
      </c>
      <c r="F327" s="20" t="str">
        <f aca="false">IF(D327="","",IFERROR(INDEX(Tables!$C:$C,MATCH(D327,Tables!$A:$A,0)),""))</f>
        <v/>
      </c>
      <c r="G327" s="30"/>
      <c r="H327" s="30"/>
      <c r="I327" s="30"/>
      <c r="J327" s="30"/>
      <c r="K327" s="30"/>
      <c r="L327" s="30"/>
      <c r="M327" s="30"/>
      <c r="N327" s="20" t="str">
        <f aca="false">IF(A327="","",COUNTIF('Metric to Field'!$B:$B,A327))</f>
        <v/>
      </c>
      <c r="O327" s="20" t="str">
        <f aca="false">IF(A327="","",SUMIF('Metric to Field'!$B:$B,A327,'Metric to Field'!$F:$F))</f>
        <v/>
      </c>
      <c r="P327" s="30"/>
      <c r="Q327" s="30"/>
      <c r="R327" s="30"/>
      <c r="S327" s="30"/>
      <c r="T327" s="34" t="str">
        <f aca="false">IF(AND(A327&lt;&gt;"",K327="Fix upstream"),COUNTIF($K$5:K327,"Fix upstream"),"")</f>
        <v/>
      </c>
      <c r="U327" s="34" t="str">
        <f aca="false">IF(AND(A327&lt;&gt;"",OR(K327="Move to business rules",K327="Merge into certified table")),COUNTIF($K$5:K327,"Move to business rules")+COUNTIF($K$5:K327,"Merge into certified table"),"")</f>
        <v/>
      </c>
      <c r="V327" s="34" t="str">
        <f aca="false">IF(AND(A327&lt;&gt;"",OR(K327="",K327="Undecided",J327="")),SUMPRODUCT(($A$5:A327&lt;&gt;"")*((($K$5:K327="")+($K$5:K327="Undecided")+($J$5:J327=""))&gt;0)),"")</f>
        <v/>
      </c>
    </row>
    <row r="328" customFormat="false" ht="15" hidden="false" customHeight="false" outlineLevel="0" collapsed="false">
      <c r="A328" s="29"/>
      <c r="B328" s="30"/>
      <c r="C328" s="30"/>
      <c r="D328" s="29"/>
      <c r="E328" s="20" t="str">
        <f aca="false">IF(D328="","",IFERROR(INDEX(Tables!$B:$B,MATCH(D328,Tables!$A:$A,0)),"ID not found"))</f>
        <v/>
      </c>
      <c r="F328" s="20" t="str">
        <f aca="false">IF(D328="","",IFERROR(INDEX(Tables!$C:$C,MATCH(D328,Tables!$A:$A,0)),""))</f>
        <v/>
      </c>
      <c r="G328" s="30"/>
      <c r="H328" s="30"/>
      <c r="I328" s="30"/>
      <c r="J328" s="30"/>
      <c r="K328" s="30"/>
      <c r="L328" s="30"/>
      <c r="M328" s="30"/>
      <c r="N328" s="20" t="str">
        <f aca="false">IF(A328="","",COUNTIF('Metric to Field'!$B:$B,A328))</f>
        <v/>
      </c>
      <c r="O328" s="20" t="str">
        <f aca="false">IF(A328="","",SUMIF('Metric to Field'!$B:$B,A328,'Metric to Field'!$F:$F))</f>
        <v/>
      </c>
      <c r="P328" s="30"/>
      <c r="Q328" s="30"/>
      <c r="R328" s="30"/>
      <c r="S328" s="30"/>
      <c r="T328" s="34" t="str">
        <f aca="false">IF(AND(A328&lt;&gt;"",K328="Fix upstream"),COUNTIF($K$5:K328,"Fix upstream"),"")</f>
        <v/>
      </c>
      <c r="U328" s="34" t="str">
        <f aca="false">IF(AND(A328&lt;&gt;"",OR(K328="Move to business rules",K328="Merge into certified table")),COUNTIF($K$5:K328,"Move to business rules")+COUNTIF($K$5:K328,"Merge into certified table"),"")</f>
        <v/>
      </c>
      <c r="V328" s="34" t="str">
        <f aca="false">IF(AND(A328&lt;&gt;"",OR(K328="",K328="Undecided",J328="")),SUMPRODUCT(($A$5:A328&lt;&gt;"")*((($K$5:K328="")+($K$5:K328="Undecided")+($J$5:J328=""))&gt;0)),"")</f>
        <v/>
      </c>
    </row>
    <row r="329" customFormat="false" ht="15" hidden="false" customHeight="false" outlineLevel="0" collapsed="false">
      <c r="A329" s="29"/>
      <c r="B329" s="30"/>
      <c r="C329" s="30"/>
      <c r="D329" s="29"/>
      <c r="E329" s="20" t="str">
        <f aca="false">IF(D329="","",IFERROR(INDEX(Tables!$B:$B,MATCH(D329,Tables!$A:$A,0)),"ID not found"))</f>
        <v/>
      </c>
      <c r="F329" s="20" t="str">
        <f aca="false">IF(D329="","",IFERROR(INDEX(Tables!$C:$C,MATCH(D329,Tables!$A:$A,0)),""))</f>
        <v/>
      </c>
      <c r="G329" s="30"/>
      <c r="H329" s="30"/>
      <c r="I329" s="30"/>
      <c r="J329" s="30"/>
      <c r="K329" s="30"/>
      <c r="L329" s="30"/>
      <c r="M329" s="30"/>
      <c r="N329" s="20" t="str">
        <f aca="false">IF(A329="","",COUNTIF('Metric to Field'!$B:$B,A329))</f>
        <v/>
      </c>
      <c r="O329" s="20" t="str">
        <f aca="false">IF(A329="","",SUMIF('Metric to Field'!$B:$B,A329,'Metric to Field'!$F:$F))</f>
        <v/>
      </c>
      <c r="P329" s="30"/>
      <c r="Q329" s="30"/>
      <c r="R329" s="30"/>
      <c r="S329" s="30"/>
      <c r="T329" s="34" t="str">
        <f aca="false">IF(AND(A329&lt;&gt;"",K329="Fix upstream"),COUNTIF($K$5:K329,"Fix upstream"),"")</f>
        <v/>
      </c>
      <c r="U329" s="34" t="str">
        <f aca="false">IF(AND(A329&lt;&gt;"",OR(K329="Move to business rules",K329="Merge into certified table")),COUNTIF($K$5:K329,"Move to business rules")+COUNTIF($K$5:K329,"Merge into certified table"),"")</f>
        <v/>
      </c>
      <c r="V329" s="34" t="str">
        <f aca="false">IF(AND(A329&lt;&gt;"",OR(K329="",K329="Undecided",J329="")),SUMPRODUCT(($A$5:A329&lt;&gt;"")*((($K$5:K329="")+($K$5:K329="Undecided")+($J$5:J329=""))&gt;0)),"")</f>
        <v/>
      </c>
    </row>
    <row r="330" customFormat="false" ht="15" hidden="false" customHeight="false" outlineLevel="0" collapsed="false">
      <c r="A330" s="29"/>
      <c r="B330" s="30"/>
      <c r="C330" s="30"/>
      <c r="D330" s="29"/>
      <c r="E330" s="20" t="str">
        <f aca="false">IF(D330="","",IFERROR(INDEX(Tables!$B:$B,MATCH(D330,Tables!$A:$A,0)),"ID not found"))</f>
        <v/>
      </c>
      <c r="F330" s="20" t="str">
        <f aca="false">IF(D330="","",IFERROR(INDEX(Tables!$C:$C,MATCH(D330,Tables!$A:$A,0)),""))</f>
        <v/>
      </c>
      <c r="G330" s="30"/>
      <c r="H330" s="30"/>
      <c r="I330" s="30"/>
      <c r="J330" s="30"/>
      <c r="K330" s="30"/>
      <c r="L330" s="30"/>
      <c r="M330" s="30"/>
      <c r="N330" s="20" t="str">
        <f aca="false">IF(A330="","",COUNTIF('Metric to Field'!$B:$B,A330))</f>
        <v/>
      </c>
      <c r="O330" s="20" t="str">
        <f aca="false">IF(A330="","",SUMIF('Metric to Field'!$B:$B,A330,'Metric to Field'!$F:$F))</f>
        <v/>
      </c>
      <c r="P330" s="30"/>
      <c r="Q330" s="30"/>
      <c r="R330" s="30"/>
      <c r="S330" s="30"/>
      <c r="T330" s="34" t="str">
        <f aca="false">IF(AND(A330&lt;&gt;"",K330="Fix upstream"),COUNTIF($K$5:K330,"Fix upstream"),"")</f>
        <v/>
      </c>
      <c r="U330" s="34" t="str">
        <f aca="false">IF(AND(A330&lt;&gt;"",OR(K330="Move to business rules",K330="Merge into certified table")),COUNTIF($K$5:K330,"Move to business rules")+COUNTIF($K$5:K330,"Merge into certified table"),"")</f>
        <v/>
      </c>
      <c r="V330" s="34" t="str">
        <f aca="false">IF(AND(A330&lt;&gt;"",OR(K330="",K330="Undecided",J330="")),SUMPRODUCT(($A$5:A330&lt;&gt;"")*((($K$5:K330="")+($K$5:K330="Undecided")+($J$5:J330=""))&gt;0)),"")</f>
        <v/>
      </c>
    </row>
    <row r="331" customFormat="false" ht="15" hidden="false" customHeight="false" outlineLevel="0" collapsed="false">
      <c r="A331" s="29"/>
      <c r="B331" s="30"/>
      <c r="C331" s="30"/>
      <c r="D331" s="29"/>
      <c r="E331" s="20" t="str">
        <f aca="false">IF(D331="","",IFERROR(INDEX(Tables!$B:$B,MATCH(D331,Tables!$A:$A,0)),"ID not found"))</f>
        <v/>
      </c>
      <c r="F331" s="20" t="str">
        <f aca="false">IF(D331="","",IFERROR(INDEX(Tables!$C:$C,MATCH(D331,Tables!$A:$A,0)),""))</f>
        <v/>
      </c>
      <c r="G331" s="30"/>
      <c r="H331" s="30"/>
      <c r="I331" s="30"/>
      <c r="J331" s="30"/>
      <c r="K331" s="30"/>
      <c r="L331" s="30"/>
      <c r="M331" s="30"/>
      <c r="N331" s="20" t="str">
        <f aca="false">IF(A331="","",COUNTIF('Metric to Field'!$B:$B,A331))</f>
        <v/>
      </c>
      <c r="O331" s="20" t="str">
        <f aca="false">IF(A331="","",SUMIF('Metric to Field'!$B:$B,A331,'Metric to Field'!$F:$F))</f>
        <v/>
      </c>
      <c r="P331" s="30"/>
      <c r="Q331" s="30"/>
      <c r="R331" s="30"/>
      <c r="S331" s="30"/>
      <c r="T331" s="34" t="str">
        <f aca="false">IF(AND(A331&lt;&gt;"",K331="Fix upstream"),COUNTIF($K$5:K331,"Fix upstream"),"")</f>
        <v/>
      </c>
      <c r="U331" s="34" t="str">
        <f aca="false">IF(AND(A331&lt;&gt;"",OR(K331="Move to business rules",K331="Merge into certified table")),COUNTIF($K$5:K331,"Move to business rules")+COUNTIF($K$5:K331,"Merge into certified table"),"")</f>
        <v/>
      </c>
      <c r="V331" s="34" t="str">
        <f aca="false">IF(AND(A331&lt;&gt;"",OR(K331="",K331="Undecided",J331="")),SUMPRODUCT(($A$5:A331&lt;&gt;"")*((($K$5:K331="")+($K$5:K331="Undecided")+($J$5:J331=""))&gt;0)),"")</f>
        <v/>
      </c>
    </row>
    <row r="332" customFormat="false" ht="15" hidden="false" customHeight="false" outlineLevel="0" collapsed="false">
      <c r="A332" s="29"/>
      <c r="B332" s="30"/>
      <c r="C332" s="30"/>
      <c r="D332" s="29"/>
      <c r="E332" s="20" t="str">
        <f aca="false">IF(D332="","",IFERROR(INDEX(Tables!$B:$B,MATCH(D332,Tables!$A:$A,0)),"ID not found"))</f>
        <v/>
      </c>
      <c r="F332" s="20" t="str">
        <f aca="false">IF(D332="","",IFERROR(INDEX(Tables!$C:$C,MATCH(D332,Tables!$A:$A,0)),""))</f>
        <v/>
      </c>
      <c r="G332" s="30"/>
      <c r="H332" s="30"/>
      <c r="I332" s="30"/>
      <c r="J332" s="30"/>
      <c r="K332" s="30"/>
      <c r="L332" s="30"/>
      <c r="M332" s="30"/>
      <c r="N332" s="20" t="str">
        <f aca="false">IF(A332="","",COUNTIF('Metric to Field'!$B:$B,A332))</f>
        <v/>
      </c>
      <c r="O332" s="20" t="str">
        <f aca="false">IF(A332="","",SUMIF('Metric to Field'!$B:$B,A332,'Metric to Field'!$F:$F))</f>
        <v/>
      </c>
      <c r="P332" s="30"/>
      <c r="Q332" s="30"/>
      <c r="R332" s="30"/>
      <c r="S332" s="30"/>
      <c r="T332" s="34" t="str">
        <f aca="false">IF(AND(A332&lt;&gt;"",K332="Fix upstream"),COUNTIF($K$5:K332,"Fix upstream"),"")</f>
        <v/>
      </c>
      <c r="U332" s="34" t="str">
        <f aca="false">IF(AND(A332&lt;&gt;"",OR(K332="Move to business rules",K332="Merge into certified table")),COUNTIF($K$5:K332,"Move to business rules")+COUNTIF($K$5:K332,"Merge into certified table"),"")</f>
        <v/>
      </c>
      <c r="V332" s="34" t="str">
        <f aca="false">IF(AND(A332&lt;&gt;"",OR(K332="",K332="Undecided",J332="")),SUMPRODUCT(($A$5:A332&lt;&gt;"")*((($K$5:K332="")+($K$5:K332="Undecided")+($J$5:J332=""))&gt;0)),"")</f>
        <v/>
      </c>
    </row>
    <row r="333" customFormat="false" ht="15" hidden="false" customHeight="false" outlineLevel="0" collapsed="false">
      <c r="A333" s="29"/>
      <c r="B333" s="30"/>
      <c r="C333" s="30"/>
      <c r="D333" s="29"/>
      <c r="E333" s="20" t="str">
        <f aca="false">IF(D333="","",IFERROR(INDEX(Tables!$B:$B,MATCH(D333,Tables!$A:$A,0)),"ID not found"))</f>
        <v/>
      </c>
      <c r="F333" s="20" t="str">
        <f aca="false">IF(D333="","",IFERROR(INDEX(Tables!$C:$C,MATCH(D333,Tables!$A:$A,0)),""))</f>
        <v/>
      </c>
      <c r="G333" s="30"/>
      <c r="H333" s="30"/>
      <c r="I333" s="30"/>
      <c r="J333" s="30"/>
      <c r="K333" s="30"/>
      <c r="L333" s="30"/>
      <c r="M333" s="30"/>
      <c r="N333" s="20" t="str">
        <f aca="false">IF(A333="","",COUNTIF('Metric to Field'!$B:$B,A333))</f>
        <v/>
      </c>
      <c r="O333" s="20" t="str">
        <f aca="false">IF(A333="","",SUMIF('Metric to Field'!$B:$B,A333,'Metric to Field'!$F:$F))</f>
        <v/>
      </c>
      <c r="P333" s="30"/>
      <c r="Q333" s="30"/>
      <c r="R333" s="30"/>
      <c r="S333" s="30"/>
      <c r="T333" s="34" t="str">
        <f aca="false">IF(AND(A333&lt;&gt;"",K333="Fix upstream"),COUNTIF($K$5:K333,"Fix upstream"),"")</f>
        <v/>
      </c>
      <c r="U333" s="34" t="str">
        <f aca="false">IF(AND(A333&lt;&gt;"",OR(K333="Move to business rules",K333="Merge into certified table")),COUNTIF($K$5:K333,"Move to business rules")+COUNTIF($K$5:K333,"Merge into certified table"),"")</f>
        <v/>
      </c>
      <c r="V333" s="34" t="str">
        <f aca="false">IF(AND(A333&lt;&gt;"",OR(K333="",K333="Undecided",J333="")),SUMPRODUCT(($A$5:A333&lt;&gt;"")*((($K$5:K333="")+($K$5:K333="Undecided")+($J$5:J333=""))&gt;0)),"")</f>
        <v/>
      </c>
    </row>
    <row r="334" customFormat="false" ht="15" hidden="false" customHeight="false" outlineLevel="0" collapsed="false">
      <c r="A334" s="29"/>
      <c r="B334" s="30"/>
      <c r="C334" s="30"/>
      <c r="D334" s="29"/>
      <c r="E334" s="20" t="str">
        <f aca="false">IF(D334="","",IFERROR(INDEX(Tables!$B:$B,MATCH(D334,Tables!$A:$A,0)),"ID not found"))</f>
        <v/>
      </c>
      <c r="F334" s="20" t="str">
        <f aca="false">IF(D334="","",IFERROR(INDEX(Tables!$C:$C,MATCH(D334,Tables!$A:$A,0)),""))</f>
        <v/>
      </c>
      <c r="G334" s="30"/>
      <c r="H334" s="30"/>
      <c r="I334" s="30"/>
      <c r="J334" s="30"/>
      <c r="K334" s="30"/>
      <c r="L334" s="30"/>
      <c r="M334" s="30"/>
      <c r="N334" s="20" t="str">
        <f aca="false">IF(A334="","",COUNTIF('Metric to Field'!$B:$B,A334))</f>
        <v/>
      </c>
      <c r="O334" s="20" t="str">
        <f aca="false">IF(A334="","",SUMIF('Metric to Field'!$B:$B,A334,'Metric to Field'!$F:$F))</f>
        <v/>
      </c>
      <c r="P334" s="30"/>
      <c r="Q334" s="30"/>
      <c r="R334" s="30"/>
      <c r="S334" s="30"/>
      <c r="T334" s="34" t="str">
        <f aca="false">IF(AND(A334&lt;&gt;"",K334="Fix upstream"),COUNTIF($K$5:K334,"Fix upstream"),"")</f>
        <v/>
      </c>
      <c r="U334" s="34" t="str">
        <f aca="false">IF(AND(A334&lt;&gt;"",OR(K334="Move to business rules",K334="Merge into certified table")),COUNTIF($K$5:K334,"Move to business rules")+COUNTIF($K$5:K334,"Merge into certified table"),"")</f>
        <v/>
      </c>
      <c r="V334" s="34" t="str">
        <f aca="false">IF(AND(A334&lt;&gt;"",OR(K334="",K334="Undecided",J334="")),SUMPRODUCT(($A$5:A334&lt;&gt;"")*((($K$5:K334="")+($K$5:K334="Undecided")+($J$5:J334=""))&gt;0)),"")</f>
        <v/>
      </c>
    </row>
    <row r="335" customFormat="false" ht="15" hidden="false" customHeight="false" outlineLevel="0" collapsed="false">
      <c r="A335" s="29"/>
      <c r="B335" s="30"/>
      <c r="C335" s="30"/>
      <c r="D335" s="29"/>
      <c r="E335" s="20" t="str">
        <f aca="false">IF(D335="","",IFERROR(INDEX(Tables!$B:$B,MATCH(D335,Tables!$A:$A,0)),"ID not found"))</f>
        <v/>
      </c>
      <c r="F335" s="20" t="str">
        <f aca="false">IF(D335="","",IFERROR(INDEX(Tables!$C:$C,MATCH(D335,Tables!$A:$A,0)),""))</f>
        <v/>
      </c>
      <c r="G335" s="30"/>
      <c r="H335" s="30"/>
      <c r="I335" s="30"/>
      <c r="J335" s="30"/>
      <c r="K335" s="30"/>
      <c r="L335" s="30"/>
      <c r="M335" s="30"/>
      <c r="N335" s="20" t="str">
        <f aca="false">IF(A335="","",COUNTIF('Metric to Field'!$B:$B,A335))</f>
        <v/>
      </c>
      <c r="O335" s="20" t="str">
        <f aca="false">IF(A335="","",SUMIF('Metric to Field'!$B:$B,A335,'Metric to Field'!$F:$F))</f>
        <v/>
      </c>
      <c r="P335" s="30"/>
      <c r="Q335" s="30"/>
      <c r="R335" s="30"/>
      <c r="S335" s="30"/>
      <c r="T335" s="34" t="str">
        <f aca="false">IF(AND(A335&lt;&gt;"",K335="Fix upstream"),COUNTIF($K$5:K335,"Fix upstream"),"")</f>
        <v/>
      </c>
      <c r="U335" s="34" t="str">
        <f aca="false">IF(AND(A335&lt;&gt;"",OR(K335="Move to business rules",K335="Merge into certified table")),COUNTIF($K$5:K335,"Move to business rules")+COUNTIF($K$5:K335,"Merge into certified table"),"")</f>
        <v/>
      </c>
      <c r="V335" s="34" t="str">
        <f aca="false">IF(AND(A335&lt;&gt;"",OR(K335="",K335="Undecided",J335="")),SUMPRODUCT(($A$5:A335&lt;&gt;"")*((($K$5:K335="")+($K$5:K335="Undecided")+($J$5:J335=""))&gt;0)),"")</f>
        <v/>
      </c>
    </row>
    <row r="336" customFormat="false" ht="15" hidden="false" customHeight="false" outlineLevel="0" collapsed="false">
      <c r="A336" s="29"/>
      <c r="B336" s="30"/>
      <c r="C336" s="30"/>
      <c r="D336" s="29"/>
      <c r="E336" s="20" t="str">
        <f aca="false">IF(D336="","",IFERROR(INDEX(Tables!$B:$B,MATCH(D336,Tables!$A:$A,0)),"ID not found"))</f>
        <v/>
      </c>
      <c r="F336" s="20" t="str">
        <f aca="false">IF(D336="","",IFERROR(INDEX(Tables!$C:$C,MATCH(D336,Tables!$A:$A,0)),""))</f>
        <v/>
      </c>
      <c r="G336" s="30"/>
      <c r="H336" s="30"/>
      <c r="I336" s="30"/>
      <c r="J336" s="30"/>
      <c r="K336" s="30"/>
      <c r="L336" s="30"/>
      <c r="M336" s="30"/>
      <c r="N336" s="20" t="str">
        <f aca="false">IF(A336="","",COUNTIF('Metric to Field'!$B:$B,A336))</f>
        <v/>
      </c>
      <c r="O336" s="20" t="str">
        <f aca="false">IF(A336="","",SUMIF('Metric to Field'!$B:$B,A336,'Metric to Field'!$F:$F))</f>
        <v/>
      </c>
      <c r="P336" s="30"/>
      <c r="Q336" s="30"/>
      <c r="R336" s="30"/>
      <c r="S336" s="30"/>
      <c r="T336" s="34" t="str">
        <f aca="false">IF(AND(A336&lt;&gt;"",K336="Fix upstream"),COUNTIF($K$5:K336,"Fix upstream"),"")</f>
        <v/>
      </c>
      <c r="U336" s="34" t="str">
        <f aca="false">IF(AND(A336&lt;&gt;"",OR(K336="Move to business rules",K336="Merge into certified table")),COUNTIF($K$5:K336,"Move to business rules")+COUNTIF($K$5:K336,"Merge into certified table"),"")</f>
        <v/>
      </c>
      <c r="V336" s="34" t="str">
        <f aca="false">IF(AND(A336&lt;&gt;"",OR(K336="",K336="Undecided",J336="")),SUMPRODUCT(($A$5:A336&lt;&gt;"")*((($K$5:K336="")+($K$5:K336="Undecided")+($J$5:J336=""))&gt;0)),"")</f>
        <v/>
      </c>
    </row>
    <row r="337" customFormat="false" ht="15" hidden="false" customHeight="false" outlineLevel="0" collapsed="false">
      <c r="A337" s="29"/>
      <c r="B337" s="30"/>
      <c r="C337" s="30"/>
      <c r="D337" s="29"/>
      <c r="E337" s="20" t="str">
        <f aca="false">IF(D337="","",IFERROR(INDEX(Tables!$B:$B,MATCH(D337,Tables!$A:$A,0)),"ID not found"))</f>
        <v/>
      </c>
      <c r="F337" s="20" t="str">
        <f aca="false">IF(D337="","",IFERROR(INDEX(Tables!$C:$C,MATCH(D337,Tables!$A:$A,0)),""))</f>
        <v/>
      </c>
      <c r="G337" s="30"/>
      <c r="H337" s="30"/>
      <c r="I337" s="30"/>
      <c r="J337" s="30"/>
      <c r="K337" s="30"/>
      <c r="L337" s="30"/>
      <c r="M337" s="30"/>
      <c r="N337" s="20" t="str">
        <f aca="false">IF(A337="","",COUNTIF('Metric to Field'!$B:$B,A337))</f>
        <v/>
      </c>
      <c r="O337" s="20" t="str">
        <f aca="false">IF(A337="","",SUMIF('Metric to Field'!$B:$B,A337,'Metric to Field'!$F:$F))</f>
        <v/>
      </c>
      <c r="P337" s="30"/>
      <c r="Q337" s="30"/>
      <c r="R337" s="30"/>
      <c r="S337" s="30"/>
      <c r="T337" s="34" t="str">
        <f aca="false">IF(AND(A337&lt;&gt;"",K337="Fix upstream"),COUNTIF($K$5:K337,"Fix upstream"),"")</f>
        <v/>
      </c>
      <c r="U337" s="34" t="str">
        <f aca="false">IF(AND(A337&lt;&gt;"",OR(K337="Move to business rules",K337="Merge into certified table")),COUNTIF($K$5:K337,"Move to business rules")+COUNTIF($K$5:K337,"Merge into certified table"),"")</f>
        <v/>
      </c>
      <c r="V337" s="34" t="str">
        <f aca="false">IF(AND(A337&lt;&gt;"",OR(K337="",K337="Undecided",J337="")),SUMPRODUCT(($A$5:A337&lt;&gt;"")*((($K$5:K337="")+($K$5:K337="Undecided")+($J$5:J337=""))&gt;0)),"")</f>
        <v/>
      </c>
    </row>
    <row r="338" customFormat="false" ht="15" hidden="false" customHeight="false" outlineLevel="0" collapsed="false">
      <c r="A338" s="29"/>
      <c r="B338" s="30"/>
      <c r="C338" s="30"/>
      <c r="D338" s="29"/>
      <c r="E338" s="20" t="str">
        <f aca="false">IF(D338="","",IFERROR(INDEX(Tables!$B:$B,MATCH(D338,Tables!$A:$A,0)),"ID not found"))</f>
        <v/>
      </c>
      <c r="F338" s="20" t="str">
        <f aca="false">IF(D338="","",IFERROR(INDEX(Tables!$C:$C,MATCH(D338,Tables!$A:$A,0)),""))</f>
        <v/>
      </c>
      <c r="G338" s="30"/>
      <c r="H338" s="30"/>
      <c r="I338" s="30"/>
      <c r="J338" s="30"/>
      <c r="K338" s="30"/>
      <c r="L338" s="30"/>
      <c r="M338" s="30"/>
      <c r="N338" s="20" t="str">
        <f aca="false">IF(A338="","",COUNTIF('Metric to Field'!$B:$B,A338))</f>
        <v/>
      </c>
      <c r="O338" s="20" t="str">
        <f aca="false">IF(A338="","",SUMIF('Metric to Field'!$B:$B,A338,'Metric to Field'!$F:$F))</f>
        <v/>
      </c>
      <c r="P338" s="30"/>
      <c r="Q338" s="30"/>
      <c r="R338" s="30"/>
      <c r="S338" s="30"/>
      <c r="T338" s="34" t="str">
        <f aca="false">IF(AND(A338&lt;&gt;"",K338="Fix upstream"),COUNTIF($K$5:K338,"Fix upstream"),"")</f>
        <v/>
      </c>
      <c r="U338" s="34" t="str">
        <f aca="false">IF(AND(A338&lt;&gt;"",OR(K338="Move to business rules",K338="Merge into certified table")),COUNTIF($K$5:K338,"Move to business rules")+COUNTIF($K$5:K338,"Merge into certified table"),"")</f>
        <v/>
      </c>
      <c r="V338" s="34" t="str">
        <f aca="false">IF(AND(A338&lt;&gt;"",OR(K338="",K338="Undecided",J338="")),SUMPRODUCT(($A$5:A338&lt;&gt;"")*((($K$5:K338="")+($K$5:K338="Undecided")+($J$5:J338=""))&gt;0)),"")</f>
        <v/>
      </c>
    </row>
    <row r="339" customFormat="false" ht="15" hidden="false" customHeight="false" outlineLevel="0" collapsed="false">
      <c r="A339" s="29"/>
      <c r="B339" s="30"/>
      <c r="C339" s="30"/>
      <c r="D339" s="29"/>
      <c r="E339" s="20" t="str">
        <f aca="false">IF(D339="","",IFERROR(INDEX(Tables!$B:$B,MATCH(D339,Tables!$A:$A,0)),"ID not found"))</f>
        <v/>
      </c>
      <c r="F339" s="20" t="str">
        <f aca="false">IF(D339="","",IFERROR(INDEX(Tables!$C:$C,MATCH(D339,Tables!$A:$A,0)),""))</f>
        <v/>
      </c>
      <c r="G339" s="30"/>
      <c r="H339" s="30"/>
      <c r="I339" s="30"/>
      <c r="J339" s="30"/>
      <c r="K339" s="30"/>
      <c r="L339" s="30"/>
      <c r="M339" s="30"/>
      <c r="N339" s="20" t="str">
        <f aca="false">IF(A339="","",COUNTIF('Metric to Field'!$B:$B,A339))</f>
        <v/>
      </c>
      <c r="O339" s="20" t="str">
        <f aca="false">IF(A339="","",SUMIF('Metric to Field'!$B:$B,A339,'Metric to Field'!$F:$F))</f>
        <v/>
      </c>
      <c r="P339" s="30"/>
      <c r="Q339" s="30"/>
      <c r="R339" s="30"/>
      <c r="S339" s="30"/>
      <c r="T339" s="34" t="str">
        <f aca="false">IF(AND(A339&lt;&gt;"",K339="Fix upstream"),COUNTIF($K$5:K339,"Fix upstream"),"")</f>
        <v/>
      </c>
      <c r="U339" s="34" t="str">
        <f aca="false">IF(AND(A339&lt;&gt;"",OR(K339="Move to business rules",K339="Merge into certified table")),COUNTIF($K$5:K339,"Move to business rules")+COUNTIF($K$5:K339,"Merge into certified table"),"")</f>
        <v/>
      </c>
      <c r="V339" s="34" t="str">
        <f aca="false">IF(AND(A339&lt;&gt;"",OR(K339="",K339="Undecided",J339="")),SUMPRODUCT(($A$5:A339&lt;&gt;"")*((($K$5:K339="")+($K$5:K339="Undecided")+($J$5:J339=""))&gt;0)),"")</f>
        <v/>
      </c>
    </row>
    <row r="340" customFormat="false" ht="15" hidden="false" customHeight="false" outlineLevel="0" collapsed="false">
      <c r="A340" s="29"/>
      <c r="B340" s="30"/>
      <c r="C340" s="30"/>
      <c r="D340" s="29"/>
      <c r="E340" s="20" t="str">
        <f aca="false">IF(D340="","",IFERROR(INDEX(Tables!$B:$B,MATCH(D340,Tables!$A:$A,0)),"ID not found"))</f>
        <v/>
      </c>
      <c r="F340" s="20" t="str">
        <f aca="false">IF(D340="","",IFERROR(INDEX(Tables!$C:$C,MATCH(D340,Tables!$A:$A,0)),""))</f>
        <v/>
      </c>
      <c r="G340" s="30"/>
      <c r="H340" s="30"/>
      <c r="I340" s="30"/>
      <c r="J340" s="30"/>
      <c r="K340" s="30"/>
      <c r="L340" s="30"/>
      <c r="M340" s="30"/>
      <c r="N340" s="20" t="str">
        <f aca="false">IF(A340="","",COUNTIF('Metric to Field'!$B:$B,A340))</f>
        <v/>
      </c>
      <c r="O340" s="20" t="str">
        <f aca="false">IF(A340="","",SUMIF('Metric to Field'!$B:$B,A340,'Metric to Field'!$F:$F))</f>
        <v/>
      </c>
      <c r="P340" s="30"/>
      <c r="Q340" s="30"/>
      <c r="R340" s="30"/>
      <c r="S340" s="30"/>
      <c r="T340" s="34" t="str">
        <f aca="false">IF(AND(A340&lt;&gt;"",K340="Fix upstream"),COUNTIF($K$5:K340,"Fix upstream"),"")</f>
        <v/>
      </c>
      <c r="U340" s="34" t="str">
        <f aca="false">IF(AND(A340&lt;&gt;"",OR(K340="Move to business rules",K340="Merge into certified table")),COUNTIF($K$5:K340,"Move to business rules")+COUNTIF($K$5:K340,"Merge into certified table"),"")</f>
        <v/>
      </c>
      <c r="V340" s="34" t="str">
        <f aca="false">IF(AND(A340&lt;&gt;"",OR(K340="",K340="Undecided",J340="")),SUMPRODUCT(($A$5:A340&lt;&gt;"")*((($K$5:K340="")+($K$5:K340="Undecided")+($J$5:J340=""))&gt;0)),"")</f>
        <v/>
      </c>
    </row>
    <row r="341" customFormat="false" ht="15" hidden="false" customHeight="false" outlineLevel="0" collapsed="false">
      <c r="A341" s="29"/>
      <c r="B341" s="30"/>
      <c r="C341" s="30"/>
      <c r="D341" s="29"/>
      <c r="E341" s="20" t="str">
        <f aca="false">IF(D341="","",IFERROR(INDEX(Tables!$B:$B,MATCH(D341,Tables!$A:$A,0)),"ID not found"))</f>
        <v/>
      </c>
      <c r="F341" s="20" t="str">
        <f aca="false">IF(D341="","",IFERROR(INDEX(Tables!$C:$C,MATCH(D341,Tables!$A:$A,0)),""))</f>
        <v/>
      </c>
      <c r="G341" s="30"/>
      <c r="H341" s="30"/>
      <c r="I341" s="30"/>
      <c r="J341" s="30"/>
      <c r="K341" s="30"/>
      <c r="L341" s="30"/>
      <c r="M341" s="30"/>
      <c r="N341" s="20" t="str">
        <f aca="false">IF(A341="","",COUNTIF('Metric to Field'!$B:$B,A341))</f>
        <v/>
      </c>
      <c r="O341" s="20" t="str">
        <f aca="false">IF(A341="","",SUMIF('Metric to Field'!$B:$B,A341,'Metric to Field'!$F:$F))</f>
        <v/>
      </c>
      <c r="P341" s="30"/>
      <c r="Q341" s="30"/>
      <c r="R341" s="30"/>
      <c r="S341" s="30"/>
      <c r="T341" s="34" t="str">
        <f aca="false">IF(AND(A341&lt;&gt;"",K341="Fix upstream"),COUNTIF($K$5:K341,"Fix upstream"),"")</f>
        <v/>
      </c>
      <c r="U341" s="34" t="str">
        <f aca="false">IF(AND(A341&lt;&gt;"",OR(K341="Move to business rules",K341="Merge into certified table")),COUNTIF($K$5:K341,"Move to business rules")+COUNTIF($K$5:K341,"Merge into certified table"),"")</f>
        <v/>
      </c>
      <c r="V341" s="34" t="str">
        <f aca="false">IF(AND(A341&lt;&gt;"",OR(K341="",K341="Undecided",J341="")),SUMPRODUCT(($A$5:A341&lt;&gt;"")*((($K$5:K341="")+($K$5:K341="Undecided")+($J$5:J341=""))&gt;0)),"")</f>
        <v/>
      </c>
    </row>
    <row r="342" customFormat="false" ht="15" hidden="false" customHeight="false" outlineLevel="0" collapsed="false">
      <c r="A342" s="29"/>
      <c r="B342" s="30"/>
      <c r="C342" s="30"/>
      <c r="D342" s="29"/>
      <c r="E342" s="20" t="str">
        <f aca="false">IF(D342="","",IFERROR(INDEX(Tables!$B:$B,MATCH(D342,Tables!$A:$A,0)),"ID not found"))</f>
        <v/>
      </c>
      <c r="F342" s="20" t="str">
        <f aca="false">IF(D342="","",IFERROR(INDEX(Tables!$C:$C,MATCH(D342,Tables!$A:$A,0)),""))</f>
        <v/>
      </c>
      <c r="G342" s="30"/>
      <c r="H342" s="30"/>
      <c r="I342" s="30"/>
      <c r="J342" s="30"/>
      <c r="K342" s="30"/>
      <c r="L342" s="30"/>
      <c r="M342" s="30"/>
      <c r="N342" s="20" t="str">
        <f aca="false">IF(A342="","",COUNTIF('Metric to Field'!$B:$B,A342))</f>
        <v/>
      </c>
      <c r="O342" s="20" t="str">
        <f aca="false">IF(A342="","",SUMIF('Metric to Field'!$B:$B,A342,'Metric to Field'!$F:$F))</f>
        <v/>
      </c>
      <c r="P342" s="30"/>
      <c r="Q342" s="30"/>
      <c r="R342" s="30"/>
      <c r="S342" s="30"/>
      <c r="T342" s="34" t="str">
        <f aca="false">IF(AND(A342&lt;&gt;"",K342="Fix upstream"),COUNTIF($K$5:K342,"Fix upstream"),"")</f>
        <v/>
      </c>
      <c r="U342" s="34" t="str">
        <f aca="false">IF(AND(A342&lt;&gt;"",OR(K342="Move to business rules",K342="Merge into certified table")),COUNTIF($K$5:K342,"Move to business rules")+COUNTIF($K$5:K342,"Merge into certified table"),"")</f>
        <v/>
      </c>
      <c r="V342" s="34" t="str">
        <f aca="false">IF(AND(A342&lt;&gt;"",OR(K342="",K342="Undecided",J342="")),SUMPRODUCT(($A$5:A342&lt;&gt;"")*((($K$5:K342="")+($K$5:K342="Undecided")+($J$5:J342=""))&gt;0)),"")</f>
        <v/>
      </c>
    </row>
    <row r="343" customFormat="false" ht="15" hidden="false" customHeight="false" outlineLevel="0" collapsed="false">
      <c r="A343" s="29"/>
      <c r="B343" s="30"/>
      <c r="C343" s="30"/>
      <c r="D343" s="29"/>
      <c r="E343" s="20" t="str">
        <f aca="false">IF(D343="","",IFERROR(INDEX(Tables!$B:$B,MATCH(D343,Tables!$A:$A,0)),"ID not found"))</f>
        <v/>
      </c>
      <c r="F343" s="20" t="str">
        <f aca="false">IF(D343="","",IFERROR(INDEX(Tables!$C:$C,MATCH(D343,Tables!$A:$A,0)),""))</f>
        <v/>
      </c>
      <c r="G343" s="30"/>
      <c r="H343" s="30"/>
      <c r="I343" s="30"/>
      <c r="J343" s="30"/>
      <c r="K343" s="30"/>
      <c r="L343" s="30"/>
      <c r="M343" s="30"/>
      <c r="N343" s="20" t="str">
        <f aca="false">IF(A343="","",COUNTIF('Metric to Field'!$B:$B,A343))</f>
        <v/>
      </c>
      <c r="O343" s="20" t="str">
        <f aca="false">IF(A343="","",SUMIF('Metric to Field'!$B:$B,A343,'Metric to Field'!$F:$F))</f>
        <v/>
      </c>
      <c r="P343" s="30"/>
      <c r="Q343" s="30"/>
      <c r="R343" s="30"/>
      <c r="S343" s="30"/>
      <c r="T343" s="34" t="str">
        <f aca="false">IF(AND(A343&lt;&gt;"",K343="Fix upstream"),COUNTIF($K$5:K343,"Fix upstream"),"")</f>
        <v/>
      </c>
      <c r="U343" s="34" t="str">
        <f aca="false">IF(AND(A343&lt;&gt;"",OR(K343="Move to business rules",K343="Merge into certified table")),COUNTIF($K$5:K343,"Move to business rules")+COUNTIF($K$5:K343,"Merge into certified table"),"")</f>
        <v/>
      </c>
      <c r="V343" s="34" t="str">
        <f aca="false">IF(AND(A343&lt;&gt;"",OR(K343="",K343="Undecided",J343="")),SUMPRODUCT(($A$5:A343&lt;&gt;"")*((($K$5:K343="")+($K$5:K343="Undecided")+($J$5:J343=""))&gt;0)),"")</f>
        <v/>
      </c>
    </row>
    <row r="344" customFormat="false" ht="15" hidden="false" customHeight="false" outlineLevel="0" collapsed="false">
      <c r="A344" s="29"/>
      <c r="B344" s="30"/>
      <c r="C344" s="30"/>
      <c r="D344" s="29"/>
      <c r="E344" s="20" t="str">
        <f aca="false">IF(D344="","",IFERROR(INDEX(Tables!$B:$B,MATCH(D344,Tables!$A:$A,0)),"ID not found"))</f>
        <v/>
      </c>
      <c r="F344" s="20" t="str">
        <f aca="false">IF(D344="","",IFERROR(INDEX(Tables!$C:$C,MATCH(D344,Tables!$A:$A,0)),""))</f>
        <v/>
      </c>
      <c r="G344" s="30"/>
      <c r="H344" s="30"/>
      <c r="I344" s="30"/>
      <c r="J344" s="30"/>
      <c r="K344" s="30"/>
      <c r="L344" s="30"/>
      <c r="M344" s="30"/>
      <c r="N344" s="20" t="str">
        <f aca="false">IF(A344="","",COUNTIF('Metric to Field'!$B:$B,A344))</f>
        <v/>
      </c>
      <c r="O344" s="20" t="str">
        <f aca="false">IF(A344="","",SUMIF('Metric to Field'!$B:$B,A344,'Metric to Field'!$F:$F))</f>
        <v/>
      </c>
      <c r="P344" s="30"/>
      <c r="Q344" s="30"/>
      <c r="R344" s="30"/>
      <c r="S344" s="30"/>
      <c r="T344" s="34" t="str">
        <f aca="false">IF(AND(A344&lt;&gt;"",K344="Fix upstream"),COUNTIF($K$5:K344,"Fix upstream"),"")</f>
        <v/>
      </c>
      <c r="U344" s="34" t="str">
        <f aca="false">IF(AND(A344&lt;&gt;"",OR(K344="Move to business rules",K344="Merge into certified table")),COUNTIF($K$5:K344,"Move to business rules")+COUNTIF($K$5:K344,"Merge into certified table"),"")</f>
        <v/>
      </c>
      <c r="V344" s="34" t="str">
        <f aca="false">IF(AND(A344&lt;&gt;"",OR(K344="",K344="Undecided",J344="")),SUMPRODUCT(($A$5:A344&lt;&gt;"")*((($K$5:K344="")+($K$5:K344="Undecided")+($J$5:J344=""))&gt;0)),"")</f>
        <v/>
      </c>
    </row>
    <row r="345" customFormat="false" ht="15" hidden="false" customHeight="false" outlineLevel="0" collapsed="false">
      <c r="A345" s="29"/>
      <c r="B345" s="30"/>
      <c r="C345" s="30"/>
      <c r="D345" s="29"/>
      <c r="E345" s="20" t="str">
        <f aca="false">IF(D345="","",IFERROR(INDEX(Tables!$B:$B,MATCH(D345,Tables!$A:$A,0)),"ID not found"))</f>
        <v/>
      </c>
      <c r="F345" s="20" t="str">
        <f aca="false">IF(D345="","",IFERROR(INDEX(Tables!$C:$C,MATCH(D345,Tables!$A:$A,0)),""))</f>
        <v/>
      </c>
      <c r="G345" s="30"/>
      <c r="H345" s="30"/>
      <c r="I345" s="30"/>
      <c r="J345" s="30"/>
      <c r="K345" s="30"/>
      <c r="L345" s="30"/>
      <c r="M345" s="30"/>
      <c r="N345" s="20" t="str">
        <f aca="false">IF(A345="","",COUNTIF('Metric to Field'!$B:$B,A345))</f>
        <v/>
      </c>
      <c r="O345" s="20" t="str">
        <f aca="false">IF(A345="","",SUMIF('Metric to Field'!$B:$B,A345,'Metric to Field'!$F:$F))</f>
        <v/>
      </c>
      <c r="P345" s="30"/>
      <c r="Q345" s="30"/>
      <c r="R345" s="30"/>
      <c r="S345" s="30"/>
      <c r="T345" s="34" t="str">
        <f aca="false">IF(AND(A345&lt;&gt;"",K345="Fix upstream"),COUNTIF($K$5:K345,"Fix upstream"),"")</f>
        <v/>
      </c>
      <c r="U345" s="34" t="str">
        <f aca="false">IF(AND(A345&lt;&gt;"",OR(K345="Move to business rules",K345="Merge into certified table")),COUNTIF($K$5:K345,"Move to business rules")+COUNTIF($K$5:K345,"Merge into certified table"),"")</f>
        <v/>
      </c>
      <c r="V345" s="34" t="str">
        <f aca="false">IF(AND(A345&lt;&gt;"",OR(K345="",K345="Undecided",J345="")),SUMPRODUCT(($A$5:A345&lt;&gt;"")*((($K$5:K345="")+($K$5:K345="Undecided")+($J$5:J345=""))&gt;0)),"")</f>
        <v/>
      </c>
    </row>
    <row r="346" customFormat="false" ht="15" hidden="false" customHeight="false" outlineLevel="0" collapsed="false">
      <c r="A346" s="29"/>
      <c r="B346" s="30"/>
      <c r="C346" s="30"/>
      <c r="D346" s="29"/>
      <c r="E346" s="20" t="str">
        <f aca="false">IF(D346="","",IFERROR(INDEX(Tables!$B:$B,MATCH(D346,Tables!$A:$A,0)),"ID not found"))</f>
        <v/>
      </c>
      <c r="F346" s="20" t="str">
        <f aca="false">IF(D346="","",IFERROR(INDEX(Tables!$C:$C,MATCH(D346,Tables!$A:$A,0)),""))</f>
        <v/>
      </c>
      <c r="G346" s="30"/>
      <c r="H346" s="30"/>
      <c r="I346" s="30"/>
      <c r="J346" s="30"/>
      <c r="K346" s="30"/>
      <c r="L346" s="30"/>
      <c r="M346" s="30"/>
      <c r="N346" s="20" t="str">
        <f aca="false">IF(A346="","",COUNTIF('Metric to Field'!$B:$B,A346))</f>
        <v/>
      </c>
      <c r="O346" s="20" t="str">
        <f aca="false">IF(A346="","",SUMIF('Metric to Field'!$B:$B,A346,'Metric to Field'!$F:$F))</f>
        <v/>
      </c>
      <c r="P346" s="30"/>
      <c r="Q346" s="30"/>
      <c r="R346" s="30"/>
      <c r="S346" s="30"/>
      <c r="T346" s="34" t="str">
        <f aca="false">IF(AND(A346&lt;&gt;"",K346="Fix upstream"),COUNTIF($K$5:K346,"Fix upstream"),"")</f>
        <v/>
      </c>
      <c r="U346" s="34" t="str">
        <f aca="false">IF(AND(A346&lt;&gt;"",OR(K346="Move to business rules",K346="Merge into certified table")),COUNTIF($K$5:K346,"Move to business rules")+COUNTIF($K$5:K346,"Merge into certified table"),"")</f>
        <v/>
      </c>
      <c r="V346" s="34" t="str">
        <f aca="false">IF(AND(A346&lt;&gt;"",OR(K346="",K346="Undecided",J346="")),SUMPRODUCT(($A$5:A346&lt;&gt;"")*((($K$5:K346="")+($K$5:K346="Undecided")+($J$5:J346=""))&gt;0)),"")</f>
        <v/>
      </c>
    </row>
    <row r="347" customFormat="false" ht="15" hidden="false" customHeight="false" outlineLevel="0" collapsed="false">
      <c r="A347" s="29"/>
      <c r="B347" s="30"/>
      <c r="C347" s="30"/>
      <c r="D347" s="29"/>
      <c r="E347" s="20" t="str">
        <f aca="false">IF(D347="","",IFERROR(INDEX(Tables!$B:$B,MATCH(D347,Tables!$A:$A,0)),"ID not found"))</f>
        <v/>
      </c>
      <c r="F347" s="20" t="str">
        <f aca="false">IF(D347="","",IFERROR(INDEX(Tables!$C:$C,MATCH(D347,Tables!$A:$A,0)),""))</f>
        <v/>
      </c>
      <c r="G347" s="30"/>
      <c r="H347" s="30"/>
      <c r="I347" s="30"/>
      <c r="J347" s="30"/>
      <c r="K347" s="30"/>
      <c r="L347" s="30"/>
      <c r="M347" s="30"/>
      <c r="N347" s="20" t="str">
        <f aca="false">IF(A347="","",COUNTIF('Metric to Field'!$B:$B,A347))</f>
        <v/>
      </c>
      <c r="O347" s="20" t="str">
        <f aca="false">IF(A347="","",SUMIF('Metric to Field'!$B:$B,A347,'Metric to Field'!$F:$F))</f>
        <v/>
      </c>
      <c r="P347" s="30"/>
      <c r="Q347" s="30"/>
      <c r="R347" s="30"/>
      <c r="S347" s="30"/>
      <c r="T347" s="34" t="str">
        <f aca="false">IF(AND(A347&lt;&gt;"",K347="Fix upstream"),COUNTIF($K$5:K347,"Fix upstream"),"")</f>
        <v/>
      </c>
      <c r="U347" s="34" t="str">
        <f aca="false">IF(AND(A347&lt;&gt;"",OR(K347="Move to business rules",K347="Merge into certified table")),COUNTIF($K$5:K347,"Move to business rules")+COUNTIF($K$5:K347,"Merge into certified table"),"")</f>
        <v/>
      </c>
      <c r="V347" s="34" t="str">
        <f aca="false">IF(AND(A347&lt;&gt;"",OR(K347="",K347="Undecided",J347="")),SUMPRODUCT(($A$5:A347&lt;&gt;"")*((($K$5:K347="")+($K$5:K347="Undecided")+($J$5:J347=""))&gt;0)),"")</f>
        <v/>
      </c>
    </row>
    <row r="348" customFormat="false" ht="15" hidden="false" customHeight="false" outlineLevel="0" collapsed="false">
      <c r="A348" s="29"/>
      <c r="B348" s="30"/>
      <c r="C348" s="30"/>
      <c r="D348" s="29"/>
      <c r="E348" s="20" t="str">
        <f aca="false">IF(D348="","",IFERROR(INDEX(Tables!$B:$B,MATCH(D348,Tables!$A:$A,0)),"ID not found"))</f>
        <v/>
      </c>
      <c r="F348" s="20" t="str">
        <f aca="false">IF(D348="","",IFERROR(INDEX(Tables!$C:$C,MATCH(D348,Tables!$A:$A,0)),""))</f>
        <v/>
      </c>
      <c r="G348" s="30"/>
      <c r="H348" s="30"/>
      <c r="I348" s="30"/>
      <c r="J348" s="30"/>
      <c r="K348" s="30"/>
      <c r="L348" s="30"/>
      <c r="M348" s="30"/>
      <c r="N348" s="20" t="str">
        <f aca="false">IF(A348="","",COUNTIF('Metric to Field'!$B:$B,A348))</f>
        <v/>
      </c>
      <c r="O348" s="20" t="str">
        <f aca="false">IF(A348="","",SUMIF('Metric to Field'!$B:$B,A348,'Metric to Field'!$F:$F))</f>
        <v/>
      </c>
      <c r="P348" s="30"/>
      <c r="Q348" s="30"/>
      <c r="R348" s="30"/>
      <c r="S348" s="30"/>
      <c r="T348" s="34" t="str">
        <f aca="false">IF(AND(A348&lt;&gt;"",K348="Fix upstream"),COUNTIF($K$5:K348,"Fix upstream"),"")</f>
        <v/>
      </c>
      <c r="U348" s="34" t="str">
        <f aca="false">IF(AND(A348&lt;&gt;"",OR(K348="Move to business rules",K348="Merge into certified table")),COUNTIF($K$5:K348,"Move to business rules")+COUNTIF($K$5:K348,"Merge into certified table"),"")</f>
        <v/>
      </c>
      <c r="V348" s="34" t="str">
        <f aca="false">IF(AND(A348&lt;&gt;"",OR(K348="",K348="Undecided",J348="")),SUMPRODUCT(($A$5:A348&lt;&gt;"")*((($K$5:K348="")+($K$5:K348="Undecided")+($J$5:J348=""))&gt;0)),"")</f>
        <v/>
      </c>
    </row>
    <row r="349" customFormat="false" ht="15" hidden="false" customHeight="false" outlineLevel="0" collapsed="false">
      <c r="A349" s="29"/>
      <c r="B349" s="30"/>
      <c r="C349" s="30"/>
      <c r="D349" s="29"/>
      <c r="E349" s="20" t="str">
        <f aca="false">IF(D349="","",IFERROR(INDEX(Tables!$B:$B,MATCH(D349,Tables!$A:$A,0)),"ID not found"))</f>
        <v/>
      </c>
      <c r="F349" s="20" t="str">
        <f aca="false">IF(D349="","",IFERROR(INDEX(Tables!$C:$C,MATCH(D349,Tables!$A:$A,0)),""))</f>
        <v/>
      </c>
      <c r="G349" s="30"/>
      <c r="H349" s="30"/>
      <c r="I349" s="30"/>
      <c r="J349" s="30"/>
      <c r="K349" s="30"/>
      <c r="L349" s="30"/>
      <c r="M349" s="30"/>
      <c r="N349" s="20" t="str">
        <f aca="false">IF(A349="","",COUNTIF('Metric to Field'!$B:$B,A349))</f>
        <v/>
      </c>
      <c r="O349" s="20" t="str">
        <f aca="false">IF(A349="","",SUMIF('Metric to Field'!$B:$B,A349,'Metric to Field'!$F:$F))</f>
        <v/>
      </c>
      <c r="P349" s="30"/>
      <c r="Q349" s="30"/>
      <c r="R349" s="30"/>
      <c r="S349" s="30"/>
      <c r="T349" s="34" t="str">
        <f aca="false">IF(AND(A349&lt;&gt;"",K349="Fix upstream"),COUNTIF($K$5:K349,"Fix upstream"),"")</f>
        <v/>
      </c>
      <c r="U349" s="34" t="str">
        <f aca="false">IF(AND(A349&lt;&gt;"",OR(K349="Move to business rules",K349="Merge into certified table")),COUNTIF($K$5:K349,"Move to business rules")+COUNTIF($K$5:K349,"Merge into certified table"),"")</f>
        <v/>
      </c>
      <c r="V349" s="34" t="str">
        <f aca="false">IF(AND(A349&lt;&gt;"",OR(K349="",K349="Undecided",J349="")),SUMPRODUCT(($A$5:A349&lt;&gt;"")*((($K$5:K349="")+($K$5:K349="Undecided")+($J$5:J349=""))&gt;0)),"")</f>
        <v/>
      </c>
    </row>
    <row r="350" customFormat="false" ht="15" hidden="false" customHeight="false" outlineLevel="0" collapsed="false">
      <c r="A350" s="29"/>
      <c r="B350" s="30"/>
      <c r="C350" s="30"/>
      <c r="D350" s="29"/>
      <c r="E350" s="20" t="str">
        <f aca="false">IF(D350="","",IFERROR(INDEX(Tables!$B:$B,MATCH(D350,Tables!$A:$A,0)),"ID not found"))</f>
        <v/>
      </c>
      <c r="F350" s="20" t="str">
        <f aca="false">IF(D350="","",IFERROR(INDEX(Tables!$C:$C,MATCH(D350,Tables!$A:$A,0)),""))</f>
        <v/>
      </c>
      <c r="G350" s="30"/>
      <c r="H350" s="30"/>
      <c r="I350" s="30"/>
      <c r="J350" s="30"/>
      <c r="K350" s="30"/>
      <c r="L350" s="30"/>
      <c r="M350" s="30"/>
      <c r="N350" s="20" t="str">
        <f aca="false">IF(A350="","",COUNTIF('Metric to Field'!$B:$B,A350))</f>
        <v/>
      </c>
      <c r="O350" s="20" t="str">
        <f aca="false">IF(A350="","",SUMIF('Metric to Field'!$B:$B,A350,'Metric to Field'!$F:$F))</f>
        <v/>
      </c>
      <c r="P350" s="30"/>
      <c r="Q350" s="30"/>
      <c r="R350" s="30"/>
      <c r="S350" s="30"/>
      <c r="T350" s="34" t="str">
        <f aca="false">IF(AND(A350&lt;&gt;"",K350="Fix upstream"),COUNTIF($K$5:K350,"Fix upstream"),"")</f>
        <v/>
      </c>
      <c r="U350" s="34" t="str">
        <f aca="false">IF(AND(A350&lt;&gt;"",OR(K350="Move to business rules",K350="Merge into certified table")),COUNTIF($K$5:K350,"Move to business rules")+COUNTIF($K$5:K350,"Merge into certified table"),"")</f>
        <v/>
      </c>
      <c r="V350" s="34" t="str">
        <f aca="false">IF(AND(A350&lt;&gt;"",OR(K350="",K350="Undecided",J350="")),SUMPRODUCT(($A$5:A350&lt;&gt;"")*((($K$5:K350="")+($K$5:K350="Undecided")+($J$5:J350=""))&gt;0)),"")</f>
        <v/>
      </c>
    </row>
    <row r="351" customFormat="false" ht="15" hidden="false" customHeight="false" outlineLevel="0" collapsed="false">
      <c r="A351" s="29"/>
      <c r="B351" s="30"/>
      <c r="C351" s="30"/>
      <c r="D351" s="29"/>
      <c r="E351" s="20" t="str">
        <f aca="false">IF(D351="","",IFERROR(INDEX(Tables!$B:$B,MATCH(D351,Tables!$A:$A,0)),"ID not found"))</f>
        <v/>
      </c>
      <c r="F351" s="20" t="str">
        <f aca="false">IF(D351="","",IFERROR(INDEX(Tables!$C:$C,MATCH(D351,Tables!$A:$A,0)),""))</f>
        <v/>
      </c>
      <c r="G351" s="30"/>
      <c r="H351" s="30"/>
      <c r="I351" s="30"/>
      <c r="J351" s="30"/>
      <c r="K351" s="30"/>
      <c r="L351" s="30"/>
      <c r="M351" s="30"/>
      <c r="N351" s="20" t="str">
        <f aca="false">IF(A351="","",COUNTIF('Metric to Field'!$B:$B,A351))</f>
        <v/>
      </c>
      <c r="O351" s="20" t="str">
        <f aca="false">IF(A351="","",SUMIF('Metric to Field'!$B:$B,A351,'Metric to Field'!$F:$F))</f>
        <v/>
      </c>
      <c r="P351" s="30"/>
      <c r="Q351" s="30"/>
      <c r="R351" s="30"/>
      <c r="S351" s="30"/>
      <c r="T351" s="34" t="str">
        <f aca="false">IF(AND(A351&lt;&gt;"",K351="Fix upstream"),COUNTIF($K$5:K351,"Fix upstream"),"")</f>
        <v/>
      </c>
      <c r="U351" s="34" t="str">
        <f aca="false">IF(AND(A351&lt;&gt;"",OR(K351="Move to business rules",K351="Merge into certified table")),COUNTIF($K$5:K351,"Move to business rules")+COUNTIF($K$5:K351,"Merge into certified table"),"")</f>
        <v/>
      </c>
      <c r="V351" s="34" t="str">
        <f aca="false">IF(AND(A351&lt;&gt;"",OR(K351="",K351="Undecided",J351="")),SUMPRODUCT(($A$5:A351&lt;&gt;"")*((($K$5:K351="")+($K$5:K351="Undecided")+($J$5:J351=""))&gt;0)),"")</f>
        <v/>
      </c>
    </row>
    <row r="352" customFormat="false" ht="15" hidden="false" customHeight="false" outlineLevel="0" collapsed="false">
      <c r="A352" s="29"/>
      <c r="B352" s="30"/>
      <c r="C352" s="30"/>
      <c r="D352" s="29"/>
      <c r="E352" s="20" t="str">
        <f aca="false">IF(D352="","",IFERROR(INDEX(Tables!$B:$B,MATCH(D352,Tables!$A:$A,0)),"ID not found"))</f>
        <v/>
      </c>
      <c r="F352" s="20" t="str">
        <f aca="false">IF(D352="","",IFERROR(INDEX(Tables!$C:$C,MATCH(D352,Tables!$A:$A,0)),""))</f>
        <v/>
      </c>
      <c r="G352" s="30"/>
      <c r="H352" s="30"/>
      <c r="I352" s="30"/>
      <c r="J352" s="30"/>
      <c r="K352" s="30"/>
      <c r="L352" s="30"/>
      <c r="M352" s="30"/>
      <c r="N352" s="20" t="str">
        <f aca="false">IF(A352="","",COUNTIF('Metric to Field'!$B:$B,A352))</f>
        <v/>
      </c>
      <c r="O352" s="20" t="str">
        <f aca="false">IF(A352="","",SUMIF('Metric to Field'!$B:$B,A352,'Metric to Field'!$F:$F))</f>
        <v/>
      </c>
      <c r="P352" s="30"/>
      <c r="Q352" s="30"/>
      <c r="R352" s="30"/>
      <c r="S352" s="30"/>
      <c r="T352" s="34" t="str">
        <f aca="false">IF(AND(A352&lt;&gt;"",K352="Fix upstream"),COUNTIF($K$5:K352,"Fix upstream"),"")</f>
        <v/>
      </c>
      <c r="U352" s="34" t="str">
        <f aca="false">IF(AND(A352&lt;&gt;"",OR(K352="Move to business rules",K352="Merge into certified table")),COUNTIF($K$5:K352,"Move to business rules")+COUNTIF($K$5:K352,"Merge into certified table"),"")</f>
        <v/>
      </c>
      <c r="V352" s="34" t="str">
        <f aca="false">IF(AND(A352&lt;&gt;"",OR(K352="",K352="Undecided",J352="")),SUMPRODUCT(($A$5:A352&lt;&gt;"")*((($K$5:K352="")+($K$5:K352="Undecided")+($J$5:J352=""))&gt;0)),"")</f>
        <v/>
      </c>
    </row>
    <row r="353" customFormat="false" ht="15" hidden="false" customHeight="false" outlineLevel="0" collapsed="false">
      <c r="A353" s="29"/>
      <c r="B353" s="30"/>
      <c r="C353" s="30"/>
      <c r="D353" s="29"/>
      <c r="E353" s="20" t="str">
        <f aca="false">IF(D353="","",IFERROR(INDEX(Tables!$B:$B,MATCH(D353,Tables!$A:$A,0)),"ID not found"))</f>
        <v/>
      </c>
      <c r="F353" s="20" t="str">
        <f aca="false">IF(D353="","",IFERROR(INDEX(Tables!$C:$C,MATCH(D353,Tables!$A:$A,0)),""))</f>
        <v/>
      </c>
      <c r="G353" s="30"/>
      <c r="H353" s="30"/>
      <c r="I353" s="30"/>
      <c r="J353" s="30"/>
      <c r="K353" s="30"/>
      <c r="L353" s="30"/>
      <c r="M353" s="30"/>
      <c r="N353" s="20" t="str">
        <f aca="false">IF(A353="","",COUNTIF('Metric to Field'!$B:$B,A353))</f>
        <v/>
      </c>
      <c r="O353" s="20" t="str">
        <f aca="false">IF(A353="","",SUMIF('Metric to Field'!$B:$B,A353,'Metric to Field'!$F:$F))</f>
        <v/>
      </c>
      <c r="P353" s="30"/>
      <c r="Q353" s="30"/>
      <c r="R353" s="30"/>
      <c r="S353" s="30"/>
      <c r="T353" s="34" t="str">
        <f aca="false">IF(AND(A353&lt;&gt;"",K353="Fix upstream"),COUNTIF($K$5:K353,"Fix upstream"),"")</f>
        <v/>
      </c>
      <c r="U353" s="34" t="str">
        <f aca="false">IF(AND(A353&lt;&gt;"",OR(K353="Move to business rules",K353="Merge into certified table")),COUNTIF($K$5:K353,"Move to business rules")+COUNTIF($K$5:K353,"Merge into certified table"),"")</f>
        <v/>
      </c>
      <c r="V353" s="34" t="str">
        <f aca="false">IF(AND(A353&lt;&gt;"",OR(K353="",K353="Undecided",J353="")),SUMPRODUCT(($A$5:A353&lt;&gt;"")*((($K$5:K353="")+($K$5:K353="Undecided")+($J$5:J353=""))&gt;0)),"")</f>
        <v/>
      </c>
    </row>
    <row r="354" customFormat="false" ht="15" hidden="false" customHeight="false" outlineLevel="0" collapsed="false">
      <c r="A354" s="29"/>
      <c r="B354" s="30"/>
      <c r="C354" s="30"/>
      <c r="D354" s="29"/>
      <c r="E354" s="20" t="str">
        <f aca="false">IF(D354="","",IFERROR(INDEX(Tables!$B:$B,MATCH(D354,Tables!$A:$A,0)),"ID not found"))</f>
        <v/>
      </c>
      <c r="F354" s="20" t="str">
        <f aca="false">IF(D354="","",IFERROR(INDEX(Tables!$C:$C,MATCH(D354,Tables!$A:$A,0)),""))</f>
        <v/>
      </c>
      <c r="G354" s="30"/>
      <c r="H354" s="30"/>
      <c r="I354" s="30"/>
      <c r="J354" s="30"/>
      <c r="K354" s="30"/>
      <c r="L354" s="30"/>
      <c r="M354" s="30"/>
      <c r="N354" s="20" t="str">
        <f aca="false">IF(A354="","",COUNTIF('Metric to Field'!$B:$B,A354))</f>
        <v/>
      </c>
      <c r="O354" s="20" t="str">
        <f aca="false">IF(A354="","",SUMIF('Metric to Field'!$B:$B,A354,'Metric to Field'!$F:$F))</f>
        <v/>
      </c>
      <c r="P354" s="30"/>
      <c r="Q354" s="30"/>
      <c r="R354" s="30"/>
      <c r="S354" s="30"/>
      <c r="T354" s="34" t="str">
        <f aca="false">IF(AND(A354&lt;&gt;"",K354="Fix upstream"),COUNTIF($K$5:K354,"Fix upstream"),"")</f>
        <v/>
      </c>
      <c r="U354" s="34" t="str">
        <f aca="false">IF(AND(A354&lt;&gt;"",OR(K354="Move to business rules",K354="Merge into certified table")),COUNTIF($K$5:K354,"Move to business rules")+COUNTIF($K$5:K354,"Merge into certified table"),"")</f>
        <v/>
      </c>
      <c r="V354" s="34" t="str">
        <f aca="false">IF(AND(A354&lt;&gt;"",OR(K354="",K354="Undecided",J354="")),SUMPRODUCT(($A$5:A354&lt;&gt;"")*((($K$5:K354="")+($K$5:K354="Undecided")+($J$5:J354=""))&gt;0)),"")</f>
        <v/>
      </c>
    </row>
    <row r="355" customFormat="false" ht="15" hidden="false" customHeight="false" outlineLevel="0" collapsed="false">
      <c r="A355" s="29"/>
      <c r="B355" s="30"/>
      <c r="C355" s="30"/>
      <c r="D355" s="29"/>
      <c r="E355" s="20" t="str">
        <f aca="false">IF(D355="","",IFERROR(INDEX(Tables!$B:$B,MATCH(D355,Tables!$A:$A,0)),"ID not found"))</f>
        <v/>
      </c>
      <c r="F355" s="20" t="str">
        <f aca="false">IF(D355="","",IFERROR(INDEX(Tables!$C:$C,MATCH(D355,Tables!$A:$A,0)),""))</f>
        <v/>
      </c>
      <c r="G355" s="30"/>
      <c r="H355" s="30"/>
      <c r="I355" s="30"/>
      <c r="J355" s="30"/>
      <c r="K355" s="30"/>
      <c r="L355" s="30"/>
      <c r="M355" s="30"/>
      <c r="N355" s="20" t="str">
        <f aca="false">IF(A355="","",COUNTIF('Metric to Field'!$B:$B,A355))</f>
        <v/>
      </c>
      <c r="O355" s="20" t="str">
        <f aca="false">IF(A355="","",SUMIF('Metric to Field'!$B:$B,A355,'Metric to Field'!$F:$F))</f>
        <v/>
      </c>
      <c r="P355" s="30"/>
      <c r="Q355" s="30"/>
      <c r="R355" s="30"/>
      <c r="S355" s="30"/>
      <c r="T355" s="34" t="str">
        <f aca="false">IF(AND(A355&lt;&gt;"",K355="Fix upstream"),COUNTIF($K$5:K355,"Fix upstream"),"")</f>
        <v/>
      </c>
      <c r="U355" s="34" t="str">
        <f aca="false">IF(AND(A355&lt;&gt;"",OR(K355="Move to business rules",K355="Merge into certified table")),COUNTIF($K$5:K355,"Move to business rules")+COUNTIF($K$5:K355,"Merge into certified table"),"")</f>
        <v/>
      </c>
      <c r="V355" s="34" t="str">
        <f aca="false">IF(AND(A355&lt;&gt;"",OR(K355="",K355="Undecided",J355="")),SUMPRODUCT(($A$5:A355&lt;&gt;"")*((($K$5:K355="")+($K$5:K355="Undecided")+($J$5:J355=""))&gt;0)),"")</f>
        <v/>
      </c>
    </row>
    <row r="356" customFormat="false" ht="15" hidden="false" customHeight="false" outlineLevel="0" collapsed="false">
      <c r="A356" s="29"/>
      <c r="B356" s="30"/>
      <c r="C356" s="30"/>
      <c r="D356" s="29"/>
      <c r="E356" s="20" t="str">
        <f aca="false">IF(D356="","",IFERROR(INDEX(Tables!$B:$B,MATCH(D356,Tables!$A:$A,0)),"ID not found"))</f>
        <v/>
      </c>
      <c r="F356" s="20" t="str">
        <f aca="false">IF(D356="","",IFERROR(INDEX(Tables!$C:$C,MATCH(D356,Tables!$A:$A,0)),""))</f>
        <v/>
      </c>
      <c r="G356" s="30"/>
      <c r="H356" s="30"/>
      <c r="I356" s="30"/>
      <c r="J356" s="30"/>
      <c r="K356" s="30"/>
      <c r="L356" s="30"/>
      <c r="M356" s="30"/>
      <c r="N356" s="20" t="str">
        <f aca="false">IF(A356="","",COUNTIF('Metric to Field'!$B:$B,A356))</f>
        <v/>
      </c>
      <c r="O356" s="20" t="str">
        <f aca="false">IF(A356="","",SUMIF('Metric to Field'!$B:$B,A356,'Metric to Field'!$F:$F))</f>
        <v/>
      </c>
      <c r="P356" s="30"/>
      <c r="Q356" s="30"/>
      <c r="R356" s="30"/>
      <c r="S356" s="30"/>
      <c r="T356" s="34" t="str">
        <f aca="false">IF(AND(A356&lt;&gt;"",K356="Fix upstream"),COUNTIF($K$5:K356,"Fix upstream"),"")</f>
        <v/>
      </c>
      <c r="U356" s="34" t="str">
        <f aca="false">IF(AND(A356&lt;&gt;"",OR(K356="Move to business rules",K356="Merge into certified table")),COUNTIF($K$5:K356,"Move to business rules")+COUNTIF($K$5:K356,"Merge into certified table"),"")</f>
        <v/>
      </c>
      <c r="V356" s="34" t="str">
        <f aca="false">IF(AND(A356&lt;&gt;"",OR(K356="",K356="Undecided",J356="")),SUMPRODUCT(($A$5:A356&lt;&gt;"")*((($K$5:K356="")+($K$5:K356="Undecided")+($J$5:J356=""))&gt;0)),"")</f>
        <v/>
      </c>
    </row>
    <row r="357" customFormat="false" ht="15" hidden="false" customHeight="false" outlineLevel="0" collapsed="false">
      <c r="A357" s="29"/>
      <c r="B357" s="30"/>
      <c r="C357" s="30"/>
      <c r="D357" s="29"/>
      <c r="E357" s="20" t="str">
        <f aca="false">IF(D357="","",IFERROR(INDEX(Tables!$B:$B,MATCH(D357,Tables!$A:$A,0)),"ID not found"))</f>
        <v/>
      </c>
      <c r="F357" s="20" t="str">
        <f aca="false">IF(D357="","",IFERROR(INDEX(Tables!$C:$C,MATCH(D357,Tables!$A:$A,0)),""))</f>
        <v/>
      </c>
      <c r="G357" s="30"/>
      <c r="H357" s="30"/>
      <c r="I357" s="30"/>
      <c r="J357" s="30"/>
      <c r="K357" s="30"/>
      <c r="L357" s="30"/>
      <c r="M357" s="30"/>
      <c r="N357" s="20" t="str">
        <f aca="false">IF(A357="","",COUNTIF('Metric to Field'!$B:$B,A357))</f>
        <v/>
      </c>
      <c r="O357" s="20" t="str">
        <f aca="false">IF(A357="","",SUMIF('Metric to Field'!$B:$B,A357,'Metric to Field'!$F:$F))</f>
        <v/>
      </c>
      <c r="P357" s="30"/>
      <c r="Q357" s="30"/>
      <c r="R357" s="30"/>
      <c r="S357" s="30"/>
      <c r="T357" s="34" t="str">
        <f aca="false">IF(AND(A357&lt;&gt;"",K357="Fix upstream"),COUNTIF($K$5:K357,"Fix upstream"),"")</f>
        <v/>
      </c>
      <c r="U357" s="34" t="str">
        <f aca="false">IF(AND(A357&lt;&gt;"",OR(K357="Move to business rules",K357="Merge into certified table")),COUNTIF($K$5:K357,"Move to business rules")+COUNTIF($K$5:K357,"Merge into certified table"),"")</f>
        <v/>
      </c>
      <c r="V357" s="34" t="str">
        <f aca="false">IF(AND(A357&lt;&gt;"",OR(K357="",K357="Undecided",J357="")),SUMPRODUCT(($A$5:A357&lt;&gt;"")*((($K$5:K357="")+($K$5:K357="Undecided")+($J$5:J357=""))&gt;0)),"")</f>
        <v/>
      </c>
    </row>
    <row r="358" customFormat="false" ht="15" hidden="false" customHeight="false" outlineLevel="0" collapsed="false">
      <c r="A358" s="29"/>
      <c r="B358" s="30"/>
      <c r="C358" s="30"/>
      <c r="D358" s="29"/>
      <c r="E358" s="20" t="str">
        <f aca="false">IF(D358="","",IFERROR(INDEX(Tables!$B:$B,MATCH(D358,Tables!$A:$A,0)),"ID not found"))</f>
        <v/>
      </c>
      <c r="F358" s="20" t="str">
        <f aca="false">IF(D358="","",IFERROR(INDEX(Tables!$C:$C,MATCH(D358,Tables!$A:$A,0)),""))</f>
        <v/>
      </c>
      <c r="G358" s="30"/>
      <c r="H358" s="30"/>
      <c r="I358" s="30"/>
      <c r="J358" s="30"/>
      <c r="K358" s="30"/>
      <c r="L358" s="30"/>
      <c r="M358" s="30"/>
      <c r="N358" s="20" t="str">
        <f aca="false">IF(A358="","",COUNTIF('Metric to Field'!$B:$B,A358))</f>
        <v/>
      </c>
      <c r="O358" s="20" t="str">
        <f aca="false">IF(A358="","",SUMIF('Metric to Field'!$B:$B,A358,'Metric to Field'!$F:$F))</f>
        <v/>
      </c>
      <c r="P358" s="30"/>
      <c r="Q358" s="30"/>
      <c r="R358" s="30"/>
      <c r="S358" s="30"/>
      <c r="T358" s="34" t="str">
        <f aca="false">IF(AND(A358&lt;&gt;"",K358="Fix upstream"),COUNTIF($K$5:K358,"Fix upstream"),"")</f>
        <v/>
      </c>
      <c r="U358" s="34" t="str">
        <f aca="false">IF(AND(A358&lt;&gt;"",OR(K358="Move to business rules",K358="Merge into certified table")),COUNTIF($K$5:K358,"Move to business rules")+COUNTIF($K$5:K358,"Merge into certified table"),"")</f>
        <v/>
      </c>
      <c r="V358" s="34" t="str">
        <f aca="false">IF(AND(A358&lt;&gt;"",OR(K358="",K358="Undecided",J358="")),SUMPRODUCT(($A$5:A358&lt;&gt;"")*((($K$5:K358="")+($K$5:K358="Undecided")+($J$5:J358=""))&gt;0)),"")</f>
        <v/>
      </c>
    </row>
    <row r="359" customFormat="false" ht="15" hidden="false" customHeight="false" outlineLevel="0" collapsed="false">
      <c r="A359" s="29"/>
      <c r="B359" s="30"/>
      <c r="C359" s="30"/>
      <c r="D359" s="29"/>
      <c r="E359" s="20" t="str">
        <f aca="false">IF(D359="","",IFERROR(INDEX(Tables!$B:$B,MATCH(D359,Tables!$A:$A,0)),"ID not found"))</f>
        <v/>
      </c>
      <c r="F359" s="20" t="str">
        <f aca="false">IF(D359="","",IFERROR(INDEX(Tables!$C:$C,MATCH(D359,Tables!$A:$A,0)),""))</f>
        <v/>
      </c>
      <c r="G359" s="30"/>
      <c r="H359" s="30"/>
      <c r="I359" s="30"/>
      <c r="J359" s="30"/>
      <c r="K359" s="30"/>
      <c r="L359" s="30"/>
      <c r="M359" s="30"/>
      <c r="N359" s="20" t="str">
        <f aca="false">IF(A359="","",COUNTIF('Metric to Field'!$B:$B,A359))</f>
        <v/>
      </c>
      <c r="O359" s="20" t="str">
        <f aca="false">IF(A359="","",SUMIF('Metric to Field'!$B:$B,A359,'Metric to Field'!$F:$F))</f>
        <v/>
      </c>
      <c r="P359" s="30"/>
      <c r="Q359" s="30"/>
      <c r="R359" s="30"/>
      <c r="S359" s="30"/>
      <c r="T359" s="34" t="str">
        <f aca="false">IF(AND(A359&lt;&gt;"",K359="Fix upstream"),COUNTIF($K$5:K359,"Fix upstream"),"")</f>
        <v/>
      </c>
      <c r="U359" s="34" t="str">
        <f aca="false">IF(AND(A359&lt;&gt;"",OR(K359="Move to business rules",K359="Merge into certified table")),COUNTIF($K$5:K359,"Move to business rules")+COUNTIF($K$5:K359,"Merge into certified table"),"")</f>
        <v/>
      </c>
      <c r="V359" s="34" t="str">
        <f aca="false">IF(AND(A359&lt;&gt;"",OR(K359="",K359="Undecided",J359="")),SUMPRODUCT(($A$5:A359&lt;&gt;"")*((($K$5:K359="")+($K$5:K359="Undecided")+($J$5:J359=""))&gt;0)),"")</f>
        <v/>
      </c>
    </row>
    <row r="360" customFormat="false" ht="15" hidden="false" customHeight="false" outlineLevel="0" collapsed="false">
      <c r="A360" s="29"/>
      <c r="B360" s="30"/>
      <c r="C360" s="30"/>
      <c r="D360" s="29"/>
      <c r="E360" s="20" t="str">
        <f aca="false">IF(D360="","",IFERROR(INDEX(Tables!$B:$B,MATCH(D360,Tables!$A:$A,0)),"ID not found"))</f>
        <v/>
      </c>
      <c r="F360" s="20" t="str">
        <f aca="false">IF(D360="","",IFERROR(INDEX(Tables!$C:$C,MATCH(D360,Tables!$A:$A,0)),""))</f>
        <v/>
      </c>
      <c r="G360" s="30"/>
      <c r="H360" s="30"/>
      <c r="I360" s="30"/>
      <c r="J360" s="30"/>
      <c r="K360" s="30"/>
      <c r="L360" s="30"/>
      <c r="M360" s="30"/>
      <c r="N360" s="20" t="str">
        <f aca="false">IF(A360="","",COUNTIF('Metric to Field'!$B:$B,A360))</f>
        <v/>
      </c>
      <c r="O360" s="20" t="str">
        <f aca="false">IF(A360="","",SUMIF('Metric to Field'!$B:$B,A360,'Metric to Field'!$F:$F))</f>
        <v/>
      </c>
      <c r="P360" s="30"/>
      <c r="Q360" s="30"/>
      <c r="R360" s="30"/>
      <c r="S360" s="30"/>
      <c r="T360" s="34" t="str">
        <f aca="false">IF(AND(A360&lt;&gt;"",K360="Fix upstream"),COUNTIF($K$5:K360,"Fix upstream"),"")</f>
        <v/>
      </c>
      <c r="U360" s="34" t="str">
        <f aca="false">IF(AND(A360&lt;&gt;"",OR(K360="Move to business rules",K360="Merge into certified table")),COUNTIF($K$5:K360,"Move to business rules")+COUNTIF($K$5:K360,"Merge into certified table"),"")</f>
        <v/>
      </c>
      <c r="V360" s="34" t="str">
        <f aca="false">IF(AND(A360&lt;&gt;"",OR(K360="",K360="Undecided",J360="")),SUMPRODUCT(($A$5:A360&lt;&gt;"")*((($K$5:K360="")+($K$5:K360="Undecided")+($J$5:J360=""))&gt;0)),"")</f>
        <v/>
      </c>
    </row>
    <row r="361" customFormat="false" ht="15" hidden="false" customHeight="false" outlineLevel="0" collapsed="false">
      <c r="A361" s="29"/>
      <c r="B361" s="30"/>
      <c r="C361" s="30"/>
      <c r="D361" s="29"/>
      <c r="E361" s="20" t="str">
        <f aca="false">IF(D361="","",IFERROR(INDEX(Tables!$B:$B,MATCH(D361,Tables!$A:$A,0)),"ID not found"))</f>
        <v/>
      </c>
      <c r="F361" s="20" t="str">
        <f aca="false">IF(D361="","",IFERROR(INDEX(Tables!$C:$C,MATCH(D361,Tables!$A:$A,0)),""))</f>
        <v/>
      </c>
      <c r="G361" s="30"/>
      <c r="H361" s="30"/>
      <c r="I361" s="30"/>
      <c r="J361" s="30"/>
      <c r="K361" s="30"/>
      <c r="L361" s="30"/>
      <c r="M361" s="30"/>
      <c r="N361" s="20" t="str">
        <f aca="false">IF(A361="","",COUNTIF('Metric to Field'!$B:$B,A361))</f>
        <v/>
      </c>
      <c r="O361" s="20" t="str">
        <f aca="false">IF(A361="","",SUMIF('Metric to Field'!$B:$B,A361,'Metric to Field'!$F:$F))</f>
        <v/>
      </c>
      <c r="P361" s="30"/>
      <c r="Q361" s="30"/>
      <c r="R361" s="30"/>
      <c r="S361" s="30"/>
      <c r="T361" s="34" t="str">
        <f aca="false">IF(AND(A361&lt;&gt;"",K361="Fix upstream"),COUNTIF($K$5:K361,"Fix upstream"),"")</f>
        <v/>
      </c>
      <c r="U361" s="34" t="str">
        <f aca="false">IF(AND(A361&lt;&gt;"",OR(K361="Move to business rules",K361="Merge into certified table")),COUNTIF($K$5:K361,"Move to business rules")+COUNTIF($K$5:K361,"Merge into certified table"),"")</f>
        <v/>
      </c>
      <c r="V361" s="34" t="str">
        <f aca="false">IF(AND(A361&lt;&gt;"",OR(K361="",K361="Undecided",J361="")),SUMPRODUCT(($A$5:A361&lt;&gt;"")*((($K$5:K361="")+($K$5:K361="Undecided")+($J$5:J361=""))&gt;0)),"")</f>
        <v/>
      </c>
    </row>
    <row r="362" customFormat="false" ht="15" hidden="false" customHeight="false" outlineLevel="0" collapsed="false">
      <c r="A362" s="29"/>
      <c r="B362" s="30"/>
      <c r="C362" s="30"/>
      <c r="D362" s="29"/>
      <c r="E362" s="20" t="str">
        <f aca="false">IF(D362="","",IFERROR(INDEX(Tables!$B:$B,MATCH(D362,Tables!$A:$A,0)),"ID not found"))</f>
        <v/>
      </c>
      <c r="F362" s="20" t="str">
        <f aca="false">IF(D362="","",IFERROR(INDEX(Tables!$C:$C,MATCH(D362,Tables!$A:$A,0)),""))</f>
        <v/>
      </c>
      <c r="G362" s="30"/>
      <c r="H362" s="30"/>
      <c r="I362" s="30"/>
      <c r="J362" s="30"/>
      <c r="K362" s="30"/>
      <c r="L362" s="30"/>
      <c r="M362" s="30"/>
      <c r="N362" s="20" t="str">
        <f aca="false">IF(A362="","",COUNTIF('Metric to Field'!$B:$B,A362))</f>
        <v/>
      </c>
      <c r="O362" s="20" t="str">
        <f aca="false">IF(A362="","",SUMIF('Metric to Field'!$B:$B,A362,'Metric to Field'!$F:$F))</f>
        <v/>
      </c>
      <c r="P362" s="30"/>
      <c r="Q362" s="30"/>
      <c r="R362" s="30"/>
      <c r="S362" s="30"/>
      <c r="T362" s="34" t="str">
        <f aca="false">IF(AND(A362&lt;&gt;"",K362="Fix upstream"),COUNTIF($K$5:K362,"Fix upstream"),"")</f>
        <v/>
      </c>
      <c r="U362" s="34" t="str">
        <f aca="false">IF(AND(A362&lt;&gt;"",OR(K362="Move to business rules",K362="Merge into certified table")),COUNTIF($K$5:K362,"Move to business rules")+COUNTIF($K$5:K362,"Merge into certified table"),"")</f>
        <v/>
      </c>
      <c r="V362" s="34" t="str">
        <f aca="false">IF(AND(A362&lt;&gt;"",OR(K362="",K362="Undecided",J362="")),SUMPRODUCT(($A$5:A362&lt;&gt;"")*((($K$5:K362="")+($K$5:K362="Undecided")+($J$5:J362=""))&gt;0)),"")</f>
        <v/>
      </c>
    </row>
    <row r="363" customFormat="false" ht="15" hidden="false" customHeight="false" outlineLevel="0" collapsed="false">
      <c r="A363" s="29"/>
      <c r="B363" s="30"/>
      <c r="C363" s="30"/>
      <c r="D363" s="29"/>
      <c r="E363" s="20" t="str">
        <f aca="false">IF(D363="","",IFERROR(INDEX(Tables!$B:$B,MATCH(D363,Tables!$A:$A,0)),"ID not found"))</f>
        <v/>
      </c>
      <c r="F363" s="20" t="str">
        <f aca="false">IF(D363="","",IFERROR(INDEX(Tables!$C:$C,MATCH(D363,Tables!$A:$A,0)),""))</f>
        <v/>
      </c>
      <c r="G363" s="30"/>
      <c r="H363" s="30"/>
      <c r="I363" s="30"/>
      <c r="J363" s="30"/>
      <c r="K363" s="30"/>
      <c r="L363" s="30"/>
      <c r="M363" s="30"/>
      <c r="N363" s="20" t="str">
        <f aca="false">IF(A363="","",COUNTIF('Metric to Field'!$B:$B,A363))</f>
        <v/>
      </c>
      <c r="O363" s="20" t="str">
        <f aca="false">IF(A363="","",SUMIF('Metric to Field'!$B:$B,A363,'Metric to Field'!$F:$F))</f>
        <v/>
      </c>
      <c r="P363" s="30"/>
      <c r="Q363" s="30"/>
      <c r="R363" s="30"/>
      <c r="S363" s="30"/>
      <c r="T363" s="34" t="str">
        <f aca="false">IF(AND(A363&lt;&gt;"",K363="Fix upstream"),COUNTIF($K$5:K363,"Fix upstream"),"")</f>
        <v/>
      </c>
      <c r="U363" s="34" t="str">
        <f aca="false">IF(AND(A363&lt;&gt;"",OR(K363="Move to business rules",K363="Merge into certified table")),COUNTIF($K$5:K363,"Move to business rules")+COUNTIF($K$5:K363,"Merge into certified table"),"")</f>
        <v/>
      </c>
      <c r="V363" s="34" t="str">
        <f aca="false">IF(AND(A363&lt;&gt;"",OR(K363="",K363="Undecided",J363="")),SUMPRODUCT(($A$5:A363&lt;&gt;"")*((($K$5:K363="")+($K$5:K363="Undecided")+($J$5:J363=""))&gt;0)),"")</f>
        <v/>
      </c>
    </row>
    <row r="364" customFormat="false" ht="15" hidden="false" customHeight="false" outlineLevel="0" collapsed="false">
      <c r="A364" s="29"/>
      <c r="B364" s="30"/>
      <c r="C364" s="30"/>
      <c r="D364" s="29"/>
      <c r="E364" s="20" t="str">
        <f aca="false">IF(D364="","",IFERROR(INDEX(Tables!$B:$B,MATCH(D364,Tables!$A:$A,0)),"ID not found"))</f>
        <v/>
      </c>
      <c r="F364" s="20" t="str">
        <f aca="false">IF(D364="","",IFERROR(INDEX(Tables!$C:$C,MATCH(D364,Tables!$A:$A,0)),""))</f>
        <v/>
      </c>
      <c r="G364" s="30"/>
      <c r="H364" s="30"/>
      <c r="I364" s="30"/>
      <c r="J364" s="30"/>
      <c r="K364" s="30"/>
      <c r="L364" s="30"/>
      <c r="M364" s="30"/>
      <c r="N364" s="20" t="str">
        <f aca="false">IF(A364="","",COUNTIF('Metric to Field'!$B:$B,A364))</f>
        <v/>
      </c>
      <c r="O364" s="20" t="str">
        <f aca="false">IF(A364="","",SUMIF('Metric to Field'!$B:$B,A364,'Metric to Field'!$F:$F))</f>
        <v/>
      </c>
      <c r="P364" s="30"/>
      <c r="Q364" s="30"/>
      <c r="R364" s="30"/>
      <c r="S364" s="30"/>
      <c r="T364" s="34" t="str">
        <f aca="false">IF(AND(A364&lt;&gt;"",K364="Fix upstream"),COUNTIF($K$5:K364,"Fix upstream"),"")</f>
        <v/>
      </c>
      <c r="U364" s="34" t="str">
        <f aca="false">IF(AND(A364&lt;&gt;"",OR(K364="Move to business rules",K364="Merge into certified table")),COUNTIF($K$5:K364,"Move to business rules")+COUNTIF($K$5:K364,"Merge into certified table"),"")</f>
        <v/>
      </c>
      <c r="V364" s="34" t="str">
        <f aca="false">IF(AND(A364&lt;&gt;"",OR(K364="",K364="Undecided",J364="")),SUMPRODUCT(($A$5:A364&lt;&gt;"")*((($K$5:K364="")+($K$5:K364="Undecided")+($J$5:J364=""))&gt;0)),"")</f>
        <v/>
      </c>
    </row>
    <row r="365" customFormat="false" ht="15" hidden="false" customHeight="false" outlineLevel="0" collapsed="false">
      <c r="A365" s="29"/>
      <c r="B365" s="30"/>
      <c r="C365" s="30"/>
      <c r="D365" s="29"/>
      <c r="E365" s="20" t="str">
        <f aca="false">IF(D365="","",IFERROR(INDEX(Tables!$B:$B,MATCH(D365,Tables!$A:$A,0)),"ID not found"))</f>
        <v/>
      </c>
      <c r="F365" s="20" t="str">
        <f aca="false">IF(D365="","",IFERROR(INDEX(Tables!$C:$C,MATCH(D365,Tables!$A:$A,0)),""))</f>
        <v/>
      </c>
      <c r="G365" s="30"/>
      <c r="H365" s="30"/>
      <c r="I365" s="30"/>
      <c r="J365" s="30"/>
      <c r="K365" s="30"/>
      <c r="L365" s="30"/>
      <c r="M365" s="30"/>
      <c r="N365" s="20" t="str">
        <f aca="false">IF(A365="","",COUNTIF('Metric to Field'!$B:$B,A365))</f>
        <v/>
      </c>
      <c r="O365" s="20" t="str">
        <f aca="false">IF(A365="","",SUMIF('Metric to Field'!$B:$B,A365,'Metric to Field'!$F:$F))</f>
        <v/>
      </c>
      <c r="P365" s="30"/>
      <c r="Q365" s="30"/>
      <c r="R365" s="30"/>
      <c r="S365" s="30"/>
      <c r="T365" s="34" t="str">
        <f aca="false">IF(AND(A365&lt;&gt;"",K365="Fix upstream"),COUNTIF($K$5:K365,"Fix upstream"),"")</f>
        <v/>
      </c>
      <c r="U365" s="34" t="str">
        <f aca="false">IF(AND(A365&lt;&gt;"",OR(K365="Move to business rules",K365="Merge into certified table")),COUNTIF($K$5:K365,"Move to business rules")+COUNTIF($K$5:K365,"Merge into certified table"),"")</f>
        <v/>
      </c>
      <c r="V365" s="34" t="str">
        <f aca="false">IF(AND(A365&lt;&gt;"",OR(K365="",K365="Undecided",J365="")),SUMPRODUCT(($A$5:A365&lt;&gt;"")*((($K$5:K365="")+($K$5:K365="Undecided")+($J$5:J365=""))&gt;0)),"")</f>
        <v/>
      </c>
    </row>
    <row r="366" customFormat="false" ht="15" hidden="false" customHeight="false" outlineLevel="0" collapsed="false">
      <c r="A366" s="29"/>
      <c r="B366" s="30"/>
      <c r="C366" s="30"/>
      <c r="D366" s="29"/>
      <c r="E366" s="20" t="str">
        <f aca="false">IF(D366="","",IFERROR(INDEX(Tables!$B:$B,MATCH(D366,Tables!$A:$A,0)),"ID not found"))</f>
        <v/>
      </c>
      <c r="F366" s="20" t="str">
        <f aca="false">IF(D366="","",IFERROR(INDEX(Tables!$C:$C,MATCH(D366,Tables!$A:$A,0)),""))</f>
        <v/>
      </c>
      <c r="G366" s="30"/>
      <c r="H366" s="30"/>
      <c r="I366" s="30"/>
      <c r="J366" s="30"/>
      <c r="K366" s="30"/>
      <c r="L366" s="30"/>
      <c r="M366" s="30"/>
      <c r="N366" s="20" t="str">
        <f aca="false">IF(A366="","",COUNTIF('Metric to Field'!$B:$B,A366))</f>
        <v/>
      </c>
      <c r="O366" s="20" t="str">
        <f aca="false">IF(A366="","",SUMIF('Metric to Field'!$B:$B,A366,'Metric to Field'!$F:$F))</f>
        <v/>
      </c>
      <c r="P366" s="30"/>
      <c r="Q366" s="30"/>
      <c r="R366" s="30"/>
      <c r="S366" s="30"/>
      <c r="T366" s="34" t="str">
        <f aca="false">IF(AND(A366&lt;&gt;"",K366="Fix upstream"),COUNTIF($K$5:K366,"Fix upstream"),"")</f>
        <v/>
      </c>
      <c r="U366" s="34" t="str">
        <f aca="false">IF(AND(A366&lt;&gt;"",OR(K366="Move to business rules",K366="Merge into certified table")),COUNTIF($K$5:K366,"Move to business rules")+COUNTIF($K$5:K366,"Merge into certified table"),"")</f>
        <v/>
      </c>
      <c r="V366" s="34" t="str">
        <f aca="false">IF(AND(A366&lt;&gt;"",OR(K366="",K366="Undecided",J366="")),SUMPRODUCT(($A$5:A366&lt;&gt;"")*((($K$5:K366="")+($K$5:K366="Undecided")+($J$5:J366=""))&gt;0)),"")</f>
        <v/>
      </c>
    </row>
    <row r="367" customFormat="false" ht="15" hidden="false" customHeight="false" outlineLevel="0" collapsed="false">
      <c r="A367" s="29"/>
      <c r="B367" s="30"/>
      <c r="C367" s="30"/>
      <c r="D367" s="29"/>
      <c r="E367" s="20" t="str">
        <f aca="false">IF(D367="","",IFERROR(INDEX(Tables!$B:$B,MATCH(D367,Tables!$A:$A,0)),"ID not found"))</f>
        <v/>
      </c>
      <c r="F367" s="20" t="str">
        <f aca="false">IF(D367="","",IFERROR(INDEX(Tables!$C:$C,MATCH(D367,Tables!$A:$A,0)),""))</f>
        <v/>
      </c>
      <c r="G367" s="30"/>
      <c r="H367" s="30"/>
      <c r="I367" s="30"/>
      <c r="J367" s="30"/>
      <c r="K367" s="30"/>
      <c r="L367" s="30"/>
      <c r="M367" s="30"/>
      <c r="N367" s="20" t="str">
        <f aca="false">IF(A367="","",COUNTIF('Metric to Field'!$B:$B,A367))</f>
        <v/>
      </c>
      <c r="O367" s="20" t="str">
        <f aca="false">IF(A367="","",SUMIF('Metric to Field'!$B:$B,A367,'Metric to Field'!$F:$F))</f>
        <v/>
      </c>
      <c r="P367" s="30"/>
      <c r="Q367" s="30"/>
      <c r="R367" s="30"/>
      <c r="S367" s="30"/>
      <c r="T367" s="34" t="str">
        <f aca="false">IF(AND(A367&lt;&gt;"",K367="Fix upstream"),COUNTIF($K$5:K367,"Fix upstream"),"")</f>
        <v/>
      </c>
      <c r="U367" s="34" t="str">
        <f aca="false">IF(AND(A367&lt;&gt;"",OR(K367="Move to business rules",K367="Merge into certified table")),COUNTIF($K$5:K367,"Move to business rules")+COUNTIF($K$5:K367,"Merge into certified table"),"")</f>
        <v/>
      </c>
      <c r="V367" s="34" t="str">
        <f aca="false">IF(AND(A367&lt;&gt;"",OR(K367="",K367="Undecided",J367="")),SUMPRODUCT(($A$5:A367&lt;&gt;"")*((($K$5:K367="")+($K$5:K367="Undecided")+($J$5:J367=""))&gt;0)),"")</f>
        <v/>
      </c>
    </row>
    <row r="368" customFormat="false" ht="15" hidden="false" customHeight="false" outlineLevel="0" collapsed="false">
      <c r="A368" s="29"/>
      <c r="B368" s="30"/>
      <c r="C368" s="30"/>
      <c r="D368" s="29"/>
      <c r="E368" s="20" t="str">
        <f aca="false">IF(D368="","",IFERROR(INDEX(Tables!$B:$B,MATCH(D368,Tables!$A:$A,0)),"ID not found"))</f>
        <v/>
      </c>
      <c r="F368" s="20" t="str">
        <f aca="false">IF(D368="","",IFERROR(INDEX(Tables!$C:$C,MATCH(D368,Tables!$A:$A,0)),""))</f>
        <v/>
      </c>
      <c r="G368" s="30"/>
      <c r="H368" s="30"/>
      <c r="I368" s="30"/>
      <c r="J368" s="30"/>
      <c r="K368" s="30"/>
      <c r="L368" s="30"/>
      <c r="M368" s="30"/>
      <c r="N368" s="20" t="str">
        <f aca="false">IF(A368="","",COUNTIF('Metric to Field'!$B:$B,A368))</f>
        <v/>
      </c>
      <c r="O368" s="20" t="str">
        <f aca="false">IF(A368="","",SUMIF('Metric to Field'!$B:$B,A368,'Metric to Field'!$F:$F))</f>
        <v/>
      </c>
      <c r="P368" s="30"/>
      <c r="Q368" s="30"/>
      <c r="R368" s="30"/>
      <c r="S368" s="30"/>
      <c r="T368" s="34" t="str">
        <f aca="false">IF(AND(A368&lt;&gt;"",K368="Fix upstream"),COUNTIF($K$5:K368,"Fix upstream"),"")</f>
        <v/>
      </c>
      <c r="U368" s="34" t="str">
        <f aca="false">IF(AND(A368&lt;&gt;"",OR(K368="Move to business rules",K368="Merge into certified table")),COUNTIF($K$5:K368,"Move to business rules")+COUNTIF($K$5:K368,"Merge into certified table"),"")</f>
        <v/>
      </c>
      <c r="V368" s="34" t="str">
        <f aca="false">IF(AND(A368&lt;&gt;"",OR(K368="",K368="Undecided",J368="")),SUMPRODUCT(($A$5:A368&lt;&gt;"")*((($K$5:K368="")+($K$5:K368="Undecided")+($J$5:J368=""))&gt;0)),"")</f>
        <v/>
      </c>
    </row>
    <row r="369" customFormat="false" ht="15" hidden="false" customHeight="false" outlineLevel="0" collapsed="false">
      <c r="A369" s="29"/>
      <c r="B369" s="30"/>
      <c r="C369" s="30"/>
      <c r="D369" s="29"/>
      <c r="E369" s="20" t="str">
        <f aca="false">IF(D369="","",IFERROR(INDEX(Tables!$B:$B,MATCH(D369,Tables!$A:$A,0)),"ID not found"))</f>
        <v/>
      </c>
      <c r="F369" s="20" t="str">
        <f aca="false">IF(D369="","",IFERROR(INDEX(Tables!$C:$C,MATCH(D369,Tables!$A:$A,0)),""))</f>
        <v/>
      </c>
      <c r="G369" s="30"/>
      <c r="H369" s="30"/>
      <c r="I369" s="30"/>
      <c r="J369" s="30"/>
      <c r="K369" s="30"/>
      <c r="L369" s="30"/>
      <c r="M369" s="30"/>
      <c r="N369" s="20" t="str">
        <f aca="false">IF(A369="","",COUNTIF('Metric to Field'!$B:$B,A369))</f>
        <v/>
      </c>
      <c r="O369" s="20" t="str">
        <f aca="false">IF(A369="","",SUMIF('Metric to Field'!$B:$B,A369,'Metric to Field'!$F:$F))</f>
        <v/>
      </c>
      <c r="P369" s="30"/>
      <c r="Q369" s="30"/>
      <c r="R369" s="30"/>
      <c r="S369" s="30"/>
      <c r="T369" s="34" t="str">
        <f aca="false">IF(AND(A369&lt;&gt;"",K369="Fix upstream"),COUNTIF($K$5:K369,"Fix upstream"),"")</f>
        <v/>
      </c>
      <c r="U369" s="34" t="str">
        <f aca="false">IF(AND(A369&lt;&gt;"",OR(K369="Move to business rules",K369="Merge into certified table")),COUNTIF($K$5:K369,"Move to business rules")+COUNTIF($K$5:K369,"Merge into certified table"),"")</f>
        <v/>
      </c>
      <c r="V369" s="34" t="str">
        <f aca="false">IF(AND(A369&lt;&gt;"",OR(K369="",K369="Undecided",J369="")),SUMPRODUCT(($A$5:A369&lt;&gt;"")*((($K$5:K369="")+($K$5:K369="Undecided")+($J$5:J369=""))&gt;0)),"")</f>
        <v/>
      </c>
    </row>
    <row r="370" customFormat="false" ht="15" hidden="false" customHeight="false" outlineLevel="0" collapsed="false">
      <c r="A370" s="29"/>
      <c r="B370" s="30"/>
      <c r="C370" s="30"/>
      <c r="D370" s="29"/>
      <c r="E370" s="20" t="str">
        <f aca="false">IF(D370="","",IFERROR(INDEX(Tables!$B:$B,MATCH(D370,Tables!$A:$A,0)),"ID not found"))</f>
        <v/>
      </c>
      <c r="F370" s="20" t="str">
        <f aca="false">IF(D370="","",IFERROR(INDEX(Tables!$C:$C,MATCH(D370,Tables!$A:$A,0)),""))</f>
        <v/>
      </c>
      <c r="G370" s="30"/>
      <c r="H370" s="30"/>
      <c r="I370" s="30"/>
      <c r="J370" s="30"/>
      <c r="K370" s="30"/>
      <c r="L370" s="30"/>
      <c r="M370" s="30"/>
      <c r="N370" s="20" t="str">
        <f aca="false">IF(A370="","",COUNTIF('Metric to Field'!$B:$B,A370))</f>
        <v/>
      </c>
      <c r="O370" s="20" t="str">
        <f aca="false">IF(A370="","",SUMIF('Metric to Field'!$B:$B,A370,'Metric to Field'!$F:$F))</f>
        <v/>
      </c>
      <c r="P370" s="30"/>
      <c r="Q370" s="30"/>
      <c r="R370" s="30"/>
      <c r="S370" s="30"/>
      <c r="T370" s="34" t="str">
        <f aca="false">IF(AND(A370&lt;&gt;"",K370="Fix upstream"),COUNTIF($K$5:K370,"Fix upstream"),"")</f>
        <v/>
      </c>
      <c r="U370" s="34" t="str">
        <f aca="false">IF(AND(A370&lt;&gt;"",OR(K370="Move to business rules",K370="Merge into certified table")),COUNTIF($K$5:K370,"Move to business rules")+COUNTIF($K$5:K370,"Merge into certified table"),"")</f>
        <v/>
      </c>
      <c r="V370" s="34" t="str">
        <f aca="false">IF(AND(A370&lt;&gt;"",OR(K370="",K370="Undecided",J370="")),SUMPRODUCT(($A$5:A370&lt;&gt;"")*((($K$5:K370="")+($K$5:K370="Undecided")+($J$5:J370=""))&gt;0)),"")</f>
        <v/>
      </c>
    </row>
    <row r="371" customFormat="false" ht="15" hidden="false" customHeight="false" outlineLevel="0" collapsed="false">
      <c r="A371" s="29"/>
      <c r="B371" s="30"/>
      <c r="C371" s="30"/>
      <c r="D371" s="29"/>
      <c r="E371" s="20" t="str">
        <f aca="false">IF(D371="","",IFERROR(INDEX(Tables!$B:$B,MATCH(D371,Tables!$A:$A,0)),"ID not found"))</f>
        <v/>
      </c>
      <c r="F371" s="20" t="str">
        <f aca="false">IF(D371="","",IFERROR(INDEX(Tables!$C:$C,MATCH(D371,Tables!$A:$A,0)),""))</f>
        <v/>
      </c>
      <c r="G371" s="30"/>
      <c r="H371" s="30"/>
      <c r="I371" s="30"/>
      <c r="J371" s="30"/>
      <c r="K371" s="30"/>
      <c r="L371" s="30"/>
      <c r="M371" s="30"/>
      <c r="N371" s="20" t="str">
        <f aca="false">IF(A371="","",COUNTIF('Metric to Field'!$B:$B,A371))</f>
        <v/>
      </c>
      <c r="O371" s="20" t="str">
        <f aca="false">IF(A371="","",SUMIF('Metric to Field'!$B:$B,A371,'Metric to Field'!$F:$F))</f>
        <v/>
      </c>
      <c r="P371" s="30"/>
      <c r="Q371" s="30"/>
      <c r="R371" s="30"/>
      <c r="S371" s="30"/>
      <c r="T371" s="34" t="str">
        <f aca="false">IF(AND(A371&lt;&gt;"",K371="Fix upstream"),COUNTIF($K$5:K371,"Fix upstream"),"")</f>
        <v/>
      </c>
      <c r="U371" s="34" t="str">
        <f aca="false">IF(AND(A371&lt;&gt;"",OR(K371="Move to business rules",K371="Merge into certified table")),COUNTIF($K$5:K371,"Move to business rules")+COUNTIF($K$5:K371,"Merge into certified table"),"")</f>
        <v/>
      </c>
      <c r="V371" s="34" t="str">
        <f aca="false">IF(AND(A371&lt;&gt;"",OR(K371="",K371="Undecided",J371="")),SUMPRODUCT(($A$5:A371&lt;&gt;"")*((($K$5:K371="")+($K$5:K371="Undecided")+($J$5:J371=""))&gt;0)),"")</f>
        <v/>
      </c>
    </row>
    <row r="372" customFormat="false" ht="15" hidden="false" customHeight="false" outlineLevel="0" collapsed="false">
      <c r="A372" s="29"/>
      <c r="B372" s="30"/>
      <c r="C372" s="30"/>
      <c r="D372" s="29"/>
      <c r="E372" s="20" t="str">
        <f aca="false">IF(D372="","",IFERROR(INDEX(Tables!$B:$B,MATCH(D372,Tables!$A:$A,0)),"ID not found"))</f>
        <v/>
      </c>
      <c r="F372" s="20" t="str">
        <f aca="false">IF(D372="","",IFERROR(INDEX(Tables!$C:$C,MATCH(D372,Tables!$A:$A,0)),""))</f>
        <v/>
      </c>
      <c r="G372" s="30"/>
      <c r="H372" s="30"/>
      <c r="I372" s="30"/>
      <c r="J372" s="30"/>
      <c r="K372" s="30"/>
      <c r="L372" s="30"/>
      <c r="M372" s="30"/>
      <c r="N372" s="20" t="str">
        <f aca="false">IF(A372="","",COUNTIF('Metric to Field'!$B:$B,A372))</f>
        <v/>
      </c>
      <c r="O372" s="20" t="str">
        <f aca="false">IF(A372="","",SUMIF('Metric to Field'!$B:$B,A372,'Metric to Field'!$F:$F))</f>
        <v/>
      </c>
      <c r="P372" s="30"/>
      <c r="Q372" s="30"/>
      <c r="R372" s="30"/>
      <c r="S372" s="30"/>
      <c r="T372" s="34" t="str">
        <f aca="false">IF(AND(A372&lt;&gt;"",K372="Fix upstream"),COUNTIF($K$5:K372,"Fix upstream"),"")</f>
        <v/>
      </c>
      <c r="U372" s="34" t="str">
        <f aca="false">IF(AND(A372&lt;&gt;"",OR(K372="Move to business rules",K372="Merge into certified table")),COUNTIF($K$5:K372,"Move to business rules")+COUNTIF($K$5:K372,"Merge into certified table"),"")</f>
        <v/>
      </c>
      <c r="V372" s="34" t="str">
        <f aca="false">IF(AND(A372&lt;&gt;"",OR(K372="",K372="Undecided",J372="")),SUMPRODUCT(($A$5:A372&lt;&gt;"")*((($K$5:K372="")+($K$5:K372="Undecided")+($J$5:J372=""))&gt;0)),"")</f>
        <v/>
      </c>
    </row>
    <row r="373" customFormat="false" ht="15" hidden="false" customHeight="false" outlineLevel="0" collapsed="false">
      <c r="A373" s="29"/>
      <c r="B373" s="30"/>
      <c r="C373" s="30"/>
      <c r="D373" s="29"/>
      <c r="E373" s="20" t="str">
        <f aca="false">IF(D373="","",IFERROR(INDEX(Tables!$B:$B,MATCH(D373,Tables!$A:$A,0)),"ID not found"))</f>
        <v/>
      </c>
      <c r="F373" s="20" t="str">
        <f aca="false">IF(D373="","",IFERROR(INDEX(Tables!$C:$C,MATCH(D373,Tables!$A:$A,0)),""))</f>
        <v/>
      </c>
      <c r="G373" s="30"/>
      <c r="H373" s="30"/>
      <c r="I373" s="30"/>
      <c r="J373" s="30"/>
      <c r="K373" s="30"/>
      <c r="L373" s="30"/>
      <c r="M373" s="30"/>
      <c r="N373" s="20" t="str">
        <f aca="false">IF(A373="","",COUNTIF('Metric to Field'!$B:$B,A373))</f>
        <v/>
      </c>
      <c r="O373" s="20" t="str">
        <f aca="false">IF(A373="","",SUMIF('Metric to Field'!$B:$B,A373,'Metric to Field'!$F:$F))</f>
        <v/>
      </c>
      <c r="P373" s="30"/>
      <c r="Q373" s="30"/>
      <c r="R373" s="30"/>
      <c r="S373" s="30"/>
      <c r="T373" s="34" t="str">
        <f aca="false">IF(AND(A373&lt;&gt;"",K373="Fix upstream"),COUNTIF($K$5:K373,"Fix upstream"),"")</f>
        <v/>
      </c>
      <c r="U373" s="34" t="str">
        <f aca="false">IF(AND(A373&lt;&gt;"",OR(K373="Move to business rules",K373="Merge into certified table")),COUNTIF($K$5:K373,"Move to business rules")+COUNTIF($K$5:K373,"Merge into certified table"),"")</f>
        <v/>
      </c>
      <c r="V373" s="34" t="str">
        <f aca="false">IF(AND(A373&lt;&gt;"",OR(K373="",K373="Undecided",J373="")),SUMPRODUCT(($A$5:A373&lt;&gt;"")*((($K$5:K373="")+($K$5:K373="Undecided")+($J$5:J373=""))&gt;0)),"")</f>
        <v/>
      </c>
    </row>
    <row r="374" customFormat="false" ht="15" hidden="false" customHeight="false" outlineLevel="0" collapsed="false">
      <c r="A374" s="29"/>
      <c r="B374" s="30"/>
      <c r="C374" s="30"/>
      <c r="D374" s="29"/>
      <c r="E374" s="20" t="str">
        <f aca="false">IF(D374="","",IFERROR(INDEX(Tables!$B:$B,MATCH(D374,Tables!$A:$A,0)),"ID not found"))</f>
        <v/>
      </c>
      <c r="F374" s="20" t="str">
        <f aca="false">IF(D374="","",IFERROR(INDEX(Tables!$C:$C,MATCH(D374,Tables!$A:$A,0)),""))</f>
        <v/>
      </c>
      <c r="G374" s="30"/>
      <c r="H374" s="30"/>
      <c r="I374" s="30"/>
      <c r="J374" s="30"/>
      <c r="K374" s="30"/>
      <c r="L374" s="30"/>
      <c r="M374" s="30"/>
      <c r="N374" s="20" t="str">
        <f aca="false">IF(A374="","",COUNTIF('Metric to Field'!$B:$B,A374))</f>
        <v/>
      </c>
      <c r="O374" s="20" t="str">
        <f aca="false">IF(A374="","",SUMIF('Metric to Field'!$B:$B,A374,'Metric to Field'!$F:$F))</f>
        <v/>
      </c>
      <c r="P374" s="30"/>
      <c r="Q374" s="30"/>
      <c r="R374" s="30"/>
      <c r="S374" s="30"/>
      <c r="T374" s="34" t="str">
        <f aca="false">IF(AND(A374&lt;&gt;"",K374="Fix upstream"),COUNTIF($K$5:K374,"Fix upstream"),"")</f>
        <v/>
      </c>
      <c r="U374" s="34" t="str">
        <f aca="false">IF(AND(A374&lt;&gt;"",OR(K374="Move to business rules",K374="Merge into certified table")),COUNTIF($K$5:K374,"Move to business rules")+COUNTIF($K$5:K374,"Merge into certified table"),"")</f>
        <v/>
      </c>
      <c r="V374" s="34" t="str">
        <f aca="false">IF(AND(A374&lt;&gt;"",OR(K374="",K374="Undecided",J374="")),SUMPRODUCT(($A$5:A374&lt;&gt;"")*((($K$5:K374="")+($K$5:K374="Undecided")+($J$5:J374=""))&gt;0)),"")</f>
        <v/>
      </c>
    </row>
    <row r="375" customFormat="false" ht="15" hidden="false" customHeight="false" outlineLevel="0" collapsed="false">
      <c r="A375" s="29"/>
      <c r="B375" s="30"/>
      <c r="C375" s="30"/>
      <c r="D375" s="29"/>
      <c r="E375" s="20" t="str">
        <f aca="false">IF(D375="","",IFERROR(INDEX(Tables!$B:$B,MATCH(D375,Tables!$A:$A,0)),"ID not found"))</f>
        <v/>
      </c>
      <c r="F375" s="20" t="str">
        <f aca="false">IF(D375="","",IFERROR(INDEX(Tables!$C:$C,MATCH(D375,Tables!$A:$A,0)),""))</f>
        <v/>
      </c>
      <c r="G375" s="30"/>
      <c r="H375" s="30"/>
      <c r="I375" s="30"/>
      <c r="J375" s="30"/>
      <c r="K375" s="30"/>
      <c r="L375" s="30"/>
      <c r="M375" s="30"/>
      <c r="N375" s="20" t="str">
        <f aca="false">IF(A375="","",COUNTIF('Metric to Field'!$B:$B,A375))</f>
        <v/>
      </c>
      <c r="O375" s="20" t="str">
        <f aca="false">IF(A375="","",SUMIF('Metric to Field'!$B:$B,A375,'Metric to Field'!$F:$F))</f>
        <v/>
      </c>
      <c r="P375" s="30"/>
      <c r="Q375" s="30"/>
      <c r="R375" s="30"/>
      <c r="S375" s="30"/>
      <c r="T375" s="34" t="str">
        <f aca="false">IF(AND(A375&lt;&gt;"",K375="Fix upstream"),COUNTIF($K$5:K375,"Fix upstream"),"")</f>
        <v/>
      </c>
      <c r="U375" s="34" t="str">
        <f aca="false">IF(AND(A375&lt;&gt;"",OR(K375="Move to business rules",K375="Merge into certified table")),COUNTIF($K$5:K375,"Move to business rules")+COUNTIF($K$5:K375,"Merge into certified table"),"")</f>
        <v/>
      </c>
      <c r="V375" s="34" t="str">
        <f aca="false">IF(AND(A375&lt;&gt;"",OR(K375="",K375="Undecided",J375="")),SUMPRODUCT(($A$5:A375&lt;&gt;"")*((($K$5:K375="")+($K$5:K375="Undecided")+($J$5:J375=""))&gt;0)),"")</f>
        <v/>
      </c>
    </row>
    <row r="376" customFormat="false" ht="15" hidden="false" customHeight="false" outlineLevel="0" collapsed="false">
      <c r="A376" s="29"/>
      <c r="B376" s="30"/>
      <c r="C376" s="30"/>
      <c r="D376" s="29"/>
      <c r="E376" s="20" t="str">
        <f aca="false">IF(D376="","",IFERROR(INDEX(Tables!$B:$B,MATCH(D376,Tables!$A:$A,0)),"ID not found"))</f>
        <v/>
      </c>
      <c r="F376" s="20" t="str">
        <f aca="false">IF(D376="","",IFERROR(INDEX(Tables!$C:$C,MATCH(D376,Tables!$A:$A,0)),""))</f>
        <v/>
      </c>
      <c r="G376" s="30"/>
      <c r="H376" s="30"/>
      <c r="I376" s="30"/>
      <c r="J376" s="30"/>
      <c r="K376" s="30"/>
      <c r="L376" s="30"/>
      <c r="M376" s="30"/>
      <c r="N376" s="20" t="str">
        <f aca="false">IF(A376="","",COUNTIF('Metric to Field'!$B:$B,A376))</f>
        <v/>
      </c>
      <c r="O376" s="20" t="str">
        <f aca="false">IF(A376="","",SUMIF('Metric to Field'!$B:$B,A376,'Metric to Field'!$F:$F))</f>
        <v/>
      </c>
      <c r="P376" s="30"/>
      <c r="Q376" s="30"/>
      <c r="R376" s="30"/>
      <c r="S376" s="30"/>
      <c r="T376" s="34" t="str">
        <f aca="false">IF(AND(A376&lt;&gt;"",K376="Fix upstream"),COUNTIF($K$5:K376,"Fix upstream"),"")</f>
        <v/>
      </c>
      <c r="U376" s="34" t="str">
        <f aca="false">IF(AND(A376&lt;&gt;"",OR(K376="Move to business rules",K376="Merge into certified table")),COUNTIF($K$5:K376,"Move to business rules")+COUNTIF($K$5:K376,"Merge into certified table"),"")</f>
        <v/>
      </c>
      <c r="V376" s="34" t="str">
        <f aca="false">IF(AND(A376&lt;&gt;"",OR(K376="",K376="Undecided",J376="")),SUMPRODUCT(($A$5:A376&lt;&gt;"")*((($K$5:K376="")+($K$5:K376="Undecided")+($J$5:J376=""))&gt;0)),"")</f>
        <v/>
      </c>
    </row>
    <row r="377" customFormat="false" ht="15" hidden="false" customHeight="false" outlineLevel="0" collapsed="false">
      <c r="A377" s="29"/>
      <c r="B377" s="30"/>
      <c r="C377" s="30"/>
      <c r="D377" s="29"/>
      <c r="E377" s="20" t="str">
        <f aca="false">IF(D377="","",IFERROR(INDEX(Tables!$B:$B,MATCH(D377,Tables!$A:$A,0)),"ID not found"))</f>
        <v/>
      </c>
      <c r="F377" s="20" t="str">
        <f aca="false">IF(D377="","",IFERROR(INDEX(Tables!$C:$C,MATCH(D377,Tables!$A:$A,0)),""))</f>
        <v/>
      </c>
      <c r="G377" s="30"/>
      <c r="H377" s="30"/>
      <c r="I377" s="30"/>
      <c r="J377" s="30"/>
      <c r="K377" s="30"/>
      <c r="L377" s="30"/>
      <c r="M377" s="30"/>
      <c r="N377" s="20" t="str">
        <f aca="false">IF(A377="","",COUNTIF('Metric to Field'!$B:$B,A377))</f>
        <v/>
      </c>
      <c r="O377" s="20" t="str">
        <f aca="false">IF(A377="","",SUMIF('Metric to Field'!$B:$B,A377,'Metric to Field'!$F:$F))</f>
        <v/>
      </c>
      <c r="P377" s="30"/>
      <c r="Q377" s="30"/>
      <c r="R377" s="30"/>
      <c r="S377" s="30"/>
      <c r="T377" s="34" t="str">
        <f aca="false">IF(AND(A377&lt;&gt;"",K377="Fix upstream"),COUNTIF($K$5:K377,"Fix upstream"),"")</f>
        <v/>
      </c>
      <c r="U377" s="34" t="str">
        <f aca="false">IF(AND(A377&lt;&gt;"",OR(K377="Move to business rules",K377="Merge into certified table")),COUNTIF($K$5:K377,"Move to business rules")+COUNTIF($K$5:K377,"Merge into certified table"),"")</f>
        <v/>
      </c>
      <c r="V377" s="34" t="str">
        <f aca="false">IF(AND(A377&lt;&gt;"",OR(K377="",K377="Undecided",J377="")),SUMPRODUCT(($A$5:A377&lt;&gt;"")*((($K$5:K377="")+($K$5:K377="Undecided")+($J$5:J377=""))&gt;0)),"")</f>
        <v/>
      </c>
    </row>
    <row r="378" customFormat="false" ht="15" hidden="false" customHeight="false" outlineLevel="0" collapsed="false">
      <c r="A378" s="29"/>
      <c r="B378" s="30"/>
      <c r="C378" s="30"/>
      <c r="D378" s="29"/>
      <c r="E378" s="20" t="str">
        <f aca="false">IF(D378="","",IFERROR(INDEX(Tables!$B:$B,MATCH(D378,Tables!$A:$A,0)),"ID not found"))</f>
        <v/>
      </c>
      <c r="F378" s="20" t="str">
        <f aca="false">IF(D378="","",IFERROR(INDEX(Tables!$C:$C,MATCH(D378,Tables!$A:$A,0)),""))</f>
        <v/>
      </c>
      <c r="G378" s="30"/>
      <c r="H378" s="30"/>
      <c r="I378" s="30"/>
      <c r="J378" s="30"/>
      <c r="K378" s="30"/>
      <c r="L378" s="30"/>
      <c r="M378" s="30"/>
      <c r="N378" s="20" t="str">
        <f aca="false">IF(A378="","",COUNTIF('Metric to Field'!$B:$B,A378))</f>
        <v/>
      </c>
      <c r="O378" s="20" t="str">
        <f aca="false">IF(A378="","",SUMIF('Metric to Field'!$B:$B,A378,'Metric to Field'!$F:$F))</f>
        <v/>
      </c>
      <c r="P378" s="30"/>
      <c r="Q378" s="30"/>
      <c r="R378" s="30"/>
      <c r="S378" s="30"/>
      <c r="T378" s="34" t="str">
        <f aca="false">IF(AND(A378&lt;&gt;"",K378="Fix upstream"),COUNTIF($K$5:K378,"Fix upstream"),"")</f>
        <v/>
      </c>
      <c r="U378" s="34" t="str">
        <f aca="false">IF(AND(A378&lt;&gt;"",OR(K378="Move to business rules",K378="Merge into certified table")),COUNTIF($K$5:K378,"Move to business rules")+COUNTIF($K$5:K378,"Merge into certified table"),"")</f>
        <v/>
      </c>
      <c r="V378" s="34" t="str">
        <f aca="false">IF(AND(A378&lt;&gt;"",OR(K378="",K378="Undecided",J378="")),SUMPRODUCT(($A$5:A378&lt;&gt;"")*((($K$5:K378="")+($K$5:K378="Undecided")+($J$5:J378=""))&gt;0)),"")</f>
        <v/>
      </c>
    </row>
    <row r="379" customFormat="false" ht="15" hidden="false" customHeight="false" outlineLevel="0" collapsed="false">
      <c r="A379" s="29"/>
      <c r="B379" s="30"/>
      <c r="C379" s="30"/>
      <c r="D379" s="29"/>
      <c r="E379" s="20" t="str">
        <f aca="false">IF(D379="","",IFERROR(INDEX(Tables!$B:$B,MATCH(D379,Tables!$A:$A,0)),"ID not found"))</f>
        <v/>
      </c>
      <c r="F379" s="20" t="str">
        <f aca="false">IF(D379="","",IFERROR(INDEX(Tables!$C:$C,MATCH(D379,Tables!$A:$A,0)),""))</f>
        <v/>
      </c>
      <c r="G379" s="30"/>
      <c r="H379" s="30"/>
      <c r="I379" s="30"/>
      <c r="J379" s="30"/>
      <c r="K379" s="30"/>
      <c r="L379" s="30"/>
      <c r="M379" s="30"/>
      <c r="N379" s="20" t="str">
        <f aca="false">IF(A379="","",COUNTIF('Metric to Field'!$B:$B,A379))</f>
        <v/>
      </c>
      <c r="O379" s="20" t="str">
        <f aca="false">IF(A379="","",SUMIF('Metric to Field'!$B:$B,A379,'Metric to Field'!$F:$F))</f>
        <v/>
      </c>
      <c r="P379" s="30"/>
      <c r="Q379" s="30"/>
      <c r="R379" s="30"/>
      <c r="S379" s="30"/>
      <c r="T379" s="34" t="str">
        <f aca="false">IF(AND(A379&lt;&gt;"",K379="Fix upstream"),COUNTIF($K$5:K379,"Fix upstream"),"")</f>
        <v/>
      </c>
      <c r="U379" s="34" t="str">
        <f aca="false">IF(AND(A379&lt;&gt;"",OR(K379="Move to business rules",K379="Merge into certified table")),COUNTIF($K$5:K379,"Move to business rules")+COUNTIF($K$5:K379,"Merge into certified table"),"")</f>
        <v/>
      </c>
      <c r="V379" s="34" t="str">
        <f aca="false">IF(AND(A379&lt;&gt;"",OR(K379="",K379="Undecided",J379="")),SUMPRODUCT(($A$5:A379&lt;&gt;"")*((($K$5:K379="")+($K$5:K379="Undecided")+($J$5:J379=""))&gt;0)),"")</f>
        <v/>
      </c>
    </row>
    <row r="380" customFormat="false" ht="15" hidden="false" customHeight="false" outlineLevel="0" collapsed="false">
      <c r="A380" s="29"/>
      <c r="B380" s="30"/>
      <c r="C380" s="30"/>
      <c r="D380" s="29"/>
      <c r="E380" s="20" t="str">
        <f aca="false">IF(D380="","",IFERROR(INDEX(Tables!$B:$B,MATCH(D380,Tables!$A:$A,0)),"ID not found"))</f>
        <v/>
      </c>
      <c r="F380" s="20" t="str">
        <f aca="false">IF(D380="","",IFERROR(INDEX(Tables!$C:$C,MATCH(D380,Tables!$A:$A,0)),""))</f>
        <v/>
      </c>
      <c r="G380" s="30"/>
      <c r="H380" s="30"/>
      <c r="I380" s="30"/>
      <c r="J380" s="30"/>
      <c r="K380" s="30"/>
      <c r="L380" s="30"/>
      <c r="M380" s="30"/>
      <c r="N380" s="20" t="str">
        <f aca="false">IF(A380="","",COUNTIF('Metric to Field'!$B:$B,A380))</f>
        <v/>
      </c>
      <c r="O380" s="20" t="str">
        <f aca="false">IF(A380="","",SUMIF('Metric to Field'!$B:$B,A380,'Metric to Field'!$F:$F))</f>
        <v/>
      </c>
      <c r="P380" s="30"/>
      <c r="Q380" s="30"/>
      <c r="R380" s="30"/>
      <c r="S380" s="30"/>
      <c r="T380" s="34" t="str">
        <f aca="false">IF(AND(A380&lt;&gt;"",K380="Fix upstream"),COUNTIF($K$5:K380,"Fix upstream"),"")</f>
        <v/>
      </c>
      <c r="U380" s="34" t="str">
        <f aca="false">IF(AND(A380&lt;&gt;"",OR(K380="Move to business rules",K380="Merge into certified table")),COUNTIF($K$5:K380,"Move to business rules")+COUNTIF($K$5:K380,"Merge into certified table"),"")</f>
        <v/>
      </c>
      <c r="V380" s="34" t="str">
        <f aca="false">IF(AND(A380&lt;&gt;"",OR(K380="",K380="Undecided",J380="")),SUMPRODUCT(($A$5:A380&lt;&gt;"")*((($K$5:K380="")+($K$5:K380="Undecided")+($J$5:J380=""))&gt;0)),"")</f>
        <v/>
      </c>
    </row>
    <row r="381" customFormat="false" ht="15" hidden="false" customHeight="false" outlineLevel="0" collapsed="false">
      <c r="A381" s="29"/>
      <c r="B381" s="30"/>
      <c r="C381" s="30"/>
      <c r="D381" s="29"/>
      <c r="E381" s="20" t="str">
        <f aca="false">IF(D381="","",IFERROR(INDEX(Tables!$B:$B,MATCH(D381,Tables!$A:$A,0)),"ID not found"))</f>
        <v/>
      </c>
      <c r="F381" s="20" t="str">
        <f aca="false">IF(D381="","",IFERROR(INDEX(Tables!$C:$C,MATCH(D381,Tables!$A:$A,0)),""))</f>
        <v/>
      </c>
      <c r="G381" s="30"/>
      <c r="H381" s="30"/>
      <c r="I381" s="30"/>
      <c r="J381" s="30"/>
      <c r="K381" s="30"/>
      <c r="L381" s="30"/>
      <c r="M381" s="30"/>
      <c r="N381" s="20" t="str">
        <f aca="false">IF(A381="","",COUNTIF('Metric to Field'!$B:$B,A381))</f>
        <v/>
      </c>
      <c r="O381" s="20" t="str">
        <f aca="false">IF(A381="","",SUMIF('Metric to Field'!$B:$B,A381,'Metric to Field'!$F:$F))</f>
        <v/>
      </c>
      <c r="P381" s="30"/>
      <c r="Q381" s="30"/>
      <c r="R381" s="30"/>
      <c r="S381" s="30"/>
      <c r="T381" s="34" t="str">
        <f aca="false">IF(AND(A381&lt;&gt;"",K381="Fix upstream"),COUNTIF($K$5:K381,"Fix upstream"),"")</f>
        <v/>
      </c>
      <c r="U381" s="34" t="str">
        <f aca="false">IF(AND(A381&lt;&gt;"",OR(K381="Move to business rules",K381="Merge into certified table")),COUNTIF($K$5:K381,"Move to business rules")+COUNTIF($K$5:K381,"Merge into certified table"),"")</f>
        <v/>
      </c>
      <c r="V381" s="34" t="str">
        <f aca="false">IF(AND(A381&lt;&gt;"",OR(K381="",K381="Undecided",J381="")),SUMPRODUCT(($A$5:A381&lt;&gt;"")*((($K$5:K381="")+($K$5:K381="Undecided")+($J$5:J381=""))&gt;0)),"")</f>
        <v/>
      </c>
    </row>
    <row r="382" customFormat="false" ht="15" hidden="false" customHeight="false" outlineLevel="0" collapsed="false">
      <c r="A382" s="29"/>
      <c r="B382" s="30"/>
      <c r="C382" s="30"/>
      <c r="D382" s="29"/>
      <c r="E382" s="20" t="str">
        <f aca="false">IF(D382="","",IFERROR(INDEX(Tables!$B:$B,MATCH(D382,Tables!$A:$A,0)),"ID not found"))</f>
        <v/>
      </c>
      <c r="F382" s="20" t="str">
        <f aca="false">IF(D382="","",IFERROR(INDEX(Tables!$C:$C,MATCH(D382,Tables!$A:$A,0)),""))</f>
        <v/>
      </c>
      <c r="G382" s="30"/>
      <c r="H382" s="30"/>
      <c r="I382" s="30"/>
      <c r="J382" s="30"/>
      <c r="K382" s="30"/>
      <c r="L382" s="30"/>
      <c r="M382" s="30"/>
      <c r="N382" s="20" t="str">
        <f aca="false">IF(A382="","",COUNTIF('Metric to Field'!$B:$B,A382))</f>
        <v/>
      </c>
      <c r="O382" s="20" t="str">
        <f aca="false">IF(A382="","",SUMIF('Metric to Field'!$B:$B,A382,'Metric to Field'!$F:$F))</f>
        <v/>
      </c>
      <c r="P382" s="30"/>
      <c r="Q382" s="30"/>
      <c r="R382" s="30"/>
      <c r="S382" s="30"/>
      <c r="T382" s="34" t="str">
        <f aca="false">IF(AND(A382&lt;&gt;"",K382="Fix upstream"),COUNTIF($K$5:K382,"Fix upstream"),"")</f>
        <v/>
      </c>
      <c r="U382" s="34" t="str">
        <f aca="false">IF(AND(A382&lt;&gt;"",OR(K382="Move to business rules",K382="Merge into certified table")),COUNTIF($K$5:K382,"Move to business rules")+COUNTIF($K$5:K382,"Merge into certified table"),"")</f>
        <v/>
      </c>
      <c r="V382" s="34" t="str">
        <f aca="false">IF(AND(A382&lt;&gt;"",OR(K382="",K382="Undecided",J382="")),SUMPRODUCT(($A$5:A382&lt;&gt;"")*((($K$5:K382="")+($K$5:K382="Undecided")+($J$5:J382=""))&gt;0)),"")</f>
        <v/>
      </c>
    </row>
    <row r="383" customFormat="false" ht="15" hidden="false" customHeight="false" outlineLevel="0" collapsed="false">
      <c r="A383" s="29"/>
      <c r="B383" s="30"/>
      <c r="C383" s="30"/>
      <c r="D383" s="29"/>
      <c r="E383" s="20" t="str">
        <f aca="false">IF(D383="","",IFERROR(INDEX(Tables!$B:$B,MATCH(D383,Tables!$A:$A,0)),"ID not found"))</f>
        <v/>
      </c>
      <c r="F383" s="20" t="str">
        <f aca="false">IF(D383="","",IFERROR(INDEX(Tables!$C:$C,MATCH(D383,Tables!$A:$A,0)),""))</f>
        <v/>
      </c>
      <c r="G383" s="30"/>
      <c r="H383" s="30"/>
      <c r="I383" s="30"/>
      <c r="J383" s="30"/>
      <c r="K383" s="30"/>
      <c r="L383" s="30"/>
      <c r="M383" s="30"/>
      <c r="N383" s="20" t="str">
        <f aca="false">IF(A383="","",COUNTIF('Metric to Field'!$B:$B,A383))</f>
        <v/>
      </c>
      <c r="O383" s="20" t="str">
        <f aca="false">IF(A383="","",SUMIF('Metric to Field'!$B:$B,A383,'Metric to Field'!$F:$F))</f>
        <v/>
      </c>
      <c r="P383" s="30"/>
      <c r="Q383" s="30"/>
      <c r="R383" s="30"/>
      <c r="S383" s="30"/>
      <c r="T383" s="34" t="str">
        <f aca="false">IF(AND(A383&lt;&gt;"",K383="Fix upstream"),COUNTIF($K$5:K383,"Fix upstream"),"")</f>
        <v/>
      </c>
      <c r="U383" s="34" t="str">
        <f aca="false">IF(AND(A383&lt;&gt;"",OR(K383="Move to business rules",K383="Merge into certified table")),COUNTIF($K$5:K383,"Move to business rules")+COUNTIF($K$5:K383,"Merge into certified table"),"")</f>
        <v/>
      </c>
      <c r="V383" s="34" t="str">
        <f aca="false">IF(AND(A383&lt;&gt;"",OR(K383="",K383="Undecided",J383="")),SUMPRODUCT(($A$5:A383&lt;&gt;"")*((($K$5:K383="")+($K$5:K383="Undecided")+($J$5:J383=""))&gt;0)),"")</f>
        <v/>
      </c>
    </row>
    <row r="384" customFormat="false" ht="15" hidden="false" customHeight="false" outlineLevel="0" collapsed="false">
      <c r="A384" s="29"/>
      <c r="B384" s="30"/>
      <c r="C384" s="30"/>
      <c r="D384" s="29"/>
      <c r="E384" s="20" t="str">
        <f aca="false">IF(D384="","",IFERROR(INDEX(Tables!$B:$B,MATCH(D384,Tables!$A:$A,0)),"ID not found"))</f>
        <v/>
      </c>
      <c r="F384" s="20" t="str">
        <f aca="false">IF(D384="","",IFERROR(INDEX(Tables!$C:$C,MATCH(D384,Tables!$A:$A,0)),""))</f>
        <v/>
      </c>
      <c r="G384" s="30"/>
      <c r="H384" s="30"/>
      <c r="I384" s="30"/>
      <c r="J384" s="30"/>
      <c r="K384" s="30"/>
      <c r="L384" s="30"/>
      <c r="M384" s="30"/>
      <c r="N384" s="20" t="str">
        <f aca="false">IF(A384="","",COUNTIF('Metric to Field'!$B:$B,A384))</f>
        <v/>
      </c>
      <c r="O384" s="20" t="str">
        <f aca="false">IF(A384="","",SUMIF('Metric to Field'!$B:$B,A384,'Metric to Field'!$F:$F))</f>
        <v/>
      </c>
      <c r="P384" s="30"/>
      <c r="Q384" s="30"/>
      <c r="R384" s="30"/>
      <c r="S384" s="30"/>
      <c r="T384" s="34" t="str">
        <f aca="false">IF(AND(A384&lt;&gt;"",K384="Fix upstream"),COUNTIF($K$5:K384,"Fix upstream"),"")</f>
        <v/>
      </c>
      <c r="U384" s="34" t="str">
        <f aca="false">IF(AND(A384&lt;&gt;"",OR(K384="Move to business rules",K384="Merge into certified table")),COUNTIF($K$5:K384,"Move to business rules")+COUNTIF($K$5:K384,"Merge into certified table"),"")</f>
        <v/>
      </c>
      <c r="V384" s="34" t="str">
        <f aca="false">IF(AND(A384&lt;&gt;"",OR(K384="",K384="Undecided",J384="")),SUMPRODUCT(($A$5:A384&lt;&gt;"")*((($K$5:K384="")+($K$5:K384="Undecided")+($J$5:J384=""))&gt;0)),"")</f>
        <v/>
      </c>
    </row>
    <row r="385" customFormat="false" ht="15" hidden="false" customHeight="false" outlineLevel="0" collapsed="false">
      <c r="A385" s="29"/>
      <c r="B385" s="30"/>
      <c r="C385" s="30"/>
      <c r="D385" s="29"/>
      <c r="E385" s="20" t="str">
        <f aca="false">IF(D385="","",IFERROR(INDEX(Tables!$B:$B,MATCH(D385,Tables!$A:$A,0)),"ID not found"))</f>
        <v/>
      </c>
      <c r="F385" s="20" t="str">
        <f aca="false">IF(D385="","",IFERROR(INDEX(Tables!$C:$C,MATCH(D385,Tables!$A:$A,0)),""))</f>
        <v/>
      </c>
      <c r="G385" s="30"/>
      <c r="H385" s="30"/>
      <c r="I385" s="30"/>
      <c r="J385" s="30"/>
      <c r="K385" s="30"/>
      <c r="L385" s="30"/>
      <c r="M385" s="30"/>
      <c r="N385" s="20" t="str">
        <f aca="false">IF(A385="","",COUNTIF('Metric to Field'!$B:$B,A385))</f>
        <v/>
      </c>
      <c r="O385" s="20" t="str">
        <f aca="false">IF(A385="","",SUMIF('Metric to Field'!$B:$B,A385,'Metric to Field'!$F:$F))</f>
        <v/>
      </c>
      <c r="P385" s="30"/>
      <c r="Q385" s="30"/>
      <c r="R385" s="30"/>
      <c r="S385" s="30"/>
      <c r="T385" s="34" t="str">
        <f aca="false">IF(AND(A385&lt;&gt;"",K385="Fix upstream"),COUNTIF($K$5:K385,"Fix upstream"),"")</f>
        <v/>
      </c>
      <c r="U385" s="34" t="str">
        <f aca="false">IF(AND(A385&lt;&gt;"",OR(K385="Move to business rules",K385="Merge into certified table")),COUNTIF($K$5:K385,"Move to business rules")+COUNTIF($K$5:K385,"Merge into certified table"),"")</f>
        <v/>
      </c>
      <c r="V385" s="34" t="str">
        <f aca="false">IF(AND(A385&lt;&gt;"",OR(K385="",K385="Undecided",J385="")),SUMPRODUCT(($A$5:A385&lt;&gt;"")*((($K$5:K385="")+($K$5:K385="Undecided")+($J$5:J385=""))&gt;0)),"")</f>
        <v/>
      </c>
    </row>
    <row r="386" customFormat="false" ht="15" hidden="false" customHeight="false" outlineLevel="0" collapsed="false">
      <c r="A386" s="29"/>
      <c r="B386" s="30"/>
      <c r="C386" s="30"/>
      <c r="D386" s="29"/>
      <c r="E386" s="20" t="str">
        <f aca="false">IF(D386="","",IFERROR(INDEX(Tables!$B:$B,MATCH(D386,Tables!$A:$A,0)),"ID not found"))</f>
        <v/>
      </c>
      <c r="F386" s="20" t="str">
        <f aca="false">IF(D386="","",IFERROR(INDEX(Tables!$C:$C,MATCH(D386,Tables!$A:$A,0)),""))</f>
        <v/>
      </c>
      <c r="G386" s="30"/>
      <c r="H386" s="30"/>
      <c r="I386" s="30"/>
      <c r="J386" s="30"/>
      <c r="K386" s="30"/>
      <c r="L386" s="30"/>
      <c r="M386" s="30"/>
      <c r="N386" s="20" t="str">
        <f aca="false">IF(A386="","",COUNTIF('Metric to Field'!$B:$B,A386))</f>
        <v/>
      </c>
      <c r="O386" s="20" t="str">
        <f aca="false">IF(A386="","",SUMIF('Metric to Field'!$B:$B,A386,'Metric to Field'!$F:$F))</f>
        <v/>
      </c>
      <c r="P386" s="30"/>
      <c r="Q386" s="30"/>
      <c r="R386" s="30"/>
      <c r="S386" s="30"/>
      <c r="T386" s="34" t="str">
        <f aca="false">IF(AND(A386&lt;&gt;"",K386="Fix upstream"),COUNTIF($K$5:K386,"Fix upstream"),"")</f>
        <v/>
      </c>
      <c r="U386" s="34" t="str">
        <f aca="false">IF(AND(A386&lt;&gt;"",OR(K386="Move to business rules",K386="Merge into certified table")),COUNTIF($K$5:K386,"Move to business rules")+COUNTIF($K$5:K386,"Merge into certified table"),"")</f>
        <v/>
      </c>
      <c r="V386" s="34" t="str">
        <f aca="false">IF(AND(A386&lt;&gt;"",OR(K386="",K386="Undecided",J386="")),SUMPRODUCT(($A$5:A386&lt;&gt;"")*((($K$5:K386="")+($K$5:K386="Undecided")+($J$5:J386=""))&gt;0)),"")</f>
        <v/>
      </c>
    </row>
    <row r="387" customFormat="false" ht="15" hidden="false" customHeight="false" outlineLevel="0" collapsed="false">
      <c r="A387" s="29"/>
      <c r="B387" s="30"/>
      <c r="C387" s="30"/>
      <c r="D387" s="29"/>
      <c r="E387" s="20" t="str">
        <f aca="false">IF(D387="","",IFERROR(INDEX(Tables!$B:$B,MATCH(D387,Tables!$A:$A,0)),"ID not found"))</f>
        <v/>
      </c>
      <c r="F387" s="20" t="str">
        <f aca="false">IF(D387="","",IFERROR(INDEX(Tables!$C:$C,MATCH(D387,Tables!$A:$A,0)),""))</f>
        <v/>
      </c>
      <c r="G387" s="30"/>
      <c r="H387" s="30"/>
      <c r="I387" s="30"/>
      <c r="J387" s="30"/>
      <c r="K387" s="30"/>
      <c r="L387" s="30"/>
      <c r="M387" s="30"/>
      <c r="N387" s="20" t="str">
        <f aca="false">IF(A387="","",COUNTIF('Metric to Field'!$B:$B,A387))</f>
        <v/>
      </c>
      <c r="O387" s="20" t="str">
        <f aca="false">IF(A387="","",SUMIF('Metric to Field'!$B:$B,A387,'Metric to Field'!$F:$F))</f>
        <v/>
      </c>
      <c r="P387" s="30"/>
      <c r="Q387" s="30"/>
      <c r="R387" s="30"/>
      <c r="S387" s="30"/>
      <c r="T387" s="34" t="str">
        <f aca="false">IF(AND(A387&lt;&gt;"",K387="Fix upstream"),COUNTIF($K$5:K387,"Fix upstream"),"")</f>
        <v/>
      </c>
      <c r="U387" s="34" t="str">
        <f aca="false">IF(AND(A387&lt;&gt;"",OR(K387="Move to business rules",K387="Merge into certified table")),COUNTIF($K$5:K387,"Move to business rules")+COUNTIF($K$5:K387,"Merge into certified table"),"")</f>
        <v/>
      </c>
      <c r="V387" s="34" t="str">
        <f aca="false">IF(AND(A387&lt;&gt;"",OR(K387="",K387="Undecided",J387="")),SUMPRODUCT(($A$5:A387&lt;&gt;"")*((($K$5:K387="")+($K$5:K387="Undecided")+($J$5:J387=""))&gt;0)),"")</f>
        <v/>
      </c>
    </row>
    <row r="388" customFormat="false" ht="15" hidden="false" customHeight="false" outlineLevel="0" collapsed="false">
      <c r="A388" s="29"/>
      <c r="B388" s="30"/>
      <c r="C388" s="30"/>
      <c r="D388" s="29"/>
      <c r="E388" s="20" t="str">
        <f aca="false">IF(D388="","",IFERROR(INDEX(Tables!$B:$B,MATCH(D388,Tables!$A:$A,0)),"ID not found"))</f>
        <v/>
      </c>
      <c r="F388" s="20" t="str">
        <f aca="false">IF(D388="","",IFERROR(INDEX(Tables!$C:$C,MATCH(D388,Tables!$A:$A,0)),""))</f>
        <v/>
      </c>
      <c r="G388" s="30"/>
      <c r="H388" s="30"/>
      <c r="I388" s="30"/>
      <c r="J388" s="30"/>
      <c r="K388" s="30"/>
      <c r="L388" s="30"/>
      <c r="M388" s="30"/>
      <c r="N388" s="20" t="str">
        <f aca="false">IF(A388="","",COUNTIF('Metric to Field'!$B:$B,A388))</f>
        <v/>
      </c>
      <c r="O388" s="20" t="str">
        <f aca="false">IF(A388="","",SUMIF('Metric to Field'!$B:$B,A388,'Metric to Field'!$F:$F))</f>
        <v/>
      </c>
      <c r="P388" s="30"/>
      <c r="Q388" s="30"/>
      <c r="R388" s="30"/>
      <c r="S388" s="30"/>
      <c r="T388" s="34" t="str">
        <f aca="false">IF(AND(A388&lt;&gt;"",K388="Fix upstream"),COUNTIF($K$5:K388,"Fix upstream"),"")</f>
        <v/>
      </c>
      <c r="U388" s="34" t="str">
        <f aca="false">IF(AND(A388&lt;&gt;"",OR(K388="Move to business rules",K388="Merge into certified table")),COUNTIF($K$5:K388,"Move to business rules")+COUNTIF($K$5:K388,"Merge into certified table"),"")</f>
        <v/>
      </c>
      <c r="V388" s="34" t="str">
        <f aca="false">IF(AND(A388&lt;&gt;"",OR(K388="",K388="Undecided",J388="")),SUMPRODUCT(($A$5:A388&lt;&gt;"")*((($K$5:K388="")+($K$5:K388="Undecided")+($J$5:J388=""))&gt;0)),"")</f>
        <v/>
      </c>
    </row>
    <row r="389" customFormat="false" ht="15" hidden="false" customHeight="false" outlineLevel="0" collapsed="false">
      <c r="A389" s="29"/>
      <c r="B389" s="30"/>
      <c r="C389" s="30"/>
      <c r="D389" s="29"/>
      <c r="E389" s="20" t="str">
        <f aca="false">IF(D389="","",IFERROR(INDEX(Tables!$B:$B,MATCH(D389,Tables!$A:$A,0)),"ID not found"))</f>
        <v/>
      </c>
      <c r="F389" s="20" t="str">
        <f aca="false">IF(D389="","",IFERROR(INDEX(Tables!$C:$C,MATCH(D389,Tables!$A:$A,0)),""))</f>
        <v/>
      </c>
      <c r="G389" s="30"/>
      <c r="H389" s="30"/>
      <c r="I389" s="30"/>
      <c r="J389" s="30"/>
      <c r="K389" s="30"/>
      <c r="L389" s="30"/>
      <c r="M389" s="30"/>
      <c r="N389" s="20" t="str">
        <f aca="false">IF(A389="","",COUNTIF('Metric to Field'!$B:$B,A389))</f>
        <v/>
      </c>
      <c r="O389" s="20" t="str">
        <f aca="false">IF(A389="","",SUMIF('Metric to Field'!$B:$B,A389,'Metric to Field'!$F:$F))</f>
        <v/>
      </c>
      <c r="P389" s="30"/>
      <c r="Q389" s="30"/>
      <c r="R389" s="30"/>
      <c r="S389" s="30"/>
      <c r="T389" s="34" t="str">
        <f aca="false">IF(AND(A389&lt;&gt;"",K389="Fix upstream"),COUNTIF($K$5:K389,"Fix upstream"),"")</f>
        <v/>
      </c>
      <c r="U389" s="34" t="str">
        <f aca="false">IF(AND(A389&lt;&gt;"",OR(K389="Move to business rules",K389="Merge into certified table")),COUNTIF($K$5:K389,"Move to business rules")+COUNTIF($K$5:K389,"Merge into certified table"),"")</f>
        <v/>
      </c>
      <c r="V389" s="34" t="str">
        <f aca="false">IF(AND(A389&lt;&gt;"",OR(K389="",K389="Undecided",J389="")),SUMPRODUCT(($A$5:A389&lt;&gt;"")*((($K$5:K389="")+($K$5:K389="Undecided")+($J$5:J389=""))&gt;0)),"")</f>
        <v/>
      </c>
    </row>
    <row r="390" customFormat="false" ht="15" hidden="false" customHeight="false" outlineLevel="0" collapsed="false">
      <c r="A390" s="29"/>
      <c r="B390" s="30"/>
      <c r="C390" s="30"/>
      <c r="D390" s="29"/>
      <c r="E390" s="20" t="str">
        <f aca="false">IF(D390="","",IFERROR(INDEX(Tables!$B:$B,MATCH(D390,Tables!$A:$A,0)),"ID not found"))</f>
        <v/>
      </c>
      <c r="F390" s="20" t="str">
        <f aca="false">IF(D390="","",IFERROR(INDEX(Tables!$C:$C,MATCH(D390,Tables!$A:$A,0)),""))</f>
        <v/>
      </c>
      <c r="G390" s="30"/>
      <c r="H390" s="30"/>
      <c r="I390" s="30"/>
      <c r="J390" s="30"/>
      <c r="K390" s="30"/>
      <c r="L390" s="30"/>
      <c r="M390" s="30"/>
      <c r="N390" s="20" t="str">
        <f aca="false">IF(A390="","",COUNTIF('Metric to Field'!$B:$B,A390))</f>
        <v/>
      </c>
      <c r="O390" s="20" t="str">
        <f aca="false">IF(A390="","",SUMIF('Metric to Field'!$B:$B,A390,'Metric to Field'!$F:$F))</f>
        <v/>
      </c>
      <c r="P390" s="30"/>
      <c r="Q390" s="30"/>
      <c r="R390" s="30"/>
      <c r="S390" s="30"/>
      <c r="T390" s="34" t="str">
        <f aca="false">IF(AND(A390&lt;&gt;"",K390="Fix upstream"),COUNTIF($K$5:K390,"Fix upstream"),"")</f>
        <v/>
      </c>
      <c r="U390" s="34" t="str">
        <f aca="false">IF(AND(A390&lt;&gt;"",OR(K390="Move to business rules",K390="Merge into certified table")),COUNTIF($K$5:K390,"Move to business rules")+COUNTIF($K$5:K390,"Merge into certified table"),"")</f>
        <v/>
      </c>
      <c r="V390" s="34" t="str">
        <f aca="false">IF(AND(A390&lt;&gt;"",OR(K390="",K390="Undecided",J390="")),SUMPRODUCT(($A$5:A390&lt;&gt;"")*((($K$5:K390="")+($K$5:K390="Undecided")+($J$5:J390=""))&gt;0)),"")</f>
        <v/>
      </c>
    </row>
    <row r="391" customFormat="false" ht="15" hidden="false" customHeight="false" outlineLevel="0" collapsed="false">
      <c r="A391" s="29"/>
      <c r="B391" s="30"/>
      <c r="C391" s="30"/>
      <c r="D391" s="29"/>
      <c r="E391" s="20" t="str">
        <f aca="false">IF(D391="","",IFERROR(INDEX(Tables!$B:$B,MATCH(D391,Tables!$A:$A,0)),"ID not found"))</f>
        <v/>
      </c>
      <c r="F391" s="20" t="str">
        <f aca="false">IF(D391="","",IFERROR(INDEX(Tables!$C:$C,MATCH(D391,Tables!$A:$A,0)),""))</f>
        <v/>
      </c>
      <c r="G391" s="30"/>
      <c r="H391" s="30"/>
      <c r="I391" s="30"/>
      <c r="J391" s="30"/>
      <c r="K391" s="30"/>
      <c r="L391" s="30"/>
      <c r="M391" s="30"/>
      <c r="N391" s="20" t="str">
        <f aca="false">IF(A391="","",COUNTIF('Metric to Field'!$B:$B,A391))</f>
        <v/>
      </c>
      <c r="O391" s="20" t="str">
        <f aca="false">IF(A391="","",SUMIF('Metric to Field'!$B:$B,A391,'Metric to Field'!$F:$F))</f>
        <v/>
      </c>
      <c r="P391" s="30"/>
      <c r="Q391" s="30"/>
      <c r="R391" s="30"/>
      <c r="S391" s="30"/>
      <c r="T391" s="34" t="str">
        <f aca="false">IF(AND(A391&lt;&gt;"",K391="Fix upstream"),COUNTIF($K$5:K391,"Fix upstream"),"")</f>
        <v/>
      </c>
      <c r="U391" s="34" t="str">
        <f aca="false">IF(AND(A391&lt;&gt;"",OR(K391="Move to business rules",K391="Merge into certified table")),COUNTIF($K$5:K391,"Move to business rules")+COUNTIF($K$5:K391,"Merge into certified table"),"")</f>
        <v/>
      </c>
      <c r="V391" s="34" t="str">
        <f aca="false">IF(AND(A391&lt;&gt;"",OR(K391="",K391="Undecided",J391="")),SUMPRODUCT(($A$5:A391&lt;&gt;"")*((($K$5:K391="")+($K$5:K391="Undecided")+($J$5:J391=""))&gt;0)),"")</f>
        <v/>
      </c>
    </row>
    <row r="392" customFormat="false" ht="15" hidden="false" customHeight="false" outlineLevel="0" collapsed="false">
      <c r="A392" s="29"/>
      <c r="B392" s="30"/>
      <c r="C392" s="30"/>
      <c r="D392" s="29"/>
      <c r="E392" s="20" t="str">
        <f aca="false">IF(D392="","",IFERROR(INDEX(Tables!$B:$B,MATCH(D392,Tables!$A:$A,0)),"ID not found"))</f>
        <v/>
      </c>
      <c r="F392" s="20" t="str">
        <f aca="false">IF(D392="","",IFERROR(INDEX(Tables!$C:$C,MATCH(D392,Tables!$A:$A,0)),""))</f>
        <v/>
      </c>
      <c r="G392" s="30"/>
      <c r="H392" s="30"/>
      <c r="I392" s="30"/>
      <c r="J392" s="30"/>
      <c r="K392" s="30"/>
      <c r="L392" s="30"/>
      <c r="M392" s="30"/>
      <c r="N392" s="20" t="str">
        <f aca="false">IF(A392="","",COUNTIF('Metric to Field'!$B:$B,A392))</f>
        <v/>
      </c>
      <c r="O392" s="20" t="str">
        <f aca="false">IF(A392="","",SUMIF('Metric to Field'!$B:$B,A392,'Metric to Field'!$F:$F))</f>
        <v/>
      </c>
      <c r="P392" s="30"/>
      <c r="Q392" s="30"/>
      <c r="R392" s="30"/>
      <c r="S392" s="30"/>
      <c r="T392" s="34" t="str">
        <f aca="false">IF(AND(A392&lt;&gt;"",K392="Fix upstream"),COUNTIF($K$5:K392,"Fix upstream"),"")</f>
        <v/>
      </c>
      <c r="U392" s="34" t="str">
        <f aca="false">IF(AND(A392&lt;&gt;"",OR(K392="Move to business rules",K392="Merge into certified table")),COUNTIF($K$5:K392,"Move to business rules")+COUNTIF($K$5:K392,"Merge into certified table"),"")</f>
        <v/>
      </c>
      <c r="V392" s="34" t="str">
        <f aca="false">IF(AND(A392&lt;&gt;"",OR(K392="",K392="Undecided",J392="")),SUMPRODUCT(($A$5:A392&lt;&gt;"")*((($K$5:K392="")+($K$5:K392="Undecided")+($J$5:J392=""))&gt;0)),"")</f>
        <v/>
      </c>
    </row>
    <row r="393" customFormat="false" ht="15" hidden="false" customHeight="false" outlineLevel="0" collapsed="false">
      <c r="A393" s="29"/>
      <c r="B393" s="30"/>
      <c r="C393" s="30"/>
      <c r="D393" s="29"/>
      <c r="E393" s="20" t="str">
        <f aca="false">IF(D393="","",IFERROR(INDEX(Tables!$B:$B,MATCH(D393,Tables!$A:$A,0)),"ID not found"))</f>
        <v/>
      </c>
      <c r="F393" s="20" t="str">
        <f aca="false">IF(D393="","",IFERROR(INDEX(Tables!$C:$C,MATCH(D393,Tables!$A:$A,0)),""))</f>
        <v/>
      </c>
      <c r="G393" s="30"/>
      <c r="H393" s="30"/>
      <c r="I393" s="30"/>
      <c r="J393" s="30"/>
      <c r="K393" s="30"/>
      <c r="L393" s="30"/>
      <c r="M393" s="30"/>
      <c r="N393" s="20" t="str">
        <f aca="false">IF(A393="","",COUNTIF('Metric to Field'!$B:$B,A393))</f>
        <v/>
      </c>
      <c r="O393" s="20" t="str">
        <f aca="false">IF(A393="","",SUMIF('Metric to Field'!$B:$B,A393,'Metric to Field'!$F:$F))</f>
        <v/>
      </c>
      <c r="P393" s="30"/>
      <c r="Q393" s="30"/>
      <c r="R393" s="30"/>
      <c r="S393" s="30"/>
      <c r="T393" s="34" t="str">
        <f aca="false">IF(AND(A393&lt;&gt;"",K393="Fix upstream"),COUNTIF($K$5:K393,"Fix upstream"),"")</f>
        <v/>
      </c>
      <c r="U393" s="34" t="str">
        <f aca="false">IF(AND(A393&lt;&gt;"",OR(K393="Move to business rules",K393="Merge into certified table")),COUNTIF($K$5:K393,"Move to business rules")+COUNTIF($K$5:K393,"Merge into certified table"),"")</f>
        <v/>
      </c>
      <c r="V393" s="34" t="str">
        <f aca="false">IF(AND(A393&lt;&gt;"",OR(K393="",K393="Undecided",J393="")),SUMPRODUCT(($A$5:A393&lt;&gt;"")*((($K$5:K393="")+($K$5:K393="Undecided")+($J$5:J393=""))&gt;0)),"")</f>
        <v/>
      </c>
    </row>
    <row r="394" customFormat="false" ht="15" hidden="false" customHeight="false" outlineLevel="0" collapsed="false">
      <c r="A394" s="29"/>
      <c r="B394" s="30"/>
      <c r="C394" s="30"/>
      <c r="D394" s="29"/>
      <c r="E394" s="20" t="str">
        <f aca="false">IF(D394="","",IFERROR(INDEX(Tables!$B:$B,MATCH(D394,Tables!$A:$A,0)),"ID not found"))</f>
        <v/>
      </c>
      <c r="F394" s="20" t="str">
        <f aca="false">IF(D394="","",IFERROR(INDEX(Tables!$C:$C,MATCH(D394,Tables!$A:$A,0)),""))</f>
        <v/>
      </c>
      <c r="G394" s="30"/>
      <c r="H394" s="30"/>
      <c r="I394" s="30"/>
      <c r="J394" s="30"/>
      <c r="K394" s="30"/>
      <c r="L394" s="30"/>
      <c r="M394" s="30"/>
      <c r="N394" s="20" t="str">
        <f aca="false">IF(A394="","",COUNTIF('Metric to Field'!$B:$B,A394))</f>
        <v/>
      </c>
      <c r="O394" s="20" t="str">
        <f aca="false">IF(A394="","",SUMIF('Metric to Field'!$B:$B,A394,'Metric to Field'!$F:$F))</f>
        <v/>
      </c>
      <c r="P394" s="30"/>
      <c r="Q394" s="30"/>
      <c r="R394" s="30"/>
      <c r="S394" s="30"/>
      <c r="T394" s="34" t="str">
        <f aca="false">IF(AND(A394&lt;&gt;"",K394="Fix upstream"),COUNTIF($K$5:K394,"Fix upstream"),"")</f>
        <v/>
      </c>
      <c r="U394" s="34" t="str">
        <f aca="false">IF(AND(A394&lt;&gt;"",OR(K394="Move to business rules",K394="Merge into certified table")),COUNTIF($K$5:K394,"Move to business rules")+COUNTIF($K$5:K394,"Merge into certified table"),"")</f>
        <v/>
      </c>
      <c r="V394" s="34" t="str">
        <f aca="false">IF(AND(A394&lt;&gt;"",OR(K394="",K394="Undecided",J394="")),SUMPRODUCT(($A$5:A394&lt;&gt;"")*((($K$5:K394="")+($K$5:K394="Undecided")+($J$5:J394=""))&gt;0)),"")</f>
        <v/>
      </c>
    </row>
    <row r="395" customFormat="false" ht="15" hidden="false" customHeight="false" outlineLevel="0" collapsed="false">
      <c r="A395" s="29"/>
      <c r="B395" s="30"/>
      <c r="C395" s="30"/>
      <c r="D395" s="29"/>
      <c r="E395" s="20" t="str">
        <f aca="false">IF(D395="","",IFERROR(INDEX(Tables!$B:$B,MATCH(D395,Tables!$A:$A,0)),"ID not found"))</f>
        <v/>
      </c>
      <c r="F395" s="20" t="str">
        <f aca="false">IF(D395="","",IFERROR(INDEX(Tables!$C:$C,MATCH(D395,Tables!$A:$A,0)),""))</f>
        <v/>
      </c>
      <c r="G395" s="30"/>
      <c r="H395" s="30"/>
      <c r="I395" s="30"/>
      <c r="J395" s="30"/>
      <c r="K395" s="30"/>
      <c r="L395" s="30"/>
      <c r="M395" s="30"/>
      <c r="N395" s="20" t="str">
        <f aca="false">IF(A395="","",COUNTIF('Metric to Field'!$B:$B,A395))</f>
        <v/>
      </c>
      <c r="O395" s="20" t="str">
        <f aca="false">IF(A395="","",SUMIF('Metric to Field'!$B:$B,A395,'Metric to Field'!$F:$F))</f>
        <v/>
      </c>
      <c r="P395" s="30"/>
      <c r="Q395" s="30"/>
      <c r="R395" s="30"/>
      <c r="S395" s="30"/>
      <c r="T395" s="34" t="str">
        <f aca="false">IF(AND(A395&lt;&gt;"",K395="Fix upstream"),COUNTIF($K$5:K395,"Fix upstream"),"")</f>
        <v/>
      </c>
      <c r="U395" s="34" t="str">
        <f aca="false">IF(AND(A395&lt;&gt;"",OR(K395="Move to business rules",K395="Merge into certified table")),COUNTIF($K$5:K395,"Move to business rules")+COUNTIF($K$5:K395,"Merge into certified table"),"")</f>
        <v/>
      </c>
      <c r="V395" s="34" t="str">
        <f aca="false">IF(AND(A395&lt;&gt;"",OR(K395="",K395="Undecided",J395="")),SUMPRODUCT(($A$5:A395&lt;&gt;"")*((($K$5:K395="")+($K$5:K395="Undecided")+($J$5:J395=""))&gt;0)),"")</f>
        <v/>
      </c>
    </row>
    <row r="396" customFormat="false" ht="15" hidden="false" customHeight="false" outlineLevel="0" collapsed="false">
      <c r="A396" s="29"/>
      <c r="B396" s="30"/>
      <c r="C396" s="30"/>
      <c r="D396" s="29"/>
      <c r="E396" s="20" t="str">
        <f aca="false">IF(D396="","",IFERROR(INDEX(Tables!$B:$B,MATCH(D396,Tables!$A:$A,0)),"ID not found"))</f>
        <v/>
      </c>
      <c r="F396" s="20" t="str">
        <f aca="false">IF(D396="","",IFERROR(INDEX(Tables!$C:$C,MATCH(D396,Tables!$A:$A,0)),""))</f>
        <v/>
      </c>
      <c r="G396" s="30"/>
      <c r="H396" s="30"/>
      <c r="I396" s="30"/>
      <c r="J396" s="30"/>
      <c r="K396" s="30"/>
      <c r="L396" s="30"/>
      <c r="M396" s="30"/>
      <c r="N396" s="20" t="str">
        <f aca="false">IF(A396="","",COUNTIF('Metric to Field'!$B:$B,A396))</f>
        <v/>
      </c>
      <c r="O396" s="20" t="str">
        <f aca="false">IF(A396="","",SUMIF('Metric to Field'!$B:$B,A396,'Metric to Field'!$F:$F))</f>
        <v/>
      </c>
      <c r="P396" s="30"/>
      <c r="Q396" s="30"/>
      <c r="R396" s="30"/>
      <c r="S396" s="30"/>
      <c r="T396" s="34" t="str">
        <f aca="false">IF(AND(A396&lt;&gt;"",K396="Fix upstream"),COUNTIF($K$5:K396,"Fix upstream"),"")</f>
        <v/>
      </c>
      <c r="U396" s="34" t="str">
        <f aca="false">IF(AND(A396&lt;&gt;"",OR(K396="Move to business rules",K396="Merge into certified table")),COUNTIF($K$5:K396,"Move to business rules")+COUNTIF($K$5:K396,"Merge into certified table"),"")</f>
        <v/>
      </c>
      <c r="V396" s="34" t="str">
        <f aca="false">IF(AND(A396&lt;&gt;"",OR(K396="",K396="Undecided",J396="")),SUMPRODUCT(($A$5:A396&lt;&gt;"")*((($K$5:K396="")+($K$5:K396="Undecided")+($J$5:J396=""))&gt;0)),"")</f>
        <v/>
      </c>
    </row>
    <row r="397" customFormat="false" ht="15" hidden="false" customHeight="false" outlineLevel="0" collapsed="false">
      <c r="A397" s="29"/>
      <c r="B397" s="30"/>
      <c r="C397" s="30"/>
      <c r="D397" s="29"/>
      <c r="E397" s="20" t="str">
        <f aca="false">IF(D397="","",IFERROR(INDEX(Tables!$B:$B,MATCH(D397,Tables!$A:$A,0)),"ID not found"))</f>
        <v/>
      </c>
      <c r="F397" s="20" t="str">
        <f aca="false">IF(D397="","",IFERROR(INDEX(Tables!$C:$C,MATCH(D397,Tables!$A:$A,0)),""))</f>
        <v/>
      </c>
      <c r="G397" s="30"/>
      <c r="H397" s="30"/>
      <c r="I397" s="30"/>
      <c r="J397" s="30"/>
      <c r="K397" s="30"/>
      <c r="L397" s="30"/>
      <c r="M397" s="30"/>
      <c r="N397" s="20" t="str">
        <f aca="false">IF(A397="","",COUNTIF('Metric to Field'!$B:$B,A397))</f>
        <v/>
      </c>
      <c r="O397" s="20" t="str">
        <f aca="false">IF(A397="","",SUMIF('Metric to Field'!$B:$B,A397,'Metric to Field'!$F:$F))</f>
        <v/>
      </c>
      <c r="P397" s="30"/>
      <c r="Q397" s="30"/>
      <c r="R397" s="30"/>
      <c r="S397" s="30"/>
      <c r="T397" s="34" t="str">
        <f aca="false">IF(AND(A397&lt;&gt;"",K397="Fix upstream"),COUNTIF($K$5:K397,"Fix upstream"),"")</f>
        <v/>
      </c>
      <c r="U397" s="34" t="str">
        <f aca="false">IF(AND(A397&lt;&gt;"",OR(K397="Move to business rules",K397="Merge into certified table")),COUNTIF($K$5:K397,"Move to business rules")+COUNTIF($K$5:K397,"Merge into certified table"),"")</f>
        <v/>
      </c>
      <c r="V397" s="34" t="str">
        <f aca="false">IF(AND(A397&lt;&gt;"",OR(K397="",K397="Undecided",J397="")),SUMPRODUCT(($A$5:A397&lt;&gt;"")*((($K$5:K397="")+($K$5:K397="Undecided")+($J$5:J397=""))&gt;0)),"")</f>
        <v/>
      </c>
    </row>
    <row r="398" customFormat="false" ht="15" hidden="false" customHeight="false" outlineLevel="0" collapsed="false">
      <c r="A398" s="29"/>
      <c r="B398" s="30"/>
      <c r="C398" s="30"/>
      <c r="D398" s="29"/>
      <c r="E398" s="20" t="str">
        <f aca="false">IF(D398="","",IFERROR(INDEX(Tables!$B:$B,MATCH(D398,Tables!$A:$A,0)),"ID not found"))</f>
        <v/>
      </c>
      <c r="F398" s="20" t="str">
        <f aca="false">IF(D398="","",IFERROR(INDEX(Tables!$C:$C,MATCH(D398,Tables!$A:$A,0)),""))</f>
        <v/>
      </c>
      <c r="G398" s="30"/>
      <c r="H398" s="30"/>
      <c r="I398" s="30"/>
      <c r="J398" s="30"/>
      <c r="K398" s="30"/>
      <c r="L398" s="30"/>
      <c r="M398" s="30"/>
      <c r="N398" s="20" t="str">
        <f aca="false">IF(A398="","",COUNTIF('Metric to Field'!$B:$B,A398))</f>
        <v/>
      </c>
      <c r="O398" s="20" t="str">
        <f aca="false">IF(A398="","",SUMIF('Metric to Field'!$B:$B,A398,'Metric to Field'!$F:$F))</f>
        <v/>
      </c>
      <c r="P398" s="30"/>
      <c r="Q398" s="30"/>
      <c r="R398" s="30"/>
      <c r="S398" s="30"/>
      <c r="T398" s="34" t="str">
        <f aca="false">IF(AND(A398&lt;&gt;"",K398="Fix upstream"),COUNTIF($K$5:K398,"Fix upstream"),"")</f>
        <v/>
      </c>
      <c r="U398" s="34" t="str">
        <f aca="false">IF(AND(A398&lt;&gt;"",OR(K398="Move to business rules",K398="Merge into certified table")),COUNTIF($K$5:K398,"Move to business rules")+COUNTIF($K$5:K398,"Merge into certified table"),"")</f>
        <v/>
      </c>
      <c r="V398" s="34" t="str">
        <f aca="false">IF(AND(A398&lt;&gt;"",OR(K398="",K398="Undecided",J398="")),SUMPRODUCT(($A$5:A398&lt;&gt;"")*((($K$5:K398="")+($K$5:K398="Undecided")+($J$5:J398=""))&gt;0)),"")</f>
        <v/>
      </c>
    </row>
    <row r="399" customFormat="false" ht="15" hidden="false" customHeight="false" outlineLevel="0" collapsed="false">
      <c r="A399" s="29"/>
      <c r="B399" s="30"/>
      <c r="C399" s="30"/>
      <c r="D399" s="29"/>
      <c r="E399" s="20" t="str">
        <f aca="false">IF(D399="","",IFERROR(INDEX(Tables!$B:$B,MATCH(D399,Tables!$A:$A,0)),"ID not found"))</f>
        <v/>
      </c>
      <c r="F399" s="20" t="str">
        <f aca="false">IF(D399="","",IFERROR(INDEX(Tables!$C:$C,MATCH(D399,Tables!$A:$A,0)),""))</f>
        <v/>
      </c>
      <c r="G399" s="30"/>
      <c r="H399" s="30"/>
      <c r="I399" s="30"/>
      <c r="J399" s="30"/>
      <c r="K399" s="30"/>
      <c r="L399" s="30"/>
      <c r="M399" s="30"/>
      <c r="N399" s="20" t="str">
        <f aca="false">IF(A399="","",COUNTIF('Metric to Field'!$B:$B,A399))</f>
        <v/>
      </c>
      <c r="O399" s="20" t="str">
        <f aca="false">IF(A399="","",SUMIF('Metric to Field'!$B:$B,A399,'Metric to Field'!$F:$F))</f>
        <v/>
      </c>
      <c r="P399" s="30"/>
      <c r="Q399" s="30"/>
      <c r="R399" s="30"/>
      <c r="S399" s="30"/>
      <c r="T399" s="34" t="str">
        <f aca="false">IF(AND(A399&lt;&gt;"",K399="Fix upstream"),COUNTIF($K$5:K399,"Fix upstream"),"")</f>
        <v/>
      </c>
      <c r="U399" s="34" t="str">
        <f aca="false">IF(AND(A399&lt;&gt;"",OR(K399="Move to business rules",K399="Merge into certified table")),COUNTIF($K$5:K399,"Move to business rules")+COUNTIF($K$5:K399,"Merge into certified table"),"")</f>
        <v/>
      </c>
      <c r="V399" s="34" t="str">
        <f aca="false">IF(AND(A399&lt;&gt;"",OR(K399="",K399="Undecided",J399="")),SUMPRODUCT(($A$5:A399&lt;&gt;"")*((($K$5:K399="")+($K$5:K399="Undecided")+($J$5:J399=""))&gt;0)),"")</f>
        <v/>
      </c>
    </row>
    <row r="400" customFormat="false" ht="15" hidden="false" customHeight="false" outlineLevel="0" collapsed="false">
      <c r="A400" s="29"/>
      <c r="B400" s="30"/>
      <c r="C400" s="30"/>
      <c r="D400" s="29"/>
      <c r="E400" s="20" t="str">
        <f aca="false">IF(D400="","",IFERROR(INDEX(Tables!$B:$B,MATCH(D400,Tables!$A:$A,0)),"ID not found"))</f>
        <v/>
      </c>
      <c r="F400" s="20" t="str">
        <f aca="false">IF(D400="","",IFERROR(INDEX(Tables!$C:$C,MATCH(D400,Tables!$A:$A,0)),""))</f>
        <v/>
      </c>
      <c r="G400" s="30"/>
      <c r="H400" s="30"/>
      <c r="I400" s="30"/>
      <c r="J400" s="30"/>
      <c r="K400" s="30"/>
      <c r="L400" s="30"/>
      <c r="M400" s="30"/>
      <c r="N400" s="20" t="str">
        <f aca="false">IF(A400="","",COUNTIF('Metric to Field'!$B:$B,A400))</f>
        <v/>
      </c>
      <c r="O400" s="20" t="str">
        <f aca="false">IF(A400="","",SUMIF('Metric to Field'!$B:$B,A400,'Metric to Field'!$F:$F))</f>
        <v/>
      </c>
      <c r="P400" s="30"/>
      <c r="Q400" s="30"/>
      <c r="R400" s="30"/>
      <c r="S400" s="30"/>
      <c r="T400" s="34" t="str">
        <f aca="false">IF(AND(A400&lt;&gt;"",K400="Fix upstream"),COUNTIF($K$5:K400,"Fix upstream"),"")</f>
        <v/>
      </c>
      <c r="U400" s="34" t="str">
        <f aca="false">IF(AND(A400&lt;&gt;"",OR(K400="Move to business rules",K400="Merge into certified table")),COUNTIF($K$5:K400,"Move to business rules")+COUNTIF($K$5:K400,"Merge into certified table"),"")</f>
        <v/>
      </c>
      <c r="V400" s="34" t="str">
        <f aca="false">IF(AND(A400&lt;&gt;"",OR(K400="",K400="Undecided",J400="")),SUMPRODUCT(($A$5:A400&lt;&gt;"")*((($K$5:K400="")+($K$5:K400="Undecided")+($J$5:J400=""))&gt;0)),"")</f>
        <v/>
      </c>
    </row>
    <row r="401" customFormat="false" ht="15" hidden="false" customHeight="false" outlineLevel="0" collapsed="false">
      <c r="A401" s="29"/>
      <c r="B401" s="30"/>
      <c r="C401" s="30"/>
      <c r="D401" s="29"/>
      <c r="E401" s="20" t="str">
        <f aca="false">IF(D401="","",IFERROR(INDEX(Tables!$B:$B,MATCH(D401,Tables!$A:$A,0)),"ID not found"))</f>
        <v/>
      </c>
      <c r="F401" s="20" t="str">
        <f aca="false">IF(D401="","",IFERROR(INDEX(Tables!$C:$C,MATCH(D401,Tables!$A:$A,0)),""))</f>
        <v/>
      </c>
      <c r="G401" s="30"/>
      <c r="H401" s="30"/>
      <c r="I401" s="30"/>
      <c r="J401" s="30"/>
      <c r="K401" s="30"/>
      <c r="L401" s="30"/>
      <c r="M401" s="30"/>
      <c r="N401" s="20" t="str">
        <f aca="false">IF(A401="","",COUNTIF('Metric to Field'!$B:$B,A401))</f>
        <v/>
      </c>
      <c r="O401" s="20" t="str">
        <f aca="false">IF(A401="","",SUMIF('Metric to Field'!$B:$B,A401,'Metric to Field'!$F:$F))</f>
        <v/>
      </c>
      <c r="P401" s="30"/>
      <c r="Q401" s="30"/>
      <c r="R401" s="30"/>
      <c r="S401" s="30"/>
      <c r="T401" s="34" t="str">
        <f aca="false">IF(AND(A401&lt;&gt;"",K401="Fix upstream"),COUNTIF($K$5:K401,"Fix upstream"),"")</f>
        <v/>
      </c>
      <c r="U401" s="34" t="str">
        <f aca="false">IF(AND(A401&lt;&gt;"",OR(K401="Move to business rules",K401="Merge into certified table")),COUNTIF($K$5:K401,"Move to business rules")+COUNTIF($K$5:K401,"Merge into certified table"),"")</f>
        <v/>
      </c>
      <c r="V401" s="34" t="str">
        <f aca="false">IF(AND(A401&lt;&gt;"",OR(K401="",K401="Undecided",J401="")),SUMPRODUCT(($A$5:A401&lt;&gt;"")*((($K$5:K401="")+($K$5:K401="Undecided")+($J$5:J401=""))&gt;0)),"")</f>
        <v/>
      </c>
    </row>
    <row r="402" customFormat="false" ht="15" hidden="false" customHeight="false" outlineLevel="0" collapsed="false">
      <c r="A402" s="29"/>
      <c r="B402" s="30"/>
      <c r="C402" s="30"/>
      <c r="D402" s="29"/>
      <c r="E402" s="20" t="str">
        <f aca="false">IF(D402="","",IFERROR(INDEX(Tables!$B:$B,MATCH(D402,Tables!$A:$A,0)),"ID not found"))</f>
        <v/>
      </c>
      <c r="F402" s="20" t="str">
        <f aca="false">IF(D402="","",IFERROR(INDEX(Tables!$C:$C,MATCH(D402,Tables!$A:$A,0)),""))</f>
        <v/>
      </c>
      <c r="G402" s="30"/>
      <c r="H402" s="30"/>
      <c r="I402" s="30"/>
      <c r="J402" s="30"/>
      <c r="K402" s="30"/>
      <c r="L402" s="30"/>
      <c r="M402" s="30"/>
      <c r="N402" s="20" t="str">
        <f aca="false">IF(A402="","",COUNTIF('Metric to Field'!$B:$B,A402))</f>
        <v/>
      </c>
      <c r="O402" s="20" t="str">
        <f aca="false">IF(A402="","",SUMIF('Metric to Field'!$B:$B,A402,'Metric to Field'!$F:$F))</f>
        <v/>
      </c>
      <c r="P402" s="30"/>
      <c r="Q402" s="30"/>
      <c r="R402" s="30"/>
      <c r="S402" s="30"/>
      <c r="T402" s="34" t="str">
        <f aca="false">IF(AND(A402&lt;&gt;"",K402="Fix upstream"),COUNTIF($K$5:K402,"Fix upstream"),"")</f>
        <v/>
      </c>
      <c r="U402" s="34" t="str">
        <f aca="false">IF(AND(A402&lt;&gt;"",OR(K402="Move to business rules",K402="Merge into certified table")),COUNTIF($K$5:K402,"Move to business rules")+COUNTIF($K$5:K402,"Merge into certified table"),"")</f>
        <v/>
      </c>
      <c r="V402" s="34" t="str">
        <f aca="false">IF(AND(A402&lt;&gt;"",OR(K402="",K402="Undecided",J402="")),SUMPRODUCT(($A$5:A402&lt;&gt;"")*((($K$5:K402="")+($K$5:K402="Undecided")+($J$5:J402=""))&gt;0)),"")</f>
        <v/>
      </c>
    </row>
    <row r="403" customFormat="false" ht="15" hidden="false" customHeight="false" outlineLevel="0" collapsed="false">
      <c r="A403" s="29"/>
      <c r="B403" s="30"/>
      <c r="C403" s="30"/>
      <c r="D403" s="29"/>
      <c r="E403" s="20" t="str">
        <f aca="false">IF(D403="","",IFERROR(INDEX(Tables!$B:$B,MATCH(D403,Tables!$A:$A,0)),"ID not found"))</f>
        <v/>
      </c>
      <c r="F403" s="20" t="str">
        <f aca="false">IF(D403="","",IFERROR(INDEX(Tables!$C:$C,MATCH(D403,Tables!$A:$A,0)),""))</f>
        <v/>
      </c>
      <c r="G403" s="30"/>
      <c r="H403" s="30"/>
      <c r="I403" s="30"/>
      <c r="J403" s="30"/>
      <c r="K403" s="30"/>
      <c r="L403" s="30"/>
      <c r="M403" s="30"/>
      <c r="N403" s="20" t="str">
        <f aca="false">IF(A403="","",COUNTIF('Metric to Field'!$B:$B,A403))</f>
        <v/>
      </c>
      <c r="O403" s="20" t="str">
        <f aca="false">IF(A403="","",SUMIF('Metric to Field'!$B:$B,A403,'Metric to Field'!$F:$F))</f>
        <v/>
      </c>
      <c r="P403" s="30"/>
      <c r="Q403" s="30"/>
      <c r="R403" s="30"/>
      <c r="S403" s="30"/>
      <c r="T403" s="34" t="str">
        <f aca="false">IF(AND(A403&lt;&gt;"",K403="Fix upstream"),COUNTIF($K$5:K403,"Fix upstream"),"")</f>
        <v/>
      </c>
      <c r="U403" s="34" t="str">
        <f aca="false">IF(AND(A403&lt;&gt;"",OR(K403="Move to business rules",K403="Merge into certified table")),COUNTIF($K$5:K403,"Move to business rules")+COUNTIF($K$5:K403,"Merge into certified table"),"")</f>
        <v/>
      </c>
      <c r="V403" s="34" t="str">
        <f aca="false">IF(AND(A403&lt;&gt;"",OR(K403="",K403="Undecided",J403="")),SUMPRODUCT(($A$5:A403&lt;&gt;"")*((($K$5:K403="")+($K$5:K403="Undecided")+($J$5:J403=""))&gt;0)),"")</f>
        <v/>
      </c>
    </row>
    <row r="404" customFormat="false" ht="15" hidden="false" customHeight="false" outlineLevel="0" collapsed="false">
      <c r="A404" s="29"/>
      <c r="B404" s="30"/>
      <c r="C404" s="30"/>
      <c r="D404" s="29"/>
      <c r="E404" s="20" t="str">
        <f aca="false">IF(D404="","",IFERROR(INDEX(Tables!$B:$B,MATCH(D404,Tables!$A:$A,0)),"ID not found"))</f>
        <v/>
      </c>
      <c r="F404" s="20" t="str">
        <f aca="false">IF(D404="","",IFERROR(INDEX(Tables!$C:$C,MATCH(D404,Tables!$A:$A,0)),""))</f>
        <v/>
      </c>
      <c r="G404" s="30"/>
      <c r="H404" s="30"/>
      <c r="I404" s="30"/>
      <c r="J404" s="30"/>
      <c r="K404" s="30"/>
      <c r="L404" s="30"/>
      <c r="M404" s="30"/>
      <c r="N404" s="20" t="str">
        <f aca="false">IF(A404="","",COUNTIF('Metric to Field'!$B:$B,A404))</f>
        <v/>
      </c>
      <c r="O404" s="20" t="str">
        <f aca="false">IF(A404="","",SUMIF('Metric to Field'!$B:$B,A404,'Metric to Field'!$F:$F))</f>
        <v/>
      </c>
      <c r="P404" s="30"/>
      <c r="Q404" s="30"/>
      <c r="R404" s="30"/>
      <c r="S404" s="30"/>
      <c r="T404" s="34" t="str">
        <f aca="false">IF(AND(A404&lt;&gt;"",K404="Fix upstream"),COUNTIF($K$5:K404,"Fix upstream"),"")</f>
        <v/>
      </c>
      <c r="U404" s="34" t="str">
        <f aca="false">IF(AND(A404&lt;&gt;"",OR(K404="Move to business rules",K404="Merge into certified table")),COUNTIF($K$5:K404,"Move to business rules")+COUNTIF($K$5:K404,"Merge into certified table"),"")</f>
        <v/>
      </c>
      <c r="V404" s="34" t="str">
        <f aca="false">IF(AND(A404&lt;&gt;"",OR(K404="",K404="Undecided",J404="")),SUMPRODUCT(($A$5:A404&lt;&gt;"")*((($K$5:K404="")+($K$5:K404="Undecided")+($J$5:J404=""))&gt;0)),"")</f>
        <v/>
      </c>
    </row>
    <row r="405" customFormat="false" ht="15" hidden="false" customHeight="false" outlineLevel="0" collapsed="false">
      <c r="A405" s="29"/>
      <c r="B405" s="30"/>
      <c r="C405" s="30"/>
      <c r="D405" s="29"/>
      <c r="E405" s="20" t="str">
        <f aca="false">IF(D405="","",IFERROR(INDEX(Tables!$B:$B,MATCH(D405,Tables!$A:$A,0)),"ID not found"))</f>
        <v/>
      </c>
      <c r="F405" s="20" t="str">
        <f aca="false">IF(D405="","",IFERROR(INDEX(Tables!$C:$C,MATCH(D405,Tables!$A:$A,0)),""))</f>
        <v/>
      </c>
      <c r="G405" s="30"/>
      <c r="H405" s="30"/>
      <c r="I405" s="30"/>
      <c r="J405" s="30"/>
      <c r="K405" s="30"/>
      <c r="L405" s="30"/>
      <c r="M405" s="30"/>
      <c r="N405" s="20" t="str">
        <f aca="false">IF(A405="","",COUNTIF('Metric to Field'!$B:$B,A405))</f>
        <v/>
      </c>
      <c r="O405" s="20" t="str">
        <f aca="false">IF(A405="","",SUMIF('Metric to Field'!$B:$B,A405,'Metric to Field'!$F:$F))</f>
        <v/>
      </c>
      <c r="P405" s="30"/>
      <c r="Q405" s="30"/>
      <c r="R405" s="30"/>
      <c r="S405" s="30"/>
      <c r="T405" s="34" t="str">
        <f aca="false">IF(AND(A405&lt;&gt;"",K405="Fix upstream"),COUNTIF($K$5:K405,"Fix upstream"),"")</f>
        <v/>
      </c>
      <c r="U405" s="34" t="str">
        <f aca="false">IF(AND(A405&lt;&gt;"",OR(K405="Move to business rules",K405="Merge into certified table")),COUNTIF($K$5:K405,"Move to business rules")+COUNTIF($K$5:K405,"Merge into certified table"),"")</f>
        <v/>
      </c>
      <c r="V405" s="34" t="str">
        <f aca="false">IF(AND(A405&lt;&gt;"",OR(K405="",K405="Undecided",J405="")),SUMPRODUCT(($A$5:A405&lt;&gt;"")*((($K$5:K405="")+($K$5:K405="Undecided")+($J$5:J405=""))&gt;0)),"")</f>
        <v/>
      </c>
    </row>
    <row r="406" customFormat="false" ht="15" hidden="false" customHeight="false" outlineLevel="0" collapsed="false">
      <c r="A406" s="29"/>
      <c r="B406" s="30"/>
      <c r="C406" s="30"/>
      <c r="D406" s="29"/>
      <c r="E406" s="20" t="str">
        <f aca="false">IF(D406="","",IFERROR(INDEX(Tables!$B:$B,MATCH(D406,Tables!$A:$A,0)),"ID not found"))</f>
        <v/>
      </c>
      <c r="F406" s="20" t="str">
        <f aca="false">IF(D406="","",IFERROR(INDEX(Tables!$C:$C,MATCH(D406,Tables!$A:$A,0)),""))</f>
        <v/>
      </c>
      <c r="G406" s="30"/>
      <c r="H406" s="30"/>
      <c r="I406" s="30"/>
      <c r="J406" s="30"/>
      <c r="K406" s="30"/>
      <c r="L406" s="30"/>
      <c r="M406" s="30"/>
      <c r="N406" s="20" t="str">
        <f aca="false">IF(A406="","",COUNTIF('Metric to Field'!$B:$B,A406))</f>
        <v/>
      </c>
      <c r="O406" s="20" t="str">
        <f aca="false">IF(A406="","",SUMIF('Metric to Field'!$B:$B,A406,'Metric to Field'!$F:$F))</f>
        <v/>
      </c>
      <c r="P406" s="30"/>
      <c r="Q406" s="30"/>
      <c r="R406" s="30"/>
      <c r="S406" s="30"/>
      <c r="T406" s="34" t="str">
        <f aca="false">IF(AND(A406&lt;&gt;"",K406="Fix upstream"),COUNTIF($K$5:K406,"Fix upstream"),"")</f>
        <v/>
      </c>
      <c r="U406" s="34" t="str">
        <f aca="false">IF(AND(A406&lt;&gt;"",OR(K406="Move to business rules",K406="Merge into certified table")),COUNTIF($K$5:K406,"Move to business rules")+COUNTIF($K$5:K406,"Merge into certified table"),"")</f>
        <v/>
      </c>
      <c r="V406" s="34" t="str">
        <f aca="false">IF(AND(A406&lt;&gt;"",OR(K406="",K406="Undecided",J406="")),SUMPRODUCT(($A$5:A406&lt;&gt;"")*((($K$5:K406="")+($K$5:K406="Undecided")+($J$5:J406=""))&gt;0)),"")</f>
        <v/>
      </c>
    </row>
    <row r="407" customFormat="false" ht="15" hidden="false" customHeight="false" outlineLevel="0" collapsed="false">
      <c r="A407" s="29"/>
      <c r="B407" s="30"/>
      <c r="C407" s="30"/>
      <c r="D407" s="29"/>
      <c r="E407" s="20" t="str">
        <f aca="false">IF(D407="","",IFERROR(INDEX(Tables!$B:$B,MATCH(D407,Tables!$A:$A,0)),"ID not found"))</f>
        <v/>
      </c>
      <c r="F407" s="20" t="str">
        <f aca="false">IF(D407="","",IFERROR(INDEX(Tables!$C:$C,MATCH(D407,Tables!$A:$A,0)),""))</f>
        <v/>
      </c>
      <c r="G407" s="30"/>
      <c r="H407" s="30"/>
      <c r="I407" s="30"/>
      <c r="J407" s="30"/>
      <c r="K407" s="30"/>
      <c r="L407" s="30"/>
      <c r="M407" s="30"/>
      <c r="N407" s="20" t="str">
        <f aca="false">IF(A407="","",COUNTIF('Metric to Field'!$B:$B,A407))</f>
        <v/>
      </c>
      <c r="O407" s="20" t="str">
        <f aca="false">IF(A407="","",SUMIF('Metric to Field'!$B:$B,A407,'Metric to Field'!$F:$F))</f>
        <v/>
      </c>
      <c r="P407" s="30"/>
      <c r="Q407" s="30"/>
      <c r="R407" s="30"/>
      <c r="S407" s="30"/>
      <c r="T407" s="34" t="str">
        <f aca="false">IF(AND(A407&lt;&gt;"",K407="Fix upstream"),COUNTIF($K$5:K407,"Fix upstream"),"")</f>
        <v/>
      </c>
      <c r="U407" s="34" t="str">
        <f aca="false">IF(AND(A407&lt;&gt;"",OR(K407="Move to business rules",K407="Merge into certified table")),COUNTIF($K$5:K407,"Move to business rules")+COUNTIF($K$5:K407,"Merge into certified table"),"")</f>
        <v/>
      </c>
      <c r="V407" s="34" t="str">
        <f aca="false">IF(AND(A407&lt;&gt;"",OR(K407="",K407="Undecided",J407="")),SUMPRODUCT(($A$5:A407&lt;&gt;"")*((($K$5:K407="")+($K$5:K407="Undecided")+($J$5:J407=""))&gt;0)),"")</f>
        <v/>
      </c>
    </row>
    <row r="408" customFormat="false" ht="15" hidden="false" customHeight="false" outlineLevel="0" collapsed="false">
      <c r="A408" s="29"/>
      <c r="B408" s="30"/>
      <c r="C408" s="30"/>
      <c r="D408" s="29"/>
      <c r="E408" s="20" t="str">
        <f aca="false">IF(D408="","",IFERROR(INDEX(Tables!$B:$B,MATCH(D408,Tables!$A:$A,0)),"ID not found"))</f>
        <v/>
      </c>
      <c r="F408" s="20" t="str">
        <f aca="false">IF(D408="","",IFERROR(INDEX(Tables!$C:$C,MATCH(D408,Tables!$A:$A,0)),""))</f>
        <v/>
      </c>
      <c r="G408" s="30"/>
      <c r="H408" s="30"/>
      <c r="I408" s="30"/>
      <c r="J408" s="30"/>
      <c r="K408" s="30"/>
      <c r="L408" s="30"/>
      <c r="M408" s="30"/>
      <c r="N408" s="20" t="str">
        <f aca="false">IF(A408="","",COUNTIF('Metric to Field'!$B:$B,A408))</f>
        <v/>
      </c>
      <c r="O408" s="20" t="str">
        <f aca="false">IF(A408="","",SUMIF('Metric to Field'!$B:$B,A408,'Metric to Field'!$F:$F))</f>
        <v/>
      </c>
      <c r="P408" s="30"/>
      <c r="Q408" s="30"/>
      <c r="R408" s="30"/>
      <c r="S408" s="30"/>
      <c r="T408" s="34" t="str">
        <f aca="false">IF(AND(A408&lt;&gt;"",K408="Fix upstream"),COUNTIF($K$5:K408,"Fix upstream"),"")</f>
        <v/>
      </c>
      <c r="U408" s="34" t="str">
        <f aca="false">IF(AND(A408&lt;&gt;"",OR(K408="Move to business rules",K408="Merge into certified table")),COUNTIF($K$5:K408,"Move to business rules")+COUNTIF($K$5:K408,"Merge into certified table"),"")</f>
        <v/>
      </c>
      <c r="V408" s="34" t="str">
        <f aca="false">IF(AND(A408&lt;&gt;"",OR(K408="",K408="Undecided",J408="")),SUMPRODUCT(($A$5:A408&lt;&gt;"")*((($K$5:K408="")+($K$5:K408="Undecided")+($J$5:J408=""))&gt;0)),"")</f>
        <v/>
      </c>
    </row>
    <row r="409" customFormat="false" ht="15" hidden="false" customHeight="false" outlineLevel="0" collapsed="false">
      <c r="A409" s="29"/>
      <c r="B409" s="30"/>
      <c r="C409" s="30"/>
      <c r="D409" s="29"/>
      <c r="E409" s="20" t="str">
        <f aca="false">IF(D409="","",IFERROR(INDEX(Tables!$B:$B,MATCH(D409,Tables!$A:$A,0)),"ID not found"))</f>
        <v/>
      </c>
      <c r="F409" s="20" t="str">
        <f aca="false">IF(D409="","",IFERROR(INDEX(Tables!$C:$C,MATCH(D409,Tables!$A:$A,0)),""))</f>
        <v/>
      </c>
      <c r="G409" s="30"/>
      <c r="H409" s="30"/>
      <c r="I409" s="30"/>
      <c r="J409" s="30"/>
      <c r="K409" s="30"/>
      <c r="L409" s="30"/>
      <c r="M409" s="30"/>
      <c r="N409" s="20" t="str">
        <f aca="false">IF(A409="","",COUNTIF('Metric to Field'!$B:$B,A409))</f>
        <v/>
      </c>
      <c r="O409" s="20" t="str">
        <f aca="false">IF(A409="","",SUMIF('Metric to Field'!$B:$B,A409,'Metric to Field'!$F:$F))</f>
        <v/>
      </c>
      <c r="P409" s="30"/>
      <c r="Q409" s="30"/>
      <c r="R409" s="30"/>
      <c r="S409" s="30"/>
      <c r="T409" s="34" t="str">
        <f aca="false">IF(AND(A409&lt;&gt;"",K409="Fix upstream"),COUNTIF($K$5:K409,"Fix upstream"),"")</f>
        <v/>
      </c>
      <c r="U409" s="34" t="str">
        <f aca="false">IF(AND(A409&lt;&gt;"",OR(K409="Move to business rules",K409="Merge into certified table")),COUNTIF($K$5:K409,"Move to business rules")+COUNTIF($K$5:K409,"Merge into certified table"),"")</f>
        <v/>
      </c>
      <c r="V409" s="34" t="str">
        <f aca="false">IF(AND(A409&lt;&gt;"",OR(K409="",K409="Undecided",J409="")),SUMPRODUCT(($A$5:A409&lt;&gt;"")*((($K$5:K409="")+($K$5:K409="Undecided")+($J$5:J409=""))&gt;0)),"")</f>
        <v/>
      </c>
    </row>
    <row r="410" customFormat="false" ht="15" hidden="false" customHeight="false" outlineLevel="0" collapsed="false">
      <c r="A410" s="29"/>
      <c r="B410" s="30"/>
      <c r="C410" s="30"/>
      <c r="D410" s="29"/>
      <c r="E410" s="20" t="str">
        <f aca="false">IF(D410="","",IFERROR(INDEX(Tables!$B:$B,MATCH(D410,Tables!$A:$A,0)),"ID not found"))</f>
        <v/>
      </c>
      <c r="F410" s="20" t="str">
        <f aca="false">IF(D410="","",IFERROR(INDEX(Tables!$C:$C,MATCH(D410,Tables!$A:$A,0)),""))</f>
        <v/>
      </c>
      <c r="G410" s="30"/>
      <c r="H410" s="30"/>
      <c r="I410" s="30"/>
      <c r="J410" s="30"/>
      <c r="K410" s="30"/>
      <c r="L410" s="30"/>
      <c r="M410" s="30"/>
      <c r="N410" s="20" t="str">
        <f aca="false">IF(A410="","",COUNTIF('Metric to Field'!$B:$B,A410))</f>
        <v/>
      </c>
      <c r="O410" s="20" t="str">
        <f aca="false">IF(A410="","",SUMIF('Metric to Field'!$B:$B,A410,'Metric to Field'!$F:$F))</f>
        <v/>
      </c>
      <c r="P410" s="30"/>
      <c r="Q410" s="30"/>
      <c r="R410" s="30"/>
      <c r="S410" s="30"/>
      <c r="T410" s="34" t="str">
        <f aca="false">IF(AND(A410&lt;&gt;"",K410="Fix upstream"),COUNTIF($K$5:K410,"Fix upstream"),"")</f>
        <v/>
      </c>
      <c r="U410" s="34" t="str">
        <f aca="false">IF(AND(A410&lt;&gt;"",OR(K410="Move to business rules",K410="Merge into certified table")),COUNTIF($K$5:K410,"Move to business rules")+COUNTIF($K$5:K410,"Merge into certified table"),"")</f>
        <v/>
      </c>
      <c r="V410" s="34" t="str">
        <f aca="false">IF(AND(A410&lt;&gt;"",OR(K410="",K410="Undecided",J410="")),SUMPRODUCT(($A$5:A410&lt;&gt;"")*((($K$5:K410="")+($K$5:K410="Undecided")+($J$5:J410=""))&gt;0)),"")</f>
        <v/>
      </c>
    </row>
    <row r="411" customFormat="false" ht="15" hidden="false" customHeight="false" outlineLevel="0" collapsed="false">
      <c r="A411" s="29"/>
      <c r="B411" s="30"/>
      <c r="C411" s="30"/>
      <c r="D411" s="29"/>
      <c r="E411" s="20" t="str">
        <f aca="false">IF(D411="","",IFERROR(INDEX(Tables!$B:$B,MATCH(D411,Tables!$A:$A,0)),"ID not found"))</f>
        <v/>
      </c>
      <c r="F411" s="20" t="str">
        <f aca="false">IF(D411="","",IFERROR(INDEX(Tables!$C:$C,MATCH(D411,Tables!$A:$A,0)),""))</f>
        <v/>
      </c>
      <c r="G411" s="30"/>
      <c r="H411" s="30"/>
      <c r="I411" s="30"/>
      <c r="J411" s="30"/>
      <c r="K411" s="30"/>
      <c r="L411" s="30"/>
      <c r="M411" s="30"/>
      <c r="N411" s="20" t="str">
        <f aca="false">IF(A411="","",COUNTIF('Metric to Field'!$B:$B,A411))</f>
        <v/>
      </c>
      <c r="O411" s="20" t="str">
        <f aca="false">IF(A411="","",SUMIF('Metric to Field'!$B:$B,A411,'Metric to Field'!$F:$F))</f>
        <v/>
      </c>
      <c r="P411" s="30"/>
      <c r="Q411" s="30"/>
      <c r="R411" s="30"/>
      <c r="S411" s="30"/>
      <c r="T411" s="34" t="str">
        <f aca="false">IF(AND(A411&lt;&gt;"",K411="Fix upstream"),COUNTIF($K$5:K411,"Fix upstream"),"")</f>
        <v/>
      </c>
      <c r="U411" s="34" t="str">
        <f aca="false">IF(AND(A411&lt;&gt;"",OR(K411="Move to business rules",K411="Merge into certified table")),COUNTIF($K$5:K411,"Move to business rules")+COUNTIF($K$5:K411,"Merge into certified table"),"")</f>
        <v/>
      </c>
      <c r="V411" s="34" t="str">
        <f aca="false">IF(AND(A411&lt;&gt;"",OR(K411="",K411="Undecided",J411="")),SUMPRODUCT(($A$5:A411&lt;&gt;"")*((($K$5:K411="")+($K$5:K411="Undecided")+($J$5:J411=""))&gt;0)),"")</f>
        <v/>
      </c>
    </row>
    <row r="412" customFormat="false" ht="15" hidden="false" customHeight="false" outlineLevel="0" collapsed="false">
      <c r="A412" s="29"/>
      <c r="B412" s="30"/>
      <c r="C412" s="30"/>
      <c r="D412" s="29"/>
      <c r="E412" s="20" t="str">
        <f aca="false">IF(D412="","",IFERROR(INDEX(Tables!$B:$B,MATCH(D412,Tables!$A:$A,0)),"ID not found"))</f>
        <v/>
      </c>
      <c r="F412" s="20" t="str">
        <f aca="false">IF(D412="","",IFERROR(INDEX(Tables!$C:$C,MATCH(D412,Tables!$A:$A,0)),""))</f>
        <v/>
      </c>
      <c r="G412" s="30"/>
      <c r="H412" s="30"/>
      <c r="I412" s="30"/>
      <c r="J412" s="30"/>
      <c r="K412" s="30"/>
      <c r="L412" s="30"/>
      <c r="M412" s="30"/>
      <c r="N412" s="20" t="str">
        <f aca="false">IF(A412="","",COUNTIF('Metric to Field'!$B:$B,A412))</f>
        <v/>
      </c>
      <c r="O412" s="20" t="str">
        <f aca="false">IF(A412="","",SUMIF('Metric to Field'!$B:$B,A412,'Metric to Field'!$F:$F))</f>
        <v/>
      </c>
      <c r="P412" s="30"/>
      <c r="Q412" s="30"/>
      <c r="R412" s="30"/>
      <c r="S412" s="30"/>
      <c r="T412" s="34" t="str">
        <f aca="false">IF(AND(A412&lt;&gt;"",K412="Fix upstream"),COUNTIF($K$5:K412,"Fix upstream"),"")</f>
        <v/>
      </c>
      <c r="U412" s="34" t="str">
        <f aca="false">IF(AND(A412&lt;&gt;"",OR(K412="Move to business rules",K412="Merge into certified table")),COUNTIF($K$5:K412,"Move to business rules")+COUNTIF($K$5:K412,"Merge into certified table"),"")</f>
        <v/>
      </c>
      <c r="V412" s="34" t="str">
        <f aca="false">IF(AND(A412&lt;&gt;"",OR(K412="",K412="Undecided",J412="")),SUMPRODUCT(($A$5:A412&lt;&gt;"")*((($K$5:K412="")+($K$5:K412="Undecided")+($J$5:J412=""))&gt;0)),"")</f>
        <v/>
      </c>
    </row>
    <row r="413" customFormat="false" ht="15" hidden="false" customHeight="false" outlineLevel="0" collapsed="false">
      <c r="A413" s="29"/>
      <c r="B413" s="30"/>
      <c r="C413" s="30"/>
      <c r="D413" s="29"/>
      <c r="E413" s="20" t="str">
        <f aca="false">IF(D413="","",IFERROR(INDEX(Tables!$B:$B,MATCH(D413,Tables!$A:$A,0)),"ID not found"))</f>
        <v/>
      </c>
      <c r="F413" s="20" t="str">
        <f aca="false">IF(D413="","",IFERROR(INDEX(Tables!$C:$C,MATCH(D413,Tables!$A:$A,0)),""))</f>
        <v/>
      </c>
      <c r="G413" s="30"/>
      <c r="H413" s="30"/>
      <c r="I413" s="30"/>
      <c r="J413" s="30"/>
      <c r="K413" s="30"/>
      <c r="L413" s="30"/>
      <c r="M413" s="30"/>
      <c r="N413" s="20" t="str">
        <f aca="false">IF(A413="","",COUNTIF('Metric to Field'!$B:$B,A413))</f>
        <v/>
      </c>
      <c r="O413" s="20" t="str">
        <f aca="false">IF(A413="","",SUMIF('Metric to Field'!$B:$B,A413,'Metric to Field'!$F:$F))</f>
        <v/>
      </c>
      <c r="P413" s="30"/>
      <c r="Q413" s="30"/>
      <c r="R413" s="30"/>
      <c r="S413" s="30"/>
      <c r="T413" s="34" t="str">
        <f aca="false">IF(AND(A413&lt;&gt;"",K413="Fix upstream"),COUNTIF($K$5:K413,"Fix upstream"),"")</f>
        <v/>
      </c>
      <c r="U413" s="34" t="str">
        <f aca="false">IF(AND(A413&lt;&gt;"",OR(K413="Move to business rules",K413="Merge into certified table")),COUNTIF($K$5:K413,"Move to business rules")+COUNTIF($K$5:K413,"Merge into certified table"),"")</f>
        <v/>
      </c>
      <c r="V413" s="34" t="str">
        <f aca="false">IF(AND(A413&lt;&gt;"",OR(K413="",K413="Undecided",J413="")),SUMPRODUCT(($A$5:A413&lt;&gt;"")*((($K$5:K413="")+($K$5:K413="Undecided")+($J$5:J413=""))&gt;0)),"")</f>
        <v/>
      </c>
    </row>
    <row r="414" customFormat="false" ht="15" hidden="false" customHeight="false" outlineLevel="0" collapsed="false">
      <c r="A414" s="29"/>
      <c r="B414" s="30"/>
      <c r="C414" s="30"/>
      <c r="D414" s="29"/>
      <c r="E414" s="20" t="str">
        <f aca="false">IF(D414="","",IFERROR(INDEX(Tables!$B:$B,MATCH(D414,Tables!$A:$A,0)),"ID not found"))</f>
        <v/>
      </c>
      <c r="F414" s="20" t="str">
        <f aca="false">IF(D414="","",IFERROR(INDEX(Tables!$C:$C,MATCH(D414,Tables!$A:$A,0)),""))</f>
        <v/>
      </c>
      <c r="G414" s="30"/>
      <c r="H414" s="30"/>
      <c r="I414" s="30"/>
      <c r="J414" s="30"/>
      <c r="K414" s="30"/>
      <c r="L414" s="30"/>
      <c r="M414" s="30"/>
      <c r="N414" s="20" t="str">
        <f aca="false">IF(A414="","",COUNTIF('Metric to Field'!$B:$B,A414))</f>
        <v/>
      </c>
      <c r="O414" s="20" t="str">
        <f aca="false">IF(A414="","",SUMIF('Metric to Field'!$B:$B,A414,'Metric to Field'!$F:$F))</f>
        <v/>
      </c>
      <c r="P414" s="30"/>
      <c r="Q414" s="30"/>
      <c r="R414" s="30"/>
      <c r="S414" s="30"/>
      <c r="T414" s="34" t="str">
        <f aca="false">IF(AND(A414&lt;&gt;"",K414="Fix upstream"),COUNTIF($K$5:K414,"Fix upstream"),"")</f>
        <v/>
      </c>
      <c r="U414" s="34" t="str">
        <f aca="false">IF(AND(A414&lt;&gt;"",OR(K414="Move to business rules",K414="Merge into certified table")),COUNTIF($K$5:K414,"Move to business rules")+COUNTIF($K$5:K414,"Merge into certified table"),"")</f>
        <v/>
      </c>
      <c r="V414" s="34" t="str">
        <f aca="false">IF(AND(A414&lt;&gt;"",OR(K414="",K414="Undecided",J414="")),SUMPRODUCT(($A$5:A414&lt;&gt;"")*((($K$5:K414="")+($K$5:K414="Undecided")+($J$5:J414=""))&gt;0)),"")</f>
        <v/>
      </c>
    </row>
    <row r="415" customFormat="false" ht="15" hidden="false" customHeight="false" outlineLevel="0" collapsed="false">
      <c r="A415" s="29"/>
      <c r="B415" s="30"/>
      <c r="C415" s="30"/>
      <c r="D415" s="29"/>
      <c r="E415" s="20" t="str">
        <f aca="false">IF(D415="","",IFERROR(INDEX(Tables!$B:$B,MATCH(D415,Tables!$A:$A,0)),"ID not found"))</f>
        <v/>
      </c>
      <c r="F415" s="20" t="str">
        <f aca="false">IF(D415="","",IFERROR(INDEX(Tables!$C:$C,MATCH(D415,Tables!$A:$A,0)),""))</f>
        <v/>
      </c>
      <c r="G415" s="30"/>
      <c r="H415" s="30"/>
      <c r="I415" s="30"/>
      <c r="J415" s="30"/>
      <c r="K415" s="30"/>
      <c r="L415" s="30"/>
      <c r="M415" s="30"/>
      <c r="N415" s="20" t="str">
        <f aca="false">IF(A415="","",COUNTIF('Metric to Field'!$B:$B,A415))</f>
        <v/>
      </c>
      <c r="O415" s="20" t="str">
        <f aca="false">IF(A415="","",SUMIF('Metric to Field'!$B:$B,A415,'Metric to Field'!$F:$F))</f>
        <v/>
      </c>
      <c r="P415" s="30"/>
      <c r="Q415" s="30"/>
      <c r="R415" s="30"/>
      <c r="S415" s="30"/>
      <c r="T415" s="34" t="str">
        <f aca="false">IF(AND(A415&lt;&gt;"",K415="Fix upstream"),COUNTIF($K$5:K415,"Fix upstream"),"")</f>
        <v/>
      </c>
      <c r="U415" s="34" t="str">
        <f aca="false">IF(AND(A415&lt;&gt;"",OR(K415="Move to business rules",K415="Merge into certified table")),COUNTIF($K$5:K415,"Move to business rules")+COUNTIF($K$5:K415,"Merge into certified table"),"")</f>
        <v/>
      </c>
      <c r="V415" s="34" t="str">
        <f aca="false">IF(AND(A415&lt;&gt;"",OR(K415="",K415="Undecided",J415="")),SUMPRODUCT(($A$5:A415&lt;&gt;"")*((($K$5:K415="")+($K$5:K415="Undecided")+($J$5:J415=""))&gt;0)),"")</f>
        <v/>
      </c>
    </row>
    <row r="416" customFormat="false" ht="15" hidden="false" customHeight="false" outlineLevel="0" collapsed="false">
      <c r="A416" s="29"/>
      <c r="B416" s="30"/>
      <c r="C416" s="30"/>
      <c r="D416" s="29"/>
      <c r="E416" s="20" t="str">
        <f aca="false">IF(D416="","",IFERROR(INDEX(Tables!$B:$B,MATCH(D416,Tables!$A:$A,0)),"ID not found"))</f>
        <v/>
      </c>
      <c r="F416" s="20" t="str">
        <f aca="false">IF(D416="","",IFERROR(INDEX(Tables!$C:$C,MATCH(D416,Tables!$A:$A,0)),""))</f>
        <v/>
      </c>
      <c r="G416" s="30"/>
      <c r="H416" s="30"/>
      <c r="I416" s="30"/>
      <c r="J416" s="30"/>
      <c r="K416" s="30"/>
      <c r="L416" s="30"/>
      <c r="M416" s="30"/>
      <c r="N416" s="20" t="str">
        <f aca="false">IF(A416="","",COUNTIF('Metric to Field'!$B:$B,A416))</f>
        <v/>
      </c>
      <c r="O416" s="20" t="str">
        <f aca="false">IF(A416="","",SUMIF('Metric to Field'!$B:$B,A416,'Metric to Field'!$F:$F))</f>
        <v/>
      </c>
      <c r="P416" s="30"/>
      <c r="Q416" s="30"/>
      <c r="R416" s="30"/>
      <c r="S416" s="30"/>
      <c r="T416" s="34" t="str">
        <f aca="false">IF(AND(A416&lt;&gt;"",K416="Fix upstream"),COUNTIF($K$5:K416,"Fix upstream"),"")</f>
        <v/>
      </c>
      <c r="U416" s="34" t="str">
        <f aca="false">IF(AND(A416&lt;&gt;"",OR(K416="Move to business rules",K416="Merge into certified table")),COUNTIF($K$5:K416,"Move to business rules")+COUNTIF($K$5:K416,"Merge into certified table"),"")</f>
        <v/>
      </c>
      <c r="V416" s="34" t="str">
        <f aca="false">IF(AND(A416&lt;&gt;"",OR(K416="",K416="Undecided",J416="")),SUMPRODUCT(($A$5:A416&lt;&gt;"")*((($K$5:K416="")+($K$5:K416="Undecided")+($J$5:J416=""))&gt;0)),"")</f>
        <v/>
      </c>
    </row>
    <row r="417" customFormat="false" ht="15" hidden="false" customHeight="false" outlineLevel="0" collapsed="false">
      <c r="A417" s="29"/>
      <c r="B417" s="30"/>
      <c r="C417" s="30"/>
      <c r="D417" s="29"/>
      <c r="E417" s="20" t="str">
        <f aca="false">IF(D417="","",IFERROR(INDEX(Tables!$B:$B,MATCH(D417,Tables!$A:$A,0)),"ID not found"))</f>
        <v/>
      </c>
      <c r="F417" s="20" t="str">
        <f aca="false">IF(D417="","",IFERROR(INDEX(Tables!$C:$C,MATCH(D417,Tables!$A:$A,0)),""))</f>
        <v/>
      </c>
      <c r="G417" s="30"/>
      <c r="H417" s="30"/>
      <c r="I417" s="30"/>
      <c r="J417" s="30"/>
      <c r="K417" s="30"/>
      <c r="L417" s="30"/>
      <c r="M417" s="30"/>
      <c r="N417" s="20" t="str">
        <f aca="false">IF(A417="","",COUNTIF('Metric to Field'!$B:$B,A417))</f>
        <v/>
      </c>
      <c r="O417" s="20" t="str">
        <f aca="false">IF(A417="","",SUMIF('Metric to Field'!$B:$B,A417,'Metric to Field'!$F:$F))</f>
        <v/>
      </c>
      <c r="P417" s="30"/>
      <c r="Q417" s="30"/>
      <c r="R417" s="30"/>
      <c r="S417" s="30"/>
      <c r="T417" s="34" t="str">
        <f aca="false">IF(AND(A417&lt;&gt;"",K417="Fix upstream"),COUNTIF($K$5:K417,"Fix upstream"),"")</f>
        <v/>
      </c>
      <c r="U417" s="34" t="str">
        <f aca="false">IF(AND(A417&lt;&gt;"",OR(K417="Move to business rules",K417="Merge into certified table")),COUNTIF($K$5:K417,"Move to business rules")+COUNTIF($K$5:K417,"Merge into certified table"),"")</f>
        <v/>
      </c>
      <c r="V417" s="34" t="str">
        <f aca="false">IF(AND(A417&lt;&gt;"",OR(K417="",K417="Undecided",J417="")),SUMPRODUCT(($A$5:A417&lt;&gt;"")*((($K$5:K417="")+($K$5:K417="Undecided")+($J$5:J417=""))&gt;0)),"")</f>
        <v/>
      </c>
    </row>
    <row r="418" customFormat="false" ht="15" hidden="false" customHeight="false" outlineLevel="0" collapsed="false">
      <c r="A418" s="29"/>
      <c r="B418" s="30"/>
      <c r="C418" s="30"/>
      <c r="D418" s="29"/>
      <c r="E418" s="20" t="str">
        <f aca="false">IF(D418="","",IFERROR(INDEX(Tables!$B:$B,MATCH(D418,Tables!$A:$A,0)),"ID not found"))</f>
        <v/>
      </c>
      <c r="F418" s="20" t="str">
        <f aca="false">IF(D418="","",IFERROR(INDEX(Tables!$C:$C,MATCH(D418,Tables!$A:$A,0)),""))</f>
        <v/>
      </c>
      <c r="G418" s="30"/>
      <c r="H418" s="30"/>
      <c r="I418" s="30"/>
      <c r="J418" s="30"/>
      <c r="K418" s="30"/>
      <c r="L418" s="30"/>
      <c r="M418" s="30"/>
      <c r="N418" s="20" t="str">
        <f aca="false">IF(A418="","",COUNTIF('Metric to Field'!$B:$B,A418))</f>
        <v/>
      </c>
      <c r="O418" s="20" t="str">
        <f aca="false">IF(A418="","",SUMIF('Metric to Field'!$B:$B,A418,'Metric to Field'!$F:$F))</f>
        <v/>
      </c>
      <c r="P418" s="30"/>
      <c r="Q418" s="30"/>
      <c r="R418" s="30"/>
      <c r="S418" s="30"/>
      <c r="T418" s="34" t="str">
        <f aca="false">IF(AND(A418&lt;&gt;"",K418="Fix upstream"),COUNTIF($K$5:K418,"Fix upstream"),"")</f>
        <v/>
      </c>
      <c r="U418" s="34" t="str">
        <f aca="false">IF(AND(A418&lt;&gt;"",OR(K418="Move to business rules",K418="Merge into certified table")),COUNTIF($K$5:K418,"Move to business rules")+COUNTIF($K$5:K418,"Merge into certified table"),"")</f>
        <v/>
      </c>
      <c r="V418" s="34" t="str">
        <f aca="false">IF(AND(A418&lt;&gt;"",OR(K418="",K418="Undecided",J418="")),SUMPRODUCT(($A$5:A418&lt;&gt;"")*((($K$5:K418="")+($K$5:K418="Undecided")+($J$5:J418=""))&gt;0)),"")</f>
        <v/>
      </c>
    </row>
    <row r="419" customFormat="false" ht="15" hidden="false" customHeight="false" outlineLevel="0" collapsed="false">
      <c r="A419" s="29"/>
      <c r="B419" s="30"/>
      <c r="C419" s="30"/>
      <c r="D419" s="29"/>
      <c r="E419" s="20" t="str">
        <f aca="false">IF(D419="","",IFERROR(INDEX(Tables!$B:$B,MATCH(D419,Tables!$A:$A,0)),"ID not found"))</f>
        <v/>
      </c>
      <c r="F419" s="20" t="str">
        <f aca="false">IF(D419="","",IFERROR(INDEX(Tables!$C:$C,MATCH(D419,Tables!$A:$A,0)),""))</f>
        <v/>
      </c>
      <c r="G419" s="30"/>
      <c r="H419" s="30"/>
      <c r="I419" s="30"/>
      <c r="J419" s="30"/>
      <c r="K419" s="30"/>
      <c r="L419" s="30"/>
      <c r="M419" s="30"/>
      <c r="N419" s="20" t="str">
        <f aca="false">IF(A419="","",COUNTIF('Metric to Field'!$B:$B,A419))</f>
        <v/>
      </c>
      <c r="O419" s="20" t="str">
        <f aca="false">IF(A419="","",SUMIF('Metric to Field'!$B:$B,A419,'Metric to Field'!$F:$F))</f>
        <v/>
      </c>
      <c r="P419" s="30"/>
      <c r="Q419" s="30"/>
      <c r="R419" s="30"/>
      <c r="S419" s="30"/>
      <c r="T419" s="34" t="str">
        <f aca="false">IF(AND(A419&lt;&gt;"",K419="Fix upstream"),COUNTIF($K$5:K419,"Fix upstream"),"")</f>
        <v/>
      </c>
      <c r="U419" s="34" t="str">
        <f aca="false">IF(AND(A419&lt;&gt;"",OR(K419="Move to business rules",K419="Merge into certified table")),COUNTIF($K$5:K419,"Move to business rules")+COUNTIF($K$5:K419,"Merge into certified table"),"")</f>
        <v/>
      </c>
      <c r="V419" s="34" t="str">
        <f aca="false">IF(AND(A419&lt;&gt;"",OR(K419="",K419="Undecided",J419="")),SUMPRODUCT(($A$5:A419&lt;&gt;"")*((($K$5:K419="")+($K$5:K419="Undecided")+($J$5:J419=""))&gt;0)),"")</f>
        <v/>
      </c>
    </row>
    <row r="420" customFormat="false" ht="15" hidden="false" customHeight="false" outlineLevel="0" collapsed="false">
      <c r="A420" s="29"/>
      <c r="B420" s="30"/>
      <c r="C420" s="30"/>
      <c r="D420" s="29"/>
      <c r="E420" s="20" t="str">
        <f aca="false">IF(D420="","",IFERROR(INDEX(Tables!$B:$B,MATCH(D420,Tables!$A:$A,0)),"ID not found"))</f>
        <v/>
      </c>
      <c r="F420" s="20" t="str">
        <f aca="false">IF(D420="","",IFERROR(INDEX(Tables!$C:$C,MATCH(D420,Tables!$A:$A,0)),""))</f>
        <v/>
      </c>
      <c r="G420" s="30"/>
      <c r="H420" s="30"/>
      <c r="I420" s="30"/>
      <c r="J420" s="30"/>
      <c r="K420" s="30"/>
      <c r="L420" s="30"/>
      <c r="M420" s="30"/>
      <c r="N420" s="20" t="str">
        <f aca="false">IF(A420="","",COUNTIF('Metric to Field'!$B:$B,A420))</f>
        <v/>
      </c>
      <c r="O420" s="20" t="str">
        <f aca="false">IF(A420="","",SUMIF('Metric to Field'!$B:$B,A420,'Metric to Field'!$F:$F))</f>
        <v/>
      </c>
      <c r="P420" s="30"/>
      <c r="Q420" s="30"/>
      <c r="R420" s="30"/>
      <c r="S420" s="30"/>
      <c r="T420" s="34" t="str">
        <f aca="false">IF(AND(A420&lt;&gt;"",K420="Fix upstream"),COUNTIF($K$5:K420,"Fix upstream"),"")</f>
        <v/>
      </c>
      <c r="U420" s="34" t="str">
        <f aca="false">IF(AND(A420&lt;&gt;"",OR(K420="Move to business rules",K420="Merge into certified table")),COUNTIF($K$5:K420,"Move to business rules")+COUNTIF($K$5:K420,"Merge into certified table"),"")</f>
        <v/>
      </c>
      <c r="V420" s="34" t="str">
        <f aca="false">IF(AND(A420&lt;&gt;"",OR(K420="",K420="Undecided",J420="")),SUMPRODUCT(($A$5:A420&lt;&gt;"")*((($K$5:K420="")+($K$5:K420="Undecided")+($J$5:J420=""))&gt;0)),"")</f>
        <v/>
      </c>
    </row>
    <row r="421" customFormat="false" ht="15" hidden="false" customHeight="false" outlineLevel="0" collapsed="false">
      <c r="A421" s="29"/>
      <c r="B421" s="30"/>
      <c r="C421" s="30"/>
      <c r="D421" s="29"/>
      <c r="E421" s="20" t="str">
        <f aca="false">IF(D421="","",IFERROR(INDEX(Tables!$B:$B,MATCH(D421,Tables!$A:$A,0)),"ID not found"))</f>
        <v/>
      </c>
      <c r="F421" s="20" t="str">
        <f aca="false">IF(D421="","",IFERROR(INDEX(Tables!$C:$C,MATCH(D421,Tables!$A:$A,0)),""))</f>
        <v/>
      </c>
      <c r="G421" s="30"/>
      <c r="H421" s="30"/>
      <c r="I421" s="30"/>
      <c r="J421" s="30"/>
      <c r="K421" s="30"/>
      <c r="L421" s="30"/>
      <c r="M421" s="30"/>
      <c r="N421" s="20" t="str">
        <f aca="false">IF(A421="","",COUNTIF('Metric to Field'!$B:$B,A421))</f>
        <v/>
      </c>
      <c r="O421" s="20" t="str">
        <f aca="false">IF(A421="","",SUMIF('Metric to Field'!$B:$B,A421,'Metric to Field'!$F:$F))</f>
        <v/>
      </c>
      <c r="P421" s="30"/>
      <c r="Q421" s="30"/>
      <c r="R421" s="30"/>
      <c r="S421" s="30"/>
      <c r="T421" s="34" t="str">
        <f aca="false">IF(AND(A421&lt;&gt;"",K421="Fix upstream"),COUNTIF($K$5:K421,"Fix upstream"),"")</f>
        <v/>
      </c>
      <c r="U421" s="34" t="str">
        <f aca="false">IF(AND(A421&lt;&gt;"",OR(K421="Move to business rules",K421="Merge into certified table")),COUNTIF($K$5:K421,"Move to business rules")+COUNTIF($K$5:K421,"Merge into certified table"),"")</f>
        <v/>
      </c>
      <c r="V421" s="34" t="str">
        <f aca="false">IF(AND(A421&lt;&gt;"",OR(K421="",K421="Undecided",J421="")),SUMPRODUCT(($A$5:A421&lt;&gt;"")*((($K$5:K421="")+($K$5:K421="Undecided")+($J$5:J421=""))&gt;0)),"")</f>
        <v/>
      </c>
    </row>
    <row r="422" customFormat="false" ht="15" hidden="false" customHeight="false" outlineLevel="0" collapsed="false">
      <c r="A422" s="29"/>
      <c r="B422" s="30"/>
      <c r="C422" s="30"/>
      <c r="D422" s="29"/>
      <c r="E422" s="20" t="str">
        <f aca="false">IF(D422="","",IFERROR(INDEX(Tables!$B:$B,MATCH(D422,Tables!$A:$A,0)),"ID not found"))</f>
        <v/>
      </c>
      <c r="F422" s="20" t="str">
        <f aca="false">IF(D422="","",IFERROR(INDEX(Tables!$C:$C,MATCH(D422,Tables!$A:$A,0)),""))</f>
        <v/>
      </c>
      <c r="G422" s="30"/>
      <c r="H422" s="30"/>
      <c r="I422" s="30"/>
      <c r="J422" s="30"/>
      <c r="K422" s="30"/>
      <c r="L422" s="30"/>
      <c r="M422" s="30"/>
      <c r="N422" s="20" t="str">
        <f aca="false">IF(A422="","",COUNTIF('Metric to Field'!$B:$B,A422))</f>
        <v/>
      </c>
      <c r="O422" s="20" t="str">
        <f aca="false">IF(A422="","",SUMIF('Metric to Field'!$B:$B,A422,'Metric to Field'!$F:$F))</f>
        <v/>
      </c>
      <c r="P422" s="30"/>
      <c r="Q422" s="30"/>
      <c r="R422" s="30"/>
      <c r="S422" s="30"/>
      <c r="T422" s="34" t="str">
        <f aca="false">IF(AND(A422&lt;&gt;"",K422="Fix upstream"),COUNTIF($K$5:K422,"Fix upstream"),"")</f>
        <v/>
      </c>
      <c r="U422" s="34" t="str">
        <f aca="false">IF(AND(A422&lt;&gt;"",OR(K422="Move to business rules",K422="Merge into certified table")),COUNTIF($K$5:K422,"Move to business rules")+COUNTIF($K$5:K422,"Merge into certified table"),"")</f>
        <v/>
      </c>
      <c r="V422" s="34" t="str">
        <f aca="false">IF(AND(A422&lt;&gt;"",OR(K422="",K422="Undecided",J422="")),SUMPRODUCT(($A$5:A422&lt;&gt;"")*((($K$5:K422="")+($K$5:K422="Undecided")+($J$5:J422=""))&gt;0)),"")</f>
        <v/>
      </c>
    </row>
    <row r="423" customFormat="false" ht="15" hidden="false" customHeight="false" outlineLevel="0" collapsed="false">
      <c r="A423" s="29"/>
      <c r="B423" s="30"/>
      <c r="C423" s="30"/>
      <c r="D423" s="29"/>
      <c r="E423" s="20" t="str">
        <f aca="false">IF(D423="","",IFERROR(INDEX(Tables!$B:$B,MATCH(D423,Tables!$A:$A,0)),"ID not found"))</f>
        <v/>
      </c>
      <c r="F423" s="20" t="str">
        <f aca="false">IF(D423="","",IFERROR(INDEX(Tables!$C:$C,MATCH(D423,Tables!$A:$A,0)),""))</f>
        <v/>
      </c>
      <c r="G423" s="30"/>
      <c r="H423" s="30"/>
      <c r="I423" s="30"/>
      <c r="J423" s="30"/>
      <c r="K423" s="30"/>
      <c r="L423" s="30"/>
      <c r="M423" s="30"/>
      <c r="N423" s="20" t="str">
        <f aca="false">IF(A423="","",COUNTIF('Metric to Field'!$B:$B,A423))</f>
        <v/>
      </c>
      <c r="O423" s="20" t="str">
        <f aca="false">IF(A423="","",SUMIF('Metric to Field'!$B:$B,A423,'Metric to Field'!$F:$F))</f>
        <v/>
      </c>
      <c r="P423" s="30"/>
      <c r="Q423" s="30"/>
      <c r="R423" s="30"/>
      <c r="S423" s="30"/>
      <c r="T423" s="34" t="str">
        <f aca="false">IF(AND(A423&lt;&gt;"",K423="Fix upstream"),COUNTIF($K$5:K423,"Fix upstream"),"")</f>
        <v/>
      </c>
      <c r="U423" s="34" t="str">
        <f aca="false">IF(AND(A423&lt;&gt;"",OR(K423="Move to business rules",K423="Merge into certified table")),COUNTIF($K$5:K423,"Move to business rules")+COUNTIF($K$5:K423,"Merge into certified table"),"")</f>
        <v/>
      </c>
      <c r="V423" s="34" t="str">
        <f aca="false">IF(AND(A423&lt;&gt;"",OR(K423="",K423="Undecided",J423="")),SUMPRODUCT(($A$5:A423&lt;&gt;"")*((($K$5:K423="")+($K$5:K423="Undecided")+($J$5:J423=""))&gt;0)),"")</f>
        <v/>
      </c>
    </row>
    <row r="424" customFormat="false" ht="15" hidden="false" customHeight="false" outlineLevel="0" collapsed="false">
      <c r="A424" s="29"/>
      <c r="B424" s="30"/>
      <c r="C424" s="30"/>
      <c r="D424" s="29"/>
      <c r="E424" s="20" t="str">
        <f aca="false">IF(D424="","",IFERROR(INDEX(Tables!$B:$B,MATCH(D424,Tables!$A:$A,0)),"ID not found"))</f>
        <v/>
      </c>
      <c r="F424" s="20" t="str">
        <f aca="false">IF(D424="","",IFERROR(INDEX(Tables!$C:$C,MATCH(D424,Tables!$A:$A,0)),""))</f>
        <v/>
      </c>
      <c r="G424" s="30"/>
      <c r="H424" s="30"/>
      <c r="I424" s="30"/>
      <c r="J424" s="30"/>
      <c r="K424" s="30"/>
      <c r="L424" s="30"/>
      <c r="M424" s="30"/>
      <c r="N424" s="20" t="str">
        <f aca="false">IF(A424="","",COUNTIF('Metric to Field'!$B:$B,A424))</f>
        <v/>
      </c>
      <c r="O424" s="20" t="str">
        <f aca="false">IF(A424="","",SUMIF('Metric to Field'!$B:$B,A424,'Metric to Field'!$F:$F))</f>
        <v/>
      </c>
      <c r="P424" s="30"/>
      <c r="Q424" s="30"/>
      <c r="R424" s="30"/>
      <c r="S424" s="30"/>
      <c r="T424" s="34" t="str">
        <f aca="false">IF(AND(A424&lt;&gt;"",K424="Fix upstream"),COUNTIF($K$5:K424,"Fix upstream"),"")</f>
        <v/>
      </c>
      <c r="U424" s="34" t="str">
        <f aca="false">IF(AND(A424&lt;&gt;"",OR(K424="Move to business rules",K424="Merge into certified table")),COUNTIF($K$5:K424,"Move to business rules")+COUNTIF($K$5:K424,"Merge into certified table"),"")</f>
        <v/>
      </c>
      <c r="V424" s="34" t="str">
        <f aca="false">IF(AND(A424&lt;&gt;"",OR(K424="",K424="Undecided",J424="")),SUMPRODUCT(($A$5:A424&lt;&gt;"")*((($K$5:K424="")+($K$5:K424="Undecided")+($J$5:J424=""))&gt;0)),"")</f>
        <v/>
      </c>
    </row>
    <row r="425" customFormat="false" ht="15" hidden="false" customHeight="false" outlineLevel="0" collapsed="false">
      <c r="A425" s="29"/>
      <c r="B425" s="30"/>
      <c r="C425" s="30"/>
      <c r="D425" s="29"/>
      <c r="E425" s="20" t="str">
        <f aca="false">IF(D425="","",IFERROR(INDEX(Tables!$B:$B,MATCH(D425,Tables!$A:$A,0)),"ID not found"))</f>
        <v/>
      </c>
      <c r="F425" s="20" t="str">
        <f aca="false">IF(D425="","",IFERROR(INDEX(Tables!$C:$C,MATCH(D425,Tables!$A:$A,0)),""))</f>
        <v/>
      </c>
      <c r="G425" s="30"/>
      <c r="H425" s="30"/>
      <c r="I425" s="30"/>
      <c r="J425" s="30"/>
      <c r="K425" s="30"/>
      <c r="L425" s="30"/>
      <c r="M425" s="30"/>
      <c r="N425" s="20" t="str">
        <f aca="false">IF(A425="","",COUNTIF('Metric to Field'!$B:$B,A425))</f>
        <v/>
      </c>
      <c r="O425" s="20" t="str">
        <f aca="false">IF(A425="","",SUMIF('Metric to Field'!$B:$B,A425,'Metric to Field'!$F:$F))</f>
        <v/>
      </c>
      <c r="P425" s="30"/>
      <c r="Q425" s="30"/>
      <c r="R425" s="30"/>
      <c r="S425" s="30"/>
      <c r="T425" s="34" t="str">
        <f aca="false">IF(AND(A425&lt;&gt;"",K425="Fix upstream"),COUNTIF($K$5:K425,"Fix upstream"),"")</f>
        <v/>
      </c>
      <c r="U425" s="34" t="str">
        <f aca="false">IF(AND(A425&lt;&gt;"",OR(K425="Move to business rules",K425="Merge into certified table")),COUNTIF($K$5:K425,"Move to business rules")+COUNTIF($K$5:K425,"Merge into certified table"),"")</f>
        <v/>
      </c>
      <c r="V425" s="34" t="str">
        <f aca="false">IF(AND(A425&lt;&gt;"",OR(K425="",K425="Undecided",J425="")),SUMPRODUCT(($A$5:A425&lt;&gt;"")*((($K$5:K425="")+($K$5:K425="Undecided")+($J$5:J425=""))&gt;0)),"")</f>
        <v/>
      </c>
    </row>
    <row r="426" customFormat="false" ht="15" hidden="false" customHeight="false" outlineLevel="0" collapsed="false">
      <c r="A426" s="29"/>
      <c r="B426" s="30"/>
      <c r="C426" s="30"/>
      <c r="D426" s="29"/>
      <c r="E426" s="20" t="str">
        <f aca="false">IF(D426="","",IFERROR(INDEX(Tables!$B:$B,MATCH(D426,Tables!$A:$A,0)),"ID not found"))</f>
        <v/>
      </c>
      <c r="F426" s="20" t="str">
        <f aca="false">IF(D426="","",IFERROR(INDEX(Tables!$C:$C,MATCH(D426,Tables!$A:$A,0)),""))</f>
        <v/>
      </c>
      <c r="G426" s="30"/>
      <c r="H426" s="30"/>
      <c r="I426" s="30"/>
      <c r="J426" s="30"/>
      <c r="K426" s="30"/>
      <c r="L426" s="30"/>
      <c r="M426" s="30"/>
      <c r="N426" s="20" t="str">
        <f aca="false">IF(A426="","",COUNTIF('Metric to Field'!$B:$B,A426))</f>
        <v/>
      </c>
      <c r="O426" s="20" t="str">
        <f aca="false">IF(A426="","",SUMIF('Metric to Field'!$B:$B,A426,'Metric to Field'!$F:$F))</f>
        <v/>
      </c>
      <c r="P426" s="30"/>
      <c r="Q426" s="30"/>
      <c r="R426" s="30"/>
      <c r="S426" s="30"/>
      <c r="T426" s="34" t="str">
        <f aca="false">IF(AND(A426&lt;&gt;"",K426="Fix upstream"),COUNTIF($K$5:K426,"Fix upstream"),"")</f>
        <v/>
      </c>
      <c r="U426" s="34" t="str">
        <f aca="false">IF(AND(A426&lt;&gt;"",OR(K426="Move to business rules",K426="Merge into certified table")),COUNTIF($K$5:K426,"Move to business rules")+COUNTIF($K$5:K426,"Merge into certified table"),"")</f>
        <v/>
      </c>
      <c r="V426" s="34" t="str">
        <f aca="false">IF(AND(A426&lt;&gt;"",OR(K426="",K426="Undecided",J426="")),SUMPRODUCT(($A$5:A426&lt;&gt;"")*((($K$5:K426="")+($K$5:K426="Undecided")+($J$5:J426=""))&gt;0)),"")</f>
        <v/>
      </c>
    </row>
    <row r="427" customFormat="false" ht="15" hidden="false" customHeight="false" outlineLevel="0" collapsed="false">
      <c r="A427" s="29"/>
      <c r="B427" s="30"/>
      <c r="C427" s="30"/>
      <c r="D427" s="29"/>
      <c r="E427" s="20" t="str">
        <f aca="false">IF(D427="","",IFERROR(INDEX(Tables!$B:$B,MATCH(D427,Tables!$A:$A,0)),"ID not found"))</f>
        <v/>
      </c>
      <c r="F427" s="20" t="str">
        <f aca="false">IF(D427="","",IFERROR(INDEX(Tables!$C:$C,MATCH(D427,Tables!$A:$A,0)),""))</f>
        <v/>
      </c>
      <c r="G427" s="30"/>
      <c r="H427" s="30"/>
      <c r="I427" s="30"/>
      <c r="J427" s="30"/>
      <c r="K427" s="30"/>
      <c r="L427" s="30"/>
      <c r="M427" s="30"/>
      <c r="N427" s="20" t="str">
        <f aca="false">IF(A427="","",COUNTIF('Metric to Field'!$B:$B,A427))</f>
        <v/>
      </c>
      <c r="O427" s="20" t="str">
        <f aca="false">IF(A427="","",SUMIF('Metric to Field'!$B:$B,A427,'Metric to Field'!$F:$F))</f>
        <v/>
      </c>
      <c r="P427" s="30"/>
      <c r="Q427" s="30"/>
      <c r="R427" s="30"/>
      <c r="S427" s="30"/>
      <c r="T427" s="34" t="str">
        <f aca="false">IF(AND(A427&lt;&gt;"",K427="Fix upstream"),COUNTIF($K$5:K427,"Fix upstream"),"")</f>
        <v/>
      </c>
      <c r="U427" s="34" t="str">
        <f aca="false">IF(AND(A427&lt;&gt;"",OR(K427="Move to business rules",K427="Merge into certified table")),COUNTIF($K$5:K427,"Move to business rules")+COUNTIF($K$5:K427,"Merge into certified table"),"")</f>
        <v/>
      </c>
      <c r="V427" s="34" t="str">
        <f aca="false">IF(AND(A427&lt;&gt;"",OR(K427="",K427="Undecided",J427="")),SUMPRODUCT(($A$5:A427&lt;&gt;"")*((($K$5:K427="")+($K$5:K427="Undecided")+($J$5:J427=""))&gt;0)),"")</f>
        <v/>
      </c>
    </row>
    <row r="428" customFormat="false" ht="15" hidden="false" customHeight="false" outlineLevel="0" collapsed="false">
      <c r="A428" s="29"/>
      <c r="B428" s="30"/>
      <c r="C428" s="30"/>
      <c r="D428" s="29"/>
      <c r="E428" s="20" t="str">
        <f aca="false">IF(D428="","",IFERROR(INDEX(Tables!$B:$B,MATCH(D428,Tables!$A:$A,0)),"ID not found"))</f>
        <v/>
      </c>
      <c r="F428" s="20" t="str">
        <f aca="false">IF(D428="","",IFERROR(INDEX(Tables!$C:$C,MATCH(D428,Tables!$A:$A,0)),""))</f>
        <v/>
      </c>
      <c r="G428" s="30"/>
      <c r="H428" s="30"/>
      <c r="I428" s="30"/>
      <c r="J428" s="30"/>
      <c r="K428" s="30"/>
      <c r="L428" s="30"/>
      <c r="M428" s="30"/>
      <c r="N428" s="20" t="str">
        <f aca="false">IF(A428="","",COUNTIF('Metric to Field'!$B:$B,A428))</f>
        <v/>
      </c>
      <c r="O428" s="20" t="str">
        <f aca="false">IF(A428="","",SUMIF('Metric to Field'!$B:$B,A428,'Metric to Field'!$F:$F))</f>
        <v/>
      </c>
      <c r="P428" s="30"/>
      <c r="Q428" s="30"/>
      <c r="R428" s="30"/>
      <c r="S428" s="30"/>
      <c r="T428" s="34" t="str">
        <f aca="false">IF(AND(A428&lt;&gt;"",K428="Fix upstream"),COUNTIF($K$5:K428,"Fix upstream"),"")</f>
        <v/>
      </c>
      <c r="U428" s="34" t="str">
        <f aca="false">IF(AND(A428&lt;&gt;"",OR(K428="Move to business rules",K428="Merge into certified table")),COUNTIF($K$5:K428,"Move to business rules")+COUNTIF($K$5:K428,"Merge into certified table"),"")</f>
        <v/>
      </c>
      <c r="V428" s="34" t="str">
        <f aca="false">IF(AND(A428&lt;&gt;"",OR(K428="",K428="Undecided",J428="")),SUMPRODUCT(($A$5:A428&lt;&gt;"")*((($K$5:K428="")+($K$5:K428="Undecided")+($J$5:J428=""))&gt;0)),"")</f>
        <v/>
      </c>
    </row>
    <row r="429" customFormat="false" ht="15" hidden="false" customHeight="false" outlineLevel="0" collapsed="false">
      <c r="A429" s="29"/>
      <c r="B429" s="30"/>
      <c r="C429" s="30"/>
      <c r="D429" s="29"/>
      <c r="E429" s="20" t="str">
        <f aca="false">IF(D429="","",IFERROR(INDEX(Tables!$B:$B,MATCH(D429,Tables!$A:$A,0)),"ID not found"))</f>
        <v/>
      </c>
      <c r="F429" s="20" t="str">
        <f aca="false">IF(D429="","",IFERROR(INDEX(Tables!$C:$C,MATCH(D429,Tables!$A:$A,0)),""))</f>
        <v/>
      </c>
      <c r="G429" s="30"/>
      <c r="H429" s="30"/>
      <c r="I429" s="30"/>
      <c r="J429" s="30"/>
      <c r="K429" s="30"/>
      <c r="L429" s="30"/>
      <c r="M429" s="30"/>
      <c r="N429" s="20" t="str">
        <f aca="false">IF(A429="","",COUNTIF('Metric to Field'!$B:$B,A429))</f>
        <v/>
      </c>
      <c r="O429" s="20" t="str">
        <f aca="false">IF(A429="","",SUMIF('Metric to Field'!$B:$B,A429,'Metric to Field'!$F:$F))</f>
        <v/>
      </c>
      <c r="P429" s="30"/>
      <c r="Q429" s="30"/>
      <c r="R429" s="30"/>
      <c r="S429" s="30"/>
      <c r="T429" s="34" t="str">
        <f aca="false">IF(AND(A429&lt;&gt;"",K429="Fix upstream"),COUNTIF($K$5:K429,"Fix upstream"),"")</f>
        <v/>
      </c>
      <c r="U429" s="34" t="str">
        <f aca="false">IF(AND(A429&lt;&gt;"",OR(K429="Move to business rules",K429="Merge into certified table")),COUNTIF($K$5:K429,"Move to business rules")+COUNTIF($K$5:K429,"Merge into certified table"),"")</f>
        <v/>
      </c>
      <c r="V429" s="34" t="str">
        <f aca="false">IF(AND(A429&lt;&gt;"",OR(K429="",K429="Undecided",J429="")),SUMPRODUCT(($A$5:A429&lt;&gt;"")*((($K$5:K429="")+($K$5:K429="Undecided")+($J$5:J429=""))&gt;0)),"")</f>
        <v/>
      </c>
    </row>
    <row r="430" customFormat="false" ht="15" hidden="false" customHeight="false" outlineLevel="0" collapsed="false">
      <c r="A430" s="29"/>
      <c r="B430" s="30"/>
      <c r="C430" s="30"/>
      <c r="D430" s="29"/>
      <c r="E430" s="20" t="str">
        <f aca="false">IF(D430="","",IFERROR(INDEX(Tables!$B:$B,MATCH(D430,Tables!$A:$A,0)),"ID not found"))</f>
        <v/>
      </c>
      <c r="F430" s="20" t="str">
        <f aca="false">IF(D430="","",IFERROR(INDEX(Tables!$C:$C,MATCH(D430,Tables!$A:$A,0)),""))</f>
        <v/>
      </c>
      <c r="G430" s="30"/>
      <c r="H430" s="30"/>
      <c r="I430" s="30"/>
      <c r="J430" s="30"/>
      <c r="K430" s="30"/>
      <c r="L430" s="30"/>
      <c r="M430" s="30"/>
      <c r="N430" s="20" t="str">
        <f aca="false">IF(A430="","",COUNTIF('Metric to Field'!$B:$B,A430))</f>
        <v/>
      </c>
      <c r="O430" s="20" t="str">
        <f aca="false">IF(A430="","",SUMIF('Metric to Field'!$B:$B,A430,'Metric to Field'!$F:$F))</f>
        <v/>
      </c>
      <c r="P430" s="30"/>
      <c r="Q430" s="30"/>
      <c r="R430" s="30"/>
      <c r="S430" s="30"/>
      <c r="T430" s="34" t="str">
        <f aca="false">IF(AND(A430&lt;&gt;"",K430="Fix upstream"),COUNTIF($K$5:K430,"Fix upstream"),"")</f>
        <v/>
      </c>
      <c r="U430" s="34" t="str">
        <f aca="false">IF(AND(A430&lt;&gt;"",OR(K430="Move to business rules",K430="Merge into certified table")),COUNTIF($K$5:K430,"Move to business rules")+COUNTIF($K$5:K430,"Merge into certified table"),"")</f>
        <v/>
      </c>
      <c r="V430" s="34" t="str">
        <f aca="false">IF(AND(A430&lt;&gt;"",OR(K430="",K430="Undecided",J430="")),SUMPRODUCT(($A$5:A430&lt;&gt;"")*((($K$5:K430="")+($K$5:K430="Undecided")+($J$5:J430=""))&gt;0)),"")</f>
        <v/>
      </c>
    </row>
    <row r="431" customFormat="false" ht="15" hidden="false" customHeight="false" outlineLevel="0" collapsed="false">
      <c r="A431" s="29"/>
      <c r="B431" s="30"/>
      <c r="C431" s="30"/>
      <c r="D431" s="29"/>
      <c r="E431" s="20" t="str">
        <f aca="false">IF(D431="","",IFERROR(INDEX(Tables!$B:$B,MATCH(D431,Tables!$A:$A,0)),"ID not found"))</f>
        <v/>
      </c>
      <c r="F431" s="20" t="str">
        <f aca="false">IF(D431="","",IFERROR(INDEX(Tables!$C:$C,MATCH(D431,Tables!$A:$A,0)),""))</f>
        <v/>
      </c>
      <c r="G431" s="30"/>
      <c r="H431" s="30"/>
      <c r="I431" s="30"/>
      <c r="J431" s="30"/>
      <c r="K431" s="30"/>
      <c r="L431" s="30"/>
      <c r="M431" s="30"/>
      <c r="N431" s="20" t="str">
        <f aca="false">IF(A431="","",COUNTIF('Metric to Field'!$B:$B,A431))</f>
        <v/>
      </c>
      <c r="O431" s="20" t="str">
        <f aca="false">IF(A431="","",SUMIF('Metric to Field'!$B:$B,A431,'Metric to Field'!$F:$F))</f>
        <v/>
      </c>
      <c r="P431" s="30"/>
      <c r="Q431" s="30"/>
      <c r="R431" s="30"/>
      <c r="S431" s="30"/>
      <c r="T431" s="34" t="str">
        <f aca="false">IF(AND(A431&lt;&gt;"",K431="Fix upstream"),COUNTIF($K$5:K431,"Fix upstream"),"")</f>
        <v/>
      </c>
      <c r="U431" s="34" t="str">
        <f aca="false">IF(AND(A431&lt;&gt;"",OR(K431="Move to business rules",K431="Merge into certified table")),COUNTIF($K$5:K431,"Move to business rules")+COUNTIF($K$5:K431,"Merge into certified table"),"")</f>
        <v/>
      </c>
      <c r="V431" s="34" t="str">
        <f aca="false">IF(AND(A431&lt;&gt;"",OR(K431="",K431="Undecided",J431="")),SUMPRODUCT(($A$5:A431&lt;&gt;"")*((($K$5:K431="")+($K$5:K431="Undecided")+($J$5:J431=""))&gt;0)),"")</f>
        <v/>
      </c>
    </row>
    <row r="432" customFormat="false" ht="15" hidden="false" customHeight="false" outlineLevel="0" collapsed="false">
      <c r="A432" s="29"/>
      <c r="B432" s="30"/>
      <c r="C432" s="30"/>
      <c r="D432" s="29"/>
      <c r="E432" s="20" t="str">
        <f aca="false">IF(D432="","",IFERROR(INDEX(Tables!$B:$B,MATCH(D432,Tables!$A:$A,0)),"ID not found"))</f>
        <v/>
      </c>
      <c r="F432" s="20" t="str">
        <f aca="false">IF(D432="","",IFERROR(INDEX(Tables!$C:$C,MATCH(D432,Tables!$A:$A,0)),""))</f>
        <v/>
      </c>
      <c r="G432" s="30"/>
      <c r="H432" s="30"/>
      <c r="I432" s="30"/>
      <c r="J432" s="30"/>
      <c r="K432" s="30"/>
      <c r="L432" s="30"/>
      <c r="M432" s="30"/>
      <c r="N432" s="20" t="str">
        <f aca="false">IF(A432="","",COUNTIF('Metric to Field'!$B:$B,A432))</f>
        <v/>
      </c>
      <c r="O432" s="20" t="str">
        <f aca="false">IF(A432="","",SUMIF('Metric to Field'!$B:$B,A432,'Metric to Field'!$F:$F))</f>
        <v/>
      </c>
      <c r="P432" s="30"/>
      <c r="Q432" s="30"/>
      <c r="R432" s="30"/>
      <c r="S432" s="30"/>
      <c r="T432" s="34" t="str">
        <f aca="false">IF(AND(A432&lt;&gt;"",K432="Fix upstream"),COUNTIF($K$5:K432,"Fix upstream"),"")</f>
        <v/>
      </c>
      <c r="U432" s="34" t="str">
        <f aca="false">IF(AND(A432&lt;&gt;"",OR(K432="Move to business rules",K432="Merge into certified table")),COUNTIF($K$5:K432,"Move to business rules")+COUNTIF($K$5:K432,"Merge into certified table"),"")</f>
        <v/>
      </c>
      <c r="V432" s="34" t="str">
        <f aca="false">IF(AND(A432&lt;&gt;"",OR(K432="",K432="Undecided",J432="")),SUMPRODUCT(($A$5:A432&lt;&gt;"")*((($K$5:K432="")+($K$5:K432="Undecided")+($J$5:J432=""))&gt;0)),"")</f>
        <v/>
      </c>
    </row>
    <row r="433" customFormat="false" ht="15" hidden="false" customHeight="false" outlineLevel="0" collapsed="false">
      <c r="A433" s="29"/>
      <c r="B433" s="30"/>
      <c r="C433" s="30"/>
      <c r="D433" s="29"/>
      <c r="E433" s="20" t="str">
        <f aca="false">IF(D433="","",IFERROR(INDEX(Tables!$B:$B,MATCH(D433,Tables!$A:$A,0)),"ID not found"))</f>
        <v/>
      </c>
      <c r="F433" s="20" t="str">
        <f aca="false">IF(D433="","",IFERROR(INDEX(Tables!$C:$C,MATCH(D433,Tables!$A:$A,0)),""))</f>
        <v/>
      </c>
      <c r="G433" s="30"/>
      <c r="H433" s="30"/>
      <c r="I433" s="30"/>
      <c r="J433" s="30"/>
      <c r="K433" s="30"/>
      <c r="L433" s="30"/>
      <c r="M433" s="30"/>
      <c r="N433" s="20" t="str">
        <f aca="false">IF(A433="","",COUNTIF('Metric to Field'!$B:$B,A433))</f>
        <v/>
      </c>
      <c r="O433" s="20" t="str">
        <f aca="false">IF(A433="","",SUMIF('Metric to Field'!$B:$B,A433,'Metric to Field'!$F:$F))</f>
        <v/>
      </c>
      <c r="P433" s="30"/>
      <c r="Q433" s="30"/>
      <c r="R433" s="30"/>
      <c r="S433" s="30"/>
      <c r="T433" s="34" t="str">
        <f aca="false">IF(AND(A433&lt;&gt;"",K433="Fix upstream"),COUNTIF($K$5:K433,"Fix upstream"),"")</f>
        <v/>
      </c>
      <c r="U433" s="34" t="str">
        <f aca="false">IF(AND(A433&lt;&gt;"",OR(K433="Move to business rules",K433="Merge into certified table")),COUNTIF($K$5:K433,"Move to business rules")+COUNTIF($K$5:K433,"Merge into certified table"),"")</f>
        <v/>
      </c>
      <c r="V433" s="34" t="str">
        <f aca="false">IF(AND(A433&lt;&gt;"",OR(K433="",K433="Undecided",J433="")),SUMPRODUCT(($A$5:A433&lt;&gt;"")*((($K$5:K433="")+($K$5:K433="Undecided")+($J$5:J433=""))&gt;0)),"")</f>
        <v/>
      </c>
    </row>
    <row r="434" customFormat="false" ht="15" hidden="false" customHeight="false" outlineLevel="0" collapsed="false">
      <c r="A434" s="29"/>
      <c r="B434" s="30"/>
      <c r="C434" s="30"/>
      <c r="D434" s="29"/>
      <c r="E434" s="20" t="str">
        <f aca="false">IF(D434="","",IFERROR(INDEX(Tables!$B:$B,MATCH(D434,Tables!$A:$A,0)),"ID not found"))</f>
        <v/>
      </c>
      <c r="F434" s="20" t="str">
        <f aca="false">IF(D434="","",IFERROR(INDEX(Tables!$C:$C,MATCH(D434,Tables!$A:$A,0)),""))</f>
        <v/>
      </c>
      <c r="G434" s="30"/>
      <c r="H434" s="30"/>
      <c r="I434" s="30"/>
      <c r="J434" s="30"/>
      <c r="K434" s="30"/>
      <c r="L434" s="30"/>
      <c r="M434" s="30"/>
      <c r="N434" s="20" t="str">
        <f aca="false">IF(A434="","",COUNTIF('Metric to Field'!$B:$B,A434))</f>
        <v/>
      </c>
      <c r="O434" s="20" t="str">
        <f aca="false">IF(A434="","",SUMIF('Metric to Field'!$B:$B,A434,'Metric to Field'!$F:$F))</f>
        <v/>
      </c>
      <c r="P434" s="30"/>
      <c r="Q434" s="30"/>
      <c r="R434" s="30"/>
      <c r="S434" s="30"/>
      <c r="T434" s="34" t="str">
        <f aca="false">IF(AND(A434&lt;&gt;"",K434="Fix upstream"),COUNTIF($K$5:K434,"Fix upstream"),"")</f>
        <v/>
      </c>
      <c r="U434" s="34" t="str">
        <f aca="false">IF(AND(A434&lt;&gt;"",OR(K434="Move to business rules",K434="Merge into certified table")),COUNTIF($K$5:K434,"Move to business rules")+COUNTIF($K$5:K434,"Merge into certified table"),"")</f>
        <v/>
      </c>
      <c r="V434" s="34" t="str">
        <f aca="false">IF(AND(A434&lt;&gt;"",OR(K434="",K434="Undecided",J434="")),SUMPRODUCT(($A$5:A434&lt;&gt;"")*((($K$5:K434="")+($K$5:K434="Undecided")+($J$5:J434=""))&gt;0)),"")</f>
        <v/>
      </c>
    </row>
    <row r="435" customFormat="false" ht="15" hidden="false" customHeight="false" outlineLevel="0" collapsed="false">
      <c r="A435" s="29"/>
      <c r="B435" s="30"/>
      <c r="C435" s="30"/>
      <c r="D435" s="29"/>
      <c r="E435" s="20" t="str">
        <f aca="false">IF(D435="","",IFERROR(INDEX(Tables!$B:$B,MATCH(D435,Tables!$A:$A,0)),"ID not found"))</f>
        <v/>
      </c>
      <c r="F435" s="20" t="str">
        <f aca="false">IF(D435="","",IFERROR(INDEX(Tables!$C:$C,MATCH(D435,Tables!$A:$A,0)),""))</f>
        <v/>
      </c>
      <c r="G435" s="30"/>
      <c r="H435" s="30"/>
      <c r="I435" s="30"/>
      <c r="J435" s="30"/>
      <c r="K435" s="30"/>
      <c r="L435" s="30"/>
      <c r="M435" s="30"/>
      <c r="N435" s="20" t="str">
        <f aca="false">IF(A435="","",COUNTIF('Metric to Field'!$B:$B,A435))</f>
        <v/>
      </c>
      <c r="O435" s="20" t="str">
        <f aca="false">IF(A435="","",SUMIF('Metric to Field'!$B:$B,A435,'Metric to Field'!$F:$F))</f>
        <v/>
      </c>
      <c r="P435" s="30"/>
      <c r="Q435" s="30"/>
      <c r="R435" s="30"/>
      <c r="S435" s="30"/>
      <c r="T435" s="34" t="str">
        <f aca="false">IF(AND(A435&lt;&gt;"",K435="Fix upstream"),COUNTIF($K$5:K435,"Fix upstream"),"")</f>
        <v/>
      </c>
      <c r="U435" s="34" t="str">
        <f aca="false">IF(AND(A435&lt;&gt;"",OR(K435="Move to business rules",K435="Merge into certified table")),COUNTIF($K$5:K435,"Move to business rules")+COUNTIF($K$5:K435,"Merge into certified table"),"")</f>
        <v/>
      </c>
      <c r="V435" s="34" t="str">
        <f aca="false">IF(AND(A435&lt;&gt;"",OR(K435="",K435="Undecided",J435="")),SUMPRODUCT(($A$5:A435&lt;&gt;"")*((($K$5:K435="")+($K$5:K435="Undecided")+($J$5:J435=""))&gt;0)),"")</f>
        <v/>
      </c>
    </row>
    <row r="436" customFormat="false" ht="15" hidden="false" customHeight="false" outlineLevel="0" collapsed="false">
      <c r="A436" s="29"/>
      <c r="B436" s="30"/>
      <c r="C436" s="30"/>
      <c r="D436" s="29"/>
      <c r="E436" s="20" t="str">
        <f aca="false">IF(D436="","",IFERROR(INDEX(Tables!$B:$B,MATCH(D436,Tables!$A:$A,0)),"ID not found"))</f>
        <v/>
      </c>
      <c r="F436" s="20" t="str">
        <f aca="false">IF(D436="","",IFERROR(INDEX(Tables!$C:$C,MATCH(D436,Tables!$A:$A,0)),""))</f>
        <v/>
      </c>
      <c r="G436" s="30"/>
      <c r="H436" s="30"/>
      <c r="I436" s="30"/>
      <c r="J436" s="30"/>
      <c r="K436" s="30"/>
      <c r="L436" s="30"/>
      <c r="M436" s="30"/>
      <c r="N436" s="20" t="str">
        <f aca="false">IF(A436="","",COUNTIF('Metric to Field'!$B:$B,A436))</f>
        <v/>
      </c>
      <c r="O436" s="20" t="str">
        <f aca="false">IF(A436="","",SUMIF('Metric to Field'!$B:$B,A436,'Metric to Field'!$F:$F))</f>
        <v/>
      </c>
      <c r="P436" s="30"/>
      <c r="Q436" s="30"/>
      <c r="R436" s="30"/>
      <c r="S436" s="30"/>
      <c r="T436" s="34" t="str">
        <f aca="false">IF(AND(A436&lt;&gt;"",K436="Fix upstream"),COUNTIF($K$5:K436,"Fix upstream"),"")</f>
        <v/>
      </c>
      <c r="U436" s="34" t="str">
        <f aca="false">IF(AND(A436&lt;&gt;"",OR(K436="Move to business rules",K436="Merge into certified table")),COUNTIF($K$5:K436,"Move to business rules")+COUNTIF($K$5:K436,"Merge into certified table"),"")</f>
        <v/>
      </c>
      <c r="V436" s="34" t="str">
        <f aca="false">IF(AND(A436&lt;&gt;"",OR(K436="",K436="Undecided",J436="")),SUMPRODUCT(($A$5:A436&lt;&gt;"")*((($K$5:K436="")+($K$5:K436="Undecided")+($J$5:J436=""))&gt;0)),"")</f>
        <v/>
      </c>
    </row>
    <row r="437" customFormat="false" ht="15" hidden="false" customHeight="false" outlineLevel="0" collapsed="false">
      <c r="A437" s="29"/>
      <c r="B437" s="30"/>
      <c r="C437" s="30"/>
      <c r="D437" s="29"/>
      <c r="E437" s="20" t="str">
        <f aca="false">IF(D437="","",IFERROR(INDEX(Tables!$B:$B,MATCH(D437,Tables!$A:$A,0)),"ID not found"))</f>
        <v/>
      </c>
      <c r="F437" s="20" t="str">
        <f aca="false">IF(D437="","",IFERROR(INDEX(Tables!$C:$C,MATCH(D437,Tables!$A:$A,0)),""))</f>
        <v/>
      </c>
      <c r="G437" s="30"/>
      <c r="H437" s="30"/>
      <c r="I437" s="30"/>
      <c r="J437" s="30"/>
      <c r="K437" s="30"/>
      <c r="L437" s="30"/>
      <c r="M437" s="30"/>
      <c r="N437" s="20" t="str">
        <f aca="false">IF(A437="","",COUNTIF('Metric to Field'!$B:$B,A437))</f>
        <v/>
      </c>
      <c r="O437" s="20" t="str">
        <f aca="false">IF(A437="","",SUMIF('Metric to Field'!$B:$B,A437,'Metric to Field'!$F:$F))</f>
        <v/>
      </c>
      <c r="P437" s="30"/>
      <c r="Q437" s="30"/>
      <c r="R437" s="30"/>
      <c r="S437" s="30"/>
      <c r="T437" s="34" t="str">
        <f aca="false">IF(AND(A437&lt;&gt;"",K437="Fix upstream"),COUNTIF($K$5:K437,"Fix upstream"),"")</f>
        <v/>
      </c>
      <c r="U437" s="34" t="str">
        <f aca="false">IF(AND(A437&lt;&gt;"",OR(K437="Move to business rules",K437="Merge into certified table")),COUNTIF($K$5:K437,"Move to business rules")+COUNTIF($K$5:K437,"Merge into certified table"),"")</f>
        <v/>
      </c>
      <c r="V437" s="34" t="str">
        <f aca="false">IF(AND(A437&lt;&gt;"",OR(K437="",K437="Undecided",J437="")),SUMPRODUCT(($A$5:A437&lt;&gt;"")*((($K$5:K437="")+($K$5:K437="Undecided")+($J$5:J437=""))&gt;0)),"")</f>
        <v/>
      </c>
    </row>
    <row r="438" customFormat="false" ht="15" hidden="false" customHeight="false" outlineLevel="0" collapsed="false">
      <c r="A438" s="29"/>
      <c r="B438" s="30"/>
      <c r="C438" s="30"/>
      <c r="D438" s="29"/>
      <c r="E438" s="20" t="str">
        <f aca="false">IF(D438="","",IFERROR(INDEX(Tables!$B:$B,MATCH(D438,Tables!$A:$A,0)),"ID not found"))</f>
        <v/>
      </c>
      <c r="F438" s="20" t="str">
        <f aca="false">IF(D438="","",IFERROR(INDEX(Tables!$C:$C,MATCH(D438,Tables!$A:$A,0)),""))</f>
        <v/>
      </c>
      <c r="G438" s="30"/>
      <c r="H438" s="30"/>
      <c r="I438" s="30"/>
      <c r="J438" s="30"/>
      <c r="K438" s="30"/>
      <c r="L438" s="30"/>
      <c r="M438" s="30"/>
      <c r="N438" s="20" t="str">
        <f aca="false">IF(A438="","",COUNTIF('Metric to Field'!$B:$B,A438))</f>
        <v/>
      </c>
      <c r="O438" s="20" t="str">
        <f aca="false">IF(A438="","",SUMIF('Metric to Field'!$B:$B,A438,'Metric to Field'!$F:$F))</f>
        <v/>
      </c>
      <c r="P438" s="30"/>
      <c r="Q438" s="30"/>
      <c r="R438" s="30"/>
      <c r="S438" s="30"/>
      <c r="T438" s="34" t="str">
        <f aca="false">IF(AND(A438&lt;&gt;"",K438="Fix upstream"),COUNTIF($K$5:K438,"Fix upstream"),"")</f>
        <v/>
      </c>
      <c r="U438" s="34" t="str">
        <f aca="false">IF(AND(A438&lt;&gt;"",OR(K438="Move to business rules",K438="Merge into certified table")),COUNTIF($K$5:K438,"Move to business rules")+COUNTIF($K$5:K438,"Merge into certified table"),"")</f>
        <v/>
      </c>
      <c r="V438" s="34" t="str">
        <f aca="false">IF(AND(A438&lt;&gt;"",OR(K438="",K438="Undecided",J438="")),SUMPRODUCT(($A$5:A438&lt;&gt;"")*((($K$5:K438="")+($K$5:K438="Undecided")+($J$5:J438=""))&gt;0)),"")</f>
        <v/>
      </c>
    </row>
    <row r="439" customFormat="false" ht="15" hidden="false" customHeight="false" outlineLevel="0" collapsed="false">
      <c r="A439" s="29"/>
      <c r="B439" s="30"/>
      <c r="C439" s="30"/>
      <c r="D439" s="29"/>
      <c r="E439" s="20" t="str">
        <f aca="false">IF(D439="","",IFERROR(INDEX(Tables!$B:$B,MATCH(D439,Tables!$A:$A,0)),"ID not found"))</f>
        <v/>
      </c>
      <c r="F439" s="20" t="str">
        <f aca="false">IF(D439="","",IFERROR(INDEX(Tables!$C:$C,MATCH(D439,Tables!$A:$A,0)),""))</f>
        <v/>
      </c>
      <c r="G439" s="30"/>
      <c r="H439" s="30"/>
      <c r="I439" s="30"/>
      <c r="J439" s="30"/>
      <c r="K439" s="30"/>
      <c r="L439" s="30"/>
      <c r="M439" s="30"/>
      <c r="N439" s="20" t="str">
        <f aca="false">IF(A439="","",COUNTIF('Metric to Field'!$B:$B,A439))</f>
        <v/>
      </c>
      <c r="O439" s="20" t="str">
        <f aca="false">IF(A439="","",SUMIF('Metric to Field'!$B:$B,A439,'Metric to Field'!$F:$F))</f>
        <v/>
      </c>
      <c r="P439" s="30"/>
      <c r="Q439" s="30"/>
      <c r="R439" s="30"/>
      <c r="S439" s="30"/>
      <c r="T439" s="34" t="str">
        <f aca="false">IF(AND(A439&lt;&gt;"",K439="Fix upstream"),COUNTIF($K$5:K439,"Fix upstream"),"")</f>
        <v/>
      </c>
      <c r="U439" s="34" t="str">
        <f aca="false">IF(AND(A439&lt;&gt;"",OR(K439="Move to business rules",K439="Merge into certified table")),COUNTIF($K$5:K439,"Move to business rules")+COUNTIF($K$5:K439,"Merge into certified table"),"")</f>
        <v/>
      </c>
      <c r="V439" s="34" t="str">
        <f aca="false">IF(AND(A439&lt;&gt;"",OR(K439="",K439="Undecided",J439="")),SUMPRODUCT(($A$5:A439&lt;&gt;"")*((($K$5:K439="")+($K$5:K439="Undecided")+($J$5:J439=""))&gt;0)),"")</f>
        <v/>
      </c>
    </row>
    <row r="440" customFormat="false" ht="15" hidden="false" customHeight="false" outlineLevel="0" collapsed="false">
      <c r="A440" s="29"/>
      <c r="B440" s="30"/>
      <c r="C440" s="30"/>
      <c r="D440" s="29"/>
      <c r="E440" s="20" t="str">
        <f aca="false">IF(D440="","",IFERROR(INDEX(Tables!$B:$B,MATCH(D440,Tables!$A:$A,0)),"ID not found"))</f>
        <v/>
      </c>
      <c r="F440" s="20" t="str">
        <f aca="false">IF(D440="","",IFERROR(INDEX(Tables!$C:$C,MATCH(D440,Tables!$A:$A,0)),""))</f>
        <v/>
      </c>
      <c r="G440" s="30"/>
      <c r="H440" s="30"/>
      <c r="I440" s="30"/>
      <c r="J440" s="30"/>
      <c r="K440" s="30"/>
      <c r="L440" s="30"/>
      <c r="M440" s="30"/>
      <c r="N440" s="20" t="str">
        <f aca="false">IF(A440="","",COUNTIF('Metric to Field'!$B:$B,A440))</f>
        <v/>
      </c>
      <c r="O440" s="20" t="str">
        <f aca="false">IF(A440="","",SUMIF('Metric to Field'!$B:$B,A440,'Metric to Field'!$F:$F))</f>
        <v/>
      </c>
      <c r="P440" s="30"/>
      <c r="Q440" s="30"/>
      <c r="R440" s="30"/>
      <c r="S440" s="30"/>
      <c r="T440" s="34" t="str">
        <f aca="false">IF(AND(A440&lt;&gt;"",K440="Fix upstream"),COUNTIF($K$5:K440,"Fix upstream"),"")</f>
        <v/>
      </c>
      <c r="U440" s="34" t="str">
        <f aca="false">IF(AND(A440&lt;&gt;"",OR(K440="Move to business rules",K440="Merge into certified table")),COUNTIF($K$5:K440,"Move to business rules")+COUNTIF($K$5:K440,"Merge into certified table"),"")</f>
        <v/>
      </c>
      <c r="V440" s="34" t="str">
        <f aca="false">IF(AND(A440&lt;&gt;"",OR(K440="",K440="Undecided",J440="")),SUMPRODUCT(($A$5:A440&lt;&gt;"")*((($K$5:K440="")+($K$5:K440="Undecided")+($J$5:J440=""))&gt;0)),"")</f>
        <v/>
      </c>
    </row>
    <row r="441" customFormat="false" ht="15" hidden="false" customHeight="false" outlineLevel="0" collapsed="false">
      <c r="A441" s="29"/>
      <c r="B441" s="30"/>
      <c r="C441" s="30"/>
      <c r="D441" s="29"/>
      <c r="E441" s="20" t="str">
        <f aca="false">IF(D441="","",IFERROR(INDEX(Tables!$B:$B,MATCH(D441,Tables!$A:$A,0)),"ID not found"))</f>
        <v/>
      </c>
      <c r="F441" s="20" t="str">
        <f aca="false">IF(D441="","",IFERROR(INDEX(Tables!$C:$C,MATCH(D441,Tables!$A:$A,0)),""))</f>
        <v/>
      </c>
      <c r="G441" s="30"/>
      <c r="H441" s="30"/>
      <c r="I441" s="30"/>
      <c r="J441" s="30"/>
      <c r="K441" s="30"/>
      <c r="L441" s="30"/>
      <c r="M441" s="30"/>
      <c r="N441" s="20" t="str">
        <f aca="false">IF(A441="","",COUNTIF('Metric to Field'!$B:$B,A441))</f>
        <v/>
      </c>
      <c r="O441" s="20" t="str">
        <f aca="false">IF(A441="","",SUMIF('Metric to Field'!$B:$B,A441,'Metric to Field'!$F:$F))</f>
        <v/>
      </c>
      <c r="P441" s="30"/>
      <c r="Q441" s="30"/>
      <c r="R441" s="30"/>
      <c r="S441" s="30"/>
      <c r="T441" s="34" t="str">
        <f aca="false">IF(AND(A441&lt;&gt;"",K441="Fix upstream"),COUNTIF($K$5:K441,"Fix upstream"),"")</f>
        <v/>
      </c>
      <c r="U441" s="34" t="str">
        <f aca="false">IF(AND(A441&lt;&gt;"",OR(K441="Move to business rules",K441="Merge into certified table")),COUNTIF($K$5:K441,"Move to business rules")+COUNTIF($K$5:K441,"Merge into certified table"),"")</f>
        <v/>
      </c>
      <c r="V441" s="34" t="str">
        <f aca="false">IF(AND(A441&lt;&gt;"",OR(K441="",K441="Undecided",J441="")),SUMPRODUCT(($A$5:A441&lt;&gt;"")*((($K$5:K441="")+($K$5:K441="Undecided")+($J$5:J441=""))&gt;0)),"")</f>
        <v/>
      </c>
    </row>
    <row r="442" customFormat="false" ht="15" hidden="false" customHeight="false" outlineLevel="0" collapsed="false">
      <c r="A442" s="29"/>
      <c r="B442" s="30"/>
      <c r="C442" s="30"/>
      <c r="D442" s="29"/>
      <c r="E442" s="20" t="str">
        <f aca="false">IF(D442="","",IFERROR(INDEX(Tables!$B:$B,MATCH(D442,Tables!$A:$A,0)),"ID not found"))</f>
        <v/>
      </c>
      <c r="F442" s="20" t="str">
        <f aca="false">IF(D442="","",IFERROR(INDEX(Tables!$C:$C,MATCH(D442,Tables!$A:$A,0)),""))</f>
        <v/>
      </c>
      <c r="G442" s="30"/>
      <c r="H442" s="30"/>
      <c r="I442" s="30"/>
      <c r="J442" s="30"/>
      <c r="K442" s="30"/>
      <c r="L442" s="30"/>
      <c r="M442" s="30"/>
      <c r="N442" s="20" t="str">
        <f aca="false">IF(A442="","",COUNTIF('Metric to Field'!$B:$B,A442))</f>
        <v/>
      </c>
      <c r="O442" s="20" t="str">
        <f aca="false">IF(A442="","",SUMIF('Metric to Field'!$B:$B,A442,'Metric to Field'!$F:$F))</f>
        <v/>
      </c>
      <c r="P442" s="30"/>
      <c r="Q442" s="30"/>
      <c r="R442" s="30"/>
      <c r="S442" s="30"/>
      <c r="T442" s="34" t="str">
        <f aca="false">IF(AND(A442&lt;&gt;"",K442="Fix upstream"),COUNTIF($K$5:K442,"Fix upstream"),"")</f>
        <v/>
      </c>
      <c r="U442" s="34" t="str">
        <f aca="false">IF(AND(A442&lt;&gt;"",OR(K442="Move to business rules",K442="Merge into certified table")),COUNTIF($K$5:K442,"Move to business rules")+COUNTIF($K$5:K442,"Merge into certified table"),"")</f>
        <v/>
      </c>
      <c r="V442" s="34" t="str">
        <f aca="false">IF(AND(A442&lt;&gt;"",OR(K442="",K442="Undecided",J442="")),SUMPRODUCT(($A$5:A442&lt;&gt;"")*((($K$5:K442="")+($K$5:K442="Undecided")+($J$5:J442=""))&gt;0)),"")</f>
        <v/>
      </c>
    </row>
    <row r="443" customFormat="false" ht="15" hidden="false" customHeight="false" outlineLevel="0" collapsed="false">
      <c r="A443" s="29"/>
      <c r="B443" s="30"/>
      <c r="C443" s="30"/>
      <c r="D443" s="29"/>
      <c r="E443" s="20" t="str">
        <f aca="false">IF(D443="","",IFERROR(INDEX(Tables!$B:$B,MATCH(D443,Tables!$A:$A,0)),"ID not found"))</f>
        <v/>
      </c>
      <c r="F443" s="20" t="str">
        <f aca="false">IF(D443="","",IFERROR(INDEX(Tables!$C:$C,MATCH(D443,Tables!$A:$A,0)),""))</f>
        <v/>
      </c>
      <c r="G443" s="30"/>
      <c r="H443" s="30"/>
      <c r="I443" s="30"/>
      <c r="J443" s="30"/>
      <c r="K443" s="30"/>
      <c r="L443" s="30"/>
      <c r="M443" s="30"/>
      <c r="N443" s="20" t="str">
        <f aca="false">IF(A443="","",COUNTIF('Metric to Field'!$B:$B,A443))</f>
        <v/>
      </c>
      <c r="O443" s="20" t="str">
        <f aca="false">IF(A443="","",SUMIF('Metric to Field'!$B:$B,A443,'Metric to Field'!$F:$F))</f>
        <v/>
      </c>
      <c r="P443" s="30"/>
      <c r="Q443" s="30"/>
      <c r="R443" s="30"/>
      <c r="S443" s="30"/>
      <c r="T443" s="34" t="str">
        <f aca="false">IF(AND(A443&lt;&gt;"",K443="Fix upstream"),COUNTIF($K$5:K443,"Fix upstream"),"")</f>
        <v/>
      </c>
      <c r="U443" s="34" t="str">
        <f aca="false">IF(AND(A443&lt;&gt;"",OR(K443="Move to business rules",K443="Merge into certified table")),COUNTIF($K$5:K443,"Move to business rules")+COUNTIF($K$5:K443,"Merge into certified table"),"")</f>
        <v/>
      </c>
      <c r="V443" s="34" t="str">
        <f aca="false">IF(AND(A443&lt;&gt;"",OR(K443="",K443="Undecided",J443="")),SUMPRODUCT(($A$5:A443&lt;&gt;"")*((($K$5:K443="")+($K$5:K443="Undecided")+($J$5:J443=""))&gt;0)),"")</f>
        <v/>
      </c>
    </row>
    <row r="444" customFormat="false" ht="15" hidden="false" customHeight="false" outlineLevel="0" collapsed="false">
      <c r="A444" s="29"/>
      <c r="B444" s="30"/>
      <c r="C444" s="30"/>
      <c r="D444" s="29"/>
      <c r="E444" s="20" t="str">
        <f aca="false">IF(D444="","",IFERROR(INDEX(Tables!$B:$B,MATCH(D444,Tables!$A:$A,0)),"ID not found"))</f>
        <v/>
      </c>
      <c r="F444" s="20" t="str">
        <f aca="false">IF(D444="","",IFERROR(INDEX(Tables!$C:$C,MATCH(D444,Tables!$A:$A,0)),""))</f>
        <v/>
      </c>
      <c r="G444" s="30"/>
      <c r="H444" s="30"/>
      <c r="I444" s="30"/>
      <c r="J444" s="30"/>
      <c r="K444" s="30"/>
      <c r="L444" s="30"/>
      <c r="M444" s="30"/>
      <c r="N444" s="20" t="str">
        <f aca="false">IF(A444="","",COUNTIF('Metric to Field'!$B:$B,A444))</f>
        <v/>
      </c>
      <c r="O444" s="20" t="str">
        <f aca="false">IF(A444="","",SUMIF('Metric to Field'!$B:$B,A444,'Metric to Field'!$F:$F))</f>
        <v/>
      </c>
      <c r="P444" s="30"/>
      <c r="Q444" s="30"/>
      <c r="R444" s="30"/>
      <c r="S444" s="30"/>
      <c r="T444" s="34" t="str">
        <f aca="false">IF(AND(A444&lt;&gt;"",K444="Fix upstream"),COUNTIF($K$5:K444,"Fix upstream"),"")</f>
        <v/>
      </c>
      <c r="U444" s="34" t="str">
        <f aca="false">IF(AND(A444&lt;&gt;"",OR(K444="Move to business rules",K444="Merge into certified table")),COUNTIF($K$5:K444,"Move to business rules")+COUNTIF($K$5:K444,"Merge into certified table"),"")</f>
        <v/>
      </c>
      <c r="V444" s="34" t="str">
        <f aca="false">IF(AND(A444&lt;&gt;"",OR(K444="",K444="Undecided",J444="")),SUMPRODUCT(($A$5:A444&lt;&gt;"")*((($K$5:K444="")+($K$5:K444="Undecided")+($J$5:J444=""))&gt;0)),"")</f>
        <v/>
      </c>
    </row>
    <row r="445" customFormat="false" ht="15" hidden="false" customHeight="false" outlineLevel="0" collapsed="false">
      <c r="A445" s="29"/>
      <c r="B445" s="30"/>
      <c r="C445" s="30"/>
      <c r="D445" s="29"/>
      <c r="E445" s="20" t="str">
        <f aca="false">IF(D445="","",IFERROR(INDEX(Tables!$B:$B,MATCH(D445,Tables!$A:$A,0)),"ID not found"))</f>
        <v/>
      </c>
      <c r="F445" s="20" t="str">
        <f aca="false">IF(D445="","",IFERROR(INDEX(Tables!$C:$C,MATCH(D445,Tables!$A:$A,0)),""))</f>
        <v/>
      </c>
      <c r="G445" s="30"/>
      <c r="H445" s="30"/>
      <c r="I445" s="30"/>
      <c r="J445" s="30"/>
      <c r="K445" s="30"/>
      <c r="L445" s="30"/>
      <c r="M445" s="30"/>
      <c r="N445" s="20" t="str">
        <f aca="false">IF(A445="","",COUNTIF('Metric to Field'!$B:$B,A445))</f>
        <v/>
      </c>
      <c r="O445" s="20" t="str">
        <f aca="false">IF(A445="","",SUMIF('Metric to Field'!$B:$B,A445,'Metric to Field'!$F:$F))</f>
        <v/>
      </c>
      <c r="P445" s="30"/>
      <c r="Q445" s="30"/>
      <c r="R445" s="30"/>
      <c r="S445" s="30"/>
      <c r="T445" s="34" t="str">
        <f aca="false">IF(AND(A445&lt;&gt;"",K445="Fix upstream"),COUNTIF($K$5:K445,"Fix upstream"),"")</f>
        <v/>
      </c>
      <c r="U445" s="34" t="str">
        <f aca="false">IF(AND(A445&lt;&gt;"",OR(K445="Move to business rules",K445="Merge into certified table")),COUNTIF($K$5:K445,"Move to business rules")+COUNTIF($K$5:K445,"Merge into certified table"),"")</f>
        <v/>
      </c>
      <c r="V445" s="34" t="str">
        <f aca="false">IF(AND(A445&lt;&gt;"",OR(K445="",K445="Undecided",J445="")),SUMPRODUCT(($A$5:A445&lt;&gt;"")*((($K$5:K445="")+($K$5:K445="Undecided")+($J$5:J445=""))&gt;0)),"")</f>
        <v/>
      </c>
    </row>
    <row r="446" customFormat="false" ht="15" hidden="false" customHeight="false" outlineLevel="0" collapsed="false">
      <c r="A446" s="29"/>
      <c r="B446" s="30"/>
      <c r="C446" s="30"/>
      <c r="D446" s="29"/>
      <c r="E446" s="20" t="str">
        <f aca="false">IF(D446="","",IFERROR(INDEX(Tables!$B:$B,MATCH(D446,Tables!$A:$A,0)),"ID not found"))</f>
        <v/>
      </c>
      <c r="F446" s="20" t="str">
        <f aca="false">IF(D446="","",IFERROR(INDEX(Tables!$C:$C,MATCH(D446,Tables!$A:$A,0)),""))</f>
        <v/>
      </c>
      <c r="G446" s="30"/>
      <c r="H446" s="30"/>
      <c r="I446" s="30"/>
      <c r="J446" s="30"/>
      <c r="K446" s="30"/>
      <c r="L446" s="30"/>
      <c r="M446" s="30"/>
      <c r="N446" s="20" t="str">
        <f aca="false">IF(A446="","",COUNTIF('Metric to Field'!$B:$B,A446))</f>
        <v/>
      </c>
      <c r="O446" s="20" t="str">
        <f aca="false">IF(A446="","",SUMIF('Metric to Field'!$B:$B,A446,'Metric to Field'!$F:$F))</f>
        <v/>
      </c>
      <c r="P446" s="30"/>
      <c r="Q446" s="30"/>
      <c r="R446" s="30"/>
      <c r="S446" s="30"/>
      <c r="T446" s="34" t="str">
        <f aca="false">IF(AND(A446&lt;&gt;"",K446="Fix upstream"),COUNTIF($K$5:K446,"Fix upstream"),"")</f>
        <v/>
      </c>
      <c r="U446" s="34" t="str">
        <f aca="false">IF(AND(A446&lt;&gt;"",OR(K446="Move to business rules",K446="Merge into certified table")),COUNTIF($K$5:K446,"Move to business rules")+COUNTIF($K$5:K446,"Merge into certified table"),"")</f>
        <v/>
      </c>
      <c r="V446" s="34" t="str">
        <f aca="false">IF(AND(A446&lt;&gt;"",OR(K446="",K446="Undecided",J446="")),SUMPRODUCT(($A$5:A446&lt;&gt;"")*((($K$5:K446="")+($K$5:K446="Undecided")+($J$5:J446=""))&gt;0)),"")</f>
        <v/>
      </c>
    </row>
    <row r="447" customFormat="false" ht="15" hidden="false" customHeight="false" outlineLevel="0" collapsed="false">
      <c r="A447" s="29"/>
      <c r="B447" s="30"/>
      <c r="C447" s="30"/>
      <c r="D447" s="29"/>
      <c r="E447" s="20" t="str">
        <f aca="false">IF(D447="","",IFERROR(INDEX(Tables!$B:$B,MATCH(D447,Tables!$A:$A,0)),"ID not found"))</f>
        <v/>
      </c>
      <c r="F447" s="20" t="str">
        <f aca="false">IF(D447="","",IFERROR(INDEX(Tables!$C:$C,MATCH(D447,Tables!$A:$A,0)),""))</f>
        <v/>
      </c>
      <c r="G447" s="30"/>
      <c r="H447" s="30"/>
      <c r="I447" s="30"/>
      <c r="J447" s="30"/>
      <c r="K447" s="30"/>
      <c r="L447" s="30"/>
      <c r="M447" s="30"/>
      <c r="N447" s="20" t="str">
        <f aca="false">IF(A447="","",COUNTIF('Metric to Field'!$B:$B,A447))</f>
        <v/>
      </c>
      <c r="O447" s="20" t="str">
        <f aca="false">IF(A447="","",SUMIF('Metric to Field'!$B:$B,A447,'Metric to Field'!$F:$F))</f>
        <v/>
      </c>
      <c r="P447" s="30"/>
      <c r="Q447" s="30"/>
      <c r="R447" s="30"/>
      <c r="S447" s="30"/>
      <c r="T447" s="34" t="str">
        <f aca="false">IF(AND(A447&lt;&gt;"",K447="Fix upstream"),COUNTIF($K$5:K447,"Fix upstream"),"")</f>
        <v/>
      </c>
      <c r="U447" s="34" t="str">
        <f aca="false">IF(AND(A447&lt;&gt;"",OR(K447="Move to business rules",K447="Merge into certified table")),COUNTIF($K$5:K447,"Move to business rules")+COUNTIF($K$5:K447,"Merge into certified table"),"")</f>
        <v/>
      </c>
      <c r="V447" s="34" t="str">
        <f aca="false">IF(AND(A447&lt;&gt;"",OR(K447="",K447="Undecided",J447="")),SUMPRODUCT(($A$5:A447&lt;&gt;"")*((($K$5:K447="")+($K$5:K447="Undecided")+($J$5:J447=""))&gt;0)),"")</f>
        <v/>
      </c>
    </row>
    <row r="448" customFormat="false" ht="15" hidden="false" customHeight="false" outlineLevel="0" collapsed="false">
      <c r="A448" s="29"/>
      <c r="B448" s="30"/>
      <c r="C448" s="30"/>
      <c r="D448" s="29"/>
      <c r="E448" s="20" t="str">
        <f aca="false">IF(D448="","",IFERROR(INDEX(Tables!$B:$B,MATCH(D448,Tables!$A:$A,0)),"ID not found"))</f>
        <v/>
      </c>
      <c r="F448" s="20" t="str">
        <f aca="false">IF(D448="","",IFERROR(INDEX(Tables!$C:$C,MATCH(D448,Tables!$A:$A,0)),""))</f>
        <v/>
      </c>
      <c r="G448" s="30"/>
      <c r="H448" s="30"/>
      <c r="I448" s="30"/>
      <c r="J448" s="30"/>
      <c r="K448" s="30"/>
      <c r="L448" s="30"/>
      <c r="M448" s="30"/>
      <c r="N448" s="20" t="str">
        <f aca="false">IF(A448="","",COUNTIF('Metric to Field'!$B:$B,A448))</f>
        <v/>
      </c>
      <c r="O448" s="20" t="str">
        <f aca="false">IF(A448="","",SUMIF('Metric to Field'!$B:$B,A448,'Metric to Field'!$F:$F))</f>
        <v/>
      </c>
      <c r="P448" s="30"/>
      <c r="Q448" s="30"/>
      <c r="R448" s="30"/>
      <c r="S448" s="30"/>
      <c r="T448" s="34" t="str">
        <f aca="false">IF(AND(A448&lt;&gt;"",K448="Fix upstream"),COUNTIF($K$5:K448,"Fix upstream"),"")</f>
        <v/>
      </c>
      <c r="U448" s="34" t="str">
        <f aca="false">IF(AND(A448&lt;&gt;"",OR(K448="Move to business rules",K448="Merge into certified table")),COUNTIF($K$5:K448,"Move to business rules")+COUNTIF($K$5:K448,"Merge into certified table"),"")</f>
        <v/>
      </c>
      <c r="V448" s="34" t="str">
        <f aca="false">IF(AND(A448&lt;&gt;"",OR(K448="",K448="Undecided",J448="")),SUMPRODUCT(($A$5:A448&lt;&gt;"")*((($K$5:K448="")+($K$5:K448="Undecided")+($J$5:J448=""))&gt;0)),"")</f>
        <v/>
      </c>
    </row>
    <row r="449" customFormat="false" ht="15" hidden="false" customHeight="false" outlineLevel="0" collapsed="false">
      <c r="A449" s="29"/>
      <c r="B449" s="30"/>
      <c r="C449" s="30"/>
      <c r="D449" s="29"/>
      <c r="E449" s="20" t="str">
        <f aca="false">IF(D449="","",IFERROR(INDEX(Tables!$B:$B,MATCH(D449,Tables!$A:$A,0)),"ID not found"))</f>
        <v/>
      </c>
      <c r="F449" s="20" t="str">
        <f aca="false">IF(D449="","",IFERROR(INDEX(Tables!$C:$C,MATCH(D449,Tables!$A:$A,0)),""))</f>
        <v/>
      </c>
      <c r="G449" s="30"/>
      <c r="H449" s="30"/>
      <c r="I449" s="30"/>
      <c r="J449" s="30"/>
      <c r="K449" s="30"/>
      <c r="L449" s="30"/>
      <c r="M449" s="30"/>
      <c r="N449" s="20" t="str">
        <f aca="false">IF(A449="","",COUNTIF('Metric to Field'!$B:$B,A449))</f>
        <v/>
      </c>
      <c r="O449" s="20" t="str">
        <f aca="false">IF(A449="","",SUMIF('Metric to Field'!$B:$B,A449,'Metric to Field'!$F:$F))</f>
        <v/>
      </c>
      <c r="P449" s="30"/>
      <c r="Q449" s="30"/>
      <c r="R449" s="30"/>
      <c r="S449" s="30"/>
      <c r="T449" s="34" t="str">
        <f aca="false">IF(AND(A449&lt;&gt;"",K449="Fix upstream"),COUNTIF($K$5:K449,"Fix upstream"),"")</f>
        <v/>
      </c>
      <c r="U449" s="34" t="str">
        <f aca="false">IF(AND(A449&lt;&gt;"",OR(K449="Move to business rules",K449="Merge into certified table")),COUNTIF($K$5:K449,"Move to business rules")+COUNTIF($K$5:K449,"Merge into certified table"),"")</f>
        <v/>
      </c>
      <c r="V449" s="34" t="str">
        <f aca="false">IF(AND(A449&lt;&gt;"",OR(K449="",K449="Undecided",J449="")),SUMPRODUCT(($A$5:A449&lt;&gt;"")*((($K$5:K449="")+($K$5:K449="Undecided")+($J$5:J449=""))&gt;0)),"")</f>
        <v/>
      </c>
    </row>
    <row r="450" customFormat="false" ht="15" hidden="false" customHeight="false" outlineLevel="0" collapsed="false">
      <c r="A450" s="29"/>
      <c r="B450" s="30"/>
      <c r="C450" s="30"/>
      <c r="D450" s="29"/>
      <c r="E450" s="20" t="str">
        <f aca="false">IF(D450="","",IFERROR(INDEX(Tables!$B:$B,MATCH(D450,Tables!$A:$A,0)),"ID not found"))</f>
        <v/>
      </c>
      <c r="F450" s="20" t="str">
        <f aca="false">IF(D450="","",IFERROR(INDEX(Tables!$C:$C,MATCH(D450,Tables!$A:$A,0)),""))</f>
        <v/>
      </c>
      <c r="G450" s="30"/>
      <c r="H450" s="30"/>
      <c r="I450" s="30"/>
      <c r="J450" s="30"/>
      <c r="K450" s="30"/>
      <c r="L450" s="30"/>
      <c r="M450" s="30"/>
      <c r="N450" s="20" t="str">
        <f aca="false">IF(A450="","",COUNTIF('Metric to Field'!$B:$B,A450))</f>
        <v/>
      </c>
      <c r="O450" s="20" t="str">
        <f aca="false">IF(A450="","",SUMIF('Metric to Field'!$B:$B,A450,'Metric to Field'!$F:$F))</f>
        <v/>
      </c>
      <c r="P450" s="30"/>
      <c r="Q450" s="30"/>
      <c r="R450" s="30"/>
      <c r="S450" s="30"/>
      <c r="T450" s="34" t="str">
        <f aca="false">IF(AND(A450&lt;&gt;"",K450="Fix upstream"),COUNTIF($K$5:K450,"Fix upstream"),"")</f>
        <v/>
      </c>
      <c r="U450" s="34" t="str">
        <f aca="false">IF(AND(A450&lt;&gt;"",OR(K450="Move to business rules",K450="Merge into certified table")),COUNTIF($K$5:K450,"Move to business rules")+COUNTIF($K$5:K450,"Merge into certified table"),"")</f>
        <v/>
      </c>
      <c r="V450" s="34" t="str">
        <f aca="false">IF(AND(A450&lt;&gt;"",OR(K450="",K450="Undecided",J450="")),SUMPRODUCT(($A$5:A450&lt;&gt;"")*((($K$5:K450="")+($K$5:K450="Undecided")+($J$5:J450=""))&gt;0)),"")</f>
        <v/>
      </c>
    </row>
    <row r="451" customFormat="false" ht="15" hidden="false" customHeight="false" outlineLevel="0" collapsed="false">
      <c r="A451" s="29"/>
      <c r="B451" s="30"/>
      <c r="C451" s="30"/>
      <c r="D451" s="29"/>
      <c r="E451" s="20" t="str">
        <f aca="false">IF(D451="","",IFERROR(INDEX(Tables!$B:$B,MATCH(D451,Tables!$A:$A,0)),"ID not found"))</f>
        <v/>
      </c>
      <c r="F451" s="20" t="str">
        <f aca="false">IF(D451="","",IFERROR(INDEX(Tables!$C:$C,MATCH(D451,Tables!$A:$A,0)),""))</f>
        <v/>
      </c>
      <c r="G451" s="30"/>
      <c r="H451" s="30"/>
      <c r="I451" s="30"/>
      <c r="J451" s="30"/>
      <c r="K451" s="30"/>
      <c r="L451" s="30"/>
      <c r="M451" s="30"/>
      <c r="N451" s="20" t="str">
        <f aca="false">IF(A451="","",COUNTIF('Metric to Field'!$B:$B,A451))</f>
        <v/>
      </c>
      <c r="O451" s="20" t="str">
        <f aca="false">IF(A451="","",SUMIF('Metric to Field'!$B:$B,A451,'Metric to Field'!$F:$F))</f>
        <v/>
      </c>
      <c r="P451" s="30"/>
      <c r="Q451" s="30"/>
      <c r="R451" s="30"/>
      <c r="S451" s="30"/>
      <c r="T451" s="34" t="str">
        <f aca="false">IF(AND(A451&lt;&gt;"",K451="Fix upstream"),COUNTIF($K$5:K451,"Fix upstream"),"")</f>
        <v/>
      </c>
      <c r="U451" s="34" t="str">
        <f aca="false">IF(AND(A451&lt;&gt;"",OR(K451="Move to business rules",K451="Merge into certified table")),COUNTIF($K$5:K451,"Move to business rules")+COUNTIF($K$5:K451,"Merge into certified table"),"")</f>
        <v/>
      </c>
      <c r="V451" s="34" t="str">
        <f aca="false">IF(AND(A451&lt;&gt;"",OR(K451="",K451="Undecided",J451="")),SUMPRODUCT(($A$5:A451&lt;&gt;"")*((($K$5:K451="")+($K$5:K451="Undecided")+($J$5:J451=""))&gt;0)),"")</f>
        <v/>
      </c>
    </row>
    <row r="452" customFormat="false" ht="15" hidden="false" customHeight="false" outlineLevel="0" collapsed="false">
      <c r="A452" s="29"/>
      <c r="B452" s="30"/>
      <c r="C452" s="30"/>
      <c r="D452" s="29"/>
      <c r="E452" s="20" t="str">
        <f aca="false">IF(D452="","",IFERROR(INDEX(Tables!$B:$B,MATCH(D452,Tables!$A:$A,0)),"ID not found"))</f>
        <v/>
      </c>
      <c r="F452" s="20" t="str">
        <f aca="false">IF(D452="","",IFERROR(INDEX(Tables!$C:$C,MATCH(D452,Tables!$A:$A,0)),""))</f>
        <v/>
      </c>
      <c r="G452" s="30"/>
      <c r="H452" s="30"/>
      <c r="I452" s="30"/>
      <c r="J452" s="30"/>
      <c r="K452" s="30"/>
      <c r="L452" s="30"/>
      <c r="M452" s="30"/>
      <c r="N452" s="20" t="str">
        <f aca="false">IF(A452="","",COUNTIF('Metric to Field'!$B:$B,A452))</f>
        <v/>
      </c>
      <c r="O452" s="20" t="str">
        <f aca="false">IF(A452="","",SUMIF('Metric to Field'!$B:$B,A452,'Metric to Field'!$F:$F))</f>
        <v/>
      </c>
      <c r="P452" s="30"/>
      <c r="Q452" s="30"/>
      <c r="R452" s="30"/>
      <c r="S452" s="30"/>
      <c r="T452" s="34" t="str">
        <f aca="false">IF(AND(A452&lt;&gt;"",K452="Fix upstream"),COUNTIF($K$5:K452,"Fix upstream"),"")</f>
        <v/>
      </c>
      <c r="U452" s="34" t="str">
        <f aca="false">IF(AND(A452&lt;&gt;"",OR(K452="Move to business rules",K452="Merge into certified table")),COUNTIF($K$5:K452,"Move to business rules")+COUNTIF($K$5:K452,"Merge into certified table"),"")</f>
        <v/>
      </c>
      <c r="V452" s="34" t="str">
        <f aca="false">IF(AND(A452&lt;&gt;"",OR(K452="",K452="Undecided",J452="")),SUMPRODUCT(($A$5:A452&lt;&gt;"")*((($K$5:K452="")+($K$5:K452="Undecided")+($J$5:J452=""))&gt;0)),"")</f>
        <v/>
      </c>
    </row>
    <row r="453" customFormat="false" ht="15" hidden="false" customHeight="false" outlineLevel="0" collapsed="false">
      <c r="A453" s="29"/>
      <c r="B453" s="30"/>
      <c r="C453" s="30"/>
      <c r="D453" s="29"/>
      <c r="E453" s="20" t="str">
        <f aca="false">IF(D453="","",IFERROR(INDEX(Tables!$B:$B,MATCH(D453,Tables!$A:$A,0)),"ID not found"))</f>
        <v/>
      </c>
      <c r="F453" s="20" t="str">
        <f aca="false">IF(D453="","",IFERROR(INDEX(Tables!$C:$C,MATCH(D453,Tables!$A:$A,0)),""))</f>
        <v/>
      </c>
      <c r="G453" s="30"/>
      <c r="H453" s="30"/>
      <c r="I453" s="30"/>
      <c r="J453" s="30"/>
      <c r="K453" s="30"/>
      <c r="L453" s="30"/>
      <c r="M453" s="30"/>
      <c r="N453" s="20" t="str">
        <f aca="false">IF(A453="","",COUNTIF('Metric to Field'!$B:$B,A453))</f>
        <v/>
      </c>
      <c r="O453" s="20" t="str">
        <f aca="false">IF(A453="","",SUMIF('Metric to Field'!$B:$B,A453,'Metric to Field'!$F:$F))</f>
        <v/>
      </c>
      <c r="P453" s="30"/>
      <c r="Q453" s="30"/>
      <c r="R453" s="30"/>
      <c r="S453" s="30"/>
      <c r="T453" s="34" t="str">
        <f aca="false">IF(AND(A453&lt;&gt;"",K453="Fix upstream"),COUNTIF($K$5:K453,"Fix upstream"),"")</f>
        <v/>
      </c>
      <c r="U453" s="34" t="str">
        <f aca="false">IF(AND(A453&lt;&gt;"",OR(K453="Move to business rules",K453="Merge into certified table")),COUNTIF($K$5:K453,"Move to business rules")+COUNTIF($K$5:K453,"Merge into certified table"),"")</f>
        <v/>
      </c>
      <c r="V453" s="34" t="str">
        <f aca="false">IF(AND(A453&lt;&gt;"",OR(K453="",K453="Undecided",J453="")),SUMPRODUCT(($A$5:A453&lt;&gt;"")*((($K$5:K453="")+($K$5:K453="Undecided")+($J$5:J453=""))&gt;0)),"")</f>
        <v/>
      </c>
    </row>
    <row r="454" customFormat="false" ht="15" hidden="false" customHeight="false" outlineLevel="0" collapsed="false">
      <c r="A454" s="29"/>
      <c r="B454" s="30"/>
      <c r="C454" s="30"/>
      <c r="D454" s="29"/>
      <c r="E454" s="20" t="str">
        <f aca="false">IF(D454="","",IFERROR(INDEX(Tables!$B:$B,MATCH(D454,Tables!$A:$A,0)),"ID not found"))</f>
        <v/>
      </c>
      <c r="F454" s="20" t="str">
        <f aca="false">IF(D454="","",IFERROR(INDEX(Tables!$C:$C,MATCH(D454,Tables!$A:$A,0)),""))</f>
        <v/>
      </c>
      <c r="G454" s="30"/>
      <c r="H454" s="30"/>
      <c r="I454" s="30"/>
      <c r="J454" s="30"/>
      <c r="K454" s="30"/>
      <c r="L454" s="30"/>
      <c r="M454" s="30"/>
      <c r="N454" s="20" t="str">
        <f aca="false">IF(A454="","",COUNTIF('Metric to Field'!$B:$B,A454))</f>
        <v/>
      </c>
      <c r="O454" s="20" t="str">
        <f aca="false">IF(A454="","",SUMIF('Metric to Field'!$B:$B,A454,'Metric to Field'!$F:$F))</f>
        <v/>
      </c>
      <c r="P454" s="30"/>
      <c r="Q454" s="30"/>
      <c r="R454" s="30"/>
      <c r="S454" s="30"/>
      <c r="T454" s="34" t="str">
        <f aca="false">IF(AND(A454&lt;&gt;"",K454="Fix upstream"),COUNTIF($K$5:K454,"Fix upstream"),"")</f>
        <v/>
      </c>
      <c r="U454" s="34" t="str">
        <f aca="false">IF(AND(A454&lt;&gt;"",OR(K454="Move to business rules",K454="Merge into certified table")),COUNTIF($K$5:K454,"Move to business rules")+COUNTIF($K$5:K454,"Merge into certified table"),"")</f>
        <v/>
      </c>
      <c r="V454" s="34" t="str">
        <f aca="false">IF(AND(A454&lt;&gt;"",OR(K454="",K454="Undecided",J454="")),SUMPRODUCT(($A$5:A454&lt;&gt;"")*((($K$5:K454="")+($K$5:K454="Undecided")+($J$5:J454=""))&gt;0)),"")</f>
        <v/>
      </c>
    </row>
    <row r="455" customFormat="false" ht="15" hidden="false" customHeight="false" outlineLevel="0" collapsed="false">
      <c r="A455" s="29"/>
      <c r="B455" s="30"/>
      <c r="C455" s="30"/>
      <c r="D455" s="29"/>
      <c r="E455" s="20" t="str">
        <f aca="false">IF(D455="","",IFERROR(INDEX(Tables!$B:$B,MATCH(D455,Tables!$A:$A,0)),"ID not found"))</f>
        <v/>
      </c>
      <c r="F455" s="20" t="str">
        <f aca="false">IF(D455="","",IFERROR(INDEX(Tables!$C:$C,MATCH(D455,Tables!$A:$A,0)),""))</f>
        <v/>
      </c>
      <c r="G455" s="30"/>
      <c r="H455" s="30"/>
      <c r="I455" s="30"/>
      <c r="J455" s="30"/>
      <c r="K455" s="30"/>
      <c r="L455" s="30"/>
      <c r="M455" s="30"/>
      <c r="N455" s="20" t="str">
        <f aca="false">IF(A455="","",COUNTIF('Metric to Field'!$B:$B,A455))</f>
        <v/>
      </c>
      <c r="O455" s="20" t="str">
        <f aca="false">IF(A455="","",SUMIF('Metric to Field'!$B:$B,A455,'Metric to Field'!$F:$F))</f>
        <v/>
      </c>
      <c r="P455" s="30"/>
      <c r="Q455" s="30"/>
      <c r="R455" s="30"/>
      <c r="S455" s="30"/>
      <c r="T455" s="34" t="str">
        <f aca="false">IF(AND(A455&lt;&gt;"",K455="Fix upstream"),COUNTIF($K$5:K455,"Fix upstream"),"")</f>
        <v/>
      </c>
      <c r="U455" s="34" t="str">
        <f aca="false">IF(AND(A455&lt;&gt;"",OR(K455="Move to business rules",K455="Merge into certified table")),COUNTIF($K$5:K455,"Move to business rules")+COUNTIF($K$5:K455,"Merge into certified table"),"")</f>
        <v/>
      </c>
      <c r="V455" s="34" t="str">
        <f aca="false">IF(AND(A455&lt;&gt;"",OR(K455="",K455="Undecided",J455="")),SUMPRODUCT(($A$5:A455&lt;&gt;"")*((($K$5:K455="")+($K$5:K455="Undecided")+($J$5:J455=""))&gt;0)),"")</f>
        <v/>
      </c>
    </row>
    <row r="456" customFormat="false" ht="15" hidden="false" customHeight="false" outlineLevel="0" collapsed="false">
      <c r="A456" s="29"/>
      <c r="B456" s="30"/>
      <c r="C456" s="30"/>
      <c r="D456" s="29"/>
      <c r="E456" s="20" t="str">
        <f aca="false">IF(D456="","",IFERROR(INDEX(Tables!$B:$B,MATCH(D456,Tables!$A:$A,0)),"ID not found"))</f>
        <v/>
      </c>
      <c r="F456" s="20" t="str">
        <f aca="false">IF(D456="","",IFERROR(INDEX(Tables!$C:$C,MATCH(D456,Tables!$A:$A,0)),""))</f>
        <v/>
      </c>
      <c r="G456" s="30"/>
      <c r="H456" s="30"/>
      <c r="I456" s="30"/>
      <c r="J456" s="30"/>
      <c r="K456" s="30"/>
      <c r="L456" s="30"/>
      <c r="M456" s="30"/>
      <c r="N456" s="20" t="str">
        <f aca="false">IF(A456="","",COUNTIF('Metric to Field'!$B:$B,A456))</f>
        <v/>
      </c>
      <c r="O456" s="20" t="str">
        <f aca="false">IF(A456="","",SUMIF('Metric to Field'!$B:$B,A456,'Metric to Field'!$F:$F))</f>
        <v/>
      </c>
      <c r="P456" s="30"/>
      <c r="Q456" s="30"/>
      <c r="R456" s="30"/>
      <c r="S456" s="30"/>
      <c r="T456" s="34" t="str">
        <f aca="false">IF(AND(A456&lt;&gt;"",K456="Fix upstream"),COUNTIF($K$5:K456,"Fix upstream"),"")</f>
        <v/>
      </c>
      <c r="U456" s="34" t="str">
        <f aca="false">IF(AND(A456&lt;&gt;"",OR(K456="Move to business rules",K456="Merge into certified table")),COUNTIF($K$5:K456,"Move to business rules")+COUNTIF($K$5:K456,"Merge into certified table"),"")</f>
        <v/>
      </c>
      <c r="V456" s="34" t="str">
        <f aca="false">IF(AND(A456&lt;&gt;"",OR(K456="",K456="Undecided",J456="")),SUMPRODUCT(($A$5:A456&lt;&gt;"")*((($K$5:K456="")+($K$5:K456="Undecided")+($J$5:J456=""))&gt;0)),"")</f>
        <v/>
      </c>
    </row>
    <row r="457" customFormat="false" ht="15" hidden="false" customHeight="false" outlineLevel="0" collapsed="false">
      <c r="A457" s="29"/>
      <c r="B457" s="30"/>
      <c r="C457" s="30"/>
      <c r="D457" s="29"/>
      <c r="E457" s="20" t="str">
        <f aca="false">IF(D457="","",IFERROR(INDEX(Tables!$B:$B,MATCH(D457,Tables!$A:$A,0)),"ID not found"))</f>
        <v/>
      </c>
      <c r="F457" s="20" t="str">
        <f aca="false">IF(D457="","",IFERROR(INDEX(Tables!$C:$C,MATCH(D457,Tables!$A:$A,0)),""))</f>
        <v/>
      </c>
      <c r="G457" s="30"/>
      <c r="H457" s="30"/>
      <c r="I457" s="30"/>
      <c r="J457" s="30"/>
      <c r="K457" s="30"/>
      <c r="L457" s="30"/>
      <c r="M457" s="30"/>
      <c r="N457" s="20" t="str">
        <f aca="false">IF(A457="","",COUNTIF('Metric to Field'!$B:$B,A457))</f>
        <v/>
      </c>
      <c r="O457" s="20" t="str">
        <f aca="false">IF(A457="","",SUMIF('Metric to Field'!$B:$B,A457,'Metric to Field'!$F:$F))</f>
        <v/>
      </c>
      <c r="P457" s="30"/>
      <c r="Q457" s="30"/>
      <c r="R457" s="30"/>
      <c r="S457" s="30"/>
      <c r="T457" s="34" t="str">
        <f aca="false">IF(AND(A457&lt;&gt;"",K457="Fix upstream"),COUNTIF($K$5:K457,"Fix upstream"),"")</f>
        <v/>
      </c>
      <c r="U457" s="34" t="str">
        <f aca="false">IF(AND(A457&lt;&gt;"",OR(K457="Move to business rules",K457="Merge into certified table")),COUNTIF($K$5:K457,"Move to business rules")+COUNTIF($K$5:K457,"Merge into certified table"),"")</f>
        <v/>
      </c>
      <c r="V457" s="34" t="str">
        <f aca="false">IF(AND(A457&lt;&gt;"",OR(K457="",K457="Undecided",J457="")),SUMPRODUCT(($A$5:A457&lt;&gt;"")*((($K$5:K457="")+($K$5:K457="Undecided")+($J$5:J457=""))&gt;0)),"")</f>
        <v/>
      </c>
    </row>
    <row r="458" customFormat="false" ht="15" hidden="false" customHeight="false" outlineLevel="0" collapsed="false">
      <c r="A458" s="29"/>
      <c r="B458" s="30"/>
      <c r="C458" s="30"/>
      <c r="D458" s="29"/>
      <c r="E458" s="20" t="str">
        <f aca="false">IF(D458="","",IFERROR(INDEX(Tables!$B:$B,MATCH(D458,Tables!$A:$A,0)),"ID not found"))</f>
        <v/>
      </c>
      <c r="F458" s="20" t="str">
        <f aca="false">IF(D458="","",IFERROR(INDEX(Tables!$C:$C,MATCH(D458,Tables!$A:$A,0)),""))</f>
        <v/>
      </c>
      <c r="G458" s="30"/>
      <c r="H458" s="30"/>
      <c r="I458" s="30"/>
      <c r="J458" s="30"/>
      <c r="K458" s="30"/>
      <c r="L458" s="30"/>
      <c r="M458" s="30"/>
      <c r="N458" s="20" t="str">
        <f aca="false">IF(A458="","",COUNTIF('Metric to Field'!$B:$B,A458))</f>
        <v/>
      </c>
      <c r="O458" s="20" t="str">
        <f aca="false">IF(A458="","",SUMIF('Metric to Field'!$B:$B,A458,'Metric to Field'!$F:$F))</f>
        <v/>
      </c>
      <c r="P458" s="30"/>
      <c r="Q458" s="30"/>
      <c r="R458" s="30"/>
      <c r="S458" s="30"/>
      <c r="T458" s="34" t="str">
        <f aca="false">IF(AND(A458&lt;&gt;"",K458="Fix upstream"),COUNTIF($K$5:K458,"Fix upstream"),"")</f>
        <v/>
      </c>
      <c r="U458" s="34" t="str">
        <f aca="false">IF(AND(A458&lt;&gt;"",OR(K458="Move to business rules",K458="Merge into certified table")),COUNTIF($K$5:K458,"Move to business rules")+COUNTIF($K$5:K458,"Merge into certified table"),"")</f>
        <v/>
      </c>
      <c r="V458" s="34" t="str">
        <f aca="false">IF(AND(A458&lt;&gt;"",OR(K458="",K458="Undecided",J458="")),SUMPRODUCT(($A$5:A458&lt;&gt;"")*((($K$5:K458="")+($K$5:K458="Undecided")+($J$5:J458=""))&gt;0)),"")</f>
        <v/>
      </c>
    </row>
    <row r="459" customFormat="false" ht="15" hidden="false" customHeight="false" outlineLevel="0" collapsed="false">
      <c r="A459" s="29"/>
      <c r="B459" s="30"/>
      <c r="C459" s="30"/>
      <c r="D459" s="29"/>
      <c r="E459" s="20" t="str">
        <f aca="false">IF(D459="","",IFERROR(INDEX(Tables!$B:$B,MATCH(D459,Tables!$A:$A,0)),"ID not found"))</f>
        <v/>
      </c>
      <c r="F459" s="20" t="str">
        <f aca="false">IF(D459="","",IFERROR(INDEX(Tables!$C:$C,MATCH(D459,Tables!$A:$A,0)),""))</f>
        <v/>
      </c>
      <c r="G459" s="30"/>
      <c r="H459" s="30"/>
      <c r="I459" s="30"/>
      <c r="J459" s="30"/>
      <c r="K459" s="30"/>
      <c r="L459" s="30"/>
      <c r="M459" s="30"/>
      <c r="N459" s="20" t="str">
        <f aca="false">IF(A459="","",COUNTIF('Metric to Field'!$B:$B,A459))</f>
        <v/>
      </c>
      <c r="O459" s="20" t="str">
        <f aca="false">IF(A459="","",SUMIF('Metric to Field'!$B:$B,A459,'Metric to Field'!$F:$F))</f>
        <v/>
      </c>
      <c r="P459" s="30"/>
      <c r="Q459" s="30"/>
      <c r="R459" s="30"/>
      <c r="S459" s="30"/>
      <c r="T459" s="34" t="str">
        <f aca="false">IF(AND(A459&lt;&gt;"",K459="Fix upstream"),COUNTIF($K$5:K459,"Fix upstream"),"")</f>
        <v/>
      </c>
      <c r="U459" s="34" t="str">
        <f aca="false">IF(AND(A459&lt;&gt;"",OR(K459="Move to business rules",K459="Merge into certified table")),COUNTIF($K$5:K459,"Move to business rules")+COUNTIF($K$5:K459,"Merge into certified table"),"")</f>
        <v/>
      </c>
      <c r="V459" s="34" t="str">
        <f aca="false">IF(AND(A459&lt;&gt;"",OR(K459="",K459="Undecided",J459="")),SUMPRODUCT(($A$5:A459&lt;&gt;"")*((($K$5:K459="")+($K$5:K459="Undecided")+($J$5:J459=""))&gt;0)),"")</f>
        <v/>
      </c>
    </row>
    <row r="460" customFormat="false" ht="15" hidden="false" customHeight="false" outlineLevel="0" collapsed="false">
      <c r="A460" s="29"/>
      <c r="B460" s="30"/>
      <c r="C460" s="30"/>
      <c r="D460" s="29"/>
      <c r="E460" s="20" t="str">
        <f aca="false">IF(D460="","",IFERROR(INDEX(Tables!$B:$B,MATCH(D460,Tables!$A:$A,0)),"ID not found"))</f>
        <v/>
      </c>
      <c r="F460" s="20" t="str">
        <f aca="false">IF(D460="","",IFERROR(INDEX(Tables!$C:$C,MATCH(D460,Tables!$A:$A,0)),""))</f>
        <v/>
      </c>
      <c r="G460" s="30"/>
      <c r="H460" s="30"/>
      <c r="I460" s="30"/>
      <c r="J460" s="30"/>
      <c r="K460" s="30"/>
      <c r="L460" s="30"/>
      <c r="M460" s="30"/>
      <c r="N460" s="20" t="str">
        <f aca="false">IF(A460="","",COUNTIF('Metric to Field'!$B:$B,A460))</f>
        <v/>
      </c>
      <c r="O460" s="20" t="str">
        <f aca="false">IF(A460="","",SUMIF('Metric to Field'!$B:$B,A460,'Metric to Field'!$F:$F))</f>
        <v/>
      </c>
      <c r="P460" s="30"/>
      <c r="Q460" s="30"/>
      <c r="R460" s="30"/>
      <c r="S460" s="30"/>
      <c r="T460" s="34" t="str">
        <f aca="false">IF(AND(A460&lt;&gt;"",K460="Fix upstream"),COUNTIF($K$5:K460,"Fix upstream"),"")</f>
        <v/>
      </c>
      <c r="U460" s="34" t="str">
        <f aca="false">IF(AND(A460&lt;&gt;"",OR(K460="Move to business rules",K460="Merge into certified table")),COUNTIF($K$5:K460,"Move to business rules")+COUNTIF($K$5:K460,"Merge into certified table"),"")</f>
        <v/>
      </c>
      <c r="V460" s="34" t="str">
        <f aca="false">IF(AND(A460&lt;&gt;"",OR(K460="",K460="Undecided",J460="")),SUMPRODUCT(($A$5:A460&lt;&gt;"")*((($K$5:K460="")+($K$5:K460="Undecided")+($J$5:J460=""))&gt;0)),"")</f>
        <v/>
      </c>
    </row>
    <row r="461" customFormat="false" ht="15" hidden="false" customHeight="false" outlineLevel="0" collapsed="false">
      <c r="A461" s="29"/>
      <c r="B461" s="30"/>
      <c r="C461" s="30"/>
      <c r="D461" s="29"/>
      <c r="E461" s="20" t="str">
        <f aca="false">IF(D461="","",IFERROR(INDEX(Tables!$B:$B,MATCH(D461,Tables!$A:$A,0)),"ID not found"))</f>
        <v/>
      </c>
      <c r="F461" s="20" t="str">
        <f aca="false">IF(D461="","",IFERROR(INDEX(Tables!$C:$C,MATCH(D461,Tables!$A:$A,0)),""))</f>
        <v/>
      </c>
      <c r="G461" s="30"/>
      <c r="H461" s="30"/>
      <c r="I461" s="30"/>
      <c r="J461" s="30"/>
      <c r="K461" s="30"/>
      <c r="L461" s="30"/>
      <c r="M461" s="30"/>
      <c r="N461" s="20" t="str">
        <f aca="false">IF(A461="","",COUNTIF('Metric to Field'!$B:$B,A461))</f>
        <v/>
      </c>
      <c r="O461" s="20" t="str">
        <f aca="false">IF(A461="","",SUMIF('Metric to Field'!$B:$B,A461,'Metric to Field'!$F:$F))</f>
        <v/>
      </c>
      <c r="P461" s="30"/>
      <c r="Q461" s="30"/>
      <c r="R461" s="30"/>
      <c r="S461" s="30"/>
      <c r="T461" s="34" t="str">
        <f aca="false">IF(AND(A461&lt;&gt;"",K461="Fix upstream"),COUNTIF($K$5:K461,"Fix upstream"),"")</f>
        <v/>
      </c>
      <c r="U461" s="34" t="str">
        <f aca="false">IF(AND(A461&lt;&gt;"",OR(K461="Move to business rules",K461="Merge into certified table")),COUNTIF($K$5:K461,"Move to business rules")+COUNTIF($K$5:K461,"Merge into certified table"),"")</f>
        <v/>
      </c>
      <c r="V461" s="34" t="str">
        <f aca="false">IF(AND(A461&lt;&gt;"",OR(K461="",K461="Undecided",J461="")),SUMPRODUCT(($A$5:A461&lt;&gt;"")*((($K$5:K461="")+($K$5:K461="Undecided")+($J$5:J461=""))&gt;0)),"")</f>
        <v/>
      </c>
    </row>
    <row r="462" customFormat="false" ht="15" hidden="false" customHeight="false" outlineLevel="0" collapsed="false">
      <c r="A462" s="29"/>
      <c r="B462" s="30"/>
      <c r="C462" s="30"/>
      <c r="D462" s="29"/>
      <c r="E462" s="20" t="str">
        <f aca="false">IF(D462="","",IFERROR(INDEX(Tables!$B:$B,MATCH(D462,Tables!$A:$A,0)),"ID not found"))</f>
        <v/>
      </c>
      <c r="F462" s="20" t="str">
        <f aca="false">IF(D462="","",IFERROR(INDEX(Tables!$C:$C,MATCH(D462,Tables!$A:$A,0)),""))</f>
        <v/>
      </c>
      <c r="G462" s="30"/>
      <c r="H462" s="30"/>
      <c r="I462" s="30"/>
      <c r="J462" s="30"/>
      <c r="K462" s="30"/>
      <c r="L462" s="30"/>
      <c r="M462" s="30"/>
      <c r="N462" s="20" t="str">
        <f aca="false">IF(A462="","",COUNTIF('Metric to Field'!$B:$B,A462))</f>
        <v/>
      </c>
      <c r="O462" s="20" t="str">
        <f aca="false">IF(A462="","",SUMIF('Metric to Field'!$B:$B,A462,'Metric to Field'!$F:$F))</f>
        <v/>
      </c>
      <c r="P462" s="30"/>
      <c r="Q462" s="30"/>
      <c r="R462" s="30"/>
      <c r="S462" s="30"/>
      <c r="T462" s="34" t="str">
        <f aca="false">IF(AND(A462&lt;&gt;"",K462="Fix upstream"),COUNTIF($K$5:K462,"Fix upstream"),"")</f>
        <v/>
      </c>
      <c r="U462" s="34" t="str">
        <f aca="false">IF(AND(A462&lt;&gt;"",OR(K462="Move to business rules",K462="Merge into certified table")),COUNTIF($K$5:K462,"Move to business rules")+COUNTIF($K$5:K462,"Merge into certified table"),"")</f>
        <v/>
      </c>
      <c r="V462" s="34" t="str">
        <f aca="false">IF(AND(A462&lt;&gt;"",OR(K462="",K462="Undecided",J462="")),SUMPRODUCT(($A$5:A462&lt;&gt;"")*((($K$5:K462="")+($K$5:K462="Undecided")+($J$5:J462=""))&gt;0)),"")</f>
        <v/>
      </c>
    </row>
    <row r="463" customFormat="false" ht="15" hidden="false" customHeight="false" outlineLevel="0" collapsed="false">
      <c r="A463" s="29"/>
      <c r="B463" s="30"/>
      <c r="C463" s="30"/>
      <c r="D463" s="29"/>
      <c r="E463" s="20" t="str">
        <f aca="false">IF(D463="","",IFERROR(INDEX(Tables!$B:$B,MATCH(D463,Tables!$A:$A,0)),"ID not found"))</f>
        <v/>
      </c>
      <c r="F463" s="20" t="str">
        <f aca="false">IF(D463="","",IFERROR(INDEX(Tables!$C:$C,MATCH(D463,Tables!$A:$A,0)),""))</f>
        <v/>
      </c>
      <c r="G463" s="30"/>
      <c r="H463" s="30"/>
      <c r="I463" s="30"/>
      <c r="J463" s="30"/>
      <c r="K463" s="30"/>
      <c r="L463" s="30"/>
      <c r="M463" s="30"/>
      <c r="N463" s="20" t="str">
        <f aca="false">IF(A463="","",COUNTIF('Metric to Field'!$B:$B,A463))</f>
        <v/>
      </c>
      <c r="O463" s="20" t="str">
        <f aca="false">IF(A463="","",SUMIF('Metric to Field'!$B:$B,A463,'Metric to Field'!$F:$F))</f>
        <v/>
      </c>
      <c r="P463" s="30"/>
      <c r="Q463" s="30"/>
      <c r="R463" s="30"/>
      <c r="S463" s="30"/>
      <c r="T463" s="34" t="str">
        <f aca="false">IF(AND(A463&lt;&gt;"",K463="Fix upstream"),COUNTIF($K$5:K463,"Fix upstream"),"")</f>
        <v/>
      </c>
      <c r="U463" s="34" t="str">
        <f aca="false">IF(AND(A463&lt;&gt;"",OR(K463="Move to business rules",K463="Merge into certified table")),COUNTIF($K$5:K463,"Move to business rules")+COUNTIF($K$5:K463,"Merge into certified table"),"")</f>
        <v/>
      </c>
      <c r="V463" s="34" t="str">
        <f aca="false">IF(AND(A463&lt;&gt;"",OR(K463="",K463="Undecided",J463="")),SUMPRODUCT(($A$5:A463&lt;&gt;"")*((($K$5:K463="")+($K$5:K463="Undecided")+($J$5:J463=""))&gt;0)),"")</f>
        <v/>
      </c>
    </row>
    <row r="464" customFormat="false" ht="15" hidden="false" customHeight="false" outlineLevel="0" collapsed="false">
      <c r="A464" s="29"/>
      <c r="B464" s="30"/>
      <c r="C464" s="30"/>
      <c r="D464" s="29"/>
      <c r="E464" s="20" t="str">
        <f aca="false">IF(D464="","",IFERROR(INDEX(Tables!$B:$B,MATCH(D464,Tables!$A:$A,0)),"ID not found"))</f>
        <v/>
      </c>
      <c r="F464" s="20" t="str">
        <f aca="false">IF(D464="","",IFERROR(INDEX(Tables!$C:$C,MATCH(D464,Tables!$A:$A,0)),""))</f>
        <v/>
      </c>
      <c r="G464" s="30"/>
      <c r="H464" s="30"/>
      <c r="I464" s="30"/>
      <c r="J464" s="30"/>
      <c r="K464" s="30"/>
      <c r="L464" s="30"/>
      <c r="M464" s="30"/>
      <c r="N464" s="20" t="str">
        <f aca="false">IF(A464="","",COUNTIF('Metric to Field'!$B:$B,A464))</f>
        <v/>
      </c>
      <c r="O464" s="20" t="str">
        <f aca="false">IF(A464="","",SUMIF('Metric to Field'!$B:$B,A464,'Metric to Field'!$F:$F))</f>
        <v/>
      </c>
      <c r="P464" s="30"/>
      <c r="Q464" s="30"/>
      <c r="R464" s="30"/>
      <c r="S464" s="30"/>
      <c r="T464" s="34" t="str">
        <f aca="false">IF(AND(A464&lt;&gt;"",K464="Fix upstream"),COUNTIF($K$5:K464,"Fix upstream"),"")</f>
        <v/>
      </c>
      <c r="U464" s="34" t="str">
        <f aca="false">IF(AND(A464&lt;&gt;"",OR(K464="Move to business rules",K464="Merge into certified table")),COUNTIF($K$5:K464,"Move to business rules")+COUNTIF($K$5:K464,"Merge into certified table"),"")</f>
        <v/>
      </c>
      <c r="V464" s="34" t="str">
        <f aca="false">IF(AND(A464&lt;&gt;"",OR(K464="",K464="Undecided",J464="")),SUMPRODUCT(($A$5:A464&lt;&gt;"")*((($K$5:K464="")+($K$5:K464="Undecided")+($J$5:J464=""))&gt;0)),"")</f>
        <v/>
      </c>
    </row>
    <row r="465" customFormat="false" ht="15" hidden="false" customHeight="false" outlineLevel="0" collapsed="false">
      <c r="A465" s="29"/>
      <c r="B465" s="30"/>
      <c r="C465" s="30"/>
      <c r="D465" s="29"/>
      <c r="E465" s="20" t="str">
        <f aca="false">IF(D465="","",IFERROR(INDEX(Tables!$B:$B,MATCH(D465,Tables!$A:$A,0)),"ID not found"))</f>
        <v/>
      </c>
      <c r="F465" s="20" t="str">
        <f aca="false">IF(D465="","",IFERROR(INDEX(Tables!$C:$C,MATCH(D465,Tables!$A:$A,0)),""))</f>
        <v/>
      </c>
      <c r="G465" s="30"/>
      <c r="H465" s="30"/>
      <c r="I465" s="30"/>
      <c r="J465" s="30"/>
      <c r="K465" s="30"/>
      <c r="L465" s="30"/>
      <c r="M465" s="30"/>
      <c r="N465" s="20" t="str">
        <f aca="false">IF(A465="","",COUNTIF('Metric to Field'!$B:$B,A465))</f>
        <v/>
      </c>
      <c r="O465" s="20" t="str">
        <f aca="false">IF(A465="","",SUMIF('Metric to Field'!$B:$B,A465,'Metric to Field'!$F:$F))</f>
        <v/>
      </c>
      <c r="P465" s="30"/>
      <c r="Q465" s="30"/>
      <c r="R465" s="30"/>
      <c r="S465" s="30"/>
      <c r="T465" s="34" t="str">
        <f aca="false">IF(AND(A465&lt;&gt;"",K465="Fix upstream"),COUNTIF($K$5:K465,"Fix upstream"),"")</f>
        <v/>
      </c>
      <c r="U465" s="34" t="str">
        <f aca="false">IF(AND(A465&lt;&gt;"",OR(K465="Move to business rules",K465="Merge into certified table")),COUNTIF($K$5:K465,"Move to business rules")+COUNTIF($K$5:K465,"Merge into certified table"),"")</f>
        <v/>
      </c>
      <c r="V465" s="34" t="str">
        <f aca="false">IF(AND(A465&lt;&gt;"",OR(K465="",K465="Undecided",J465="")),SUMPRODUCT(($A$5:A465&lt;&gt;"")*((($K$5:K465="")+($K$5:K465="Undecided")+($J$5:J465=""))&gt;0)),"")</f>
        <v/>
      </c>
    </row>
    <row r="466" customFormat="false" ht="15" hidden="false" customHeight="false" outlineLevel="0" collapsed="false">
      <c r="A466" s="29"/>
      <c r="B466" s="30"/>
      <c r="C466" s="30"/>
      <c r="D466" s="29"/>
      <c r="E466" s="20" t="str">
        <f aca="false">IF(D466="","",IFERROR(INDEX(Tables!$B:$B,MATCH(D466,Tables!$A:$A,0)),"ID not found"))</f>
        <v/>
      </c>
      <c r="F466" s="20" t="str">
        <f aca="false">IF(D466="","",IFERROR(INDEX(Tables!$C:$C,MATCH(D466,Tables!$A:$A,0)),""))</f>
        <v/>
      </c>
      <c r="G466" s="30"/>
      <c r="H466" s="30"/>
      <c r="I466" s="30"/>
      <c r="J466" s="30"/>
      <c r="K466" s="30"/>
      <c r="L466" s="30"/>
      <c r="M466" s="30"/>
      <c r="N466" s="20" t="str">
        <f aca="false">IF(A466="","",COUNTIF('Metric to Field'!$B:$B,A466))</f>
        <v/>
      </c>
      <c r="O466" s="20" t="str">
        <f aca="false">IF(A466="","",SUMIF('Metric to Field'!$B:$B,A466,'Metric to Field'!$F:$F))</f>
        <v/>
      </c>
      <c r="P466" s="30"/>
      <c r="Q466" s="30"/>
      <c r="R466" s="30"/>
      <c r="S466" s="30"/>
      <c r="T466" s="34" t="str">
        <f aca="false">IF(AND(A466&lt;&gt;"",K466="Fix upstream"),COUNTIF($K$5:K466,"Fix upstream"),"")</f>
        <v/>
      </c>
      <c r="U466" s="34" t="str">
        <f aca="false">IF(AND(A466&lt;&gt;"",OR(K466="Move to business rules",K466="Merge into certified table")),COUNTIF($K$5:K466,"Move to business rules")+COUNTIF($K$5:K466,"Merge into certified table"),"")</f>
        <v/>
      </c>
      <c r="V466" s="34" t="str">
        <f aca="false">IF(AND(A466&lt;&gt;"",OR(K466="",K466="Undecided",J466="")),SUMPRODUCT(($A$5:A466&lt;&gt;"")*((($K$5:K466="")+($K$5:K466="Undecided")+($J$5:J466=""))&gt;0)),"")</f>
        <v/>
      </c>
    </row>
    <row r="467" customFormat="false" ht="15" hidden="false" customHeight="false" outlineLevel="0" collapsed="false">
      <c r="A467" s="29"/>
      <c r="B467" s="30"/>
      <c r="C467" s="30"/>
      <c r="D467" s="29"/>
      <c r="E467" s="20" t="str">
        <f aca="false">IF(D467="","",IFERROR(INDEX(Tables!$B:$B,MATCH(D467,Tables!$A:$A,0)),"ID not found"))</f>
        <v/>
      </c>
      <c r="F467" s="20" t="str">
        <f aca="false">IF(D467="","",IFERROR(INDEX(Tables!$C:$C,MATCH(D467,Tables!$A:$A,0)),""))</f>
        <v/>
      </c>
      <c r="G467" s="30"/>
      <c r="H467" s="30"/>
      <c r="I467" s="30"/>
      <c r="J467" s="30"/>
      <c r="K467" s="30"/>
      <c r="L467" s="30"/>
      <c r="M467" s="30"/>
      <c r="N467" s="20" t="str">
        <f aca="false">IF(A467="","",COUNTIF('Metric to Field'!$B:$B,A467))</f>
        <v/>
      </c>
      <c r="O467" s="20" t="str">
        <f aca="false">IF(A467="","",SUMIF('Metric to Field'!$B:$B,A467,'Metric to Field'!$F:$F))</f>
        <v/>
      </c>
      <c r="P467" s="30"/>
      <c r="Q467" s="30"/>
      <c r="R467" s="30"/>
      <c r="S467" s="30"/>
      <c r="T467" s="34" t="str">
        <f aca="false">IF(AND(A467&lt;&gt;"",K467="Fix upstream"),COUNTIF($K$5:K467,"Fix upstream"),"")</f>
        <v/>
      </c>
      <c r="U467" s="34" t="str">
        <f aca="false">IF(AND(A467&lt;&gt;"",OR(K467="Move to business rules",K467="Merge into certified table")),COUNTIF($K$5:K467,"Move to business rules")+COUNTIF($K$5:K467,"Merge into certified table"),"")</f>
        <v/>
      </c>
      <c r="V467" s="34" t="str">
        <f aca="false">IF(AND(A467&lt;&gt;"",OR(K467="",K467="Undecided",J467="")),SUMPRODUCT(($A$5:A467&lt;&gt;"")*((($K$5:K467="")+($K$5:K467="Undecided")+($J$5:J467=""))&gt;0)),"")</f>
        <v/>
      </c>
    </row>
    <row r="468" customFormat="false" ht="15" hidden="false" customHeight="false" outlineLevel="0" collapsed="false">
      <c r="A468" s="29"/>
      <c r="B468" s="30"/>
      <c r="C468" s="30"/>
      <c r="D468" s="29"/>
      <c r="E468" s="20" t="str">
        <f aca="false">IF(D468="","",IFERROR(INDEX(Tables!$B:$B,MATCH(D468,Tables!$A:$A,0)),"ID not found"))</f>
        <v/>
      </c>
      <c r="F468" s="20" t="str">
        <f aca="false">IF(D468="","",IFERROR(INDEX(Tables!$C:$C,MATCH(D468,Tables!$A:$A,0)),""))</f>
        <v/>
      </c>
      <c r="G468" s="30"/>
      <c r="H468" s="30"/>
      <c r="I468" s="30"/>
      <c r="J468" s="30"/>
      <c r="K468" s="30"/>
      <c r="L468" s="30"/>
      <c r="M468" s="30"/>
      <c r="N468" s="20" t="str">
        <f aca="false">IF(A468="","",COUNTIF('Metric to Field'!$B:$B,A468))</f>
        <v/>
      </c>
      <c r="O468" s="20" t="str">
        <f aca="false">IF(A468="","",SUMIF('Metric to Field'!$B:$B,A468,'Metric to Field'!$F:$F))</f>
        <v/>
      </c>
      <c r="P468" s="30"/>
      <c r="Q468" s="30"/>
      <c r="R468" s="30"/>
      <c r="S468" s="30"/>
      <c r="T468" s="34" t="str">
        <f aca="false">IF(AND(A468&lt;&gt;"",K468="Fix upstream"),COUNTIF($K$5:K468,"Fix upstream"),"")</f>
        <v/>
      </c>
      <c r="U468" s="34" t="str">
        <f aca="false">IF(AND(A468&lt;&gt;"",OR(K468="Move to business rules",K468="Merge into certified table")),COUNTIF($K$5:K468,"Move to business rules")+COUNTIF($K$5:K468,"Merge into certified table"),"")</f>
        <v/>
      </c>
      <c r="V468" s="34" t="str">
        <f aca="false">IF(AND(A468&lt;&gt;"",OR(K468="",K468="Undecided",J468="")),SUMPRODUCT(($A$5:A468&lt;&gt;"")*((($K$5:K468="")+($K$5:K468="Undecided")+($J$5:J468=""))&gt;0)),"")</f>
        <v/>
      </c>
    </row>
    <row r="469" customFormat="false" ht="15" hidden="false" customHeight="false" outlineLevel="0" collapsed="false">
      <c r="A469" s="29"/>
      <c r="B469" s="30"/>
      <c r="C469" s="30"/>
      <c r="D469" s="29"/>
      <c r="E469" s="20" t="str">
        <f aca="false">IF(D469="","",IFERROR(INDEX(Tables!$B:$B,MATCH(D469,Tables!$A:$A,0)),"ID not found"))</f>
        <v/>
      </c>
      <c r="F469" s="20" t="str">
        <f aca="false">IF(D469="","",IFERROR(INDEX(Tables!$C:$C,MATCH(D469,Tables!$A:$A,0)),""))</f>
        <v/>
      </c>
      <c r="G469" s="30"/>
      <c r="H469" s="30"/>
      <c r="I469" s="30"/>
      <c r="J469" s="30"/>
      <c r="K469" s="30"/>
      <c r="L469" s="30"/>
      <c r="M469" s="30"/>
      <c r="N469" s="20" t="str">
        <f aca="false">IF(A469="","",COUNTIF('Metric to Field'!$B:$B,A469))</f>
        <v/>
      </c>
      <c r="O469" s="20" t="str">
        <f aca="false">IF(A469="","",SUMIF('Metric to Field'!$B:$B,A469,'Metric to Field'!$F:$F))</f>
        <v/>
      </c>
      <c r="P469" s="30"/>
      <c r="Q469" s="30"/>
      <c r="R469" s="30"/>
      <c r="S469" s="30"/>
      <c r="T469" s="34" t="str">
        <f aca="false">IF(AND(A469&lt;&gt;"",K469="Fix upstream"),COUNTIF($K$5:K469,"Fix upstream"),"")</f>
        <v/>
      </c>
      <c r="U469" s="34" t="str">
        <f aca="false">IF(AND(A469&lt;&gt;"",OR(K469="Move to business rules",K469="Merge into certified table")),COUNTIF($K$5:K469,"Move to business rules")+COUNTIF($K$5:K469,"Merge into certified table"),"")</f>
        <v/>
      </c>
      <c r="V469" s="34" t="str">
        <f aca="false">IF(AND(A469&lt;&gt;"",OR(K469="",K469="Undecided",J469="")),SUMPRODUCT(($A$5:A469&lt;&gt;"")*((($K$5:K469="")+($K$5:K469="Undecided")+($J$5:J469=""))&gt;0)),"")</f>
        <v/>
      </c>
    </row>
    <row r="470" customFormat="false" ht="15" hidden="false" customHeight="false" outlineLevel="0" collapsed="false">
      <c r="A470" s="29"/>
      <c r="B470" s="30"/>
      <c r="C470" s="30"/>
      <c r="D470" s="29"/>
      <c r="E470" s="20" t="str">
        <f aca="false">IF(D470="","",IFERROR(INDEX(Tables!$B:$B,MATCH(D470,Tables!$A:$A,0)),"ID not found"))</f>
        <v/>
      </c>
      <c r="F470" s="20" t="str">
        <f aca="false">IF(D470="","",IFERROR(INDEX(Tables!$C:$C,MATCH(D470,Tables!$A:$A,0)),""))</f>
        <v/>
      </c>
      <c r="G470" s="30"/>
      <c r="H470" s="30"/>
      <c r="I470" s="30"/>
      <c r="J470" s="30"/>
      <c r="K470" s="30"/>
      <c r="L470" s="30"/>
      <c r="M470" s="30"/>
      <c r="N470" s="20" t="str">
        <f aca="false">IF(A470="","",COUNTIF('Metric to Field'!$B:$B,A470))</f>
        <v/>
      </c>
      <c r="O470" s="20" t="str">
        <f aca="false">IF(A470="","",SUMIF('Metric to Field'!$B:$B,A470,'Metric to Field'!$F:$F))</f>
        <v/>
      </c>
      <c r="P470" s="30"/>
      <c r="Q470" s="30"/>
      <c r="R470" s="30"/>
      <c r="S470" s="30"/>
      <c r="T470" s="34" t="str">
        <f aca="false">IF(AND(A470&lt;&gt;"",K470="Fix upstream"),COUNTIF($K$5:K470,"Fix upstream"),"")</f>
        <v/>
      </c>
      <c r="U470" s="34" t="str">
        <f aca="false">IF(AND(A470&lt;&gt;"",OR(K470="Move to business rules",K470="Merge into certified table")),COUNTIF($K$5:K470,"Move to business rules")+COUNTIF($K$5:K470,"Merge into certified table"),"")</f>
        <v/>
      </c>
      <c r="V470" s="34" t="str">
        <f aca="false">IF(AND(A470&lt;&gt;"",OR(K470="",K470="Undecided",J470="")),SUMPRODUCT(($A$5:A470&lt;&gt;"")*((($K$5:K470="")+($K$5:K470="Undecided")+($J$5:J470=""))&gt;0)),"")</f>
        <v/>
      </c>
    </row>
    <row r="471" customFormat="false" ht="15" hidden="false" customHeight="false" outlineLevel="0" collapsed="false">
      <c r="A471" s="29"/>
      <c r="B471" s="30"/>
      <c r="C471" s="30"/>
      <c r="D471" s="29"/>
      <c r="E471" s="20" t="str">
        <f aca="false">IF(D471="","",IFERROR(INDEX(Tables!$B:$B,MATCH(D471,Tables!$A:$A,0)),"ID not found"))</f>
        <v/>
      </c>
      <c r="F471" s="20" t="str">
        <f aca="false">IF(D471="","",IFERROR(INDEX(Tables!$C:$C,MATCH(D471,Tables!$A:$A,0)),""))</f>
        <v/>
      </c>
      <c r="G471" s="30"/>
      <c r="H471" s="30"/>
      <c r="I471" s="30"/>
      <c r="J471" s="30"/>
      <c r="K471" s="30"/>
      <c r="L471" s="30"/>
      <c r="M471" s="30"/>
      <c r="N471" s="20" t="str">
        <f aca="false">IF(A471="","",COUNTIF('Metric to Field'!$B:$B,A471))</f>
        <v/>
      </c>
      <c r="O471" s="20" t="str">
        <f aca="false">IF(A471="","",SUMIF('Metric to Field'!$B:$B,A471,'Metric to Field'!$F:$F))</f>
        <v/>
      </c>
      <c r="P471" s="30"/>
      <c r="Q471" s="30"/>
      <c r="R471" s="30"/>
      <c r="S471" s="30"/>
      <c r="T471" s="34" t="str">
        <f aca="false">IF(AND(A471&lt;&gt;"",K471="Fix upstream"),COUNTIF($K$5:K471,"Fix upstream"),"")</f>
        <v/>
      </c>
      <c r="U471" s="34" t="str">
        <f aca="false">IF(AND(A471&lt;&gt;"",OR(K471="Move to business rules",K471="Merge into certified table")),COUNTIF($K$5:K471,"Move to business rules")+COUNTIF($K$5:K471,"Merge into certified table"),"")</f>
        <v/>
      </c>
      <c r="V471" s="34" t="str">
        <f aca="false">IF(AND(A471&lt;&gt;"",OR(K471="",K471="Undecided",J471="")),SUMPRODUCT(($A$5:A471&lt;&gt;"")*((($K$5:K471="")+($K$5:K471="Undecided")+($J$5:J471=""))&gt;0)),"")</f>
        <v/>
      </c>
    </row>
    <row r="472" customFormat="false" ht="15" hidden="false" customHeight="false" outlineLevel="0" collapsed="false">
      <c r="A472" s="29"/>
      <c r="B472" s="30"/>
      <c r="C472" s="30"/>
      <c r="D472" s="29"/>
      <c r="E472" s="20" t="str">
        <f aca="false">IF(D472="","",IFERROR(INDEX(Tables!$B:$B,MATCH(D472,Tables!$A:$A,0)),"ID not found"))</f>
        <v/>
      </c>
      <c r="F472" s="20" t="str">
        <f aca="false">IF(D472="","",IFERROR(INDEX(Tables!$C:$C,MATCH(D472,Tables!$A:$A,0)),""))</f>
        <v/>
      </c>
      <c r="G472" s="30"/>
      <c r="H472" s="30"/>
      <c r="I472" s="30"/>
      <c r="J472" s="30"/>
      <c r="K472" s="30"/>
      <c r="L472" s="30"/>
      <c r="M472" s="30"/>
      <c r="N472" s="20" t="str">
        <f aca="false">IF(A472="","",COUNTIF('Metric to Field'!$B:$B,A472))</f>
        <v/>
      </c>
      <c r="O472" s="20" t="str">
        <f aca="false">IF(A472="","",SUMIF('Metric to Field'!$B:$B,A472,'Metric to Field'!$F:$F))</f>
        <v/>
      </c>
      <c r="P472" s="30"/>
      <c r="Q472" s="30"/>
      <c r="R472" s="30"/>
      <c r="S472" s="30"/>
      <c r="T472" s="34" t="str">
        <f aca="false">IF(AND(A472&lt;&gt;"",K472="Fix upstream"),COUNTIF($K$5:K472,"Fix upstream"),"")</f>
        <v/>
      </c>
      <c r="U472" s="34" t="str">
        <f aca="false">IF(AND(A472&lt;&gt;"",OR(K472="Move to business rules",K472="Merge into certified table")),COUNTIF($K$5:K472,"Move to business rules")+COUNTIF($K$5:K472,"Merge into certified table"),"")</f>
        <v/>
      </c>
      <c r="V472" s="34" t="str">
        <f aca="false">IF(AND(A472&lt;&gt;"",OR(K472="",K472="Undecided",J472="")),SUMPRODUCT(($A$5:A472&lt;&gt;"")*((($K$5:K472="")+($K$5:K472="Undecided")+($J$5:J472=""))&gt;0)),"")</f>
        <v/>
      </c>
    </row>
    <row r="473" customFormat="false" ht="15" hidden="false" customHeight="false" outlineLevel="0" collapsed="false">
      <c r="A473" s="29"/>
      <c r="B473" s="30"/>
      <c r="C473" s="30"/>
      <c r="D473" s="29"/>
      <c r="E473" s="20" t="str">
        <f aca="false">IF(D473="","",IFERROR(INDEX(Tables!$B:$B,MATCH(D473,Tables!$A:$A,0)),"ID not found"))</f>
        <v/>
      </c>
      <c r="F473" s="20" t="str">
        <f aca="false">IF(D473="","",IFERROR(INDEX(Tables!$C:$C,MATCH(D473,Tables!$A:$A,0)),""))</f>
        <v/>
      </c>
      <c r="G473" s="30"/>
      <c r="H473" s="30"/>
      <c r="I473" s="30"/>
      <c r="J473" s="30"/>
      <c r="K473" s="30"/>
      <c r="L473" s="30"/>
      <c r="M473" s="30"/>
      <c r="N473" s="20" t="str">
        <f aca="false">IF(A473="","",COUNTIF('Metric to Field'!$B:$B,A473))</f>
        <v/>
      </c>
      <c r="O473" s="20" t="str">
        <f aca="false">IF(A473="","",SUMIF('Metric to Field'!$B:$B,A473,'Metric to Field'!$F:$F))</f>
        <v/>
      </c>
      <c r="P473" s="30"/>
      <c r="Q473" s="30"/>
      <c r="R473" s="30"/>
      <c r="S473" s="30"/>
      <c r="T473" s="34" t="str">
        <f aca="false">IF(AND(A473&lt;&gt;"",K473="Fix upstream"),COUNTIF($K$5:K473,"Fix upstream"),"")</f>
        <v/>
      </c>
      <c r="U473" s="34" t="str">
        <f aca="false">IF(AND(A473&lt;&gt;"",OR(K473="Move to business rules",K473="Merge into certified table")),COUNTIF($K$5:K473,"Move to business rules")+COUNTIF($K$5:K473,"Merge into certified table"),"")</f>
        <v/>
      </c>
      <c r="V473" s="34" t="str">
        <f aca="false">IF(AND(A473&lt;&gt;"",OR(K473="",K473="Undecided",J473="")),SUMPRODUCT(($A$5:A473&lt;&gt;"")*((($K$5:K473="")+($K$5:K473="Undecided")+($J$5:J473=""))&gt;0)),"")</f>
        <v/>
      </c>
    </row>
    <row r="474" customFormat="false" ht="15" hidden="false" customHeight="false" outlineLevel="0" collapsed="false">
      <c r="A474" s="29"/>
      <c r="B474" s="30"/>
      <c r="C474" s="30"/>
      <c r="D474" s="29"/>
      <c r="E474" s="20" t="str">
        <f aca="false">IF(D474="","",IFERROR(INDEX(Tables!$B:$B,MATCH(D474,Tables!$A:$A,0)),"ID not found"))</f>
        <v/>
      </c>
      <c r="F474" s="20" t="str">
        <f aca="false">IF(D474="","",IFERROR(INDEX(Tables!$C:$C,MATCH(D474,Tables!$A:$A,0)),""))</f>
        <v/>
      </c>
      <c r="G474" s="30"/>
      <c r="H474" s="30"/>
      <c r="I474" s="30"/>
      <c r="J474" s="30"/>
      <c r="K474" s="30"/>
      <c r="L474" s="30"/>
      <c r="M474" s="30"/>
      <c r="N474" s="20" t="str">
        <f aca="false">IF(A474="","",COUNTIF('Metric to Field'!$B:$B,A474))</f>
        <v/>
      </c>
      <c r="O474" s="20" t="str">
        <f aca="false">IF(A474="","",SUMIF('Metric to Field'!$B:$B,A474,'Metric to Field'!$F:$F))</f>
        <v/>
      </c>
      <c r="P474" s="30"/>
      <c r="Q474" s="30"/>
      <c r="R474" s="30"/>
      <c r="S474" s="30"/>
      <c r="T474" s="34" t="str">
        <f aca="false">IF(AND(A474&lt;&gt;"",K474="Fix upstream"),COUNTIF($K$5:K474,"Fix upstream"),"")</f>
        <v/>
      </c>
      <c r="U474" s="34" t="str">
        <f aca="false">IF(AND(A474&lt;&gt;"",OR(K474="Move to business rules",K474="Merge into certified table")),COUNTIF($K$5:K474,"Move to business rules")+COUNTIF($K$5:K474,"Merge into certified table"),"")</f>
        <v/>
      </c>
      <c r="V474" s="34" t="str">
        <f aca="false">IF(AND(A474&lt;&gt;"",OR(K474="",K474="Undecided",J474="")),SUMPRODUCT(($A$5:A474&lt;&gt;"")*((($K$5:K474="")+($K$5:K474="Undecided")+($J$5:J474=""))&gt;0)),"")</f>
        <v/>
      </c>
    </row>
    <row r="475" customFormat="false" ht="15" hidden="false" customHeight="false" outlineLevel="0" collapsed="false">
      <c r="A475" s="29"/>
      <c r="B475" s="30"/>
      <c r="C475" s="30"/>
      <c r="D475" s="29"/>
      <c r="E475" s="20" t="str">
        <f aca="false">IF(D475="","",IFERROR(INDEX(Tables!$B:$B,MATCH(D475,Tables!$A:$A,0)),"ID not found"))</f>
        <v/>
      </c>
      <c r="F475" s="20" t="str">
        <f aca="false">IF(D475="","",IFERROR(INDEX(Tables!$C:$C,MATCH(D475,Tables!$A:$A,0)),""))</f>
        <v/>
      </c>
      <c r="G475" s="30"/>
      <c r="H475" s="30"/>
      <c r="I475" s="30"/>
      <c r="J475" s="30"/>
      <c r="K475" s="30"/>
      <c r="L475" s="30"/>
      <c r="M475" s="30"/>
      <c r="N475" s="20" t="str">
        <f aca="false">IF(A475="","",COUNTIF('Metric to Field'!$B:$B,A475))</f>
        <v/>
      </c>
      <c r="O475" s="20" t="str">
        <f aca="false">IF(A475="","",SUMIF('Metric to Field'!$B:$B,A475,'Metric to Field'!$F:$F))</f>
        <v/>
      </c>
      <c r="P475" s="30"/>
      <c r="Q475" s="30"/>
      <c r="R475" s="30"/>
      <c r="S475" s="30"/>
      <c r="T475" s="34" t="str">
        <f aca="false">IF(AND(A475&lt;&gt;"",K475="Fix upstream"),COUNTIF($K$5:K475,"Fix upstream"),"")</f>
        <v/>
      </c>
      <c r="U475" s="34" t="str">
        <f aca="false">IF(AND(A475&lt;&gt;"",OR(K475="Move to business rules",K475="Merge into certified table")),COUNTIF($K$5:K475,"Move to business rules")+COUNTIF($K$5:K475,"Merge into certified table"),"")</f>
        <v/>
      </c>
      <c r="V475" s="34" t="str">
        <f aca="false">IF(AND(A475&lt;&gt;"",OR(K475="",K475="Undecided",J475="")),SUMPRODUCT(($A$5:A475&lt;&gt;"")*((($K$5:K475="")+($K$5:K475="Undecided")+($J$5:J475=""))&gt;0)),"")</f>
        <v/>
      </c>
    </row>
    <row r="476" customFormat="false" ht="15" hidden="false" customHeight="false" outlineLevel="0" collapsed="false">
      <c r="A476" s="29"/>
      <c r="B476" s="30"/>
      <c r="C476" s="30"/>
      <c r="D476" s="29"/>
      <c r="E476" s="20" t="str">
        <f aca="false">IF(D476="","",IFERROR(INDEX(Tables!$B:$B,MATCH(D476,Tables!$A:$A,0)),"ID not found"))</f>
        <v/>
      </c>
      <c r="F476" s="20" t="str">
        <f aca="false">IF(D476="","",IFERROR(INDEX(Tables!$C:$C,MATCH(D476,Tables!$A:$A,0)),""))</f>
        <v/>
      </c>
      <c r="G476" s="30"/>
      <c r="H476" s="30"/>
      <c r="I476" s="30"/>
      <c r="J476" s="30"/>
      <c r="K476" s="30"/>
      <c r="L476" s="30"/>
      <c r="M476" s="30"/>
      <c r="N476" s="20" t="str">
        <f aca="false">IF(A476="","",COUNTIF('Metric to Field'!$B:$B,A476))</f>
        <v/>
      </c>
      <c r="O476" s="20" t="str">
        <f aca="false">IF(A476="","",SUMIF('Metric to Field'!$B:$B,A476,'Metric to Field'!$F:$F))</f>
        <v/>
      </c>
      <c r="P476" s="30"/>
      <c r="Q476" s="30"/>
      <c r="R476" s="30"/>
      <c r="S476" s="30"/>
      <c r="T476" s="34" t="str">
        <f aca="false">IF(AND(A476&lt;&gt;"",K476="Fix upstream"),COUNTIF($K$5:K476,"Fix upstream"),"")</f>
        <v/>
      </c>
      <c r="U476" s="34" t="str">
        <f aca="false">IF(AND(A476&lt;&gt;"",OR(K476="Move to business rules",K476="Merge into certified table")),COUNTIF($K$5:K476,"Move to business rules")+COUNTIF($K$5:K476,"Merge into certified table"),"")</f>
        <v/>
      </c>
      <c r="V476" s="34" t="str">
        <f aca="false">IF(AND(A476&lt;&gt;"",OR(K476="",K476="Undecided",J476="")),SUMPRODUCT(($A$5:A476&lt;&gt;"")*((($K$5:K476="")+($K$5:K476="Undecided")+($J$5:J476=""))&gt;0)),"")</f>
        <v/>
      </c>
    </row>
    <row r="477" customFormat="false" ht="15" hidden="false" customHeight="false" outlineLevel="0" collapsed="false">
      <c r="A477" s="29"/>
      <c r="B477" s="30"/>
      <c r="C477" s="30"/>
      <c r="D477" s="29"/>
      <c r="E477" s="20" t="str">
        <f aca="false">IF(D477="","",IFERROR(INDEX(Tables!$B:$B,MATCH(D477,Tables!$A:$A,0)),"ID not found"))</f>
        <v/>
      </c>
      <c r="F477" s="20" t="str">
        <f aca="false">IF(D477="","",IFERROR(INDEX(Tables!$C:$C,MATCH(D477,Tables!$A:$A,0)),""))</f>
        <v/>
      </c>
      <c r="G477" s="30"/>
      <c r="H477" s="30"/>
      <c r="I477" s="30"/>
      <c r="J477" s="30"/>
      <c r="K477" s="30"/>
      <c r="L477" s="30"/>
      <c r="M477" s="30"/>
      <c r="N477" s="20" t="str">
        <f aca="false">IF(A477="","",COUNTIF('Metric to Field'!$B:$B,A477))</f>
        <v/>
      </c>
      <c r="O477" s="20" t="str">
        <f aca="false">IF(A477="","",SUMIF('Metric to Field'!$B:$B,A477,'Metric to Field'!$F:$F))</f>
        <v/>
      </c>
      <c r="P477" s="30"/>
      <c r="Q477" s="30"/>
      <c r="R477" s="30"/>
      <c r="S477" s="30"/>
      <c r="T477" s="34" t="str">
        <f aca="false">IF(AND(A477&lt;&gt;"",K477="Fix upstream"),COUNTIF($K$5:K477,"Fix upstream"),"")</f>
        <v/>
      </c>
      <c r="U477" s="34" t="str">
        <f aca="false">IF(AND(A477&lt;&gt;"",OR(K477="Move to business rules",K477="Merge into certified table")),COUNTIF($K$5:K477,"Move to business rules")+COUNTIF($K$5:K477,"Merge into certified table"),"")</f>
        <v/>
      </c>
      <c r="V477" s="34" t="str">
        <f aca="false">IF(AND(A477&lt;&gt;"",OR(K477="",K477="Undecided",J477="")),SUMPRODUCT(($A$5:A477&lt;&gt;"")*((($K$5:K477="")+($K$5:K477="Undecided")+($J$5:J477=""))&gt;0)),"")</f>
        <v/>
      </c>
    </row>
    <row r="478" customFormat="false" ht="15" hidden="false" customHeight="false" outlineLevel="0" collapsed="false">
      <c r="A478" s="29"/>
      <c r="B478" s="30"/>
      <c r="C478" s="30"/>
      <c r="D478" s="29"/>
      <c r="E478" s="20" t="str">
        <f aca="false">IF(D478="","",IFERROR(INDEX(Tables!$B:$B,MATCH(D478,Tables!$A:$A,0)),"ID not found"))</f>
        <v/>
      </c>
      <c r="F478" s="20" t="str">
        <f aca="false">IF(D478="","",IFERROR(INDEX(Tables!$C:$C,MATCH(D478,Tables!$A:$A,0)),""))</f>
        <v/>
      </c>
      <c r="G478" s="30"/>
      <c r="H478" s="30"/>
      <c r="I478" s="30"/>
      <c r="J478" s="30"/>
      <c r="K478" s="30"/>
      <c r="L478" s="30"/>
      <c r="M478" s="30"/>
      <c r="N478" s="20" t="str">
        <f aca="false">IF(A478="","",COUNTIF('Metric to Field'!$B:$B,A478))</f>
        <v/>
      </c>
      <c r="O478" s="20" t="str">
        <f aca="false">IF(A478="","",SUMIF('Metric to Field'!$B:$B,A478,'Metric to Field'!$F:$F))</f>
        <v/>
      </c>
      <c r="P478" s="30"/>
      <c r="Q478" s="30"/>
      <c r="R478" s="30"/>
      <c r="S478" s="30"/>
      <c r="T478" s="34" t="str">
        <f aca="false">IF(AND(A478&lt;&gt;"",K478="Fix upstream"),COUNTIF($K$5:K478,"Fix upstream"),"")</f>
        <v/>
      </c>
      <c r="U478" s="34" t="str">
        <f aca="false">IF(AND(A478&lt;&gt;"",OR(K478="Move to business rules",K478="Merge into certified table")),COUNTIF($K$5:K478,"Move to business rules")+COUNTIF($K$5:K478,"Merge into certified table"),"")</f>
        <v/>
      </c>
      <c r="V478" s="34" t="str">
        <f aca="false">IF(AND(A478&lt;&gt;"",OR(K478="",K478="Undecided",J478="")),SUMPRODUCT(($A$5:A478&lt;&gt;"")*((($K$5:K478="")+($K$5:K478="Undecided")+($J$5:J478=""))&gt;0)),"")</f>
        <v/>
      </c>
    </row>
    <row r="479" customFormat="false" ht="15" hidden="false" customHeight="false" outlineLevel="0" collapsed="false">
      <c r="A479" s="29"/>
      <c r="B479" s="30"/>
      <c r="C479" s="30"/>
      <c r="D479" s="29"/>
      <c r="E479" s="20" t="str">
        <f aca="false">IF(D479="","",IFERROR(INDEX(Tables!$B:$B,MATCH(D479,Tables!$A:$A,0)),"ID not found"))</f>
        <v/>
      </c>
      <c r="F479" s="20" t="str">
        <f aca="false">IF(D479="","",IFERROR(INDEX(Tables!$C:$C,MATCH(D479,Tables!$A:$A,0)),""))</f>
        <v/>
      </c>
      <c r="G479" s="30"/>
      <c r="H479" s="30"/>
      <c r="I479" s="30"/>
      <c r="J479" s="30"/>
      <c r="K479" s="30"/>
      <c r="L479" s="30"/>
      <c r="M479" s="30"/>
      <c r="N479" s="20" t="str">
        <f aca="false">IF(A479="","",COUNTIF('Metric to Field'!$B:$B,A479))</f>
        <v/>
      </c>
      <c r="O479" s="20" t="str">
        <f aca="false">IF(A479="","",SUMIF('Metric to Field'!$B:$B,A479,'Metric to Field'!$F:$F))</f>
        <v/>
      </c>
      <c r="P479" s="30"/>
      <c r="Q479" s="30"/>
      <c r="R479" s="30"/>
      <c r="S479" s="30"/>
      <c r="T479" s="34" t="str">
        <f aca="false">IF(AND(A479&lt;&gt;"",K479="Fix upstream"),COUNTIF($K$5:K479,"Fix upstream"),"")</f>
        <v/>
      </c>
      <c r="U479" s="34" t="str">
        <f aca="false">IF(AND(A479&lt;&gt;"",OR(K479="Move to business rules",K479="Merge into certified table")),COUNTIF($K$5:K479,"Move to business rules")+COUNTIF($K$5:K479,"Merge into certified table"),"")</f>
        <v/>
      </c>
      <c r="V479" s="34" t="str">
        <f aca="false">IF(AND(A479&lt;&gt;"",OR(K479="",K479="Undecided",J479="")),SUMPRODUCT(($A$5:A479&lt;&gt;"")*((($K$5:K479="")+($K$5:K479="Undecided")+($J$5:J479=""))&gt;0)),"")</f>
        <v/>
      </c>
    </row>
    <row r="480" customFormat="false" ht="15" hidden="false" customHeight="false" outlineLevel="0" collapsed="false">
      <c r="A480" s="29"/>
      <c r="B480" s="30"/>
      <c r="C480" s="30"/>
      <c r="D480" s="29"/>
      <c r="E480" s="20" t="str">
        <f aca="false">IF(D480="","",IFERROR(INDEX(Tables!$B:$B,MATCH(D480,Tables!$A:$A,0)),"ID not found"))</f>
        <v/>
      </c>
      <c r="F480" s="20" t="str">
        <f aca="false">IF(D480="","",IFERROR(INDEX(Tables!$C:$C,MATCH(D480,Tables!$A:$A,0)),""))</f>
        <v/>
      </c>
      <c r="G480" s="30"/>
      <c r="H480" s="30"/>
      <c r="I480" s="30"/>
      <c r="J480" s="30"/>
      <c r="K480" s="30"/>
      <c r="L480" s="30"/>
      <c r="M480" s="30"/>
      <c r="N480" s="20" t="str">
        <f aca="false">IF(A480="","",COUNTIF('Metric to Field'!$B:$B,A480))</f>
        <v/>
      </c>
      <c r="O480" s="20" t="str">
        <f aca="false">IF(A480="","",SUMIF('Metric to Field'!$B:$B,A480,'Metric to Field'!$F:$F))</f>
        <v/>
      </c>
      <c r="P480" s="30"/>
      <c r="Q480" s="30"/>
      <c r="R480" s="30"/>
      <c r="S480" s="30"/>
      <c r="T480" s="34" t="str">
        <f aca="false">IF(AND(A480&lt;&gt;"",K480="Fix upstream"),COUNTIF($K$5:K480,"Fix upstream"),"")</f>
        <v/>
      </c>
      <c r="U480" s="34" t="str">
        <f aca="false">IF(AND(A480&lt;&gt;"",OR(K480="Move to business rules",K480="Merge into certified table")),COUNTIF($K$5:K480,"Move to business rules")+COUNTIF($K$5:K480,"Merge into certified table"),"")</f>
        <v/>
      </c>
      <c r="V480" s="34" t="str">
        <f aca="false">IF(AND(A480&lt;&gt;"",OR(K480="",K480="Undecided",J480="")),SUMPRODUCT(($A$5:A480&lt;&gt;"")*((($K$5:K480="")+($K$5:K480="Undecided")+($J$5:J480=""))&gt;0)),"")</f>
        <v/>
      </c>
    </row>
    <row r="481" customFormat="false" ht="15" hidden="false" customHeight="false" outlineLevel="0" collapsed="false">
      <c r="A481" s="29"/>
      <c r="B481" s="30"/>
      <c r="C481" s="30"/>
      <c r="D481" s="29"/>
      <c r="E481" s="20" t="str">
        <f aca="false">IF(D481="","",IFERROR(INDEX(Tables!$B:$B,MATCH(D481,Tables!$A:$A,0)),"ID not found"))</f>
        <v/>
      </c>
      <c r="F481" s="20" t="str">
        <f aca="false">IF(D481="","",IFERROR(INDEX(Tables!$C:$C,MATCH(D481,Tables!$A:$A,0)),""))</f>
        <v/>
      </c>
      <c r="G481" s="30"/>
      <c r="H481" s="30"/>
      <c r="I481" s="30"/>
      <c r="J481" s="30"/>
      <c r="K481" s="30"/>
      <c r="L481" s="30"/>
      <c r="M481" s="30"/>
      <c r="N481" s="20" t="str">
        <f aca="false">IF(A481="","",COUNTIF('Metric to Field'!$B:$B,A481))</f>
        <v/>
      </c>
      <c r="O481" s="20" t="str">
        <f aca="false">IF(A481="","",SUMIF('Metric to Field'!$B:$B,A481,'Metric to Field'!$F:$F))</f>
        <v/>
      </c>
      <c r="P481" s="30"/>
      <c r="Q481" s="30"/>
      <c r="R481" s="30"/>
      <c r="S481" s="30"/>
      <c r="T481" s="34" t="str">
        <f aca="false">IF(AND(A481&lt;&gt;"",K481="Fix upstream"),COUNTIF($K$5:K481,"Fix upstream"),"")</f>
        <v/>
      </c>
      <c r="U481" s="34" t="str">
        <f aca="false">IF(AND(A481&lt;&gt;"",OR(K481="Move to business rules",K481="Merge into certified table")),COUNTIF($K$5:K481,"Move to business rules")+COUNTIF($K$5:K481,"Merge into certified table"),"")</f>
        <v/>
      </c>
      <c r="V481" s="34" t="str">
        <f aca="false">IF(AND(A481&lt;&gt;"",OR(K481="",K481="Undecided",J481="")),SUMPRODUCT(($A$5:A481&lt;&gt;"")*((($K$5:K481="")+($K$5:K481="Undecided")+($J$5:J481=""))&gt;0)),"")</f>
        <v/>
      </c>
    </row>
    <row r="482" customFormat="false" ht="15" hidden="false" customHeight="false" outlineLevel="0" collapsed="false">
      <c r="A482" s="29"/>
      <c r="B482" s="30"/>
      <c r="C482" s="30"/>
      <c r="D482" s="29"/>
      <c r="E482" s="20" t="str">
        <f aca="false">IF(D482="","",IFERROR(INDEX(Tables!$B:$B,MATCH(D482,Tables!$A:$A,0)),"ID not found"))</f>
        <v/>
      </c>
      <c r="F482" s="20" t="str">
        <f aca="false">IF(D482="","",IFERROR(INDEX(Tables!$C:$C,MATCH(D482,Tables!$A:$A,0)),""))</f>
        <v/>
      </c>
      <c r="G482" s="30"/>
      <c r="H482" s="30"/>
      <c r="I482" s="30"/>
      <c r="J482" s="30"/>
      <c r="K482" s="30"/>
      <c r="L482" s="30"/>
      <c r="M482" s="30"/>
      <c r="N482" s="20" t="str">
        <f aca="false">IF(A482="","",COUNTIF('Metric to Field'!$B:$B,A482))</f>
        <v/>
      </c>
      <c r="O482" s="20" t="str">
        <f aca="false">IF(A482="","",SUMIF('Metric to Field'!$B:$B,A482,'Metric to Field'!$F:$F))</f>
        <v/>
      </c>
      <c r="P482" s="30"/>
      <c r="Q482" s="30"/>
      <c r="R482" s="30"/>
      <c r="S482" s="30"/>
      <c r="T482" s="34" t="str">
        <f aca="false">IF(AND(A482&lt;&gt;"",K482="Fix upstream"),COUNTIF($K$5:K482,"Fix upstream"),"")</f>
        <v/>
      </c>
      <c r="U482" s="34" t="str">
        <f aca="false">IF(AND(A482&lt;&gt;"",OR(K482="Move to business rules",K482="Merge into certified table")),COUNTIF($K$5:K482,"Move to business rules")+COUNTIF($K$5:K482,"Merge into certified table"),"")</f>
        <v/>
      </c>
      <c r="V482" s="34" t="str">
        <f aca="false">IF(AND(A482&lt;&gt;"",OR(K482="",K482="Undecided",J482="")),SUMPRODUCT(($A$5:A482&lt;&gt;"")*((($K$5:K482="")+($K$5:K482="Undecided")+($J$5:J482=""))&gt;0)),"")</f>
        <v/>
      </c>
    </row>
    <row r="483" customFormat="false" ht="15" hidden="false" customHeight="false" outlineLevel="0" collapsed="false">
      <c r="A483" s="29"/>
      <c r="B483" s="30"/>
      <c r="C483" s="30"/>
      <c r="D483" s="29"/>
      <c r="E483" s="20" t="str">
        <f aca="false">IF(D483="","",IFERROR(INDEX(Tables!$B:$B,MATCH(D483,Tables!$A:$A,0)),"ID not found"))</f>
        <v/>
      </c>
      <c r="F483" s="20" t="str">
        <f aca="false">IF(D483="","",IFERROR(INDEX(Tables!$C:$C,MATCH(D483,Tables!$A:$A,0)),""))</f>
        <v/>
      </c>
      <c r="G483" s="30"/>
      <c r="H483" s="30"/>
      <c r="I483" s="30"/>
      <c r="J483" s="30"/>
      <c r="K483" s="30"/>
      <c r="L483" s="30"/>
      <c r="M483" s="30"/>
      <c r="N483" s="20" t="str">
        <f aca="false">IF(A483="","",COUNTIF('Metric to Field'!$B:$B,A483))</f>
        <v/>
      </c>
      <c r="O483" s="20" t="str">
        <f aca="false">IF(A483="","",SUMIF('Metric to Field'!$B:$B,A483,'Metric to Field'!$F:$F))</f>
        <v/>
      </c>
      <c r="P483" s="30"/>
      <c r="Q483" s="30"/>
      <c r="R483" s="30"/>
      <c r="S483" s="30"/>
      <c r="T483" s="34" t="str">
        <f aca="false">IF(AND(A483&lt;&gt;"",K483="Fix upstream"),COUNTIF($K$5:K483,"Fix upstream"),"")</f>
        <v/>
      </c>
      <c r="U483" s="34" t="str">
        <f aca="false">IF(AND(A483&lt;&gt;"",OR(K483="Move to business rules",K483="Merge into certified table")),COUNTIF($K$5:K483,"Move to business rules")+COUNTIF($K$5:K483,"Merge into certified table"),"")</f>
        <v/>
      </c>
      <c r="V483" s="34" t="str">
        <f aca="false">IF(AND(A483&lt;&gt;"",OR(K483="",K483="Undecided",J483="")),SUMPRODUCT(($A$5:A483&lt;&gt;"")*((($K$5:K483="")+($K$5:K483="Undecided")+($J$5:J483=""))&gt;0)),"")</f>
        <v/>
      </c>
    </row>
    <row r="484" customFormat="false" ht="15" hidden="false" customHeight="false" outlineLevel="0" collapsed="false">
      <c r="A484" s="29"/>
      <c r="B484" s="30"/>
      <c r="C484" s="30"/>
      <c r="D484" s="29"/>
      <c r="E484" s="20" t="str">
        <f aca="false">IF(D484="","",IFERROR(INDEX(Tables!$B:$B,MATCH(D484,Tables!$A:$A,0)),"ID not found"))</f>
        <v/>
      </c>
      <c r="F484" s="20" t="str">
        <f aca="false">IF(D484="","",IFERROR(INDEX(Tables!$C:$C,MATCH(D484,Tables!$A:$A,0)),""))</f>
        <v/>
      </c>
      <c r="G484" s="30"/>
      <c r="H484" s="30"/>
      <c r="I484" s="30"/>
      <c r="J484" s="30"/>
      <c r="K484" s="30"/>
      <c r="L484" s="30"/>
      <c r="M484" s="30"/>
      <c r="N484" s="20" t="str">
        <f aca="false">IF(A484="","",COUNTIF('Metric to Field'!$B:$B,A484))</f>
        <v/>
      </c>
      <c r="O484" s="20" t="str">
        <f aca="false">IF(A484="","",SUMIF('Metric to Field'!$B:$B,A484,'Metric to Field'!$F:$F))</f>
        <v/>
      </c>
      <c r="P484" s="30"/>
      <c r="Q484" s="30"/>
      <c r="R484" s="30"/>
      <c r="S484" s="30"/>
      <c r="T484" s="34" t="str">
        <f aca="false">IF(AND(A484&lt;&gt;"",K484="Fix upstream"),COUNTIF($K$5:K484,"Fix upstream"),"")</f>
        <v/>
      </c>
      <c r="U484" s="34" t="str">
        <f aca="false">IF(AND(A484&lt;&gt;"",OR(K484="Move to business rules",K484="Merge into certified table")),COUNTIF($K$5:K484,"Move to business rules")+COUNTIF($K$5:K484,"Merge into certified table"),"")</f>
        <v/>
      </c>
      <c r="V484" s="34" t="str">
        <f aca="false">IF(AND(A484&lt;&gt;"",OR(K484="",K484="Undecided",J484="")),SUMPRODUCT(($A$5:A484&lt;&gt;"")*((($K$5:K484="")+($K$5:K484="Undecided")+($J$5:J484=""))&gt;0)),"")</f>
        <v/>
      </c>
    </row>
    <row r="485" customFormat="false" ht="15" hidden="false" customHeight="false" outlineLevel="0" collapsed="false">
      <c r="A485" s="29"/>
      <c r="B485" s="30"/>
      <c r="C485" s="30"/>
      <c r="D485" s="29"/>
      <c r="E485" s="20" t="str">
        <f aca="false">IF(D485="","",IFERROR(INDEX(Tables!$B:$B,MATCH(D485,Tables!$A:$A,0)),"ID not found"))</f>
        <v/>
      </c>
      <c r="F485" s="20" t="str">
        <f aca="false">IF(D485="","",IFERROR(INDEX(Tables!$C:$C,MATCH(D485,Tables!$A:$A,0)),""))</f>
        <v/>
      </c>
      <c r="G485" s="30"/>
      <c r="H485" s="30"/>
      <c r="I485" s="30"/>
      <c r="J485" s="30"/>
      <c r="K485" s="30"/>
      <c r="L485" s="30"/>
      <c r="M485" s="30"/>
      <c r="N485" s="20" t="str">
        <f aca="false">IF(A485="","",COUNTIF('Metric to Field'!$B:$B,A485))</f>
        <v/>
      </c>
      <c r="O485" s="20" t="str">
        <f aca="false">IF(A485="","",SUMIF('Metric to Field'!$B:$B,A485,'Metric to Field'!$F:$F))</f>
        <v/>
      </c>
      <c r="P485" s="30"/>
      <c r="Q485" s="30"/>
      <c r="R485" s="30"/>
      <c r="S485" s="30"/>
      <c r="T485" s="34" t="str">
        <f aca="false">IF(AND(A485&lt;&gt;"",K485="Fix upstream"),COUNTIF($K$5:K485,"Fix upstream"),"")</f>
        <v/>
      </c>
      <c r="U485" s="34" t="str">
        <f aca="false">IF(AND(A485&lt;&gt;"",OR(K485="Move to business rules",K485="Merge into certified table")),COUNTIF($K$5:K485,"Move to business rules")+COUNTIF($K$5:K485,"Merge into certified table"),"")</f>
        <v/>
      </c>
      <c r="V485" s="34" t="str">
        <f aca="false">IF(AND(A485&lt;&gt;"",OR(K485="",K485="Undecided",J485="")),SUMPRODUCT(($A$5:A485&lt;&gt;"")*((($K$5:K485="")+($K$5:K485="Undecided")+($J$5:J485=""))&gt;0)),"")</f>
        <v/>
      </c>
    </row>
    <row r="486" customFormat="false" ht="15" hidden="false" customHeight="false" outlineLevel="0" collapsed="false">
      <c r="A486" s="29"/>
      <c r="B486" s="30"/>
      <c r="C486" s="30"/>
      <c r="D486" s="29"/>
      <c r="E486" s="20" t="str">
        <f aca="false">IF(D486="","",IFERROR(INDEX(Tables!$B:$B,MATCH(D486,Tables!$A:$A,0)),"ID not found"))</f>
        <v/>
      </c>
      <c r="F486" s="20" t="str">
        <f aca="false">IF(D486="","",IFERROR(INDEX(Tables!$C:$C,MATCH(D486,Tables!$A:$A,0)),""))</f>
        <v/>
      </c>
      <c r="G486" s="30"/>
      <c r="H486" s="30"/>
      <c r="I486" s="30"/>
      <c r="J486" s="30"/>
      <c r="K486" s="30"/>
      <c r="L486" s="30"/>
      <c r="M486" s="30"/>
      <c r="N486" s="20" t="str">
        <f aca="false">IF(A486="","",COUNTIF('Metric to Field'!$B:$B,A486))</f>
        <v/>
      </c>
      <c r="O486" s="20" t="str">
        <f aca="false">IF(A486="","",SUMIF('Metric to Field'!$B:$B,A486,'Metric to Field'!$F:$F))</f>
        <v/>
      </c>
      <c r="P486" s="30"/>
      <c r="Q486" s="30"/>
      <c r="R486" s="30"/>
      <c r="S486" s="30"/>
      <c r="T486" s="34" t="str">
        <f aca="false">IF(AND(A486&lt;&gt;"",K486="Fix upstream"),COUNTIF($K$5:K486,"Fix upstream"),"")</f>
        <v/>
      </c>
      <c r="U486" s="34" t="str">
        <f aca="false">IF(AND(A486&lt;&gt;"",OR(K486="Move to business rules",K486="Merge into certified table")),COUNTIF($K$5:K486,"Move to business rules")+COUNTIF($K$5:K486,"Merge into certified table"),"")</f>
        <v/>
      </c>
      <c r="V486" s="34" t="str">
        <f aca="false">IF(AND(A486&lt;&gt;"",OR(K486="",K486="Undecided",J486="")),SUMPRODUCT(($A$5:A486&lt;&gt;"")*((($K$5:K486="")+($K$5:K486="Undecided")+($J$5:J486=""))&gt;0)),"")</f>
        <v/>
      </c>
    </row>
    <row r="487" customFormat="false" ht="15" hidden="false" customHeight="false" outlineLevel="0" collapsed="false">
      <c r="A487" s="29"/>
      <c r="B487" s="30"/>
      <c r="C487" s="30"/>
      <c r="D487" s="29"/>
      <c r="E487" s="20" t="str">
        <f aca="false">IF(D487="","",IFERROR(INDEX(Tables!$B:$B,MATCH(D487,Tables!$A:$A,0)),"ID not found"))</f>
        <v/>
      </c>
      <c r="F487" s="20" t="str">
        <f aca="false">IF(D487="","",IFERROR(INDEX(Tables!$C:$C,MATCH(D487,Tables!$A:$A,0)),""))</f>
        <v/>
      </c>
      <c r="G487" s="30"/>
      <c r="H487" s="30"/>
      <c r="I487" s="30"/>
      <c r="J487" s="30"/>
      <c r="K487" s="30"/>
      <c r="L487" s="30"/>
      <c r="M487" s="30"/>
      <c r="N487" s="20" t="str">
        <f aca="false">IF(A487="","",COUNTIF('Metric to Field'!$B:$B,A487))</f>
        <v/>
      </c>
      <c r="O487" s="20" t="str">
        <f aca="false">IF(A487="","",SUMIF('Metric to Field'!$B:$B,A487,'Metric to Field'!$F:$F))</f>
        <v/>
      </c>
      <c r="P487" s="30"/>
      <c r="Q487" s="30"/>
      <c r="R487" s="30"/>
      <c r="S487" s="30"/>
      <c r="T487" s="34" t="str">
        <f aca="false">IF(AND(A487&lt;&gt;"",K487="Fix upstream"),COUNTIF($K$5:K487,"Fix upstream"),"")</f>
        <v/>
      </c>
      <c r="U487" s="34" t="str">
        <f aca="false">IF(AND(A487&lt;&gt;"",OR(K487="Move to business rules",K487="Merge into certified table")),COUNTIF($K$5:K487,"Move to business rules")+COUNTIF($K$5:K487,"Merge into certified table"),"")</f>
        <v/>
      </c>
      <c r="V487" s="34" t="str">
        <f aca="false">IF(AND(A487&lt;&gt;"",OR(K487="",K487="Undecided",J487="")),SUMPRODUCT(($A$5:A487&lt;&gt;"")*((($K$5:K487="")+($K$5:K487="Undecided")+($J$5:J487=""))&gt;0)),"")</f>
        <v/>
      </c>
    </row>
    <row r="488" customFormat="false" ht="15" hidden="false" customHeight="false" outlineLevel="0" collapsed="false">
      <c r="A488" s="29"/>
      <c r="B488" s="30"/>
      <c r="C488" s="30"/>
      <c r="D488" s="29"/>
      <c r="E488" s="20" t="str">
        <f aca="false">IF(D488="","",IFERROR(INDEX(Tables!$B:$B,MATCH(D488,Tables!$A:$A,0)),"ID not found"))</f>
        <v/>
      </c>
      <c r="F488" s="20" t="str">
        <f aca="false">IF(D488="","",IFERROR(INDEX(Tables!$C:$C,MATCH(D488,Tables!$A:$A,0)),""))</f>
        <v/>
      </c>
      <c r="G488" s="30"/>
      <c r="H488" s="30"/>
      <c r="I488" s="30"/>
      <c r="J488" s="30"/>
      <c r="K488" s="30"/>
      <c r="L488" s="30"/>
      <c r="M488" s="30"/>
      <c r="N488" s="20" t="str">
        <f aca="false">IF(A488="","",COUNTIF('Metric to Field'!$B:$B,A488))</f>
        <v/>
      </c>
      <c r="O488" s="20" t="str">
        <f aca="false">IF(A488="","",SUMIF('Metric to Field'!$B:$B,A488,'Metric to Field'!$F:$F))</f>
        <v/>
      </c>
      <c r="P488" s="30"/>
      <c r="Q488" s="30"/>
      <c r="R488" s="30"/>
      <c r="S488" s="30"/>
      <c r="T488" s="34" t="str">
        <f aca="false">IF(AND(A488&lt;&gt;"",K488="Fix upstream"),COUNTIF($K$5:K488,"Fix upstream"),"")</f>
        <v/>
      </c>
      <c r="U488" s="34" t="str">
        <f aca="false">IF(AND(A488&lt;&gt;"",OR(K488="Move to business rules",K488="Merge into certified table")),COUNTIF($K$5:K488,"Move to business rules")+COUNTIF($K$5:K488,"Merge into certified table"),"")</f>
        <v/>
      </c>
      <c r="V488" s="34" t="str">
        <f aca="false">IF(AND(A488&lt;&gt;"",OR(K488="",K488="Undecided",J488="")),SUMPRODUCT(($A$5:A488&lt;&gt;"")*((($K$5:K488="")+($K$5:K488="Undecided")+($J$5:J488=""))&gt;0)),"")</f>
        <v/>
      </c>
    </row>
    <row r="489" customFormat="false" ht="15" hidden="false" customHeight="false" outlineLevel="0" collapsed="false">
      <c r="A489" s="29"/>
      <c r="B489" s="30"/>
      <c r="C489" s="30"/>
      <c r="D489" s="29"/>
      <c r="E489" s="20" t="str">
        <f aca="false">IF(D489="","",IFERROR(INDEX(Tables!$B:$B,MATCH(D489,Tables!$A:$A,0)),"ID not found"))</f>
        <v/>
      </c>
      <c r="F489" s="20" t="str">
        <f aca="false">IF(D489="","",IFERROR(INDEX(Tables!$C:$C,MATCH(D489,Tables!$A:$A,0)),""))</f>
        <v/>
      </c>
      <c r="G489" s="30"/>
      <c r="H489" s="30"/>
      <c r="I489" s="30"/>
      <c r="J489" s="30"/>
      <c r="K489" s="30"/>
      <c r="L489" s="30"/>
      <c r="M489" s="30"/>
      <c r="N489" s="20" t="str">
        <f aca="false">IF(A489="","",COUNTIF('Metric to Field'!$B:$B,A489))</f>
        <v/>
      </c>
      <c r="O489" s="20" t="str">
        <f aca="false">IF(A489="","",SUMIF('Metric to Field'!$B:$B,A489,'Metric to Field'!$F:$F))</f>
        <v/>
      </c>
      <c r="P489" s="30"/>
      <c r="Q489" s="30"/>
      <c r="R489" s="30"/>
      <c r="S489" s="30"/>
      <c r="T489" s="34" t="str">
        <f aca="false">IF(AND(A489&lt;&gt;"",K489="Fix upstream"),COUNTIF($K$5:K489,"Fix upstream"),"")</f>
        <v/>
      </c>
      <c r="U489" s="34" t="str">
        <f aca="false">IF(AND(A489&lt;&gt;"",OR(K489="Move to business rules",K489="Merge into certified table")),COUNTIF($K$5:K489,"Move to business rules")+COUNTIF($K$5:K489,"Merge into certified table"),"")</f>
        <v/>
      </c>
      <c r="V489" s="34" t="str">
        <f aca="false">IF(AND(A489&lt;&gt;"",OR(K489="",K489="Undecided",J489="")),SUMPRODUCT(($A$5:A489&lt;&gt;"")*((($K$5:K489="")+($K$5:K489="Undecided")+($J$5:J489=""))&gt;0)),"")</f>
        <v/>
      </c>
    </row>
    <row r="490" customFormat="false" ht="15" hidden="false" customHeight="false" outlineLevel="0" collapsed="false">
      <c r="A490" s="29"/>
      <c r="B490" s="30"/>
      <c r="C490" s="30"/>
      <c r="D490" s="29"/>
      <c r="E490" s="20" t="str">
        <f aca="false">IF(D490="","",IFERROR(INDEX(Tables!$B:$B,MATCH(D490,Tables!$A:$A,0)),"ID not found"))</f>
        <v/>
      </c>
      <c r="F490" s="20" t="str">
        <f aca="false">IF(D490="","",IFERROR(INDEX(Tables!$C:$C,MATCH(D490,Tables!$A:$A,0)),""))</f>
        <v/>
      </c>
      <c r="G490" s="30"/>
      <c r="H490" s="30"/>
      <c r="I490" s="30"/>
      <c r="J490" s="30"/>
      <c r="K490" s="30"/>
      <c r="L490" s="30"/>
      <c r="M490" s="30"/>
      <c r="N490" s="20" t="str">
        <f aca="false">IF(A490="","",COUNTIF('Metric to Field'!$B:$B,A490))</f>
        <v/>
      </c>
      <c r="O490" s="20" t="str">
        <f aca="false">IF(A490="","",SUMIF('Metric to Field'!$B:$B,A490,'Metric to Field'!$F:$F))</f>
        <v/>
      </c>
      <c r="P490" s="30"/>
      <c r="Q490" s="30"/>
      <c r="R490" s="30"/>
      <c r="S490" s="30"/>
      <c r="T490" s="34" t="str">
        <f aca="false">IF(AND(A490&lt;&gt;"",K490="Fix upstream"),COUNTIF($K$5:K490,"Fix upstream"),"")</f>
        <v/>
      </c>
      <c r="U490" s="34" t="str">
        <f aca="false">IF(AND(A490&lt;&gt;"",OR(K490="Move to business rules",K490="Merge into certified table")),COUNTIF($K$5:K490,"Move to business rules")+COUNTIF($K$5:K490,"Merge into certified table"),"")</f>
        <v/>
      </c>
      <c r="V490" s="34" t="str">
        <f aca="false">IF(AND(A490&lt;&gt;"",OR(K490="",K490="Undecided",J490="")),SUMPRODUCT(($A$5:A490&lt;&gt;"")*((($K$5:K490="")+($K$5:K490="Undecided")+($J$5:J490=""))&gt;0)),"")</f>
        <v/>
      </c>
    </row>
    <row r="491" customFormat="false" ht="15" hidden="false" customHeight="false" outlineLevel="0" collapsed="false">
      <c r="A491" s="29"/>
      <c r="B491" s="30"/>
      <c r="C491" s="30"/>
      <c r="D491" s="29"/>
      <c r="E491" s="20" t="str">
        <f aca="false">IF(D491="","",IFERROR(INDEX(Tables!$B:$B,MATCH(D491,Tables!$A:$A,0)),"ID not found"))</f>
        <v/>
      </c>
      <c r="F491" s="20" t="str">
        <f aca="false">IF(D491="","",IFERROR(INDEX(Tables!$C:$C,MATCH(D491,Tables!$A:$A,0)),""))</f>
        <v/>
      </c>
      <c r="G491" s="30"/>
      <c r="H491" s="30"/>
      <c r="I491" s="30"/>
      <c r="J491" s="30"/>
      <c r="K491" s="30"/>
      <c r="L491" s="30"/>
      <c r="M491" s="30"/>
      <c r="N491" s="20" t="str">
        <f aca="false">IF(A491="","",COUNTIF('Metric to Field'!$B:$B,A491))</f>
        <v/>
      </c>
      <c r="O491" s="20" t="str">
        <f aca="false">IF(A491="","",SUMIF('Metric to Field'!$B:$B,A491,'Metric to Field'!$F:$F))</f>
        <v/>
      </c>
      <c r="P491" s="30"/>
      <c r="Q491" s="30"/>
      <c r="R491" s="30"/>
      <c r="S491" s="30"/>
      <c r="T491" s="34" t="str">
        <f aca="false">IF(AND(A491&lt;&gt;"",K491="Fix upstream"),COUNTIF($K$5:K491,"Fix upstream"),"")</f>
        <v/>
      </c>
      <c r="U491" s="34" t="str">
        <f aca="false">IF(AND(A491&lt;&gt;"",OR(K491="Move to business rules",K491="Merge into certified table")),COUNTIF($K$5:K491,"Move to business rules")+COUNTIF($K$5:K491,"Merge into certified table"),"")</f>
        <v/>
      </c>
      <c r="V491" s="34" t="str">
        <f aca="false">IF(AND(A491&lt;&gt;"",OR(K491="",K491="Undecided",J491="")),SUMPRODUCT(($A$5:A491&lt;&gt;"")*((($K$5:K491="")+($K$5:K491="Undecided")+($J$5:J491=""))&gt;0)),"")</f>
        <v/>
      </c>
    </row>
    <row r="492" customFormat="false" ht="15" hidden="false" customHeight="false" outlineLevel="0" collapsed="false">
      <c r="A492" s="29"/>
      <c r="B492" s="30"/>
      <c r="C492" s="30"/>
      <c r="D492" s="29"/>
      <c r="E492" s="20" t="str">
        <f aca="false">IF(D492="","",IFERROR(INDEX(Tables!$B:$B,MATCH(D492,Tables!$A:$A,0)),"ID not found"))</f>
        <v/>
      </c>
      <c r="F492" s="20" t="str">
        <f aca="false">IF(D492="","",IFERROR(INDEX(Tables!$C:$C,MATCH(D492,Tables!$A:$A,0)),""))</f>
        <v/>
      </c>
      <c r="G492" s="30"/>
      <c r="H492" s="30"/>
      <c r="I492" s="30"/>
      <c r="J492" s="30"/>
      <c r="K492" s="30"/>
      <c r="L492" s="30"/>
      <c r="M492" s="30"/>
      <c r="N492" s="20" t="str">
        <f aca="false">IF(A492="","",COUNTIF('Metric to Field'!$B:$B,A492))</f>
        <v/>
      </c>
      <c r="O492" s="20" t="str">
        <f aca="false">IF(A492="","",SUMIF('Metric to Field'!$B:$B,A492,'Metric to Field'!$F:$F))</f>
        <v/>
      </c>
      <c r="P492" s="30"/>
      <c r="Q492" s="30"/>
      <c r="R492" s="30"/>
      <c r="S492" s="30"/>
      <c r="T492" s="34" t="str">
        <f aca="false">IF(AND(A492&lt;&gt;"",K492="Fix upstream"),COUNTIF($K$5:K492,"Fix upstream"),"")</f>
        <v/>
      </c>
      <c r="U492" s="34" t="str">
        <f aca="false">IF(AND(A492&lt;&gt;"",OR(K492="Move to business rules",K492="Merge into certified table")),COUNTIF($K$5:K492,"Move to business rules")+COUNTIF($K$5:K492,"Merge into certified table"),"")</f>
        <v/>
      </c>
      <c r="V492" s="34" t="str">
        <f aca="false">IF(AND(A492&lt;&gt;"",OR(K492="",K492="Undecided",J492="")),SUMPRODUCT(($A$5:A492&lt;&gt;"")*((($K$5:K492="")+($K$5:K492="Undecided")+($J$5:J492=""))&gt;0)),"")</f>
        <v/>
      </c>
    </row>
    <row r="493" customFormat="false" ht="15" hidden="false" customHeight="false" outlineLevel="0" collapsed="false">
      <c r="A493" s="29"/>
      <c r="B493" s="30"/>
      <c r="C493" s="30"/>
      <c r="D493" s="29"/>
      <c r="E493" s="20" t="str">
        <f aca="false">IF(D493="","",IFERROR(INDEX(Tables!$B:$B,MATCH(D493,Tables!$A:$A,0)),"ID not found"))</f>
        <v/>
      </c>
      <c r="F493" s="20" t="str">
        <f aca="false">IF(D493="","",IFERROR(INDEX(Tables!$C:$C,MATCH(D493,Tables!$A:$A,0)),""))</f>
        <v/>
      </c>
      <c r="G493" s="30"/>
      <c r="H493" s="30"/>
      <c r="I493" s="30"/>
      <c r="J493" s="30"/>
      <c r="K493" s="30"/>
      <c r="L493" s="30"/>
      <c r="M493" s="30"/>
      <c r="N493" s="20" t="str">
        <f aca="false">IF(A493="","",COUNTIF('Metric to Field'!$B:$B,A493))</f>
        <v/>
      </c>
      <c r="O493" s="20" t="str">
        <f aca="false">IF(A493="","",SUMIF('Metric to Field'!$B:$B,A493,'Metric to Field'!$F:$F))</f>
        <v/>
      </c>
      <c r="P493" s="30"/>
      <c r="Q493" s="30"/>
      <c r="R493" s="30"/>
      <c r="S493" s="30"/>
      <c r="T493" s="34" t="str">
        <f aca="false">IF(AND(A493&lt;&gt;"",K493="Fix upstream"),COUNTIF($K$5:K493,"Fix upstream"),"")</f>
        <v/>
      </c>
      <c r="U493" s="34" t="str">
        <f aca="false">IF(AND(A493&lt;&gt;"",OR(K493="Move to business rules",K493="Merge into certified table")),COUNTIF($K$5:K493,"Move to business rules")+COUNTIF($K$5:K493,"Merge into certified table"),"")</f>
        <v/>
      </c>
      <c r="V493" s="34" t="str">
        <f aca="false">IF(AND(A493&lt;&gt;"",OR(K493="",K493="Undecided",J493="")),SUMPRODUCT(($A$5:A493&lt;&gt;"")*((($K$5:K493="")+($K$5:K493="Undecided")+($J$5:J493=""))&gt;0)),"")</f>
        <v/>
      </c>
    </row>
    <row r="494" customFormat="false" ht="15" hidden="false" customHeight="false" outlineLevel="0" collapsed="false">
      <c r="A494" s="29"/>
      <c r="B494" s="30"/>
      <c r="C494" s="30"/>
      <c r="D494" s="29"/>
      <c r="E494" s="20" t="str">
        <f aca="false">IF(D494="","",IFERROR(INDEX(Tables!$B:$B,MATCH(D494,Tables!$A:$A,0)),"ID not found"))</f>
        <v/>
      </c>
      <c r="F494" s="20" t="str">
        <f aca="false">IF(D494="","",IFERROR(INDEX(Tables!$C:$C,MATCH(D494,Tables!$A:$A,0)),""))</f>
        <v/>
      </c>
      <c r="G494" s="30"/>
      <c r="H494" s="30"/>
      <c r="I494" s="30"/>
      <c r="J494" s="30"/>
      <c r="K494" s="30"/>
      <c r="L494" s="30"/>
      <c r="M494" s="30"/>
      <c r="N494" s="20" t="str">
        <f aca="false">IF(A494="","",COUNTIF('Metric to Field'!$B:$B,A494))</f>
        <v/>
      </c>
      <c r="O494" s="20" t="str">
        <f aca="false">IF(A494="","",SUMIF('Metric to Field'!$B:$B,A494,'Metric to Field'!$F:$F))</f>
        <v/>
      </c>
      <c r="P494" s="30"/>
      <c r="Q494" s="30"/>
      <c r="R494" s="30"/>
      <c r="S494" s="30"/>
      <c r="T494" s="34" t="str">
        <f aca="false">IF(AND(A494&lt;&gt;"",K494="Fix upstream"),COUNTIF($K$5:K494,"Fix upstream"),"")</f>
        <v/>
      </c>
      <c r="U494" s="34" t="str">
        <f aca="false">IF(AND(A494&lt;&gt;"",OR(K494="Move to business rules",K494="Merge into certified table")),COUNTIF($K$5:K494,"Move to business rules")+COUNTIF($K$5:K494,"Merge into certified table"),"")</f>
        <v/>
      </c>
      <c r="V494" s="34" t="str">
        <f aca="false">IF(AND(A494&lt;&gt;"",OR(K494="",K494="Undecided",J494="")),SUMPRODUCT(($A$5:A494&lt;&gt;"")*((($K$5:K494="")+($K$5:K494="Undecided")+($J$5:J494=""))&gt;0)),"")</f>
        <v/>
      </c>
    </row>
    <row r="495" customFormat="false" ht="15" hidden="false" customHeight="false" outlineLevel="0" collapsed="false">
      <c r="A495" s="29"/>
      <c r="B495" s="30"/>
      <c r="C495" s="30"/>
      <c r="D495" s="29"/>
      <c r="E495" s="20" t="str">
        <f aca="false">IF(D495="","",IFERROR(INDEX(Tables!$B:$B,MATCH(D495,Tables!$A:$A,0)),"ID not found"))</f>
        <v/>
      </c>
      <c r="F495" s="20" t="str">
        <f aca="false">IF(D495="","",IFERROR(INDEX(Tables!$C:$C,MATCH(D495,Tables!$A:$A,0)),""))</f>
        <v/>
      </c>
      <c r="G495" s="30"/>
      <c r="H495" s="30"/>
      <c r="I495" s="30"/>
      <c r="J495" s="30"/>
      <c r="K495" s="30"/>
      <c r="L495" s="30"/>
      <c r="M495" s="30"/>
      <c r="N495" s="20" t="str">
        <f aca="false">IF(A495="","",COUNTIF('Metric to Field'!$B:$B,A495))</f>
        <v/>
      </c>
      <c r="O495" s="20" t="str">
        <f aca="false">IF(A495="","",SUMIF('Metric to Field'!$B:$B,A495,'Metric to Field'!$F:$F))</f>
        <v/>
      </c>
      <c r="P495" s="30"/>
      <c r="Q495" s="30"/>
      <c r="R495" s="30"/>
      <c r="S495" s="30"/>
      <c r="T495" s="34" t="str">
        <f aca="false">IF(AND(A495&lt;&gt;"",K495="Fix upstream"),COUNTIF($K$5:K495,"Fix upstream"),"")</f>
        <v/>
      </c>
      <c r="U495" s="34" t="str">
        <f aca="false">IF(AND(A495&lt;&gt;"",OR(K495="Move to business rules",K495="Merge into certified table")),COUNTIF($K$5:K495,"Move to business rules")+COUNTIF($K$5:K495,"Merge into certified table"),"")</f>
        <v/>
      </c>
      <c r="V495" s="34" t="str">
        <f aca="false">IF(AND(A495&lt;&gt;"",OR(K495="",K495="Undecided",J495="")),SUMPRODUCT(($A$5:A495&lt;&gt;"")*((($K$5:K495="")+($K$5:K495="Undecided")+($J$5:J495=""))&gt;0)),"")</f>
        <v/>
      </c>
    </row>
    <row r="496" customFormat="false" ht="15" hidden="false" customHeight="false" outlineLevel="0" collapsed="false">
      <c r="A496" s="29"/>
      <c r="B496" s="30"/>
      <c r="C496" s="30"/>
      <c r="D496" s="29"/>
      <c r="E496" s="20" t="str">
        <f aca="false">IF(D496="","",IFERROR(INDEX(Tables!$B:$B,MATCH(D496,Tables!$A:$A,0)),"ID not found"))</f>
        <v/>
      </c>
      <c r="F496" s="20" t="str">
        <f aca="false">IF(D496="","",IFERROR(INDEX(Tables!$C:$C,MATCH(D496,Tables!$A:$A,0)),""))</f>
        <v/>
      </c>
      <c r="G496" s="30"/>
      <c r="H496" s="30"/>
      <c r="I496" s="30"/>
      <c r="J496" s="30"/>
      <c r="K496" s="30"/>
      <c r="L496" s="30"/>
      <c r="M496" s="30"/>
      <c r="N496" s="20" t="str">
        <f aca="false">IF(A496="","",COUNTIF('Metric to Field'!$B:$B,A496))</f>
        <v/>
      </c>
      <c r="O496" s="20" t="str">
        <f aca="false">IF(A496="","",SUMIF('Metric to Field'!$B:$B,A496,'Metric to Field'!$F:$F))</f>
        <v/>
      </c>
      <c r="P496" s="30"/>
      <c r="Q496" s="30"/>
      <c r="R496" s="30"/>
      <c r="S496" s="30"/>
      <c r="T496" s="34" t="str">
        <f aca="false">IF(AND(A496&lt;&gt;"",K496="Fix upstream"),COUNTIF($K$5:K496,"Fix upstream"),"")</f>
        <v/>
      </c>
      <c r="U496" s="34" t="str">
        <f aca="false">IF(AND(A496&lt;&gt;"",OR(K496="Move to business rules",K496="Merge into certified table")),COUNTIF($K$5:K496,"Move to business rules")+COUNTIF($K$5:K496,"Merge into certified table"),"")</f>
        <v/>
      </c>
      <c r="V496" s="34" t="str">
        <f aca="false">IF(AND(A496&lt;&gt;"",OR(K496="",K496="Undecided",J496="")),SUMPRODUCT(($A$5:A496&lt;&gt;"")*((($K$5:K496="")+($K$5:K496="Undecided")+($J$5:J496=""))&gt;0)),"")</f>
        <v/>
      </c>
    </row>
    <row r="497" customFormat="false" ht="15" hidden="false" customHeight="false" outlineLevel="0" collapsed="false">
      <c r="A497" s="29"/>
      <c r="B497" s="30"/>
      <c r="C497" s="30"/>
      <c r="D497" s="29"/>
      <c r="E497" s="20" t="str">
        <f aca="false">IF(D497="","",IFERROR(INDEX(Tables!$B:$B,MATCH(D497,Tables!$A:$A,0)),"ID not found"))</f>
        <v/>
      </c>
      <c r="F497" s="20" t="str">
        <f aca="false">IF(D497="","",IFERROR(INDEX(Tables!$C:$C,MATCH(D497,Tables!$A:$A,0)),""))</f>
        <v/>
      </c>
      <c r="G497" s="30"/>
      <c r="H497" s="30"/>
      <c r="I497" s="30"/>
      <c r="J497" s="30"/>
      <c r="K497" s="30"/>
      <c r="L497" s="30"/>
      <c r="M497" s="30"/>
      <c r="N497" s="20" t="str">
        <f aca="false">IF(A497="","",COUNTIF('Metric to Field'!$B:$B,A497))</f>
        <v/>
      </c>
      <c r="O497" s="20" t="str">
        <f aca="false">IF(A497="","",SUMIF('Metric to Field'!$B:$B,A497,'Metric to Field'!$F:$F))</f>
        <v/>
      </c>
      <c r="P497" s="30"/>
      <c r="Q497" s="30"/>
      <c r="R497" s="30"/>
      <c r="S497" s="30"/>
      <c r="T497" s="34" t="str">
        <f aca="false">IF(AND(A497&lt;&gt;"",K497="Fix upstream"),COUNTIF($K$5:K497,"Fix upstream"),"")</f>
        <v/>
      </c>
      <c r="U497" s="34" t="str">
        <f aca="false">IF(AND(A497&lt;&gt;"",OR(K497="Move to business rules",K497="Merge into certified table")),COUNTIF($K$5:K497,"Move to business rules")+COUNTIF($K$5:K497,"Merge into certified table"),"")</f>
        <v/>
      </c>
      <c r="V497" s="34" t="str">
        <f aca="false">IF(AND(A497&lt;&gt;"",OR(K497="",K497="Undecided",J497="")),SUMPRODUCT(($A$5:A497&lt;&gt;"")*((($K$5:K497="")+($K$5:K497="Undecided")+($J$5:J497=""))&gt;0)),"")</f>
        <v/>
      </c>
    </row>
    <row r="498" customFormat="false" ht="15" hidden="false" customHeight="false" outlineLevel="0" collapsed="false">
      <c r="A498" s="29"/>
      <c r="B498" s="30"/>
      <c r="C498" s="30"/>
      <c r="D498" s="29"/>
      <c r="E498" s="20" t="str">
        <f aca="false">IF(D498="","",IFERROR(INDEX(Tables!$B:$B,MATCH(D498,Tables!$A:$A,0)),"ID not found"))</f>
        <v/>
      </c>
      <c r="F498" s="20" t="str">
        <f aca="false">IF(D498="","",IFERROR(INDEX(Tables!$C:$C,MATCH(D498,Tables!$A:$A,0)),""))</f>
        <v/>
      </c>
      <c r="G498" s="30"/>
      <c r="H498" s="30"/>
      <c r="I498" s="30"/>
      <c r="J498" s="30"/>
      <c r="K498" s="30"/>
      <c r="L498" s="30"/>
      <c r="M498" s="30"/>
      <c r="N498" s="20" t="str">
        <f aca="false">IF(A498="","",COUNTIF('Metric to Field'!$B:$B,A498))</f>
        <v/>
      </c>
      <c r="O498" s="20" t="str">
        <f aca="false">IF(A498="","",SUMIF('Metric to Field'!$B:$B,A498,'Metric to Field'!$F:$F))</f>
        <v/>
      </c>
      <c r="P498" s="30"/>
      <c r="Q498" s="30"/>
      <c r="R498" s="30"/>
      <c r="S498" s="30"/>
      <c r="T498" s="34" t="str">
        <f aca="false">IF(AND(A498&lt;&gt;"",K498="Fix upstream"),COUNTIF($K$5:K498,"Fix upstream"),"")</f>
        <v/>
      </c>
      <c r="U498" s="34" t="str">
        <f aca="false">IF(AND(A498&lt;&gt;"",OR(K498="Move to business rules",K498="Merge into certified table")),COUNTIF($K$5:K498,"Move to business rules")+COUNTIF($K$5:K498,"Merge into certified table"),"")</f>
        <v/>
      </c>
      <c r="V498" s="34" t="str">
        <f aca="false">IF(AND(A498&lt;&gt;"",OR(K498="",K498="Undecided",J498="")),SUMPRODUCT(($A$5:A498&lt;&gt;"")*((($K$5:K498="")+($K$5:K498="Undecided")+($J$5:J498=""))&gt;0)),"")</f>
        <v/>
      </c>
    </row>
    <row r="499" customFormat="false" ht="15" hidden="false" customHeight="false" outlineLevel="0" collapsed="false">
      <c r="A499" s="29"/>
      <c r="B499" s="30"/>
      <c r="C499" s="30"/>
      <c r="D499" s="29"/>
      <c r="E499" s="20" t="str">
        <f aca="false">IF(D499="","",IFERROR(INDEX(Tables!$B:$B,MATCH(D499,Tables!$A:$A,0)),"ID not found"))</f>
        <v/>
      </c>
      <c r="F499" s="20" t="str">
        <f aca="false">IF(D499="","",IFERROR(INDEX(Tables!$C:$C,MATCH(D499,Tables!$A:$A,0)),""))</f>
        <v/>
      </c>
      <c r="G499" s="30"/>
      <c r="H499" s="30"/>
      <c r="I499" s="30"/>
      <c r="J499" s="30"/>
      <c r="K499" s="30"/>
      <c r="L499" s="30"/>
      <c r="M499" s="30"/>
      <c r="N499" s="20" t="str">
        <f aca="false">IF(A499="","",COUNTIF('Metric to Field'!$B:$B,A499))</f>
        <v/>
      </c>
      <c r="O499" s="20" t="str">
        <f aca="false">IF(A499="","",SUMIF('Metric to Field'!$B:$B,A499,'Metric to Field'!$F:$F))</f>
        <v/>
      </c>
      <c r="P499" s="30"/>
      <c r="Q499" s="30"/>
      <c r="R499" s="30"/>
      <c r="S499" s="30"/>
      <c r="T499" s="34" t="str">
        <f aca="false">IF(AND(A499&lt;&gt;"",K499="Fix upstream"),COUNTIF($K$5:K499,"Fix upstream"),"")</f>
        <v/>
      </c>
      <c r="U499" s="34" t="str">
        <f aca="false">IF(AND(A499&lt;&gt;"",OR(K499="Move to business rules",K499="Merge into certified table")),COUNTIF($K$5:K499,"Move to business rules")+COUNTIF($K$5:K499,"Merge into certified table"),"")</f>
        <v/>
      </c>
      <c r="V499" s="34" t="str">
        <f aca="false">IF(AND(A499&lt;&gt;"",OR(K499="",K499="Undecided",J499="")),SUMPRODUCT(($A$5:A499&lt;&gt;"")*((($K$5:K499="")+($K$5:K499="Undecided")+($J$5:J499=""))&gt;0)),"")</f>
        <v/>
      </c>
    </row>
    <row r="500" customFormat="false" ht="15" hidden="false" customHeight="false" outlineLevel="0" collapsed="false">
      <c r="A500" s="29"/>
      <c r="B500" s="30"/>
      <c r="C500" s="30"/>
      <c r="D500" s="29"/>
      <c r="E500" s="20" t="str">
        <f aca="false">IF(D500="","",IFERROR(INDEX(Tables!$B:$B,MATCH(D500,Tables!$A:$A,0)),"ID not found"))</f>
        <v/>
      </c>
      <c r="F500" s="20" t="str">
        <f aca="false">IF(D500="","",IFERROR(INDEX(Tables!$C:$C,MATCH(D500,Tables!$A:$A,0)),""))</f>
        <v/>
      </c>
      <c r="G500" s="30"/>
      <c r="H500" s="30"/>
      <c r="I500" s="30"/>
      <c r="J500" s="30"/>
      <c r="K500" s="30"/>
      <c r="L500" s="30"/>
      <c r="M500" s="30"/>
      <c r="N500" s="20" t="str">
        <f aca="false">IF(A500="","",COUNTIF('Metric to Field'!$B:$B,A500))</f>
        <v/>
      </c>
      <c r="O500" s="20" t="str">
        <f aca="false">IF(A500="","",SUMIF('Metric to Field'!$B:$B,A500,'Metric to Field'!$F:$F))</f>
        <v/>
      </c>
      <c r="P500" s="30"/>
      <c r="Q500" s="30"/>
      <c r="R500" s="30"/>
      <c r="S500" s="30"/>
      <c r="T500" s="34" t="str">
        <f aca="false">IF(AND(A500&lt;&gt;"",K500="Fix upstream"),COUNTIF($K$5:K500,"Fix upstream"),"")</f>
        <v/>
      </c>
      <c r="U500" s="34" t="str">
        <f aca="false">IF(AND(A500&lt;&gt;"",OR(K500="Move to business rules",K500="Merge into certified table")),COUNTIF($K$5:K500,"Move to business rules")+COUNTIF($K$5:K500,"Merge into certified table"),"")</f>
        <v/>
      </c>
      <c r="V500" s="34" t="str">
        <f aca="false">IF(AND(A500&lt;&gt;"",OR(K500="",K500="Undecided",J500="")),SUMPRODUCT(($A$5:A500&lt;&gt;"")*((($K$5:K500="")+($K$5:K500="Undecided")+($J$5:J500=""))&gt;0)),"")</f>
        <v/>
      </c>
    </row>
    <row r="501" customFormat="false" ht="15" hidden="false" customHeight="false" outlineLevel="0" collapsed="false">
      <c r="A501" s="29"/>
      <c r="B501" s="30"/>
      <c r="C501" s="30"/>
      <c r="D501" s="29"/>
      <c r="E501" s="20" t="str">
        <f aca="false">IF(D501="","",IFERROR(INDEX(Tables!$B:$B,MATCH(D501,Tables!$A:$A,0)),"ID not found"))</f>
        <v/>
      </c>
      <c r="F501" s="20" t="str">
        <f aca="false">IF(D501="","",IFERROR(INDEX(Tables!$C:$C,MATCH(D501,Tables!$A:$A,0)),""))</f>
        <v/>
      </c>
      <c r="G501" s="30"/>
      <c r="H501" s="30"/>
      <c r="I501" s="30"/>
      <c r="J501" s="30"/>
      <c r="K501" s="30"/>
      <c r="L501" s="30"/>
      <c r="M501" s="30"/>
      <c r="N501" s="20" t="str">
        <f aca="false">IF(A501="","",COUNTIF('Metric to Field'!$B:$B,A501))</f>
        <v/>
      </c>
      <c r="O501" s="20" t="str">
        <f aca="false">IF(A501="","",SUMIF('Metric to Field'!$B:$B,A501,'Metric to Field'!$F:$F))</f>
        <v/>
      </c>
      <c r="P501" s="30"/>
      <c r="Q501" s="30"/>
      <c r="R501" s="30"/>
      <c r="S501" s="30"/>
      <c r="T501" s="34" t="str">
        <f aca="false">IF(AND(A501&lt;&gt;"",K501="Fix upstream"),COUNTIF($K$5:K501,"Fix upstream"),"")</f>
        <v/>
      </c>
      <c r="U501" s="34" t="str">
        <f aca="false">IF(AND(A501&lt;&gt;"",OR(K501="Move to business rules",K501="Merge into certified table")),COUNTIF($K$5:K501,"Move to business rules")+COUNTIF($K$5:K501,"Merge into certified table"),"")</f>
        <v/>
      </c>
      <c r="V501" s="34" t="str">
        <f aca="false">IF(AND(A501&lt;&gt;"",OR(K501="",K501="Undecided",J501="")),SUMPRODUCT(($A$5:A501&lt;&gt;"")*((($K$5:K501="")+($K$5:K501="Undecided")+($J$5:J501=""))&gt;0)),"")</f>
        <v/>
      </c>
    </row>
    <row r="502" customFormat="false" ht="15" hidden="false" customHeight="false" outlineLevel="0" collapsed="false">
      <c r="A502" s="29"/>
      <c r="B502" s="30"/>
      <c r="C502" s="30"/>
      <c r="D502" s="29"/>
      <c r="E502" s="20" t="str">
        <f aca="false">IF(D502="","",IFERROR(INDEX(Tables!$B:$B,MATCH(D502,Tables!$A:$A,0)),"ID not found"))</f>
        <v/>
      </c>
      <c r="F502" s="20" t="str">
        <f aca="false">IF(D502="","",IFERROR(INDEX(Tables!$C:$C,MATCH(D502,Tables!$A:$A,0)),""))</f>
        <v/>
      </c>
      <c r="G502" s="30"/>
      <c r="H502" s="30"/>
      <c r="I502" s="30"/>
      <c r="J502" s="30"/>
      <c r="K502" s="30"/>
      <c r="L502" s="30"/>
      <c r="M502" s="30"/>
      <c r="N502" s="20" t="str">
        <f aca="false">IF(A502="","",COUNTIF('Metric to Field'!$B:$B,A502))</f>
        <v/>
      </c>
      <c r="O502" s="20" t="str">
        <f aca="false">IF(A502="","",SUMIF('Metric to Field'!$B:$B,A502,'Metric to Field'!$F:$F))</f>
        <v/>
      </c>
      <c r="P502" s="30"/>
      <c r="Q502" s="30"/>
      <c r="R502" s="30"/>
      <c r="S502" s="30"/>
      <c r="T502" s="34" t="str">
        <f aca="false">IF(AND(A502&lt;&gt;"",K502="Fix upstream"),COUNTIF($K$5:K502,"Fix upstream"),"")</f>
        <v/>
      </c>
      <c r="U502" s="34" t="str">
        <f aca="false">IF(AND(A502&lt;&gt;"",OR(K502="Move to business rules",K502="Merge into certified table")),COUNTIF($K$5:K502,"Move to business rules")+COUNTIF($K$5:K502,"Merge into certified table"),"")</f>
        <v/>
      </c>
      <c r="V502" s="34" t="str">
        <f aca="false">IF(AND(A502&lt;&gt;"",OR(K502="",K502="Undecided",J502="")),SUMPRODUCT(($A$5:A502&lt;&gt;"")*((($K$5:K502="")+($K$5:K502="Undecided")+($J$5:J502=""))&gt;0)),"")</f>
        <v/>
      </c>
    </row>
    <row r="503" customFormat="false" ht="15" hidden="false" customHeight="false" outlineLevel="0" collapsed="false">
      <c r="A503" s="29"/>
      <c r="B503" s="30"/>
      <c r="C503" s="30"/>
      <c r="D503" s="29"/>
      <c r="E503" s="20" t="str">
        <f aca="false">IF(D503="","",IFERROR(INDEX(Tables!$B:$B,MATCH(D503,Tables!$A:$A,0)),"ID not found"))</f>
        <v/>
      </c>
      <c r="F503" s="20" t="str">
        <f aca="false">IF(D503="","",IFERROR(INDEX(Tables!$C:$C,MATCH(D503,Tables!$A:$A,0)),""))</f>
        <v/>
      </c>
      <c r="G503" s="30"/>
      <c r="H503" s="30"/>
      <c r="I503" s="30"/>
      <c r="J503" s="30"/>
      <c r="K503" s="30"/>
      <c r="L503" s="30"/>
      <c r="M503" s="30"/>
      <c r="N503" s="20" t="str">
        <f aca="false">IF(A503="","",COUNTIF('Metric to Field'!$B:$B,A503))</f>
        <v/>
      </c>
      <c r="O503" s="20" t="str">
        <f aca="false">IF(A503="","",SUMIF('Metric to Field'!$B:$B,A503,'Metric to Field'!$F:$F))</f>
        <v/>
      </c>
      <c r="P503" s="30"/>
      <c r="Q503" s="30"/>
      <c r="R503" s="30"/>
      <c r="S503" s="30"/>
      <c r="T503" s="34" t="str">
        <f aca="false">IF(AND(A503&lt;&gt;"",K503="Fix upstream"),COUNTIF($K$5:K503,"Fix upstream"),"")</f>
        <v/>
      </c>
      <c r="U503" s="34" t="str">
        <f aca="false">IF(AND(A503&lt;&gt;"",OR(K503="Move to business rules",K503="Merge into certified table")),COUNTIF($K$5:K503,"Move to business rules")+COUNTIF($K$5:K503,"Merge into certified table"),"")</f>
        <v/>
      </c>
      <c r="V503" s="34" t="str">
        <f aca="false">IF(AND(A503&lt;&gt;"",OR(K503="",K503="Undecided",J503="")),SUMPRODUCT(($A$5:A503&lt;&gt;"")*((($K$5:K503="")+($K$5:K503="Undecided")+($J$5:J503=""))&gt;0)),"")</f>
        <v/>
      </c>
    </row>
    <row r="504" customFormat="false" ht="15" hidden="false" customHeight="false" outlineLevel="0" collapsed="false">
      <c r="A504" s="29"/>
      <c r="B504" s="30"/>
      <c r="C504" s="30"/>
      <c r="D504" s="29"/>
      <c r="E504" s="20" t="str">
        <f aca="false">IF(D504="","",IFERROR(INDEX(Tables!$B:$B,MATCH(D504,Tables!$A:$A,0)),"ID not found"))</f>
        <v/>
      </c>
      <c r="F504" s="20" t="str">
        <f aca="false">IF(D504="","",IFERROR(INDEX(Tables!$C:$C,MATCH(D504,Tables!$A:$A,0)),""))</f>
        <v/>
      </c>
      <c r="G504" s="30"/>
      <c r="H504" s="30"/>
      <c r="I504" s="30"/>
      <c r="J504" s="30"/>
      <c r="K504" s="30"/>
      <c r="L504" s="30"/>
      <c r="M504" s="30"/>
      <c r="N504" s="20" t="str">
        <f aca="false">IF(A504="","",COUNTIF('Metric to Field'!$B:$B,A504))</f>
        <v/>
      </c>
      <c r="O504" s="20" t="str">
        <f aca="false">IF(A504="","",SUMIF('Metric to Field'!$B:$B,A504,'Metric to Field'!$F:$F))</f>
        <v/>
      </c>
      <c r="P504" s="30"/>
      <c r="Q504" s="30"/>
      <c r="R504" s="30"/>
      <c r="S504" s="30"/>
      <c r="T504" s="34" t="str">
        <f aca="false">IF(AND(A504&lt;&gt;"",K504="Fix upstream"),COUNTIF($K$5:K504,"Fix upstream"),"")</f>
        <v/>
      </c>
      <c r="U504" s="34" t="str">
        <f aca="false">IF(AND(A504&lt;&gt;"",OR(K504="Move to business rules",K504="Merge into certified table")),COUNTIF($K$5:K504,"Move to business rules")+COUNTIF($K$5:K504,"Merge into certified table"),"")</f>
        <v/>
      </c>
      <c r="V504" s="34" t="str">
        <f aca="false">IF(AND(A504&lt;&gt;"",OR(K504="",K504="Undecided",J504="")),SUMPRODUCT(($A$5:A504&lt;&gt;"")*((($K$5:K504="")+($K$5:K504="Undecided")+($J$5:J504=""))&gt;0)),"")</f>
        <v/>
      </c>
    </row>
    <row r="505" customFormat="false" ht="15" hidden="false" customHeight="false" outlineLevel="0" collapsed="false">
      <c r="A505" s="29"/>
      <c r="B505" s="30"/>
      <c r="C505" s="30"/>
      <c r="D505" s="29"/>
      <c r="E505" s="20" t="str">
        <f aca="false">IF(D505="","",IFERROR(INDEX(Tables!$B:$B,MATCH(D505,Tables!$A:$A,0)),"ID not found"))</f>
        <v/>
      </c>
      <c r="F505" s="20" t="str">
        <f aca="false">IF(D505="","",IFERROR(INDEX(Tables!$C:$C,MATCH(D505,Tables!$A:$A,0)),""))</f>
        <v/>
      </c>
      <c r="G505" s="30"/>
      <c r="H505" s="30"/>
      <c r="I505" s="30"/>
      <c r="J505" s="30"/>
      <c r="K505" s="30"/>
      <c r="L505" s="30"/>
      <c r="M505" s="30"/>
      <c r="N505" s="20" t="str">
        <f aca="false">IF(A505="","",COUNTIF('Metric to Field'!$B:$B,A505))</f>
        <v/>
      </c>
      <c r="O505" s="20" t="str">
        <f aca="false">IF(A505="","",SUMIF('Metric to Field'!$B:$B,A505,'Metric to Field'!$F:$F))</f>
        <v/>
      </c>
      <c r="P505" s="30"/>
      <c r="Q505" s="30"/>
      <c r="R505" s="30"/>
      <c r="S505" s="30"/>
      <c r="T505" s="34" t="str">
        <f aca="false">IF(AND(A505&lt;&gt;"",K505="Fix upstream"),COUNTIF($K$5:K505,"Fix upstream"),"")</f>
        <v/>
      </c>
      <c r="U505" s="34" t="str">
        <f aca="false">IF(AND(A505&lt;&gt;"",OR(K505="Move to business rules",K505="Merge into certified table")),COUNTIF($K$5:K505,"Move to business rules")+COUNTIF($K$5:K505,"Merge into certified table"),"")</f>
        <v/>
      </c>
      <c r="V505" s="34" t="str">
        <f aca="false">IF(AND(A505&lt;&gt;"",OR(K505="",K505="Undecided",J505="")),SUMPRODUCT(($A$5:A505&lt;&gt;"")*((($K$5:K505="")+($K$5:K505="Undecided")+($J$5:J505=""))&gt;0)),"")</f>
        <v/>
      </c>
    </row>
    <row r="506" customFormat="false" ht="15" hidden="false" customHeight="false" outlineLevel="0" collapsed="false">
      <c r="A506" s="29"/>
      <c r="B506" s="30"/>
      <c r="C506" s="30"/>
      <c r="D506" s="29"/>
      <c r="E506" s="20" t="str">
        <f aca="false">IF(D506="","",IFERROR(INDEX(Tables!$B:$B,MATCH(D506,Tables!$A:$A,0)),"ID not found"))</f>
        <v/>
      </c>
      <c r="F506" s="20" t="str">
        <f aca="false">IF(D506="","",IFERROR(INDEX(Tables!$C:$C,MATCH(D506,Tables!$A:$A,0)),""))</f>
        <v/>
      </c>
      <c r="G506" s="30"/>
      <c r="H506" s="30"/>
      <c r="I506" s="30"/>
      <c r="J506" s="30"/>
      <c r="K506" s="30"/>
      <c r="L506" s="30"/>
      <c r="M506" s="30"/>
      <c r="N506" s="20" t="str">
        <f aca="false">IF(A506="","",COUNTIF('Metric to Field'!$B:$B,A506))</f>
        <v/>
      </c>
      <c r="O506" s="20" t="str">
        <f aca="false">IF(A506="","",SUMIF('Metric to Field'!$B:$B,A506,'Metric to Field'!$F:$F))</f>
        <v/>
      </c>
      <c r="P506" s="30"/>
      <c r="Q506" s="30"/>
      <c r="R506" s="30"/>
      <c r="S506" s="30"/>
      <c r="T506" s="34" t="str">
        <f aca="false">IF(AND(A506&lt;&gt;"",K506="Fix upstream"),COUNTIF($K$5:K506,"Fix upstream"),"")</f>
        <v/>
      </c>
      <c r="U506" s="34" t="str">
        <f aca="false">IF(AND(A506&lt;&gt;"",OR(K506="Move to business rules",K506="Merge into certified table")),COUNTIF($K$5:K506,"Move to business rules")+COUNTIF($K$5:K506,"Merge into certified table"),"")</f>
        <v/>
      </c>
      <c r="V506" s="34" t="str">
        <f aca="false">IF(AND(A506&lt;&gt;"",OR(K506="",K506="Undecided",J506="")),SUMPRODUCT(($A$5:A506&lt;&gt;"")*((($K$5:K506="")+($K$5:K506="Undecided")+($J$5:J506=""))&gt;0)),"")</f>
        <v/>
      </c>
    </row>
    <row r="507" customFormat="false" ht="15" hidden="false" customHeight="false" outlineLevel="0" collapsed="false">
      <c r="A507" s="29"/>
      <c r="B507" s="30"/>
      <c r="C507" s="30"/>
      <c r="D507" s="29"/>
      <c r="E507" s="20" t="str">
        <f aca="false">IF(D507="","",IFERROR(INDEX(Tables!$B:$B,MATCH(D507,Tables!$A:$A,0)),"ID not found"))</f>
        <v/>
      </c>
      <c r="F507" s="20" t="str">
        <f aca="false">IF(D507="","",IFERROR(INDEX(Tables!$C:$C,MATCH(D507,Tables!$A:$A,0)),""))</f>
        <v/>
      </c>
      <c r="G507" s="30"/>
      <c r="H507" s="30"/>
      <c r="I507" s="30"/>
      <c r="J507" s="30"/>
      <c r="K507" s="30"/>
      <c r="L507" s="30"/>
      <c r="M507" s="30"/>
      <c r="N507" s="20" t="str">
        <f aca="false">IF(A507="","",COUNTIF('Metric to Field'!$B:$B,A507))</f>
        <v/>
      </c>
      <c r="O507" s="20" t="str">
        <f aca="false">IF(A507="","",SUMIF('Metric to Field'!$B:$B,A507,'Metric to Field'!$F:$F))</f>
        <v/>
      </c>
      <c r="P507" s="30"/>
      <c r="Q507" s="30"/>
      <c r="R507" s="30"/>
      <c r="S507" s="30"/>
      <c r="T507" s="34" t="str">
        <f aca="false">IF(AND(A507&lt;&gt;"",K507="Fix upstream"),COUNTIF($K$5:K507,"Fix upstream"),"")</f>
        <v/>
      </c>
      <c r="U507" s="34" t="str">
        <f aca="false">IF(AND(A507&lt;&gt;"",OR(K507="Move to business rules",K507="Merge into certified table")),COUNTIF($K$5:K507,"Move to business rules")+COUNTIF($K$5:K507,"Merge into certified table"),"")</f>
        <v/>
      </c>
      <c r="V507" s="34" t="str">
        <f aca="false">IF(AND(A507&lt;&gt;"",OR(K507="",K507="Undecided",J507="")),SUMPRODUCT(($A$5:A507&lt;&gt;"")*((($K$5:K507="")+($K$5:K507="Undecided")+($J$5:J507=""))&gt;0)),"")</f>
        <v/>
      </c>
    </row>
    <row r="508" customFormat="false" ht="15" hidden="false" customHeight="false" outlineLevel="0" collapsed="false">
      <c r="A508" s="29"/>
      <c r="B508" s="30"/>
      <c r="C508" s="30"/>
      <c r="D508" s="29"/>
      <c r="E508" s="20" t="str">
        <f aca="false">IF(D508="","",IFERROR(INDEX(Tables!$B:$B,MATCH(D508,Tables!$A:$A,0)),"ID not found"))</f>
        <v/>
      </c>
      <c r="F508" s="20" t="str">
        <f aca="false">IF(D508="","",IFERROR(INDEX(Tables!$C:$C,MATCH(D508,Tables!$A:$A,0)),""))</f>
        <v/>
      </c>
      <c r="G508" s="30"/>
      <c r="H508" s="30"/>
      <c r="I508" s="30"/>
      <c r="J508" s="30"/>
      <c r="K508" s="30"/>
      <c r="L508" s="30"/>
      <c r="M508" s="30"/>
      <c r="N508" s="20" t="str">
        <f aca="false">IF(A508="","",COUNTIF('Metric to Field'!$B:$B,A508))</f>
        <v/>
      </c>
      <c r="O508" s="20" t="str">
        <f aca="false">IF(A508="","",SUMIF('Metric to Field'!$B:$B,A508,'Metric to Field'!$F:$F))</f>
        <v/>
      </c>
      <c r="P508" s="30"/>
      <c r="Q508" s="30"/>
      <c r="R508" s="30"/>
      <c r="S508" s="30"/>
      <c r="T508" s="34" t="str">
        <f aca="false">IF(AND(A508&lt;&gt;"",K508="Fix upstream"),COUNTIF($K$5:K508,"Fix upstream"),"")</f>
        <v/>
      </c>
      <c r="U508" s="34" t="str">
        <f aca="false">IF(AND(A508&lt;&gt;"",OR(K508="Move to business rules",K508="Merge into certified table")),COUNTIF($K$5:K508,"Move to business rules")+COUNTIF($K$5:K508,"Merge into certified table"),"")</f>
        <v/>
      </c>
      <c r="V508" s="34" t="str">
        <f aca="false">IF(AND(A508&lt;&gt;"",OR(K508="",K508="Undecided",J508="")),SUMPRODUCT(($A$5:A508&lt;&gt;"")*((($K$5:K508="")+($K$5:K508="Undecided")+($J$5:J508=""))&gt;0)),"")</f>
        <v/>
      </c>
    </row>
    <row r="509" customFormat="false" ht="15" hidden="false" customHeight="false" outlineLevel="0" collapsed="false">
      <c r="A509" s="29"/>
      <c r="B509" s="30"/>
      <c r="C509" s="30"/>
      <c r="D509" s="29"/>
      <c r="E509" s="20" t="str">
        <f aca="false">IF(D509="","",IFERROR(INDEX(Tables!$B:$B,MATCH(D509,Tables!$A:$A,0)),"ID not found"))</f>
        <v/>
      </c>
      <c r="F509" s="20" t="str">
        <f aca="false">IF(D509="","",IFERROR(INDEX(Tables!$C:$C,MATCH(D509,Tables!$A:$A,0)),""))</f>
        <v/>
      </c>
      <c r="G509" s="30"/>
      <c r="H509" s="30"/>
      <c r="I509" s="30"/>
      <c r="J509" s="30"/>
      <c r="K509" s="30"/>
      <c r="L509" s="30"/>
      <c r="M509" s="30"/>
      <c r="N509" s="20" t="str">
        <f aca="false">IF(A509="","",COUNTIF('Metric to Field'!$B:$B,A509))</f>
        <v/>
      </c>
      <c r="O509" s="20" t="str">
        <f aca="false">IF(A509="","",SUMIF('Metric to Field'!$B:$B,A509,'Metric to Field'!$F:$F))</f>
        <v/>
      </c>
      <c r="P509" s="30"/>
      <c r="Q509" s="30"/>
      <c r="R509" s="30"/>
      <c r="S509" s="30"/>
      <c r="T509" s="34" t="str">
        <f aca="false">IF(AND(A509&lt;&gt;"",K509="Fix upstream"),COUNTIF($K$5:K509,"Fix upstream"),"")</f>
        <v/>
      </c>
      <c r="U509" s="34" t="str">
        <f aca="false">IF(AND(A509&lt;&gt;"",OR(K509="Move to business rules",K509="Merge into certified table")),COUNTIF($K$5:K509,"Move to business rules")+COUNTIF($K$5:K509,"Merge into certified table"),"")</f>
        <v/>
      </c>
      <c r="V509" s="34" t="str">
        <f aca="false">IF(AND(A509&lt;&gt;"",OR(K509="",K509="Undecided",J509="")),SUMPRODUCT(($A$5:A509&lt;&gt;"")*((($K$5:K509="")+($K$5:K509="Undecided")+($J$5:J509=""))&gt;0)),"")</f>
        <v/>
      </c>
    </row>
    <row r="510" customFormat="false" ht="15" hidden="false" customHeight="false" outlineLevel="0" collapsed="false">
      <c r="A510" s="29"/>
      <c r="B510" s="30"/>
      <c r="C510" s="30"/>
      <c r="D510" s="29"/>
      <c r="E510" s="20" t="str">
        <f aca="false">IF(D510="","",IFERROR(INDEX(Tables!$B:$B,MATCH(D510,Tables!$A:$A,0)),"ID not found"))</f>
        <v/>
      </c>
      <c r="F510" s="20" t="str">
        <f aca="false">IF(D510="","",IFERROR(INDEX(Tables!$C:$C,MATCH(D510,Tables!$A:$A,0)),""))</f>
        <v/>
      </c>
      <c r="G510" s="30"/>
      <c r="H510" s="30"/>
      <c r="I510" s="30"/>
      <c r="J510" s="30"/>
      <c r="K510" s="30"/>
      <c r="L510" s="30"/>
      <c r="M510" s="30"/>
      <c r="N510" s="20" t="str">
        <f aca="false">IF(A510="","",COUNTIF('Metric to Field'!$B:$B,A510))</f>
        <v/>
      </c>
      <c r="O510" s="20" t="str">
        <f aca="false">IF(A510="","",SUMIF('Metric to Field'!$B:$B,A510,'Metric to Field'!$F:$F))</f>
        <v/>
      </c>
      <c r="P510" s="30"/>
      <c r="Q510" s="30"/>
      <c r="R510" s="30"/>
      <c r="S510" s="30"/>
      <c r="T510" s="34" t="str">
        <f aca="false">IF(AND(A510&lt;&gt;"",K510="Fix upstream"),COUNTIF($K$5:K510,"Fix upstream"),"")</f>
        <v/>
      </c>
      <c r="U510" s="34" t="str">
        <f aca="false">IF(AND(A510&lt;&gt;"",OR(K510="Move to business rules",K510="Merge into certified table")),COUNTIF($K$5:K510,"Move to business rules")+COUNTIF($K$5:K510,"Merge into certified table"),"")</f>
        <v/>
      </c>
      <c r="V510" s="34" t="str">
        <f aca="false">IF(AND(A510&lt;&gt;"",OR(K510="",K510="Undecided",J510="")),SUMPRODUCT(($A$5:A510&lt;&gt;"")*((($K$5:K510="")+($K$5:K510="Undecided")+($J$5:J510=""))&gt;0)),"")</f>
        <v/>
      </c>
    </row>
    <row r="511" customFormat="false" ht="15" hidden="false" customHeight="false" outlineLevel="0" collapsed="false">
      <c r="A511" s="29"/>
      <c r="B511" s="30"/>
      <c r="C511" s="30"/>
      <c r="D511" s="29"/>
      <c r="E511" s="20" t="str">
        <f aca="false">IF(D511="","",IFERROR(INDEX(Tables!$B:$B,MATCH(D511,Tables!$A:$A,0)),"ID not found"))</f>
        <v/>
      </c>
      <c r="F511" s="20" t="str">
        <f aca="false">IF(D511="","",IFERROR(INDEX(Tables!$C:$C,MATCH(D511,Tables!$A:$A,0)),""))</f>
        <v/>
      </c>
      <c r="G511" s="30"/>
      <c r="H511" s="30"/>
      <c r="I511" s="30"/>
      <c r="J511" s="30"/>
      <c r="K511" s="30"/>
      <c r="L511" s="30"/>
      <c r="M511" s="30"/>
      <c r="N511" s="20" t="str">
        <f aca="false">IF(A511="","",COUNTIF('Metric to Field'!$B:$B,A511))</f>
        <v/>
      </c>
      <c r="O511" s="20" t="str">
        <f aca="false">IF(A511="","",SUMIF('Metric to Field'!$B:$B,A511,'Metric to Field'!$F:$F))</f>
        <v/>
      </c>
      <c r="P511" s="30"/>
      <c r="Q511" s="30"/>
      <c r="R511" s="30"/>
      <c r="S511" s="30"/>
      <c r="T511" s="34" t="str">
        <f aca="false">IF(AND(A511&lt;&gt;"",K511="Fix upstream"),COUNTIF($K$5:K511,"Fix upstream"),"")</f>
        <v/>
      </c>
      <c r="U511" s="34" t="str">
        <f aca="false">IF(AND(A511&lt;&gt;"",OR(K511="Move to business rules",K511="Merge into certified table")),COUNTIF($K$5:K511,"Move to business rules")+COUNTIF($K$5:K511,"Merge into certified table"),"")</f>
        <v/>
      </c>
      <c r="V511" s="34" t="str">
        <f aca="false">IF(AND(A511&lt;&gt;"",OR(K511="",K511="Undecided",J511="")),SUMPRODUCT(($A$5:A511&lt;&gt;"")*((($K$5:K511="")+($K$5:K511="Undecided")+($J$5:J511=""))&gt;0)),"")</f>
        <v/>
      </c>
    </row>
    <row r="512" customFormat="false" ht="15" hidden="false" customHeight="false" outlineLevel="0" collapsed="false">
      <c r="A512" s="29"/>
      <c r="B512" s="30"/>
      <c r="C512" s="30"/>
      <c r="D512" s="29"/>
      <c r="E512" s="20" t="str">
        <f aca="false">IF(D512="","",IFERROR(INDEX(Tables!$B:$B,MATCH(D512,Tables!$A:$A,0)),"ID not found"))</f>
        <v/>
      </c>
      <c r="F512" s="20" t="str">
        <f aca="false">IF(D512="","",IFERROR(INDEX(Tables!$C:$C,MATCH(D512,Tables!$A:$A,0)),""))</f>
        <v/>
      </c>
      <c r="G512" s="30"/>
      <c r="H512" s="30"/>
      <c r="I512" s="30"/>
      <c r="J512" s="30"/>
      <c r="K512" s="30"/>
      <c r="L512" s="30"/>
      <c r="M512" s="30"/>
      <c r="N512" s="20" t="str">
        <f aca="false">IF(A512="","",COUNTIF('Metric to Field'!$B:$B,A512))</f>
        <v/>
      </c>
      <c r="O512" s="20" t="str">
        <f aca="false">IF(A512="","",SUMIF('Metric to Field'!$B:$B,A512,'Metric to Field'!$F:$F))</f>
        <v/>
      </c>
      <c r="P512" s="30"/>
      <c r="Q512" s="30"/>
      <c r="R512" s="30"/>
      <c r="S512" s="30"/>
      <c r="T512" s="34" t="str">
        <f aca="false">IF(AND(A512&lt;&gt;"",K512="Fix upstream"),COUNTIF($K$5:K512,"Fix upstream"),"")</f>
        <v/>
      </c>
      <c r="U512" s="34" t="str">
        <f aca="false">IF(AND(A512&lt;&gt;"",OR(K512="Move to business rules",K512="Merge into certified table")),COUNTIF($K$5:K512,"Move to business rules")+COUNTIF($K$5:K512,"Merge into certified table"),"")</f>
        <v/>
      </c>
      <c r="V512" s="34" t="str">
        <f aca="false">IF(AND(A512&lt;&gt;"",OR(K512="",K512="Undecided",J512="")),SUMPRODUCT(($A$5:A512&lt;&gt;"")*((($K$5:K512="")+($K$5:K512="Undecided")+($J$5:J512=""))&gt;0)),"")</f>
        <v/>
      </c>
    </row>
    <row r="513" customFormat="false" ht="15" hidden="false" customHeight="false" outlineLevel="0" collapsed="false">
      <c r="A513" s="29"/>
      <c r="B513" s="30"/>
      <c r="C513" s="30"/>
      <c r="D513" s="29"/>
      <c r="E513" s="20" t="str">
        <f aca="false">IF(D513="","",IFERROR(INDEX(Tables!$B:$B,MATCH(D513,Tables!$A:$A,0)),"ID not found"))</f>
        <v/>
      </c>
      <c r="F513" s="20" t="str">
        <f aca="false">IF(D513="","",IFERROR(INDEX(Tables!$C:$C,MATCH(D513,Tables!$A:$A,0)),""))</f>
        <v/>
      </c>
      <c r="G513" s="30"/>
      <c r="H513" s="30"/>
      <c r="I513" s="30"/>
      <c r="J513" s="30"/>
      <c r="K513" s="30"/>
      <c r="L513" s="30"/>
      <c r="M513" s="30"/>
      <c r="N513" s="20" t="str">
        <f aca="false">IF(A513="","",COUNTIF('Metric to Field'!$B:$B,A513))</f>
        <v/>
      </c>
      <c r="O513" s="20" t="str">
        <f aca="false">IF(A513="","",SUMIF('Metric to Field'!$B:$B,A513,'Metric to Field'!$F:$F))</f>
        <v/>
      </c>
      <c r="P513" s="30"/>
      <c r="Q513" s="30"/>
      <c r="R513" s="30"/>
      <c r="S513" s="30"/>
      <c r="T513" s="34" t="str">
        <f aca="false">IF(AND(A513&lt;&gt;"",K513="Fix upstream"),COUNTIF($K$5:K513,"Fix upstream"),"")</f>
        <v/>
      </c>
      <c r="U513" s="34" t="str">
        <f aca="false">IF(AND(A513&lt;&gt;"",OR(K513="Move to business rules",K513="Merge into certified table")),COUNTIF($K$5:K513,"Move to business rules")+COUNTIF($K$5:K513,"Merge into certified table"),"")</f>
        <v/>
      </c>
      <c r="V513" s="34" t="str">
        <f aca="false">IF(AND(A513&lt;&gt;"",OR(K513="",K513="Undecided",J513="")),SUMPRODUCT(($A$5:A513&lt;&gt;"")*((($K$5:K513="")+($K$5:K513="Undecided")+($J$5:J513=""))&gt;0)),"")</f>
        <v/>
      </c>
    </row>
    <row r="514" customFormat="false" ht="15" hidden="false" customHeight="false" outlineLevel="0" collapsed="false">
      <c r="A514" s="29"/>
      <c r="B514" s="30"/>
      <c r="C514" s="30"/>
      <c r="D514" s="29"/>
      <c r="E514" s="20" t="str">
        <f aca="false">IF(D514="","",IFERROR(INDEX(Tables!$B:$B,MATCH(D514,Tables!$A:$A,0)),"ID not found"))</f>
        <v/>
      </c>
      <c r="F514" s="20" t="str">
        <f aca="false">IF(D514="","",IFERROR(INDEX(Tables!$C:$C,MATCH(D514,Tables!$A:$A,0)),""))</f>
        <v/>
      </c>
      <c r="G514" s="30"/>
      <c r="H514" s="30"/>
      <c r="I514" s="30"/>
      <c r="J514" s="30"/>
      <c r="K514" s="30"/>
      <c r="L514" s="30"/>
      <c r="M514" s="30"/>
      <c r="N514" s="20" t="str">
        <f aca="false">IF(A514="","",COUNTIF('Metric to Field'!$B:$B,A514))</f>
        <v/>
      </c>
      <c r="O514" s="20" t="str">
        <f aca="false">IF(A514="","",SUMIF('Metric to Field'!$B:$B,A514,'Metric to Field'!$F:$F))</f>
        <v/>
      </c>
      <c r="P514" s="30"/>
      <c r="Q514" s="30"/>
      <c r="R514" s="30"/>
      <c r="S514" s="30"/>
      <c r="T514" s="34" t="str">
        <f aca="false">IF(AND(A514&lt;&gt;"",K514="Fix upstream"),COUNTIF($K$5:K514,"Fix upstream"),"")</f>
        <v/>
      </c>
      <c r="U514" s="34" t="str">
        <f aca="false">IF(AND(A514&lt;&gt;"",OR(K514="Move to business rules",K514="Merge into certified table")),COUNTIF($K$5:K514,"Move to business rules")+COUNTIF($K$5:K514,"Merge into certified table"),"")</f>
        <v/>
      </c>
      <c r="V514" s="34" t="str">
        <f aca="false">IF(AND(A514&lt;&gt;"",OR(K514="",K514="Undecided",J514="")),SUMPRODUCT(($A$5:A514&lt;&gt;"")*((($K$5:K514="")+($K$5:K514="Undecided")+($J$5:J514=""))&gt;0)),"")</f>
        <v/>
      </c>
    </row>
    <row r="515" customFormat="false" ht="15" hidden="false" customHeight="false" outlineLevel="0" collapsed="false">
      <c r="A515" s="29"/>
      <c r="B515" s="30"/>
      <c r="C515" s="30"/>
      <c r="D515" s="29"/>
      <c r="E515" s="20" t="str">
        <f aca="false">IF(D515="","",IFERROR(INDEX(Tables!$B:$B,MATCH(D515,Tables!$A:$A,0)),"ID not found"))</f>
        <v/>
      </c>
      <c r="F515" s="20" t="str">
        <f aca="false">IF(D515="","",IFERROR(INDEX(Tables!$C:$C,MATCH(D515,Tables!$A:$A,0)),""))</f>
        <v/>
      </c>
      <c r="G515" s="30"/>
      <c r="H515" s="30"/>
      <c r="I515" s="30"/>
      <c r="J515" s="30"/>
      <c r="K515" s="30"/>
      <c r="L515" s="30"/>
      <c r="M515" s="30"/>
      <c r="N515" s="20" t="str">
        <f aca="false">IF(A515="","",COUNTIF('Metric to Field'!$B:$B,A515))</f>
        <v/>
      </c>
      <c r="O515" s="20" t="str">
        <f aca="false">IF(A515="","",SUMIF('Metric to Field'!$B:$B,A515,'Metric to Field'!$F:$F))</f>
        <v/>
      </c>
      <c r="P515" s="30"/>
      <c r="Q515" s="30"/>
      <c r="R515" s="30"/>
      <c r="S515" s="30"/>
      <c r="T515" s="34" t="str">
        <f aca="false">IF(AND(A515&lt;&gt;"",K515="Fix upstream"),COUNTIF($K$5:K515,"Fix upstream"),"")</f>
        <v/>
      </c>
      <c r="U515" s="34" t="str">
        <f aca="false">IF(AND(A515&lt;&gt;"",OR(K515="Move to business rules",K515="Merge into certified table")),COUNTIF($K$5:K515,"Move to business rules")+COUNTIF($K$5:K515,"Merge into certified table"),"")</f>
        <v/>
      </c>
      <c r="V515" s="34" t="str">
        <f aca="false">IF(AND(A515&lt;&gt;"",OR(K515="",K515="Undecided",J515="")),SUMPRODUCT(($A$5:A515&lt;&gt;"")*((($K$5:K515="")+($K$5:K515="Undecided")+($J$5:J515=""))&gt;0)),"")</f>
        <v/>
      </c>
    </row>
    <row r="516" customFormat="false" ht="15" hidden="false" customHeight="false" outlineLevel="0" collapsed="false">
      <c r="A516" s="29"/>
      <c r="B516" s="30"/>
      <c r="C516" s="30"/>
      <c r="D516" s="29"/>
      <c r="E516" s="20" t="str">
        <f aca="false">IF(D516="","",IFERROR(INDEX(Tables!$B:$B,MATCH(D516,Tables!$A:$A,0)),"ID not found"))</f>
        <v/>
      </c>
      <c r="F516" s="20" t="str">
        <f aca="false">IF(D516="","",IFERROR(INDEX(Tables!$C:$C,MATCH(D516,Tables!$A:$A,0)),""))</f>
        <v/>
      </c>
      <c r="G516" s="30"/>
      <c r="H516" s="30"/>
      <c r="I516" s="30"/>
      <c r="J516" s="30"/>
      <c r="K516" s="30"/>
      <c r="L516" s="30"/>
      <c r="M516" s="30"/>
      <c r="N516" s="20" t="str">
        <f aca="false">IF(A516="","",COUNTIF('Metric to Field'!$B:$B,A516))</f>
        <v/>
      </c>
      <c r="O516" s="20" t="str">
        <f aca="false">IF(A516="","",SUMIF('Metric to Field'!$B:$B,A516,'Metric to Field'!$F:$F))</f>
        <v/>
      </c>
      <c r="P516" s="30"/>
      <c r="Q516" s="30"/>
      <c r="R516" s="30"/>
      <c r="S516" s="30"/>
      <c r="T516" s="34" t="str">
        <f aca="false">IF(AND(A516&lt;&gt;"",K516="Fix upstream"),COUNTIF($K$5:K516,"Fix upstream"),"")</f>
        <v/>
      </c>
      <c r="U516" s="34" t="str">
        <f aca="false">IF(AND(A516&lt;&gt;"",OR(K516="Move to business rules",K516="Merge into certified table")),COUNTIF($K$5:K516,"Move to business rules")+COUNTIF($K$5:K516,"Merge into certified table"),"")</f>
        <v/>
      </c>
      <c r="V516" s="34" t="str">
        <f aca="false">IF(AND(A516&lt;&gt;"",OR(K516="",K516="Undecided",J516="")),SUMPRODUCT(($A$5:A516&lt;&gt;"")*((($K$5:K516="")+($K$5:K516="Undecided")+($J$5:J516=""))&gt;0)),"")</f>
        <v/>
      </c>
    </row>
    <row r="517" customFormat="false" ht="15" hidden="false" customHeight="false" outlineLevel="0" collapsed="false">
      <c r="A517" s="29"/>
      <c r="B517" s="30"/>
      <c r="C517" s="30"/>
      <c r="D517" s="29"/>
      <c r="E517" s="20" t="str">
        <f aca="false">IF(D517="","",IFERROR(INDEX(Tables!$B:$B,MATCH(D517,Tables!$A:$A,0)),"ID not found"))</f>
        <v/>
      </c>
      <c r="F517" s="20" t="str">
        <f aca="false">IF(D517="","",IFERROR(INDEX(Tables!$C:$C,MATCH(D517,Tables!$A:$A,0)),""))</f>
        <v/>
      </c>
      <c r="G517" s="30"/>
      <c r="H517" s="30"/>
      <c r="I517" s="30"/>
      <c r="J517" s="30"/>
      <c r="K517" s="30"/>
      <c r="L517" s="30"/>
      <c r="M517" s="30"/>
      <c r="N517" s="20" t="str">
        <f aca="false">IF(A517="","",COUNTIF('Metric to Field'!$B:$B,A517))</f>
        <v/>
      </c>
      <c r="O517" s="20" t="str">
        <f aca="false">IF(A517="","",SUMIF('Metric to Field'!$B:$B,A517,'Metric to Field'!$F:$F))</f>
        <v/>
      </c>
      <c r="P517" s="30"/>
      <c r="Q517" s="30"/>
      <c r="R517" s="30"/>
      <c r="S517" s="30"/>
      <c r="T517" s="34" t="str">
        <f aca="false">IF(AND(A517&lt;&gt;"",K517="Fix upstream"),COUNTIF($K$5:K517,"Fix upstream"),"")</f>
        <v/>
      </c>
      <c r="U517" s="34" t="str">
        <f aca="false">IF(AND(A517&lt;&gt;"",OR(K517="Move to business rules",K517="Merge into certified table")),COUNTIF($K$5:K517,"Move to business rules")+COUNTIF($K$5:K517,"Merge into certified table"),"")</f>
        <v/>
      </c>
      <c r="V517" s="34" t="str">
        <f aca="false">IF(AND(A517&lt;&gt;"",OR(K517="",K517="Undecided",J517="")),SUMPRODUCT(($A$5:A517&lt;&gt;"")*((($K$5:K517="")+($K$5:K517="Undecided")+($J$5:J517=""))&gt;0)),"")</f>
        <v/>
      </c>
    </row>
    <row r="518" customFormat="false" ht="15" hidden="false" customHeight="false" outlineLevel="0" collapsed="false">
      <c r="A518" s="29"/>
      <c r="B518" s="30"/>
      <c r="C518" s="30"/>
      <c r="D518" s="29"/>
      <c r="E518" s="20" t="str">
        <f aca="false">IF(D518="","",IFERROR(INDEX(Tables!$B:$B,MATCH(D518,Tables!$A:$A,0)),"ID not found"))</f>
        <v/>
      </c>
      <c r="F518" s="20" t="str">
        <f aca="false">IF(D518="","",IFERROR(INDEX(Tables!$C:$C,MATCH(D518,Tables!$A:$A,0)),""))</f>
        <v/>
      </c>
      <c r="G518" s="30"/>
      <c r="H518" s="30"/>
      <c r="I518" s="30"/>
      <c r="J518" s="30"/>
      <c r="K518" s="30"/>
      <c r="L518" s="30"/>
      <c r="M518" s="30"/>
      <c r="N518" s="20" t="str">
        <f aca="false">IF(A518="","",COUNTIF('Metric to Field'!$B:$B,A518))</f>
        <v/>
      </c>
      <c r="O518" s="20" t="str">
        <f aca="false">IF(A518="","",SUMIF('Metric to Field'!$B:$B,A518,'Metric to Field'!$F:$F))</f>
        <v/>
      </c>
      <c r="P518" s="30"/>
      <c r="Q518" s="30"/>
      <c r="R518" s="30"/>
      <c r="S518" s="30"/>
      <c r="T518" s="34" t="str">
        <f aca="false">IF(AND(A518&lt;&gt;"",K518="Fix upstream"),COUNTIF($K$5:K518,"Fix upstream"),"")</f>
        <v/>
      </c>
      <c r="U518" s="34" t="str">
        <f aca="false">IF(AND(A518&lt;&gt;"",OR(K518="Move to business rules",K518="Merge into certified table")),COUNTIF($K$5:K518,"Move to business rules")+COUNTIF($K$5:K518,"Merge into certified table"),"")</f>
        <v/>
      </c>
      <c r="V518" s="34" t="str">
        <f aca="false">IF(AND(A518&lt;&gt;"",OR(K518="",K518="Undecided",J518="")),SUMPRODUCT(($A$5:A518&lt;&gt;"")*((($K$5:K518="")+($K$5:K518="Undecided")+($J$5:J518=""))&gt;0)),"")</f>
        <v/>
      </c>
    </row>
    <row r="519" customFormat="false" ht="15" hidden="false" customHeight="false" outlineLevel="0" collapsed="false">
      <c r="A519" s="29"/>
      <c r="B519" s="30"/>
      <c r="C519" s="30"/>
      <c r="D519" s="29"/>
      <c r="E519" s="20" t="str">
        <f aca="false">IF(D519="","",IFERROR(INDEX(Tables!$B:$B,MATCH(D519,Tables!$A:$A,0)),"ID not found"))</f>
        <v/>
      </c>
      <c r="F519" s="20" t="str">
        <f aca="false">IF(D519="","",IFERROR(INDEX(Tables!$C:$C,MATCH(D519,Tables!$A:$A,0)),""))</f>
        <v/>
      </c>
      <c r="G519" s="30"/>
      <c r="H519" s="30"/>
      <c r="I519" s="30"/>
      <c r="J519" s="30"/>
      <c r="K519" s="30"/>
      <c r="L519" s="30"/>
      <c r="M519" s="30"/>
      <c r="N519" s="20" t="str">
        <f aca="false">IF(A519="","",COUNTIF('Metric to Field'!$B:$B,A519))</f>
        <v/>
      </c>
      <c r="O519" s="20" t="str">
        <f aca="false">IF(A519="","",SUMIF('Metric to Field'!$B:$B,A519,'Metric to Field'!$F:$F))</f>
        <v/>
      </c>
      <c r="P519" s="30"/>
      <c r="Q519" s="30"/>
      <c r="R519" s="30"/>
      <c r="S519" s="30"/>
      <c r="T519" s="34" t="str">
        <f aca="false">IF(AND(A519&lt;&gt;"",K519="Fix upstream"),COUNTIF($K$5:K519,"Fix upstream"),"")</f>
        <v/>
      </c>
      <c r="U519" s="34" t="str">
        <f aca="false">IF(AND(A519&lt;&gt;"",OR(K519="Move to business rules",K519="Merge into certified table")),COUNTIF($K$5:K519,"Move to business rules")+COUNTIF($K$5:K519,"Merge into certified table"),"")</f>
        <v/>
      </c>
      <c r="V519" s="34" t="str">
        <f aca="false">IF(AND(A519&lt;&gt;"",OR(K519="",K519="Undecided",J519="")),SUMPRODUCT(($A$5:A519&lt;&gt;"")*((($K$5:K519="")+($K$5:K519="Undecided")+($J$5:J519=""))&gt;0)),"")</f>
        <v/>
      </c>
    </row>
    <row r="520" customFormat="false" ht="15" hidden="false" customHeight="false" outlineLevel="0" collapsed="false">
      <c r="A520" s="29"/>
      <c r="B520" s="30"/>
      <c r="C520" s="30"/>
      <c r="D520" s="29"/>
      <c r="E520" s="20" t="str">
        <f aca="false">IF(D520="","",IFERROR(INDEX(Tables!$B:$B,MATCH(D520,Tables!$A:$A,0)),"ID not found"))</f>
        <v/>
      </c>
      <c r="F520" s="20" t="str">
        <f aca="false">IF(D520="","",IFERROR(INDEX(Tables!$C:$C,MATCH(D520,Tables!$A:$A,0)),""))</f>
        <v/>
      </c>
      <c r="G520" s="30"/>
      <c r="H520" s="30"/>
      <c r="I520" s="30"/>
      <c r="J520" s="30"/>
      <c r="K520" s="30"/>
      <c r="L520" s="30"/>
      <c r="M520" s="30"/>
      <c r="N520" s="20" t="str">
        <f aca="false">IF(A520="","",COUNTIF('Metric to Field'!$B:$B,A520))</f>
        <v/>
      </c>
      <c r="O520" s="20" t="str">
        <f aca="false">IF(A520="","",SUMIF('Metric to Field'!$B:$B,A520,'Metric to Field'!$F:$F))</f>
        <v/>
      </c>
      <c r="P520" s="30"/>
      <c r="Q520" s="30"/>
      <c r="R520" s="30"/>
      <c r="S520" s="30"/>
      <c r="T520" s="34" t="str">
        <f aca="false">IF(AND(A520&lt;&gt;"",K520="Fix upstream"),COUNTIF($K$5:K520,"Fix upstream"),"")</f>
        <v/>
      </c>
      <c r="U520" s="34" t="str">
        <f aca="false">IF(AND(A520&lt;&gt;"",OR(K520="Move to business rules",K520="Merge into certified table")),COUNTIF($K$5:K520,"Move to business rules")+COUNTIF($K$5:K520,"Merge into certified table"),"")</f>
        <v/>
      </c>
      <c r="V520" s="34" t="str">
        <f aca="false">IF(AND(A520&lt;&gt;"",OR(K520="",K520="Undecided",J520="")),SUMPRODUCT(($A$5:A520&lt;&gt;"")*((($K$5:K520="")+($K$5:K520="Undecided")+($J$5:J520=""))&gt;0)),"")</f>
        <v/>
      </c>
    </row>
    <row r="521" customFormat="false" ht="15" hidden="false" customHeight="false" outlineLevel="0" collapsed="false">
      <c r="A521" s="29"/>
      <c r="B521" s="30"/>
      <c r="C521" s="30"/>
      <c r="D521" s="29"/>
      <c r="E521" s="20" t="str">
        <f aca="false">IF(D521="","",IFERROR(INDEX(Tables!$B:$B,MATCH(D521,Tables!$A:$A,0)),"ID not found"))</f>
        <v/>
      </c>
      <c r="F521" s="20" t="str">
        <f aca="false">IF(D521="","",IFERROR(INDEX(Tables!$C:$C,MATCH(D521,Tables!$A:$A,0)),""))</f>
        <v/>
      </c>
      <c r="G521" s="30"/>
      <c r="H521" s="30"/>
      <c r="I521" s="30"/>
      <c r="J521" s="30"/>
      <c r="K521" s="30"/>
      <c r="L521" s="30"/>
      <c r="M521" s="30"/>
      <c r="N521" s="20" t="str">
        <f aca="false">IF(A521="","",COUNTIF('Metric to Field'!$B:$B,A521))</f>
        <v/>
      </c>
      <c r="O521" s="20" t="str">
        <f aca="false">IF(A521="","",SUMIF('Metric to Field'!$B:$B,A521,'Metric to Field'!$F:$F))</f>
        <v/>
      </c>
      <c r="P521" s="30"/>
      <c r="Q521" s="30"/>
      <c r="R521" s="30"/>
      <c r="S521" s="30"/>
      <c r="T521" s="34" t="str">
        <f aca="false">IF(AND(A521&lt;&gt;"",K521="Fix upstream"),COUNTIF($K$5:K521,"Fix upstream"),"")</f>
        <v/>
      </c>
      <c r="U521" s="34" t="str">
        <f aca="false">IF(AND(A521&lt;&gt;"",OR(K521="Move to business rules",K521="Merge into certified table")),COUNTIF($K$5:K521,"Move to business rules")+COUNTIF($K$5:K521,"Merge into certified table"),"")</f>
        <v/>
      </c>
      <c r="V521" s="34" t="str">
        <f aca="false">IF(AND(A521&lt;&gt;"",OR(K521="",K521="Undecided",J521="")),SUMPRODUCT(($A$5:A521&lt;&gt;"")*((($K$5:K521="")+($K$5:K521="Undecided")+($J$5:J521=""))&gt;0)),"")</f>
        <v/>
      </c>
    </row>
    <row r="522" customFormat="false" ht="15" hidden="false" customHeight="false" outlineLevel="0" collapsed="false">
      <c r="A522" s="29"/>
      <c r="B522" s="30"/>
      <c r="C522" s="30"/>
      <c r="D522" s="29"/>
      <c r="E522" s="20" t="str">
        <f aca="false">IF(D522="","",IFERROR(INDEX(Tables!$B:$B,MATCH(D522,Tables!$A:$A,0)),"ID not found"))</f>
        <v/>
      </c>
      <c r="F522" s="20" t="str">
        <f aca="false">IF(D522="","",IFERROR(INDEX(Tables!$C:$C,MATCH(D522,Tables!$A:$A,0)),""))</f>
        <v/>
      </c>
      <c r="G522" s="30"/>
      <c r="H522" s="30"/>
      <c r="I522" s="30"/>
      <c r="J522" s="30"/>
      <c r="K522" s="30"/>
      <c r="L522" s="30"/>
      <c r="M522" s="30"/>
      <c r="N522" s="20" t="str">
        <f aca="false">IF(A522="","",COUNTIF('Metric to Field'!$B:$B,A522))</f>
        <v/>
      </c>
      <c r="O522" s="20" t="str">
        <f aca="false">IF(A522="","",SUMIF('Metric to Field'!$B:$B,A522,'Metric to Field'!$F:$F))</f>
        <v/>
      </c>
      <c r="P522" s="30"/>
      <c r="Q522" s="30"/>
      <c r="R522" s="30"/>
      <c r="S522" s="30"/>
      <c r="T522" s="34" t="str">
        <f aca="false">IF(AND(A522&lt;&gt;"",K522="Fix upstream"),COUNTIF($K$5:K522,"Fix upstream"),"")</f>
        <v/>
      </c>
      <c r="U522" s="34" t="str">
        <f aca="false">IF(AND(A522&lt;&gt;"",OR(K522="Move to business rules",K522="Merge into certified table")),COUNTIF($K$5:K522,"Move to business rules")+COUNTIF($K$5:K522,"Merge into certified table"),"")</f>
        <v/>
      </c>
      <c r="V522" s="34" t="str">
        <f aca="false">IF(AND(A522&lt;&gt;"",OR(K522="",K522="Undecided",J522="")),SUMPRODUCT(($A$5:A522&lt;&gt;"")*((($K$5:K522="")+($K$5:K522="Undecided")+($J$5:J522=""))&gt;0)),"")</f>
        <v/>
      </c>
    </row>
    <row r="523" customFormat="false" ht="15" hidden="false" customHeight="false" outlineLevel="0" collapsed="false">
      <c r="A523" s="29"/>
      <c r="B523" s="30"/>
      <c r="C523" s="30"/>
      <c r="D523" s="29"/>
      <c r="E523" s="20" t="str">
        <f aca="false">IF(D523="","",IFERROR(INDEX(Tables!$B:$B,MATCH(D523,Tables!$A:$A,0)),"ID not found"))</f>
        <v/>
      </c>
      <c r="F523" s="20" t="str">
        <f aca="false">IF(D523="","",IFERROR(INDEX(Tables!$C:$C,MATCH(D523,Tables!$A:$A,0)),""))</f>
        <v/>
      </c>
      <c r="G523" s="30"/>
      <c r="H523" s="30"/>
      <c r="I523" s="30"/>
      <c r="J523" s="30"/>
      <c r="K523" s="30"/>
      <c r="L523" s="30"/>
      <c r="M523" s="30"/>
      <c r="N523" s="20" t="str">
        <f aca="false">IF(A523="","",COUNTIF('Metric to Field'!$B:$B,A523))</f>
        <v/>
      </c>
      <c r="O523" s="20" t="str">
        <f aca="false">IF(A523="","",SUMIF('Metric to Field'!$B:$B,A523,'Metric to Field'!$F:$F))</f>
        <v/>
      </c>
      <c r="P523" s="30"/>
      <c r="Q523" s="30"/>
      <c r="R523" s="30"/>
      <c r="S523" s="30"/>
      <c r="T523" s="34" t="str">
        <f aca="false">IF(AND(A523&lt;&gt;"",K523="Fix upstream"),COUNTIF($K$5:K523,"Fix upstream"),"")</f>
        <v/>
      </c>
      <c r="U523" s="34" t="str">
        <f aca="false">IF(AND(A523&lt;&gt;"",OR(K523="Move to business rules",K523="Merge into certified table")),COUNTIF($K$5:K523,"Move to business rules")+COUNTIF($K$5:K523,"Merge into certified table"),"")</f>
        <v/>
      </c>
      <c r="V523" s="34" t="str">
        <f aca="false">IF(AND(A523&lt;&gt;"",OR(K523="",K523="Undecided",J523="")),SUMPRODUCT(($A$5:A523&lt;&gt;"")*((($K$5:K523="")+($K$5:K523="Undecided")+($J$5:J523=""))&gt;0)),"")</f>
        <v/>
      </c>
    </row>
    <row r="524" customFormat="false" ht="15" hidden="false" customHeight="false" outlineLevel="0" collapsed="false">
      <c r="A524" s="29"/>
      <c r="B524" s="30"/>
      <c r="C524" s="30"/>
      <c r="D524" s="29"/>
      <c r="E524" s="20" t="str">
        <f aca="false">IF(D524="","",IFERROR(INDEX(Tables!$B:$B,MATCH(D524,Tables!$A:$A,0)),"ID not found"))</f>
        <v/>
      </c>
      <c r="F524" s="20" t="str">
        <f aca="false">IF(D524="","",IFERROR(INDEX(Tables!$C:$C,MATCH(D524,Tables!$A:$A,0)),""))</f>
        <v/>
      </c>
      <c r="G524" s="30"/>
      <c r="H524" s="30"/>
      <c r="I524" s="30"/>
      <c r="J524" s="30"/>
      <c r="K524" s="30"/>
      <c r="L524" s="30"/>
      <c r="M524" s="30"/>
      <c r="N524" s="20" t="str">
        <f aca="false">IF(A524="","",COUNTIF('Metric to Field'!$B:$B,A524))</f>
        <v/>
      </c>
      <c r="O524" s="20" t="str">
        <f aca="false">IF(A524="","",SUMIF('Metric to Field'!$B:$B,A524,'Metric to Field'!$F:$F))</f>
        <v/>
      </c>
      <c r="P524" s="30"/>
      <c r="Q524" s="30"/>
      <c r="R524" s="30"/>
      <c r="S524" s="30"/>
      <c r="T524" s="34" t="str">
        <f aca="false">IF(AND(A524&lt;&gt;"",K524="Fix upstream"),COUNTIF($K$5:K524,"Fix upstream"),"")</f>
        <v/>
      </c>
      <c r="U524" s="34" t="str">
        <f aca="false">IF(AND(A524&lt;&gt;"",OR(K524="Move to business rules",K524="Merge into certified table")),COUNTIF($K$5:K524,"Move to business rules")+COUNTIF($K$5:K524,"Merge into certified table"),"")</f>
        <v/>
      </c>
      <c r="V524" s="34" t="str">
        <f aca="false">IF(AND(A524&lt;&gt;"",OR(K524="",K524="Undecided",J524="")),SUMPRODUCT(($A$5:A524&lt;&gt;"")*((($K$5:K524="")+($K$5:K524="Undecided")+($J$5:J524=""))&gt;0)),"")</f>
        <v/>
      </c>
    </row>
    <row r="525" customFormat="false" ht="15" hidden="false" customHeight="false" outlineLevel="0" collapsed="false">
      <c r="A525" s="29"/>
      <c r="B525" s="30"/>
      <c r="C525" s="30"/>
      <c r="D525" s="29"/>
      <c r="E525" s="20" t="str">
        <f aca="false">IF(D525="","",IFERROR(INDEX(Tables!$B:$B,MATCH(D525,Tables!$A:$A,0)),"ID not found"))</f>
        <v/>
      </c>
      <c r="F525" s="20" t="str">
        <f aca="false">IF(D525="","",IFERROR(INDEX(Tables!$C:$C,MATCH(D525,Tables!$A:$A,0)),""))</f>
        <v/>
      </c>
      <c r="G525" s="30"/>
      <c r="H525" s="30"/>
      <c r="I525" s="30"/>
      <c r="J525" s="30"/>
      <c r="K525" s="30"/>
      <c r="L525" s="30"/>
      <c r="M525" s="30"/>
      <c r="N525" s="20" t="str">
        <f aca="false">IF(A525="","",COUNTIF('Metric to Field'!$B:$B,A525))</f>
        <v/>
      </c>
      <c r="O525" s="20" t="str">
        <f aca="false">IF(A525="","",SUMIF('Metric to Field'!$B:$B,A525,'Metric to Field'!$F:$F))</f>
        <v/>
      </c>
      <c r="P525" s="30"/>
      <c r="Q525" s="30"/>
      <c r="R525" s="30"/>
      <c r="S525" s="30"/>
      <c r="T525" s="34" t="str">
        <f aca="false">IF(AND(A525&lt;&gt;"",K525="Fix upstream"),COUNTIF($K$5:K525,"Fix upstream"),"")</f>
        <v/>
      </c>
      <c r="U525" s="34" t="str">
        <f aca="false">IF(AND(A525&lt;&gt;"",OR(K525="Move to business rules",K525="Merge into certified table")),COUNTIF($K$5:K525,"Move to business rules")+COUNTIF($K$5:K525,"Merge into certified table"),"")</f>
        <v/>
      </c>
      <c r="V525" s="34" t="str">
        <f aca="false">IF(AND(A525&lt;&gt;"",OR(K525="",K525="Undecided",J525="")),SUMPRODUCT(($A$5:A525&lt;&gt;"")*((($K$5:K525="")+($K$5:K525="Undecided")+($J$5:J525=""))&gt;0)),"")</f>
        <v/>
      </c>
    </row>
    <row r="526" customFormat="false" ht="15" hidden="false" customHeight="false" outlineLevel="0" collapsed="false">
      <c r="A526" s="29"/>
      <c r="B526" s="30"/>
      <c r="C526" s="30"/>
      <c r="D526" s="29"/>
      <c r="E526" s="20" t="str">
        <f aca="false">IF(D526="","",IFERROR(INDEX(Tables!$B:$B,MATCH(D526,Tables!$A:$A,0)),"ID not found"))</f>
        <v/>
      </c>
      <c r="F526" s="20" t="str">
        <f aca="false">IF(D526="","",IFERROR(INDEX(Tables!$C:$C,MATCH(D526,Tables!$A:$A,0)),""))</f>
        <v/>
      </c>
      <c r="G526" s="30"/>
      <c r="H526" s="30"/>
      <c r="I526" s="30"/>
      <c r="J526" s="30"/>
      <c r="K526" s="30"/>
      <c r="L526" s="30"/>
      <c r="M526" s="30"/>
      <c r="N526" s="20" t="str">
        <f aca="false">IF(A526="","",COUNTIF('Metric to Field'!$B:$B,A526))</f>
        <v/>
      </c>
      <c r="O526" s="20" t="str">
        <f aca="false">IF(A526="","",SUMIF('Metric to Field'!$B:$B,A526,'Metric to Field'!$F:$F))</f>
        <v/>
      </c>
      <c r="P526" s="30"/>
      <c r="Q526" s="30"/>
      <c r="R526" s="30"/>
      <c r="S526" s="30"/>
      <c r="T526" s="34" t="str">
        <f aca="false">IF(AND(A526&lt;&gt;"",K526="Fix upstream"),COUNTIF($K$5:K526,"Fix upstream"),"")</f>
        <v/>
      </c>
      <c r="U526" s="34" t="str">
        <f aca="false">IF(AND(A526&lt;&gt;"",OR(K526="Move to business rules",K526="Merge into certified table")),COUNTIF($K$5:K526,"Move to business rules")+COUNTIF($K$5:K526,"Merge into certified table"),"")</f>
        <v/>
      </c>
      <c r="V526" s="34" t="str">
        <f aca="false">IF(AND(A526&lt;&gt;"",OR(K526="",K526="Undecided",J526="")),SUMPRODUCT(($A$5:A526&lt;&gt;"")*((($K$5:K526="")+($K$5:K526="Undecided")+($J$5:J526=""))&gt;0)),"")</f>
        <v/>
      </c>
    </row>
    <row r="527" customFormat="false" ht="15" hidden="false" customHeight="false" outlineLevel="0" collapsed="false">
      <c r="A527" s="29"/>
      <c r="B527" s="30"/>
      <c r="C527" s="30"/>
      <c r="D527" s="29"/>
      <c r="E527" s="20" t="str">
        <f aca="false">IF(D527="","",IFERROR(INDEX(Tables!$B:$B,MATCH(D527,Tables!$A:$A,0)),"ID not found"))</f>
        <v/>
      </c>
      <c r="F527" s="20" t="str">
        <f aca="false">IF(D527="","",IFERROR(INDEX(Tables!$C:$C,MATCH(D527,Tables!$A:$A,0)),""))</f>
        <v/>
      </c>
      <c r="G527" s="30"/>
      <c r="H527" s="30"/>
      <c r="I527" s="30"/>
      <c r="J527" s="30"/>
      <c r="K527" s="30"/>
      <c r="L527" s="30"/>
      <c r="M527" s="30"/>
      <c r="N527" s="20" t="str">
        <f aca="false">IF(A527="","",COUNTIF('Metric to Field'!$B:$B,A527))</f>
        <v/>
      </c>
      <c r="O527" s="20" t="str">
        <f aca="false">IF(A527="","",SUMIF('Metric to Field'!$B:$B,A527,'Metric to Field'!$F:$F))</f>
        <v/>
      </c>
      <c r="P527" s="30"/>
      <c r="Q527" s="30"/>
      <c r="R527" s="30"/>
      <c r="S527" s="30"/>
      <c r="T527" s="34" t="str">
        <f aca="false">IF(AND(A527&lt;&gt;"",K527="Fix upstream"),COUNTIF($K$5:K527,"Fix upstream"),"")</f>
        <v/>
      </c>
      <c r="U527" s="34" t="str">
        <f aca="false">IF(AND(A527&lt;&gt;"",OR(K527="Move to business rules",K527="Merge into certified table")),COUNTIF($K$5:K527,"Move to business rules")+COUNTIF($K$5:K527,"Merge into certified table"),"")</f>
        <v/>
      </c>
      <c r="V527" s="34" t="str">
        <f aca="false">IF(AND(A527&lt;&gt;"",OR(K527="",K527="Undecided",J527="")),SUMPRODUCT(($A$5:A527&lt;&gt;"")*((($K$5:K527="")+($K$5:K527="Undecided")+($J$5:J527=""))&gt;0)),"")</f>
        <v/>
      </c>
    </row>
    <row r="528" customFormat="false" ht="15" hidden="false" customHeight="false" outlineLevel="0" collapsed="false">
      <c r="A528" s="29"/>
      <c r="B528" s="30"/>
      <c r="C528" s="30"/>
      <c r="D528" s="29"/>
      <c r="E528" s="20" t="str">
        <f aca="false">IF(D528="","",IFERROR(INDEX(Tables!$B:$B,MATCH(D528,Tables!$A:$A,0)),"ID not found"))</f>
        <v/>
      </c>
      <c r="F528" s="20" t="str">
        <f aca="false">IF(D528="","",IFERROR(INDEX(Tables!$C:$C,MATCH(D528,Tables!$A:$A,0)),""))</f>
        <v/>
      </c>
      <c r="G528" s="30"/>
      <c r="H528" s="30"/>
      <c r="I528" s="30"/>
      <c r="J528" s="30"/>
      <c r="K528" s="30"/>
      <c r="L528" s="30"/>
      <c r="M528" s="30"/>
      <c r="N528" s="20" t="str">
        <f aca="false">IF(A528="","",COUNTIF('Metric to Field'!$B:$B,A528))</f>
        <v/>
      </c>
      <c r="O528" s="20" t="str">
        <f aca="false">IF(A528="","",SUMIF('Metric to Field'!$B:$B,A528,'Metric to Field'!$F:$F))</f>
        <v/>
      </c>
      <c r="P528" s="30"/>
      <c r="Q528" s="30"/>
      <c r="R528" s="30"/>
      <c r="S528" s="30"/>
      <c r="T528" s="34" t="str">
        <f aca="false">IF(AND(A528&lt;&gt;"",K528="Fix upstream"),COUNTIF($K$5:K528,"Fix upstream"),"")</f>
        <v/>
      </c>
      <c r="U528" s="34" t="str">
        <f aca="false">IF(AND(A528&lt;&gt;"",OR(K528="Move to business rules",K528="Merge into certified table")),COUNTIF($K$5:K528,"Move to business rules")+COUNTIF($K$5:K528,"Merge into certified table"),"")</f>
        <v/>
      </c>
      <c r="V528" s="34" t="str">
        <f aca="false">IF(AND(A528&lt;&gt;"",OR(K528="",K528="Undecided",J528="")),SUMPRODUCT(($A$5:A528&lt;&gt;"")*((($K$5:K528="")+($K$5:K528="Undecided")+($J$5:J528=""))&gt;0)),"")</f>
        <v/>
      </c>
    </row>
    <row r="529" customFormat="false" ht="15" hidden="false" customHeight="false" outlineLevel="0" collapsed="false">
      <c r="A529" s="29"/>
      <c r="B529" s="30"/>
      <c r="C529" s="30"/>
      <c r="D529" s="29"/>
      <c r="E529" s="20" t="str">
        <f aca="false">IF(D529="","",IFERROR(INDEX(Tables!$B:$B,MATCH(D529,Tables!$A:$A,0)),"ID not found"))</f>
        <v/>
      </c>
      <c r="F529" s="20" t="str">
        <f aca="false">IF(D529="","",IFERROR(INDEX(Tables!$C:$C,MATCH(D529,Tables!$A:$A,0)),""))</f>
        <v/>
      </c>
      <c r="G529" s="30"/>
      <c r="H529" s="30"/>
      <c r="I529" s="30"/>
      <c r="J529" s="30"/>
      <c r="K529" s="30"/>
      <c r="L529" s="30"/>
      <c r="M529" s="30"/>
      <c r="N529" s="20" t="str">
        <f aca="false">IF(A529="","",COUNTIF('Metric to Field'!$B:$B,A529))</f>
        <v/>
      </c>
      <c r="O529" s="20" t="str">
        <f aca="false">IF(A529="","",SUMIF('Metric to Field'!$B:$B,A529,'Metric to Field'!$F:$F))</f>
        <v/>
      </c>
      <c r="P529" s="30"/>
      <c r="Q529" s="30"/>
      <c r="R529" s="30"/>
      <c r="S529" s="30"/>
      <c r="T529" s="34" t="str">
        <f aca="false">IF(AND(A529&lt;&gt;"",K529="Fix upstream"),COUNTIF($K$5:K529,"Fix upstream"),"")</f>
        <v/>
      </c>
      <c r="U529" s="34" t="str">
        <f aca="false">IF(AND(A529&lt;&gt;"",OR(K529="Move to business rules",K529="Merge into certified table")),COUNTIF($K$5:K529,"Move to business rules")+COUNTIF($K$5:K529,"Merge into certified table"),"")</f>
        <v/>
      </c>
      <c r="V529" s="34" t="str">
        <f aca="false">IF(AND(A529&lt;&gt;"",OR(K529="",K529="Undecided",J529="")),SUMPRODUCT(($A$5:A529&lt;&gt;"")*((($K$5:K529="")+($K$5:K529="Undecided")+($J$5:J529=""))&gt;0)),"")</f>
        <v/>
      </c>
    </row>
    <row r="530" customFormat="false" ht="15" hidden="false" customHeight="false" outlineLevel="0" collapsed="false">
      <c r="A530" s="29"/>
      <c r="B530" s="30"/>
      <c r="C530" s="30"/>
      <c r="D530" s="29"/>
      <c r="E530" s="20" t="str">
        <f aca="false">IF(D530="","",IFERROR(INDEX(Tables!$B:$B,MATCH(D530,Tables!$A:$A,0)),"ID not found"))</f>
        <v/>
      </c>
      <c r="F530" s="20" t="str">
        <f aca="false">IF(D530="","",IFERROR(INDEX(Tables!$C:$C,MATCH(D530,Tables!$A:$A,0)),""))</f>
        <v/>
      </c>
      <c r="G530" s="30"/>
      <c r="H530" s="30"/>
      <c r="I530" s="30"/>
      <c r="J530" s="30"/>
      <c r="K530" s="30"/>
      <c r="L530" s="30"/>
      <c r="M530" s="30"/>
      <c r="N530" s="20" t="str">
        <f aca="false">IF(A530="","",COUNTIF('Metric to Field'!$B:$B,A530))</f>
        <v/>
      </c>
      <c r="O530" s="20" t="str">
        <f aca="false">IF(A530="","",SUMIF('Metric to Field'!$B:$B,A530,'Metric to Field'!$F:$F))</f>
        <v/>
      </c>
      <c r="P530" s="30"/>
      <c r="Q530" s="30"/>
      <c r="R530" s="30"/>
      <c r="S530" s="30"/>
      <c r="T530" s="34" t="str">
        <f aca="false">IF(AND(A530&lt;&gt;"",K530="Fix upstream"),COUNTIF($K$5:K530,"Fix upstream"),"")</f>
        <v/>
      </c>
      <c r="U530" s="34" t="str">
        <f aca="false">IF(AND(A530&lt;&gt;"",OR(K530="Move to business rules",K530="Merge into certified table")),COUNTIF($K$5:K530,"Move to business rules")+COUNTIF($K$5:K530,"Merge into certified table"),"")</f>
        <v/>
      </c>
      <c r="V530" s="34" t="str">
        <f aca="false">IF(AND(A530&lt;&gt;"",OR(K530="",K530="Undecided",J530="")),SUMPRODUCT(($A$5:A530&lt;&gt;"")*((($K$5:K530="")+($K$5:K530="Undecided")+($J$5:J530=""))&gt;0)),"")</f>
        <v/>
      </c>
    </row>
    <row r="531" customFormat="false" ht="15" hidden="false" customHeight="false" outlineLevel="0" collapsed="false">
      <c r="A531" s="29"/>
      <c r="B531" s="30"/>
      <c r="C531" s="30"/>
      <c r="D531" s="29"/>
      <c r="E531" s="20" t="str">
        <f aca="false">IF(D531="","",IFERROR(INDEX(Tables!$B:$B,MATCH(D531,Tables!$A:$A,0)),"ID not found"))</f>
        <v/>
      </c>
      <c r="F531" s="20" t="str">
        <f aca="false">IF(D531="","",IFERROR(INDEX(Tables!$C:$C,MATCH(D531,Tables!$A:$A,0)),""))</f>
        <v/>
      </c>
      <c r="G531" s="30"/>
      <c r="H531" s="30"/>
      <c r="I531" s="30"/>
      <c r="J531" s="30"/>
      <c r="K531" s="30"/>
      <c r="L531" s="30"/>
      <c r="M531" s="30"/>
      <c r="N531" s="20" t="str">
        <f aca="false">IF(A531="","",COUNTIF('Metric to Field'!$B:$B,A531))</f>
        <v/>
      </c>
      <c r="O531" s="20" t="str">
        <f aca="false">IF(A531="","",SUMIF('Metric to Field'!$B:$B,A531,'Metric to Field'!$F:$F))</f>
        <v/>
      </c>
      <c r="P531" s="30"/>
      <c r="Q531" s="30"/>
      <c r="R531" s="30"/>
      <c r="S531" s="30"/>
      <c r="T531" s="34" t="str">
        <f aca="false">IF(AND(A531&lt;&gt;"",K531="Fix upstream"),COUNTIF($K$5:K531,"Fix upstream"),"")</f>
        <v/>
      </c>
      <c r="U531" s="34" t="str">
        <f aca="false">IF(AND(A531&lt;&gt;"",OR(K531="Move to business rules",K531="Merge into certified table")),COUNTIF($K$5:K531,"Move to business rules")+COUNTIF($K$5:K531,"Merge into certified table"),"")</f>
        <v/>
      </c>
      <c r="V531" s="34" t="str">
        <f aca="false">IF(AND(A531&lt;&gt;"",OR(K531="",K531="Undecided",J531="")),SUMPRODUCT(($A$5:A531&lt;&gt;"")*((($K$5:K531="")+($K$5:K531="Undecided")+($J$5:J531=""))&gt;0)),"")</f>
        <v/>
      </c>
    </row>
    <row r="532" customFormat="false" ht="15" hidden="false" customHeight="false" outlineLevel="0" collapsed="false">
      <c r="A532" s="29"/>
      <c r="B532" s="30"/>
      <c r="C532" s="30"/>
      <c r="D532" s="29"/>
      <c r="E532" s="20" t="str">
        <f aca="false">IF(D532="","",IFERROR(INDEX(Tables!$B:$B,MATCH(D532,Tables!$A:$A,0)),"ID not found"))</f>
        <v/>
      </c>
      <c r="F532" s="20" t="str">
        <f aca="false">IF(D532="","",IFERROR(INDEX(Tables!$C:$C,MATCH(D532,Tables!$A:$A,0)),""))</f>
        <v/>
      </c>
      <c r="G532" s="30"/>
      <c r="H532" s="30"/>
      <c r="I532" s="30"/>
      <c r="J532" s="30"/>
      <c r="K532" s="30"/>
      <c r="L532" s="30"/>
      <c r="M532" s="30"/>
      <c r="N532" s="20" t="str">
        <f aca="false">IF(A532="","",COUNTIF('Metric to Field'!$B:$B,A532))</f>
        <v/>
      </c>
      <c r="O532" s="20" t="str">
        <f aca="false">IF(A532="","",SUMIF('Metric to Field'!$B:$B,A532,'Metric to Field'!$F:$F))</f>
        <v/>
      </c>
      <c r="P532" s="30"/>
      <c r="Q532" s="30"/>
      <c r="R532" s="30"/>
      <c r="S532" s="30"/>
      <c r="T532" s="34" t="str">
        <f aca="false">IF(AND(A532&lt;&gt;"",K532="Fix upstream"),COUNTIF($K$5:K532,"Fix upstream"),"")</f>
        <v/>
      </c>
      <c r="U532" s="34" t="str">
        <f aca="false">IF(AND(A532&lt;&gt;"",OR(K532="Move to business rules",K532="Merge into certified table")),COUNTIF($K$5:K532,"Move to business rules")+COUNTIF($K$5:K532,"Merge into certified table"),"")</f>
        <v/>
      </c>
      <c r="V532" s="34" t="str">
        <f aca="false">IF(AND(A532&lt;&gt;"",OR(K532="",K532="Undecided",J532="")),SUMPRODUCT(($A$5:A532&lt;&gt;"")*((($K$5:K532="")+($K$5:K532="Undecided")+($J$5:J532=""))&gt;0)),"")</f>
        <v/>
      </c>
    </row>
    <row r="533" customFormat="false" ht="15" hidden="false" customHeight="false" outlineLevel="0" collapsed="false">
      <c r="A533" s="29"/>
      <c r="B533" s="30"/>
      <c r="C533" s="30"/>
      <c r="D533" s="29"/>
      <c r="E533" s="20" t="str">
        <f aca="false">IF(D533="","",IFERROR(INDEX(Tables!$B:$B,MATCH(D533,Tables!$A:$A,0)),"ID not found"))</f>
        <v/>
      </c>
      <c r="F533" s="20" t="str">
        <f aca="false">IF(D533="","",IFERROR(INDEX(Tables!$C:$C,MATCH(D533,Tables!$A:$A,0)),""))</f>
        <v/>
      </c>
      <c r="G533" s="30"/>
      <c r="H533" s="30"/>
      <c r="I533" s="30"/>
      <c r="J533" s="30"/>
      <c r="K533" s="30"/>
      <c r="L533" s="30"/>
      <c r="M533" s="30"/>
      <c r="N533" s="20" t="str">
        <f aca="false">IF(A533="","",COUNTIF('Metric to Field'!$B:$B,A533))</f>
        <v/>
      </c>
      <c r="O533" s="20" t="str">
        <f aca="false">IF(A533="","",SUMIF('Metric to Field'!$B:$B,A533,'Metric to Field'!$F:$F))</f>
        <v/>
      </c>
      <c r="P533" s="30"/>
      <c r="Q533" s="30"/>
      <c r="R533" s="30"/>
      <c r="S533" s="30"/>
      <c r="T533" s="34" t="str">
        <f aca="false">IF(AND(A533&lt;&gt;"",K533="Fix upstream"),COUNTIF($K$5:K533,"Fix upstream"),"")</f>
        <v/>
      </c>
      <c r="U533" s="34" t="str">
        <f aca="false">IF(AND(A533&lt;&gt;"",OR(K533="Move to business rules",K533="Merge into certified table")),COUNTIF($K$5:K533,"Move to business rules")+COUNTIF($K$5:K533,"Merge into certified table"),"")</f>
        <v/>
      </c>
      <c r="V533" s="34" t="str">
        <f aca="false">IF(AND(A533&lt;&gt;"",OR(K533="",K533="Undecided",J533="")),SUMPRODUCT(($A$5:A533&lt;&gt;"")*((($K$5:K533="")+($K$5:K533="Undecided")+($J$5:J533=""))&gt;0)),"")</f>
        <v/>
      </c>
    </row>
    <row r="534" customFormat="false" ht="15" hidden="false" customHeight="false" outlineLevel="0" collapsed="false">
      <c r="A534" s="29"/>
      <c r="B534" s="30"/>
      <c r="C534" s="30"/>
      <c r="D534" s="29"/>
      <c r="E534" s="20" t="str">
        <f aca="false">IF(D534="","",IFERROR(INDEX(Tables!$B:$B,MATCH(D534,Tables!$A:$A,0)),"ID not found"))</f>
        <v/>
      </c>
      <c r="F534" s="20" t="str">
        <f aca="false">IF(D534="","",IFERROR(INDEX(Tables!$C:$C,MATCH(D534,Tables!$A:$A,0)),""))</f>
        <v/>
      </c>
      <c r="G534" s="30"/>
      <c r="H534" s="30"/>
      <c r="I534" s="30"/>
      <c r="J534" s="30"/>
      <c r="K534" s="30"/>
      <c r="L534" s="30"/>
      <c r="M534" s="30"/>
      <c r="N534" s="20" t="str">
        <f aca="false">IF(A534="","",COUNTIF('Metric to Field'!$B:$B,A534))</f>
        <v/>
      </c>
      <c r="O534" s="20" t="str">
        <f aca="false">IF(A534="","",SUMIF('Metric to Field'!$B:$B,A534,'Metric to Field'!$F:$F))</f>
        <v/>
      </c>
      <c r="P534" s="30"/>
      <c r="Q534" s="30"/>
      <c r="R534" s="30"/>
      <c r="S534" s="30"/>
      <c r="T534" s="34" t="str">
        <f aca="false">IF(AND(A534&lt;&gt;"",K534="Fix upstream"),COUNTIF($K$5:K534,"Fix upstream"),"")</f>
        <v/>
      </c>
      <c r="U534" s="34" t="str">
        <f aca="false">IF(AND(A534&lt;&gt;"",OR(K534="Move to business rules",K534="Merge into certified table")),COUNTIF($K$5:K534,"Move to business rules")+COUNTIF($K$5:K534,"Merge into certified table"),"")</f>
        <v/>
      </c>
      <c r="V534" s="34" t="str">
        <f aca="false">IF(AND(A534&lt;&gt;"",OR(K534="",K534="Undecided",J534="")),SUMPRODUCT(($A$5:A534&lt;&gt;"")*((($K$5:K534="")+($K$5:K534="Undecided")+($J$5:J534=""))&gt;0)),"")</f>
        <v/>
      </c>
    </row>
    <row r="535" customFormat="false" ht="15" hidden="false" customHeight="false" outlineLevel="0" collapsed="false">
      <c r="A535" s="29"/>
      <c r="B535" s="30"/>
      <c r="C535" s="30"/>
      <c r="D535" s="29"/>
      <c r="E535" s="20" t="str">
        <f aca="false">IF(D535="","",IFERROR(INDEX(Tables!$B:$B,MATCH(D535,Tables!$A:$A,0)),"ID not found"))</f>
        <v/>
      </c>
      <c r="F535" s="20" t="str">
        <f aca="false">IF(D535="","",IFERROR(INDEX(Tables!$C:$C,MATCH(D535,Tables!$A:$A,0)),""))</f>
        <v/>
      </c>
      <c r="G535" s="30"/>
      <c r="H535" s="30"/>
      <c r="I535" s="30"/>
      <c r="J535" s="30"/>
      <c r="K535" s="30"/>
      <c r="L535" s="30"/>
      <c r="M535" s="30"/>
      <c r="N535" s="20" t="str">
        <f aca="false">IF(A535="","",COUNTIF('Metric to Field'!$B:$B,A535))</f>
        <v/>
      </c>
      <c r="O535" s="20" t="str">
        <f aca="false">IF(A535="","",SUMIF('Metric to Field'!$B:$B,A535,'Metric to Field'!$F:$F))</f>
        <v/>
      </c>
      <c r="P535" s="30"/>
      <c r="Q535" s="30"/>
      <c r="R535" s="30"/>
      <c r="S535" s="30"/>
      <c r="T535" s="34" t="str">
        <f aca="false">IF(AND(A535&lt;&gt;"",K535="Fix upstream"),COUNTIF($K$5:K535,"Fix upstream"),"")</f>
        <v/>
      </c>
      <c r="U535" s="34" t="str">
        <f aca="false">IF(AND(A535&lt;&gt;"",OR(K535="Move to business rules",K535="Merge into certified table")),COUNTIF($K$5:K535,"Move to business rules")+COUNTIF($K$5:K535,"Merge into certified table"),"")</f>
        <v/>
      </c>
      <c r="V535" s="34" t="str">
        <f aca="false">IF(AND(A535&lt;&gt;"",OR(K535="",K535="Undecided",J535="")),SUMPRODUCT(($A$5:A535&lt;&gt;"")*((($K$5:K535="")+($K$5:K535="Undecided")+($J$5:J535=""))&gt;0)),"")</f>
        <v/>
      </c>
    </row>
    <row r="536" customFormat="false" ht="15" hidden="false" customHeight="false" outlineLevel="0" collapsed="false">
      <c r="A536" s="29"/>
      <c r="B536" s="30"/>
      <c r="C536" s="30"/>
      <c r="D536" s="29"/>
      <c r="E536" s="20" t="str">
        <f aca="false">IF(D536="","",IFERROR(INDEX(Tables!$B:$B,MATCH(D536,Tables!$A:$A,0)),"ID not found"))</f>
        <v/>
      </c>
      <c r="F536" s="20" t="str">
        <f aca="false">IF(D536="","",IFERROR(INDEX(Tables!$C:$C,MATCH(D536,Tables!$A:$A,0)),""))</f>
        <v/>
      </c>
      <c r="G536" s="30"/>
      <c r="H536" s="30"/>
      <c r="I536" s="30"/>
      <c r="J536" s="30"/>
      <c r="K536" s="30"/>
      <c r="L536" s="30"/>
      <c r="M536" s="30"/>
      <c r="N536" s="20" t="str">
        <f aca="false">IF(A536="","",COUNTIF('Metric to Field'!$B:$B,A536))</f>
        <v/>
      </c>
      <c r="O536" s="20" t="str">
        <f aca="false">IF(A536="","",SUMIF('Metric to Field'!$B:$B,A536,'Metric to Field'!$F:$F))</f>
        <v/>
      </c>
      <c r="P536" s="30"/>
      <c r="Q536" s="30"/>
      <c r="R536" s="30"/>
      <c r="S536" s="30"/>
      <c r="T536" s="34" t="str">
        <f aca="false">IF(AND(A536&lt;&gt;"",K536="Fix upstream"),COUNTIF($K$5:K536,"Fix upstream"),"")</f>
        <v/>
      </c>
      <c r="U536" s="34" t="str">
        <f aca="false">IF(AND(A536&lt;&gt;"",OR(K536="Move to business rules",K536="Merge into certified table")),COUNTIF($K$5:K536,"Move to business rules")+COUNTIF($K$5:K536,"Merge into certified table"),"")</f>
        <v/>
      </c>
      <c r="V536" s="34" t="str">
        <f aca="false">IF(AND(A536&lt;&gt;"",OR(K536="",K536="Undecided",J536="")),SUMPRODUCT(($A$5:A536&lt;&gt;"")*((($K$5:K536="")+($K$5:K536="Undecided")+($J$5:J536=""))&gt;0)),"")</f>
        <v/>
      </c>
    </row>
    <row r="537" customFormat="false" ht="15" hidden="false" customHeight="false" outlineLevel="0" collapsed="false">
      <c r="A537" s="29"/>
      <c r="B537" s="30"/>
      <c r="C537" s="30"/>
      <c r="D537" s="29"/>
      <c r="E537" s="20" t="str">
        <f aca="false">IF(D537="","",IFERROR(INDEX(Tables!$B:$B,MATCH(D537,Tables!$A:$A,0)),"ID not found"))</f>
        <v/>
      </c>
      <c r="F537" s="20" t="str">
        <f aca="false">IF(D537="","",IFERROR(INDEX(Tables!$C:$C,MATCH(D537,Tables!$A:$A,0)),""))</f>
        <v/>
      </c>
      <c r="G537" s="30"/>
      <c r="H537" s="30"/>
      <c r="I537" s="30"/>
      <c r="J537" s="30"/>
      <c r="K537" s="30"/>
      <c r="L537" s="30"/>
      <c r="M537" s="30"/>
      <c r="N537" s="20" t="str">
        <f aca="false">IF(A537="","",COUNTIF('Metric to Field'!$B:$B,A537))</f>
        <v/>
      </c>
      <c r="O537" s="20" t="str">
        <f aca="false">IF(A537="","",SUMIF('Metric to Field'!$B:$B,A537,'Metric to Field'!$F:$F))</f>
        <v/>
      </c>
      <c r="P537" s="30"/>
      <c r="Q537" s="30"/>
      <c r="R537" s="30"/>
      <c r="S537" s="30"/>
      <c r="T537" s="34" t="str">
        <f aca="false">IF(AND(A537&lt;&gt;"",K537="Fix upstream"),COUNTIF($K$5:K537,"Fix upstream"),"")</f>
        <v/>
      </c>
      <c r="U537" s="34" t="str">
        <f aca="false">IF(AND(A537&lt;&gt;"",OR(K537="Move to business rules",K537="Merge into certified table")),COUNTIF($K$5:K537,"Move to business rules")+COUNTIF($K$5:K537,"Merge into certified table"),"")</f>
        <v/>
      </c>
      <c r="V537" s="34" t="str">
        <f aca="false">IF(AND(A537&lt;&gt;"",OR(K537="",K537="Undecided",J537="")),SUMPRODUCT(($A$5:A537&lt;&gt;"")*((($K$5:K537="")+($K$5:K537="Undecided")+($J$5:J537=""))&gt;0)),"")</f>
        <v/>
      </c>
    </row>
    <row r="538" customFormat="false" ht="15" hidden="false" customHeight="false" outlineLevel="0" collapsed="false">
      <c r="A538" s="29"/>
      <c r="B538" s="30"/>
      <c r="C538" s="30"/>
      <c r="D538" s="29"/>
      <c r="E538" s="20" t="str">
        <f aca="false">IF(D538="","",IFERROR(INDEX(Tables!$B:$B,MATCH(D538,Tables!$A:$A,0)),"ID not found"))</f>
        <v/>
      </c>
      <c r="F538" s="20" t="str">
        <f aca="false">IF(D538="","",IFERROR(INDEX(Tables!$C:$C,MATCH(D538,Tables!$A:$A,0)),""))</f>
        <v/>
      </c>
      <c r="G538" s="30"/>
      <c r="H538" s="30"/>
      <c r="I538" s="30"/>
      <c r="J538" s="30"/>
      <c r="K538" s="30"/>
      <c r="L538" s="30"/>
      <c r="M538" s="30"/>
      <c r="N538" s="20" t="str">
        <f aca="false">IF(A538="","",COUNTIF('Metric to Field'!$B:$B,A538))</f>
        <v/>
      </c>
      <c r="O538" s="20" t="str">
        <f aca="false">IF(A538="","",SUMIF('Metric to Field'!$B:$B,A538,'Metric to Field'!$F:$F))</f>
        <v/>
      </c>
      <c r="P538" s="30"/>
      <c r="Q538" s="30"/>
      <c r="R538" s="30"/>
      <c r="S538" s="30"/>
      <c r="T538" s="34" t="str">
        <f aca="false">IF(AND(A538&lt;&gt;"",K538="Fix upstream"),COUNTIF($K$5:K538,"Fix upstream"),"")</f>
        <v/>
      </c>
      <c r="U538" s="34" t="str">
        <f aca="false">IF(AND(A538&lt;&gt;"",OR(K538="Move to business rules",K538="Merge into certified table")),COUNTIF($K$5:K538,"Move to business rules")+COUNTIF($K$5:K538,"Merge into certified table"),"")</f>
        <v/>
      </c>
      <c r="V538" s="34" t="str">
        <f aca="false">IF(AND(A538&lt;&gt;"",OR(K538="",K538="Undecided",J538="")),SUMPRODUCT(($A$5:A538&lt;&gt;"")*((($K$5:K538="")+($K$5:K538="Undecided")+($J$5:J538=""))&gt;0)),"")</f>
        <v/>
      </c>
    </row>
    <row r="539" customFormat="false" ht="15" hidden="false" customHeight="false" outlineLevel="0" collapsed="false">
      <c r="A539" s="29"/>
      <c r="B539" s="30"/>
      <c r="C539" s="30"/>
      <c r="D539" s="29"/>
      <c r="E539" s="20" t="str">
        <f aca="false">IF(D539="","",IFERROR(INDEX(Tables!$B:$B,MATCH(D539,Tables!$A:$A,0)),"ID not found"))</f>
        <v/>
      </c>
      <c r="F539" s="20" t="str">
        <f aca="false">IF(D539="","",IFERROR(INDEX(Tables!$C:$C,MATCH(D539,Tables!$A:$A,0)),""))</f>
        <v/>
      </c>
      <c r="G539" s="30"/>
      <c r="H539" s="30"/>
      <c r="I539" s="30"/>
      <c r="J539" s="30"/>
      <c r="K539" s="30"/>
      <c r="L539" s="30"/>
      <c r="M539" s="30"/>
      <c r="N539" s="20" t="str">
        <f aca="false">IF(A539="","",COUNTIF('Metric to Field'!$B:$B,A539))</f>
        <v/>
      </c>
      <c r="O539" s="20" t="str">
        <f aca="false">IF(A539="","",SUMIF('Metric to Field'!$B:$B,A539,'Metric to Field'!$F:$F))</f>
        <v/>
      </c>
      <c r="P539" s="30"/>
      <c r="Q539" s="30"/>
      <c r="R539" s="30"/>
      <c r="S539" s="30"/>
      <c r="T539" s="34" t="str">
        <f aca="false">IF(AND(A539&lt;&gt;"",K539="Fix upstream"),COUNTIF($K$5:K539,"Fix upstream"),"")</f>
        <v/>
      </c>
      <c r="U539" s="34" t="str">
        <f aca="false">IF(AND(A539&lt;&gt;"",OR(K539="Move to business rules",K539="Merge into certified table")),COUNTIF($K$5:K539,"Move to business rules")+COUNTIF($K$5:K539,"Merge into certified table"),"")</f>
        <v/>
      </c>
      <c r="V539" s="34" t="str">
        <f aca="false">IF(AND(A539&lt;&gt;"",OR(K539="",K539="Undecided",J539="")),SUMPRODUCT(($A$5:A539&lt;&gt;"")*((($K$5:K539="")+($K$5:K539="Undecided")+($J$5:J539=""))&gt;0)),"")</f>
        <v/>
      </c>
    </row>
    <row r="540" customFormat="false" ht="15" hidden="false" customHeight="false" outlineLevel="0" collapsed="false">
      <c r="A540" s="29"/>
      <c r="B540" s="30"/>
      <c r="C540" s="30"/>
      <c r="D540" s="29"/>
      <c r="E540" s="20" t="str">
        <f aca="false">IF(D540="","",IFERROR(INDEX(Tables!$B:$B,MATCH(D540,Tables!$A:$A,0)),"ID not found"))</f>
        <v/>
      </c>
      <c r="F540" s="20" t="str">
        <f aca="false">IF(D540="","",IFERROR(INDEX(Tables!$C:$C,MATCH(D540,Tables!$A:$A,0)),""))</f>
        <v/>
      </c>
      <c r="G540" s="30"/>
      <c r="H540" s="30"/>
      <c r="I540" s="30"/>
      <c r="J540" s="30"/>
      <c r="K540" s="30"/>
      <c r="L540" s="30"/>
      <c r="M540" s="30"/>
      <c r="N540" s="20" t="str">
        <f aca="false">IF(A540="","",COUNTIF('Metric to Field'!$B:$B,A540))</f>
        <v/>
      </c>
      <c r="O540" s="20" t="str">
        <f aca="false">IF(A540="","",SUMIF('Metric to Field'!$B:$B,A540,'Metric to Field'!$F:$F))</f>
        <v/>
      </c>
      <c r="P540" s="30"/>
      <c r="Q540" s="30"/>
      <c r="R540" s="30"/>
      <c r="S540" s="30"/>
      <c r="T540" s="34" t="str">
        <f aca="false">IF(AND(A540&lt;&gt;"",K540="Fix upstream"),COUNTIF($K$5:K540,"Fix upstream"),"")</f>
        <v/>
      </c>
      <c r="U540" s="34" t="str">
        <f aca="false">IF(AND(A540&lt;&gt;"",OR(K540="Move to business rules",K540="Merge into certified table")),COUNTIF($K$5:K540,"Move to business rules")+COUNTIF($K$5:K540,"Merge into certified table"),"")</f>
        <v/>
      </c>
      <c r="V540" s="34" t="str">
        <f aca="false">IF(AND(A540&lt;&gt;"",OR(K540="",K540="Undecided",J540="")),SUMPRODUCT(($A$5:A540&lt;&gt;"")*((($K$5:K540="")+($K$5:K540="Undecided")+($J$5:J540=""))&gt;0)),"")</f>
        <v/>
      </c>
    </row>
    <row r="541" customFormat="false" ht="15" hidden="false" customHeight="false" outlineLevel="0" collapsed="false">
      <c r="A541" s="29"/>
      <c r="B541" s="30"/>
      <c r="C541" s="30"/>
      <c r="D541" s="29"/>
      <c r="E541" s="20" t="str">
        <f aca="false">IF(D541="","",IFERROR(INDEX(Tables!$B:$B,MATCH(D541,Tables!$A:$A,0)),"ID not found"))</f>
        <v/>
      </c>
      <c r="F541" s="20" t="str">
        <f aca="false">IF(D541="","",IFERROR(INDEX(Tables!$C:$C,MATCH(D541,Tables!$A:$A,0)),""))</f>
        <v/>
      </c>
      <c r="G541" s="30"/>
      <c r="H541" s="30"/>
      <c r="I541" s="30"/>
      <c r="J541" s="30"/>
      <c r="K541" s="30"/>
      <c r="L541" s="30"/>
      <c r="M541" s="30"/>
      <c r="N541" s="20" t="str">
        <f aca="false">IF(A541="","",COUNTIF('Metric to Field'!$B:$B,A541))</f>
        <v/>
      </c>
      <c r="O541" s="20" t="str">
        <f aca="false">IF(A541="","",SUMIF('Metric to Field'!$B:$B,A541,'Metric to Field'!$F:$F))</f>
        <v/>
      </c>
      <c r="P541" s="30"/>
      <c r="Q541" s="30"/>
      <c r="R541" s="30"/>
      <c r="S541" s="30"/>
      <c r="T541" s="34" t="str">
        <f aca="false">IF(AND(A541&lt;&gt;"",K541="Fix upstream"),COUNTIF($K$5:K541,"Fix upstream"),"")</f>
        <v/>
      </c>
      <c r="U541" s="34" t="str">
        <f aca="false">IF(AND(A541&lt;&gt;"",OR(K541="Move to business rules",K541="Merge into certified table")),COUNTIF($K$5:K541,"Move to business rules")+COUNTIF($K$5:K541,"Merge into certified table"),"")</f>
        <v/>
      </c>
      <c r="V541" s="34" t="str">
        <f aca="false">IF(AND(A541&lt;&gt;"",OR(K541="",K541="Undecided",J541="")),SUMPRODUCT(($A$5:A541&lt;&gt;"")*((($K$5:K541="")+($K$5:K541="Undecided")+($J$5:J541=""))&gt;0)),"")</f>
        <v/>
      </c>
    </row>
    <row r="542" customFormat="false" ht="15" hidden="false" customHeight="false" outlineLevel="0" collapsed="false">
      <c r="A542" s="29"/>
      <c r="B542" s="30"/>
      <c r="C542" s="30"/>
      <c r="D542" s="29"/>
      <c r="E542" s="20" t="str">
        <f aca="false">IF(D542="","",IFERROR(INDEX(Tables!$B:$B,MATCH(D542,Tables!$A:$A,0)),"ID not found"))</f>
        <v/>
      </c>
      <c r="F542" s="20" t="str">
        <f aca="false">IF(D542="","",IFERROR(INDEX(Tables!$C:$C,MATCH(D542,Tables!$A:$A,0)),""))</f>
        <v/>
      </c>
      <c r="G542" s="30"/>
      <c r="H542" s="30"/>
      <c r="I542" s="30"/>
      <c r="J542" s="30"/>
      <c r="K542" s="30"/>
      <c r="L542" s="30"/>
      <c r="M542" s="30"/>
      <c r="N542" s="20" t="str">
        <f aca="false">IF(A542="","",COUNTIF('Metric to Field'!$B:$B,A542))</f>
        <v/>
      </c>
      <c r="O542" s="20" t="str">
        <f aca="false">IF(A542="","",SUMIF('Metric to Field'!$B:$B,A542,'Metric to Field'!$F:$F))</f>
        <v/>
      </c>
      <c r="P542" s="30"/>
      <c r="Q542" s="30"/>
      <c r="R542" s="30"/>
      <c r="S542" s="30"/>
      <c r="T542" s="34" t="str">
        <f aca="false">IF(AND(A542&lt;&gt;"",K542="Fix upstream"),COUNTIF($K$5:K542,"Fix upstream"),"")</f>
        <v/>
      </c>
      <c r="U542" s="34" t="str">
        <f aca="false">IF(AND(A542&lt;&gt;"",OR(K542="Move to business rules",K542="Merge into certified table")),COUNTIF($K$5:K542,"Move to business rules")+COUNTIF($K$5:K542,"Merge into certified table"),"")</f>
        <v/>
      </c>
      <c r="V542" s="34" t="str">
        <f aca="false">IF(AND(A542&lt;&gt;"",OR(K542="",K542="Undecided",J542="")),SUMPRODUCT(($A$5:A542&lt;&gt;"")*((($K$5:K542="")+($K$5:K542="Undecided")+($J$5:J542=""))&gt;0)),"")</f>
        <v/>
      </c>
    </row>
    <row r="543" customFormat="false" ht="15" hidden="false" customHeight="false" outlineLevel="0" collapsed="false">
      <c r="A543" s="29"/>
      <c r="B543" s="30"/>
      <c r="C543" s="30"/>
      <c r="D543" s="29"/>
      <c r="E543" s="20" t="str">
        <f aca="false">IF(D543="","",IFERROR(INDEX(Tables!$B:$B,MATCH(D543,Tables!$A:$A,0)),"ID not found"))</f>
        <v/>
      </c>
      <c r="F543" s="20" t="str">
        <f aca="false">IF(D543="","",IFERROR(INDEX(Tables!$C:$C,MATCH(D543,Tables!$A:$A,0)),""))</f>
        <v/>
      </c>
      <c r="G543" s="30"/>
      <c r="H543" s="30"/>
      <c r="I543" s="30"/>
      <c r="J543" s="30"/>
      <c r="K543" s="30"/>
      <c r="L543" s="30"/>
      <c r="M543" s="30"/>
      <c r="N543" s="20" t="str">
        <f aca="false">IF(A543="","",COUNTIF('Metric to Field'!$B:$B,A543))</f>
        <v/>
      </c>
      <c r="O543" s="20" t="str">
        <f aca="false">IF(A543="","",SUMIF('Metric to Field'!$B:$B,A543,'Metric to Field'!$F:$F))</f>
        <v/>
      </c>
      <c r="P543" s="30"/>
      <c r="Q543" s="30"/>
      <c r="R543" s="30"/>
      <c r="S543" s="30"/>
      <c r="T543" s="34" t="str">
        <f aca="false">IF(AND(A543&lt;&gt;"",K543="Fix upstream"),COUNTIF($K$5:K543,"Fix upstream"),"")</f>
        <v/>
      </c>
      <c r="U543" s="34" t="str">
        <f aca="false">IF(AND(A543&lt;&gt;"",OR(K543="Move to business rules",K543="Merge into certified table")),COUNTIF($K$5:K543,"Move to business rules")+COUNTIF($K$5:K543,"Merge into certified table"),"")</f>
        <v/>
      </c>
      <c r="V543" s="34" t="str">
        <f aca="false">IF(AND(A543&lt;&gt;"",OR(K543="",K543="Undecided",J543="")),SUMPRODUCT(($A$5:A543&lt;&gt;"")*((($K$5:K543="")+($K$5:K543="Undecided")+($J$5:J543=""))&gt;0)),"")</f>
        <v/>
      </c>
    </row>
    <row r="544" customFormat="false" ht="15" hidden="false" customHeight="false" outlineLevel="0" collapsed="false">
      <c r="A544" s="29"/>
      <c r="B544" s="30"/>
      <c r="C544" s="30"/>
      <c r="D544" s="29"/>
      <c r="E544" s="20" t="str">
        <f aca="false">IF(D544="","",IFERROR(INDEX(Tables!$B:$B,MATCH(D544,Tables!$A:$A,0)),"ID not found"))</f>
        <v/>
      </c>
      <c r="F544" s="20" t="str">
        <f aca="false">IF(D544="","",IFERROR(INDEX(Tables!$C:$C,MATCH(D544,Tables!$A:$A,0)),""))</f>
        <v/>
      </c>
      <c r="G544" s="30"/>
      <c r="H544" s="30"/>
      <c r="I544" s="30"/>
      <c r="J544" s="30"/>
      <c r="K544" s="30"/>
      <c r="L544" s="30"/>
      <c r="M544" s="30"/>
      <c r="N544" s="20" t="str">
        <f aca="false">IF(A544="","",COUNTIF('Metric to Field'!$B:$B,A544))</f>
        <v/>
      </c>
      <c r="O544" s="20" t="str">
        <f aca="false">IF(A544="","",SUMIF('Metric to Field'!$B:$B,A544,'Metric to Field'!$F:$F))</f>
        <v/>
      </c>
      <c r="P544" s="30"/>
      <c r="Q544" s="30"/>
      <c r="R544" s="30"/>
      <c r="S544" s="30"/>
      <c r="T544" s="34" t="str">
        <f aca="false">IF(AND(A544&lt;&gt;"",K544="Fix upstream"),COUNTIF($K$5:K544,"Fix upstream"),"")</f>
        <v/>
      </c>
      <c r="U544" s="34" t="str">
        <f aca="false">IF(AND(A544&lt;&gt;"",OR(K544="Move to business rules",K544="Merge into certified table")),COUNTIF($K$5:K544,"Move to business rules")+COUNTIF($K$5:K544,"Merge into certified table"),"")</f>
        <v/>
      </c>
      <c r="V544" s="34" t="str">
        <f aca="false">IF(AND(A544&lt;&gt;"",OR(K544="",K544="Undecided",J544="")),SUMPRODUCT(($A$5:A544&lt;&gt;"")*((($K$5:K544="")+($K$5:K544="Undecided")+($J$5:J544=""))&gt;0)),"")</f>
        <v/>
      </c>
    </row>
    <row r="545" customFormat="false" ht="15" hidden="false" customHeight="false" outlineLevel="0" collapsed="false">
      <c r="A545" s="29"/>
      <c r="B545" s="30"/>
      <c r="C545" s="30"/>
      <c r="D545" s="29"/>
      <c r="E545" s="20" t="str">
        <f aca="false">IF(D545="","",IFERROR(INDEX(Tables!$B:$B,MATCH(D545,Tables!$A:$A,0)),"ID not found"))</f>
        <v/>
      </c>
      <c r="F545" s="20" t="str">
        <f aca="false">IF(D545="","",IFERROR(INDEX(Tables!$C:$C,MATCH(D545,Tables!$A:$A,0)),""))</f>
        <v/>
      </c>
      <c r="G545" s="30"/>
      <c r="H545" s="30"/>
      <c r="I545" s="30"/>
      <c r="J545" s="30"/>
      <c r="K545" s="30"/>
      <c r="L545" s="30"/>
      <c r="M545" s="30"/>
      <c r="N545" s="20" t="str">
        <f aca="false">IF(A545="","",COUNTIF('Metric to Field'!$B:$B,A545))</f>
        <v/>
      </c>
      <c r="O545" s="20" t="str">
        <f aca="false">IF(A545="","",SUMIF('Metric to Field'!$B:$B,A545,'Metric to Field'!$F:$F))</f>
        <v/>
      </c>
      <c r="P545" s="30"/>
      <c r="Q545" s="30"/>
      <c r="R545" s="30"/>
      <c r="S545" s="30"/>
      <c r="T545" s="34" t="str">
        <f aca="false">IF(AND(A545&lt;&gt;"",K545="Fix upstream"),COUNTIF($K$5:K545,"Fix upstream"),"")</f>
        <v/>
      </c>
      <c r="U545" s="34" t="str">
        <f aca="false">IF(AND(A545&lt;&gt;"",OR(K545="Move to business rules",K545="Merge into certified table")),COUNTIF($K$5:K545,"Move to business rules")+COUNTIF($K$5:K545,"Merge into certified table"),"")</f>
        <v/>
      </c>
      <c r="V545" s="34" t="str">
        <f aca="false">IF(AND(A545&lt;&gt;"",OR(K545="",K545="Undecided",J545="")),SUMPRODUCT(($A$5:A545&lt;&gt;"")*((($K$5:K545="")+($K$5:K545="Undecided")+($J$5:J545=""))&gt;0)),"")</f>
        <v/>
      </c>
    </row>
    <row r="546" customFormat="false" ht="15" hidden="false" customHeight="false" outlineLevel="0" collapsed="false">
      <c r="A546" s="29"/>
      <c r="B546" s="30"/>
      <c r="C546" s="30"/>
      <c r="D546" s="29"/>
      <c r="E546" s="20" t="str">
        <f aca="false">IF(D546="","",IFERROR(INDEX(Tables!$B:$B,MATCH(D546,Tables!$A:$A,0)),"ID not found"))</f>
        <v/>
      </c>
      <c r="F546" s="20" t="str">
        <f aca="false">IF(D546="","",IFERROR(INDEX(Tables!$C:$C,MATCH(D546,Tables!$A:$A,0)),""))</f>
        <v/>
      </c>
      <c r="G546" s="30"/>
      <c r="H546" s="30"/>
      <c r="I546" s="30"/>
      <c r="J546" s="30"/>
      <c r="K546" s="30"/>
      <c r="L546" s="30"/>
      <c r="M546" s="30"/>
      <c r="N546" s="20" t="str">
        <f aca="false">IF(A546="","",COUNTIF('Metric to Field'!$B:$B,A546))</f>
        <v/>
      </c>
      <c r="O546" s="20" t="str">
        <f aca="false">IF(A546="","",SUMIF('Metric to Field'!$B:$B,A546,'Metric to Field'!$F:$F))</f>
        <v/>
      </c>
      <c r="P546" s="30"/>
      <c r="Q546" s="30"/>
      <c r="R546" s="30"/>
      <c r="S546" s="30"/>
      <c r="T546" s="34" t="str">
        <f aca="false">IF(AND(A546&lt;&gt;"",K546="Fix upstream"),COUNTIF($K$5:K546,"Fix upstream"),"")</f>
        <v/>
      </c>
      <c r="U546" s="34" t="str">
        <f aca="false">IF(AND(A546&lt;&gt;"",OR(K546="Move to business rules",K546="Merge into certified table")),COUNTIF($K$5:K546,"Move to business rules")+COUNTIF($K$5:K546,"Merge into certified table"),"")</f>
        <v/>
      </c>
      <c r="V546" s="34" t="str">
        <f aca="false">IF(AND(A546&lt;&gt;"",OR(K546="",K546="Undecided",J546="")),SUMPRODUCT(($A$5:A546&lt;&gt;"")*((($K$5:K546="")+($K$5:K546="Undecided")+($J$5:J546=""))&gt;0)),"")</f>
        <v/>
      </c>
    </row>
    <row r="547" customFormat="false" ht="15" hidden="false" customHeight="false" outlineLevel="0" collapsed="false">
      <c r="A547" s="29"/>
      <c r="B547" s="30"/>
      <c r="C547" s="30"/>
      <c r="D547" s="29"/>
      <c r="E547" s="20" t="str">
        <f aca="false">IF(D547="","",IFERROR(INDEX(Tables!$B:$B,MATCH(D547,Tables!$A:$A,0)),"ID not found"))</f>
        <v/>
      </c>
      <c r="F547" s="20" t="str">
        <f aca="false">IF(D547="","",IFERROR(INDEX(Tables!$C:$C,MATCH(D547,Tables!$A:$A,0)),""))</f>
        <v/>
      </c>
      <c r="G547" s="30"/>
      <c r="H547" s="30"/>
      <c r="I547" s="30"/>
      <c r="J547" s="30"/>
      <c r="K547" s="30"/>
      <c r="L547" s="30"/>
      <c r="M547" s="30"/>
      <c r="N547" s="20" t="str">
        <f aca="false">IF(A547="","",COUNTIF('Metric to Field'!$B:$B,A547))</f>
        <v/>
      </c>
      <c r="O547" s="20" t="str">
        <f aca="false">IF(A547="","",SUMIF('Metric to Field'!$B:$B,A547,'Metric to Field'!$F:$F))</f>
        <v/>
      </c>
      <c r="P547" s="30"/>
      <c r="Q547" s="30"/>
      <c r="R547" s="30"/>
      <c r="S547" s="30"/>
      <c r="T547" s="34" t="str">
        <f aca="false">IF(AND(A547&lt;&gt;"",K547="Fix upstream"),COUNTIF($K$5:K547,"Fix upstream"),"")</f>
        <v/>
      </c>
      <c r="U547" s="34" t="str">
        <f aca="false">IF(AND(A547&lt;&gt;"",OR(K547="Move to business rules",K547="Merge into certified table")),COUNTIF($K$5:K547,"Move to business rules")+COUNTIF($K$5:K547,"Merge into certified table"),"")</f>
        <v/>
      </c>
      <c r="V547" s="34" t="str">
        <f aca="false">IF(AND(A547&lt;&gt;"",OR(K547="",K547="Undecided",J547="")),SUMPRODUCT(($A$5:A547&lt;&gt;"")*((($K$5:K547="")+($K$5:K547="Undecided")+($J$5:J547=""))&gt;0)),"")</f>
        <v/>
      </c>
    </row>
    <row r="548" customFormat="false" ht="15" hidden="false" customHeight="false" outlineLevel="0" collapsed="false">
      <c r="A548" s="29"/>
      <c r="B548" s="30"/>
      <c r="C548" s="30"/>
      <c r="D548" s="29"/>
      <c r="E548" s="20" t="str">
        <f aca="false">IF(D548="","",IFERROR(INDEX(Tables!$B:$B,MATCH(D548,Tables!$A:$A,0)),"ID not found"))</f>
        <v/>
      </c>
      <c r="F548" s="20" t="str">
        <f aca="false">IF(D548="","",IFERROR(INDEX(Tables!$C:$C,MATCH(D548,Tables!$A:$A,0)),""))</f>
        <v/>
      </c>
      <c r="G548" s="30"/>
      <c r="H548" s="30"/>
      <c r="I548" s="30"/>
      <c r="J548" s="30"/>
      <c r="K548" s="30"/>
      <c r="L548" s="30"/>
      <c r="M548" s="30"/>
      <c r="N548" s="20" t="str">
        <f aca="false">IF(A548="","",COUNTIF('Metric to Field'!$B:$B,A548))</f>
        <v/>
      </c>
      <c r="O548" s="20" t="str">
        <f aca="false">IF(A548="","",SUMIF('Metric to Field'!$B:$B,A548,'Metric to Field'!$F:$F))</f>
        <v/>
      </c>
      <c r="P548" s="30"/>
      <c r="Q548" s="30"/>
      <c r="R548" s="30"/>
      <c r="S548" s="30"/>
      <c r="T548" s="34" t="str">
        <f aca="false">IF(AND(A548&lt;&gt;"",K548="Fix upstream"),COUNTIF($K$5:K548,"Fix upstream"),"")</f>
        <v/>
      </c>
      <c r="U548" s="34" t="str">
        <f aca="false">IF(AND(A548&lt;&gt;"",OR(K548="Move to business rules",K548="Merge into certified table")),COUNTIF($K$5:K548,"Move to business rules")+COUNTIF($K$5:K548,"Merge into certified table"),"")</f>
        <v/>
      </c>
      <c r="V548" s="34" t="str">
        <f aca="false">IF(AND(A548&lt;&gt;"",OR(K548="",K548="Undecided",J548="")),SUMPRODUCT(($A$5:A548&lt;&gt;"")*((($K$5:K548="")+($K$5:K548="Undecided")+($J$5:J548=""))&gt;0)),"")</f>
        <v/>
      </c>
    </row>
    <row r="549" customFormat="false" ht="15" hidden="false" customHeight="false" outlineLevel="0" collapsed="false">
      <c r="A549" s="29"/>
      <c r="B549" s="30"/>
      <c r="C549" s="30"/>
      <c r="D549" s="29"/>
      <c r="E549" s="20" t="str">
        <f aca="false">IF(D549="","",IFERROR(INDEX(Tables!$B:$B,MATCH(D549,Tables!$A:$A,0)),"ID not found"))</f>
        <v/>
      </c>
      <c r="F549" s="20" t="str">
        <f aca="false">IF(D549="","",IFERROR(INDEX(Tables!$C:$C,MATCH(D549,Tables!$A:$A,0)),""))</f>
        <v/>
      </c>
      <c r="G549" s="30"/>
      <c r="H549" s="30"/>
      <c r="I549" s="30"/>
      <c r="J549" s="30"/>
      <c r="K549" s="30"/>
      <c r="L549" s="30"/>
      <c r="M549" s="30"/>
      <c r="N549" s="20" t="str">
        <f aca="false">IF(A549="","",COUNTIF('Metric to Field'!$B:$B,A549))</f>
        <v/>
      </c>
      <c r="O549" s="20" t="str">
        <f aca="false">IF(A549="","",SUMIF('Metric to Field'!$B:$B,A549,'Metric to Field'!$F:$F))</f>
        <v/>
      </c>
      <c r="P549" s="30"/>
      <c r="Q549" s="30"/>
      <c r="R549" s="30"/>
      <c r="S549" s="30"/>
      <c r="T549" s="34" t="str">
        <f aca="false">IF(AND(A549&lt;&gt;"",K549="Fix upstream"),COUNTIF($K$5:K549,"Fix upstream"),"")</f>
        <v/>
      </c>
      <c r="U549" s="34" t="str">
        <f aca="false">IF(AND(A549&lt;&gt;"",OR(K549="Move to business rules",K549="Merge into certified table")),COUNTIF($K$5:K549,"Move to business rules")+COUNTIF($K$5:K549,"Merge into certified table"),"")</f>
        <v/>
      </c>
      <c r="V549" s="34" t="str">
        <f aca="false">IF(AND(A549&lt;&gt;"",OR(K549="",K549="Undecided",J549="")),SUMPRODUCT(($A$5:A549&lt;&gt;"")*((($K$5:K549="")+($K$5:K549="Undecided")+($J$5:J549=""))&gt;0)),"")</f>
        <v/>
      </c>
    </row>
    <row r="550" customFormat="false" ht="15" hidden="false" customHeight="false" outlineLevel="0" collapsed="false">
      <c r="A550" s="29"/>
      <c r="B550" s="30"/>
      <c r="C550" s="30"/>
      <c r="D550" s="29"/>
      <c r="E550" s="20" t="str">
        <f aca="false">IF(D550="","",IFERROR(INDEX(Tables!$B:$B,MATCH(D550,Tables!$A:$A,0)),"ID not found"))</f>
        <v/>
      </c>
      <c r="F550" s="20" t="str">
        <f aca="false">IF(D550="","",IFERROR(INDEX(Tables!$C:$C,MATCH(D550,Tables!$A:$A,0)),""))</f>
        <v/>
      </c>
      <c r="G550" s="30"/>
      <c r="H550" s="30"/>
      <c r="I550" s="30"/>
      <c r="J550" s="30"/>
      <c r="K550" s="30"/>
      <c r="L550" s="30"/>
      <c r="M550" s="30"/>
      <c r="N550" s="20" t="str">
        <f aca="false">IF(A550="","",COUNTIF('Metric to Field'!$B:$B,A550))</f>
        <v/>
      </c>
      <c r="O550" s="20" t="str">
        <f aca="false">IF(A550="","",SUMIF('Metric to Field'!$B:$B,A550,'Metric to Field'!$F:$F))</f>
        <v/>
      </c>
      <c r="P550" s="30"/>
      <c r="Q550" s="30"/>
      <c r="R550" s="30"/>
      <c r="S550" s="30"/>
      <c r="T550" s="34" t="str">
        <f aca="false">IF(AND(A550&lt;&gt;"",K550="Fix upstream"),COUNTIF($K$5:K550,"Fix upstream"),"")</f>
        <v/>
      </c>
      <c r="U550" s="34" t="str">
        <f aca="false">IF(AND(A550&lt;&gt;"",OR(K550="Move to business rules",K550="Merge into certified table")),COUNTIF($K$5:K550,"Move to business rules")+COUNTIF($K$5:K550,"Merge into certified table"),"")</f>
        <v/>
      </c>
      <c r="V550" s="34" t="str">
        <f aca="false">IF(AND(A550&lt;&gt;"",OR(K550="",K550="Undecided",J550="")),SUMPRODUCT(($A$5:A550&lt;&gt;"")*((($K$5:K550="")+($K$5:K550="Undecided")+($J$5:J550=""))&gt;0)),"")</f>
        <v/>
      </c>
    </row>
    <row r="551" customFormat="false" ht="15" hidden="false" customHeight="false" outlineLevel="0" collapsed="false">
      <c r="A551" s="29"/>
      <c r="B551" s="30"/>
      <c r="C551" s="30"/>
      <c r="D551" s="29"/>
      <c r="E551" s="20" t="str">
        <f aca="false">IF(D551="","",IFERROR(INDEX(Tables!$B:$B,MATCH(D551,Tables!$A:$A,0)),"ID not found"))</f>
        <v/>
      </c>
      <c r="F551" s="20" t="str">
        <f aca="false">IF(D551="","",IFERROR(INDEX(Tables!$C:$C,MATCH(D551,Tables!$A:$A,0)),""))</f>
        <v/>
      </c>
      <c r="G551" s="30"/>
      <c r="H551" s="30"/>
      <c r="I551" s="30"/>
      <c r="J551" s="30"/>
      <c r="K551" s="30"/>
      <c r="L551" s="30"/>
      <c r="M551" s="30"/>
      <c r="N551" s="20" t="str">
        <f aca="false">IF(A551="","",COUNTIF('Metric to Field'!$B:$B,A551))</f>
        <v/>
      </c>
      <c r="O551" s="20" t="str">
        <f aca="false">IF(A551="","",SUMIF('Metric to Field'!$B:$B,A551,'Metric to Field'!$F:$F))</f>
        <v/>
      </c>
      <c r="P551" s="30"/>
      <c r="Q551" s="30"/>
      <c r="R551" s="30"/>
      <c r="S551" s="30"/>
      <c r="T551" s="34" t="str">
        <f aca="false">IF(AND(A551&lt;&gt;"",K551="Fix upstream"),COUNTIF($K$5:K551,"Fix upstream"),"")</f>
        <v/>
      </c>
      <c r="U551" s="34" t="str">
        <f aca="false">IF(AND(A551&lt;&gt;"",OR(K551="Move to business rules",K551="Merge into certified table")),COUNTIF($K$5:K551,"Move to business rules")+COUNTIF($K$5:K551,"Merge into certified table"),"")</f>
        <v/>
      </c>
      <c r="V551" s="34" t="str">
        <f aca="false">IF(AND(A551&lt;&gt;"",OR(K551="",K551="Undecided",J551="")),SUMPRODUCT(($A$5:A551&lt;&gt;"")*((($K$5:K551="")+($K$5:K551="Undecided")+($J$5:J551=""))&gt;0)),"")</f>
        <v/>
      </c>
    </row>
    <row r="552" customFormat="false" ht="15" hidden="false" customHeight="false" outlineLevel="0" collapsed="false">
      <c r="A552" s="29"/>
      <c r="B552" s="30"/>
      <c r="C552" s="30"/>
      <c r="D552" s="29"/>
      <c r="E552" s="20" t="str">
        <f aca="false">IF(D552="","",IFERROR(INDEX(Tables!$B:$B,MATCH(D552,Tables!$A:$A,0)),"ID not found"))</f>
        <v/>
      </c>
      <c r="F552" s="20" t="str">
        <f aca="false">IF(D552="","",IFERROR(INDEX(Tables!$C:$C,MATCH(D552,Tables!$A:$A,0)),""))</f>
        <v/>
      </c>
      <c r="G552" s="30"/>
      <c r="H552" s="30"/>
      <c r="I552" s="30"/>
      <c r="J552" s="30"/>
      <c r="K552" s="30"/>
      <c r="L552" s="30"/>
      <c r="M552" s="30"/>
      <c r="N552" s="20" t="str">
        <f aca="false">IF(A552="","",COUNTIF('Metric to Field'!$B:$B,A552))</f>
        <v/>
      </c>
      <c r="O552" s="20" t="str">
        <f aca="false">IF(A552="","",SUMIF('Metric to Field'!$B:$B,A552,'Metric to Field'!$F:$F))</f>
        <v/>
      </c>
      <c r="P552" s="30"/>
      <c r="Q552" s="30"/>
      <c r="R552" s="30"/>
      <c r="S552" s="30"/>
      <c r="T552" s="34" t="str">
        <f aca="false">IF(AND(A552&lt;&gt;"",K552="Fix upstream"),COUNTIF($K$5:K552,"Fix upstream"),"")</f>
        <v/>
      </c>
      <c r="U552" s="34" t="str">
        <f aca="false">IF(AND(A552&lt;&gt;"",OR(K552="Move to business rules",K552="Merge into certified table")),COUNTIF($K$5:K552,"Move to business rules")+COUNTIF($K$5:K552,"Merge into certified table"),"")</f>
        <v/>
      </c>
      <c r="V552" s="34" t="str">
        <f aca="false">IF(AND(A552&lt;&gt;"",OR(K552="",K552="Undecided",J552="")),SUMPRODUCT(($A$5:A552&lt;&gt;"")*((($K$5:K552="")+($K$5:K552="Undecided")+($J$5:J552=""))&gt;0)),"")</f>
        <v/>
      </c>
    </row>
    <row r="553" customFormat="false" ht="15" hidden="false" customHeight="false" outlineLevel="0" collapsed="false">
      <c r="A553" s="29"/>
      <c r="B553" s="30"/>
      <c r="C553" s="30"/>
      <c r="D553" s="29"/>
      <c r="E553" s="20" t="str">
        <f aca="false">IF(D553="","",IFERROR(INDEX(Tables!$B:$B,MATCH(D553,Tables!$A:$A,0)),"ID not found"))</f>
        <v/>
      </c>
      <c r="F553" s="20" t="str">
        <f aca="false">IF(D553="","",IFERROR(INDEX(Tables!$C:$C,MATCH(D553,Tables!$A:$A,0)),""))</f>
        <v/>
      </c>
      <c r="G553" s="30"/>
      <c r="H553" s="30"/>
      <c r="I553" s="30"/>
      <c r="J553" s="30"/>
      <c r="K553" s="30"/>
      <c r="L553" s="30"/>
      <c r="M553" s="30"/>
      <c r="N553" s="20" t="str">
        <f aca="false">IF(A553="","",COUNTIF('Metric to Field'!$B:$B,A553))</f>
        <v/>
      </c>
      <c r="O553" s="20" t="str">
        <f aca="false">IF(A553="","",SUMIF('Metric to Field'!$B:$B,A553,'Metric to Field'!$F:$F))</f>
        <v/>
      </c>
      <c r="P553" s="30"/>
      <c r="Q553" s="30"/>
      <c r="R553" s="30"/>
      <c r="S553" s="30"/>
      <c r="T553" s="34" t="str">
        <f aca="false">IF(AND(A553&lt;&gt;"",K553="Fix upstream"),COUNTIF($K$5:K553,"Fix upstream"),"")</f>
        <v/>
      </c>
      <c r="U553" s="34" t="str">
        <f aca="false">IF(AND(A553&lt;&gt;"",OR(K553="Move to business rules",K553="Merge into certified table")),COUNTIF($K$5:K553,"Move to business rules")+COUNTIF($K$5:K553,"Merge into certified table"),"")</f>
        <v/>
      </c>
      <c r="V553" s="34" t="str">
        <f aca="false">IF(AND(A553&lt;&gt;"",OR(K553="",K553="Undecided",J553="")),SUMPRODUCT(($A$5:A553&lt;&gt;"")*((($K$5:K553="")+($K$5:K553="Undecided")+($J$5:J553=""))&gt;0)),"")</f>
        <v/>
      </c>
    </row>
    <row r="554" customFormat="false" ht="15" hidden="false" customHeight="false" outlineLevel="0" collapsed="false">
      <c r="A554" s="29"/>
      <c r="B554" s="30"/>
      <c r="C554" s="30"/>
      <c r="D554" s="29"/>
      <c r="E554" s="20" t="str">
        <f aca="false">IF(D554="","",IFERROR(INDEX(Tables!$B:$B,MATCH(D554,Tables!$A:$A,0)),"ID not found"))</f>
        <v/>
      </c>
      <c r="F554" s="20" t="str">
        <f aca="false">IF(D554="","",IFERROR(INDEX(Tables!$C:$C,MATCH(D554,Tables!$A:$A,0)),""))</f>
        <v/>
      </c>
      <c r="G554" s="30"/>
      <c r="H554" s="30"/>
      <c r="I554" s="30"/>
      <c r="J554" s="30"/>
      <c r="K554" s="30"/>
      <c r="L554" s="30"/>
      <c r="M554" s="30"/>
      <c r="N554" s="20" t="str">
        <f aca="false">IF(A554="","",COUNTIF('Metric to Field'!$B:$B,A554))</f>
        <v/>
      </c>
      <c r="O554" s="20" t="str">
        <f aca="false">IF(A554="","",SUMIF('Metric to Field'!$B:$B,A554,'Metric to Field'!$F:$F))</f>
        <v/>
      </c>
      <c r="P554" s="30"/>
      <c r="Q554" s="30"/>
      <c r="R554" s="30"/>
      <c r="S554" s="30"/>
      <c r="T554" s="34" t="str">
        <f aca="false">IF(AND(A554&lt;&gt;"",K554="Fix upstream"),COUNTIF($K$5:K554,"Fix upstream"),"")</f>
        <v/>
      </c>
      <c r="U554" s="34" t="str">
        <f aca="false">IF(AND(A554&lt;&gt;"",OR(K554="Move to business rules",K554="Merge into certified table")),COUNTIF($K$5:K554,"Move to business rules")+COUNTIF($K$5:K554,"Merge into certified table"),"")</f>
        <v/>
      </c>
      <c r="V554" s="34" t="str">
        <f aca="false">IF(AND(A554&lt;&gt;"",OR(K554="",K554="Undecided",J554="")),SUMPRODUCT(($A$5:A554&lt;&gt;"")*((($K$5:K554="")+($K$5:K554="Undecided")+($J$5:J554=""))&gt;0)),"")</f>
        <v/>
      </c>
    </row>
    <row r="555" customFormat="false" ht="15" hidden="false" customHeight="false" outlineLevel="0" collapsed="false">
      <c r="A555" s="29"/>
      <c r="B555" s="30"/>
      <c r="C555" s="30"/>
      <c r="D555" s="29"/>
      <c r="E555" s="20" t="str">
        <f aca="false">IF(D555="","",IFERROR(INDEX(Tables!$B:$B,MATCH(D555,Tables!$A:$A,0)),"ID not found"))</f>
        <v/>
      </c>
      <c r="F555" s="20" t="str">
        <f aca="false">IF(D555="","",IFERROR(INDEX(Tables!$C:$C,MATCH(D555,Tables!$A:$A,0)),""))</f>
        <v/>
      </c>
      <c r="G555" s="30"/>
      <c r="H555" s="30"/>
      <c r="I555" s="30"/>
      <c r="J555" s="30"/>
      <c r="K555" s="30"/>
      <c r="L555" s="30"/>
      <c r="M555" s="30"/>
      <c r="N555" s="20" t="str">
        <f aca="false">IF(A555="","",COUNTIF('Metric to Field'!$B:$B,A555))</f>
        <v/>
      </c>
      <c r="O555" s="20" t="str">
        <f aca="false">IF(A555="","",SUMIF('Metric to Field'!$B:$B,A555,'Metric to Field'!$F:$F))</f>
        <v/>
      </c>
      <c r="P555" s="30"/>
      <c r="Q555" s="30"/>
      <c r="R555" s="30"/>
      <c r="S555" s="30"/>
      <c r="T555" s="34" t="str">
        <f aca="false">IF(AND(A555&lt;&gt;"",K555="Fix upstream"),COUNTIF($K$5:K555,"Fix upstream"),"")</f>
        <v/>
      </c>
      <c r="U555" s="34" t="str">
        <f aca="false">IF(AND(A555&lt;&gt;"",OR(K555="Move to business rules",K555="Merge into certified table")),COUNTIF($K$5:K555,"Move to business rules")+COUNTIF($K$5:K555,"Merge into certified table"),"")</f>
        <v/>
      </c>
      <c r="V555" s="34" t="str">
        <f aca="false">IF(AND(A555&lt;&gt;"",OR(K555="",K555="Undecided",J555="")),SUMPRODUCT(($A$5:A555&lt;&gt;"")*((($K$5:K555="")+($K$5:K555="Undecided")+($J$5:J555=""))&gt;0)),"")</f>
        <v/>
      </c>
    </row>
    <row r="556" customFormat="false" ht="15" hidden="false" customHeight="false" outlineLevel="0" collapsed="false">
      <c r="A556" s="29"/>
      <c r="B556" s="30"/>
      <c r="C556" s="30"/>
      <c r="D556" s="29"/>
      <c r="E556" s="20" t="str">
        <f aca="false">IF(D556="","",IFERROR(INDEX(Tables!$B:$B,MATCH(D556,Tables!$A:$A,0)),"ID not found"))</f>
        <v/>
      </c>
      <c r="F556" s="20" t="str">
        <f aca="false">IF(D556="","",IFERROR(INDEX(Tables!$C:$C,MATCH(D556,Tables!$A:$A,0)),""))</f>
        <v/>
      </c>
      <c r="G556" s="30"/>
      <c r="H556" s="30"/>
      <c r="I556" s="30"/>
      <c r="J556" s="30"/>
      <c r="K556" s="30"/>
      <c r="L556" s="30"/>
      <c r="M556" s="30"/>
      <c r="N556" s="20" t="str">
        <f aca="false">IF(A556="","",COUNTIF('Metric to Field'!$B:$B,A556))</f>
        <v/>
      </c>
      <c r="O556" s="20" t="str">
        <f aca="false">IF(A556="","",SUMIF('Metric to Field'!$B:$B,A556,'Metric to Field'!$F:$F))</f>
        <v/>
      </c>
      <c r="P556" s="30"/>
      <c r="Q556" s="30"/>
      <c r="R556" s="30"/>
      <c r="S556" s="30"/>
      <c r="T556" s="34" t="str">
        <f aca="false">IF(AND(A556&lt;&gt;"",K556="Fix upstream"),COUNTIF($K$5:K556,"Fix upstream"),"")</f>
        <v/>
      </c>
      <c r="U556" s="34" t="str">
        <f aca="false">IF(AND(A556&lt;&gt;"",OR(K556="Move to business rules",K556="Merge into certified table")),COUNTIF($K$5:K556,"Move to business rules")+COUNTIF($K$5:K556,"Merge into certified table"),"")</f>
        <v/>
      </c>
      <c r="V556" s="34" t="str">
        <f aca="false">IF(AND(A556&lt;&gt;"",OR(K556="",K556="Undecided",J556="")),SUMPRODUCT(($A$5:A556&lt;&gt;"")*((($K$5:K556="")+($K$5:K556="Undecided")+($J$5:J556=""))&gt;0)),"")</f>
        <v/>
      </c>
    </row>
    <row r="557" customFormat="false" ht="15" hidden="false" customHeight="false" outlineLevel="0" collapsed="false">
      <c r="A557" s="29"/>
      <c r="B557" s="30"/>
      <c r="C557" s="30"/>
      <c r="D557" s="29"/>
      <c r="E557" s="20" t="str">
        <f aca="false">IF(D557="","",IFERROR(INDEX(Tables!$B:$B,MATCH(D557,Tables!$A:$A,0)),"ID not found"))</f>
        <v/>
      </c>
      <c r="F557" s="20" t="str">
        <f aca="false">IF(D557="","",IFERROR(INDEX(Tables!$C:$C,MATCH(D557,Tables!$A:$A,0)),""))</f>
        <v/>
      </c>
      <c r="G557" s="30"/>
      <c r="H557" s="30"/>
      <c r="I557" s="30"/>
      <c r="J557" s="30"/>
      <c r="K557" s="30"/>
      <c r="L557" s="30"/>
      <c r="M557" s="30"/>
      <c r="N557" s="20" t="str">
        <f aca="false">IF(A557="","",COUNTIF('Metric to Field'!$B:$B,A557))</f>
        <v/>
      </c>
      <c r="O557" s="20" t="str">
        <f aca="false">IF(A557="","",SUMIF('Metric to Field'!$B:$B,A557,'Metric to Field'!$F:$F))</f>
        <v/>
      </c>
      <c r="P557" s="30"/>
      <c r="Q557" s="30"/>
      <c r="R557" s="30"/>
      <c r="S557" s="30"/>
      <c r="T557" s="34" t="str">
        <f aca="false">IF(AND(A557&lt;&gt;"",K557="Fix upstream"),COUNTIF($K$5:K557,"Fix upstream"),"")</f>
        <v/>
      </c>
      <c r="U557" s="34" t="str">
        <f aca="false">IF(AND(A557&lt;&gt;"",OR(K557="Move to business rules",K557="Merge into certified table")),COUNTIF($K$5:K557,"Move to business rules")+COUNTIF($K$5:K557,"Merge into certified table"),"")</f>
        <v/>
      </c>
      <c r="V557" s="34" t="str">
        <f aca="false">IF(AND(A557&lt;&gt;"",OR(K557="",K557="Undecided",J557="")),SUMPRODUCT(($A$5:A557&lt;&gt;"")*((($K$5:K557="")+($K$5:K557="Undecided")+($J$5:J557=""))&gt;0)),"")</f>
        <v/>
      </c>
    </row>
    <row r="558" customFormat="false" ht="15" hidden="false" customHeight="false" outlineLevel="0" collapsed="false">
      <c r="A558" s="29"/>
      <c r="B558" s="30"/>
      <c r="C558" s="30"/>
      <c r="D558" s="29"/>
      <c r="E558" s="20" t="str">
        <f aca="false">IF(D558="","",IFERROR(INDEX(Tables!$B:$B,MATCH(D558,Tables!$A:$A,0)),"ID not found"))</f>
        <v/>
      </c>
      <c r="F558" s="20" t="str">
        <f aca="false">IF(D558="","",IFERROR(INDEX(Tables!$C:$C,MATCH(D558,Tables!$A:$A,0)),""))</f>
        <v/>
      </c>
      <c r="G558" s="30"/>
      <c r="H558" s="30"/>
      <c r="I558" s="30"/>
      <c r="J558" s="30"/>
      <c r="K558" s="30"/>
      <c r="L558" s="30"/>
      <c r="M558" s="30"/>
      <c r="N558" s="20" t="str">
        <f aca="false">IF(A558="","",COUNTIF('Metric to Field'!$B:$B,A558))</f>
        <v/>
      </c>
      <c r="O558" s="20" t="str">
        <f aca="false">IF(A558="","",SUMIF('Metric to Field'!$B:$B,A558,'Metric to Field'!$F:$F))</f>
        <v/>
      </c>
      <c r="P558" s="30"/>
      <c r="Q558" s="30"/>
      <c r="R558" s="30"/>
      <c r="S558" s="30"/>
      <c r="T558" s="34" t="str">
        <f aca="false">IF(AND(A558&lt;&gt;"",K558="Fix upstream"),COUNTIF($K$5:K558,"Fix upstream"),"")</f>
        <v/>
      </c>
      <c r="U558" s="34" t="str">
        <f aca="false">IF(AND(A558&lt;&gt;"",OR(K558="Move to business rules",K558="Merge into certified table")),COUNTIF($K$5:K558,"Move to business rules")+COUNTIF($K$5:K558,"Merge into certified table"),"")</f>
        <v/>
      </c>
      <c r="V558" s="34" t="str">
        <f aca="false">IF(AND(A558&lt;&gt;"",OR(K558="",K558="Undecided",J558="")),SUMPRODUCT(($A$5:A558&lt;&gt;"")*((($K$5:K558="")+($K$5:K558="Undecided")+($J$5:J558=""))&gt;0)),"")</f>
        <v/>
      </c>
    </row>
    <row r="559" customFormat="false" ht="15" hidden="false" customHeight="false" outlineLevel="0" collapsed="false">
      <c r="A559" s="29"/>
      <c r="B559" s="30"/>
      <c r="C559" s="30"/>
      <c r="D559" s="29"/>
      <c r="E559" s="20" t="str">
        <f aca="false">IF(D559="","",IFERROR(INDEX(Tables!$B:$B,MATCH(D559,Tables!$A:$A,0)),"ID not found"))</f>
        <v/>
      </c>
      <c r="F559" s="20" t="str">
        <f aca="false">IF(D559="","",IFERROR(INDEX(Tables!$C:$C,MATCH(D559,Tables!$A:$A,0)),""))</f>
        <v/>
      </c>
      <c r="G559" s="30"/>
      <c r="H559" s="30"/>
      <c r="I559" s="30"/>
      <c r="J559" s="30"/>
      <c r="K559" s="30"/>
      <c r="L559" s="30"/>
      <c r="M559" s="30"/>
      <c r="N559" s="20" t="str">
        <f aca="false">IF(A559="","",COUNTIF('Metric to Field'!$B:$B,A559))</f>
        <v/>
      </c>
      <c r="O559" s="20" t="str">
        <f aca="false">IF(A559="","",SUMIF('Metric to Field'!$B:$B,A559,'Metric to Field'!$F:$F))</f>
        <v/>
      </c>
      <c r="P559" s="30"/>
      <c r="Q559" s="30"/>
      <c r="R559" s="30"/>
      <c r="S559" s="30"/>
      <c r="T559" s="34" t="str">
        <f aca="false">IF(AND(A559&lt;&gt;"",K559="Fix upstream"),COUNTIF($K$5:K559,"Fix upstream"),"")</f>
        <v/>
      </c>
      <c r="U559" s="34" t="str">
        <f aca="false">IF(AND(A559&lt;&gt;"",OR(K559="Move to business rules",K559="Merge into certified table")),COUNTIF($K$5:K559,"Move to business rules")+COUNTIF($K$5:K559,"Merge into certified table"),"")</f>
        <v/>
      </c>
      <c r="V559" s="34" t="str">
        <f aca="false">IF(AND(A559&lt;&gt;"",OR(K559="",K559="Undecided",J559="")),SUMPRODUCT(($A$5:A559&lt;&gt;"")*((($K$5:K559="")+($K$5:K559="Undecided")+($J$5:J559=""))&gt;0)),"")</f>
        <v/>
      </c>
    </row>
    <row r="560" customFormat="false" ht="15" hidden="false" customHeight="false" outlineLevel="0" collapsed="false">
      <c r="A560" s="29"/>
      <c r="B560" s="30"/>
      <c r="C560" s="30"/>
      <c r="D560" s="29"/>
      <c r="E560" s="20" t="str">
        <f aca="false">IF(D560="","",IFERROR(INDEX(Tables!$B:$B,MATCH(D560,Tables!$A:$A,0)),"ID not found"))</f>
        <v/>
      </c>
      <c r="F560" s="20" t="str">
        <f aca="false">IF(D560="","",IFERROR(INDEX(Tables!$C:$C,MATCH(D560,Tables!$A:$A,0)),""))</f>
        <v/>
      </c>
      <c r="G560" s="30"/>
      <c r="H560" s="30"/>
      <c r="I560" s="30"/>
      <c r="J560" s="30"/>
      <c r="K560" s="30"/>
      <c r="L560" s="30"/>
      <c r="M560" s="30"/>
      <c r="N560" s="20" t="str">
        <f aca="false">IF(A560="","",COUNTIF('Metric to Field'!$B:$B,A560))</f>
        <v/>
      </c>
      <c r="O560" s="20" t="str">
        <f aca="false">IF(A560="","",SUMIF('Metric to Field'!$B:$B,A560,'Metric to Field'!$F:$F))</f>
        <v/>
      </c>
      <c r="P560" s="30"/>
      <c r="Q560" s="30"/>
      <c r="R560" s="30"/>
      <c r="S560" s="30"/>
      <c r="T560" s="34" t="str">
        <f aca="false">IF(AND(A560&lt;&gt;"",K560="Fix upstream"),COUNTIF($K$5:K560,"Fix upstream"),"")</f>
        <v/>
      </c>
      <c r="U560" s="34" t="str">
        <f aca="false">IF(AND(A560&lt;&gt;"",OR(K560="Move to business rules",K560="Merge into certified table")),COUNTIF($K$5:K560,"Move to business rules")+COUNTIF($K$5:K560,"Merge into certified table"),"")</f>
        <v/>
      </c>
      <c r="V560" s="34" t="str">
        <f aca="false">IF(AND(A560&lt;&gt;"",OR(K560="",K560="Undecided",J560="")),SUMPRODUCT(($A$5:A560&lt;&gt;"")*((($K$5:K560="")+($K$5:K560="Undecided")+($J$5:J560=""))&gt;0)),"")</f>
        <v/>
      </c>
    </row>
    <row r="561" customFormat="false" ht="15" hidden="false" customHeight="false" outlineLevel="0" collapsed="false">
      <c r="A561" s="29"/>
      <c r="B561" s="30"/>
      <c r="C561" s="30"/>
      <c r="D561" s="29"/>
      <c r="E561" s="20" t="str">
        <f aca="false">IF(D561="","",IFERROR(INDEX(Tables!$B:$B,MATCH(D561,Tables!$A:$A,0)),"ID not found"))</f>
        <v/>
      </c>
      <c r="F561" s="20" t="str">
        <f aca="false">IF(D561="","",IFERROR(INDEX(Tables!$C:$C,MATCH(D561,Tables!$A:$A,0)),""))</f>
        <v/>
      </c>
      <c r="G561" s="30"/>
      <c r="H561" s="30"/>
      <c r="I561" s="30"/>
      <c r="J561" s="30"/>
      <c r="K561" s="30"/>
      <c r="L561" s="30"/>
      <c r="M561" s="30"/>
      <c r="N561" s="20" t="str">
        <f aca="false">IF(A561="","",COUNTIF('Metric to Field'!$B:$B,A561))</f>
        <v/>
      </c>
      <c r="O561" s="20" t="str">
        <f aca="false">IF(A561="","",SUMIF('Metric to Field'!$B:$B,A561,'Metric to Field'!$F:$F))</f>
        <v/>
      </c>
      <c r="P561" s="30"/>
      <c r="Q561" s="30"/>
      <c r="R561" s="30"/>
      <c r="S561" s="30"/>
      <c r="T561" s="34" t="str">
        <f aca="false">IF(AND(A561&lt;&gt;"",K561="Fix upstream"),COUNTIF($K$5:K561,"Fix upstream"),"")</f>
        <v/>
      </c>
      <c r="U561" s="34" t="str">
        <f aca="false">IF(AND(A561&lt;&gt;"",OR(K561="Move to business rules",K561="Merge into certified table")),COUNTIF($K$5:K561,"Move to business rules")+COUNTIF($K$5:K561,"Merge into certified table"),"")</f>
        <v/>
      </c>
      <c r="V561" s="34" t="str">
        <f aca="false">IF(AND(A561&lt;&gt;"",OR(K561="",K561="Undecided",J561="")),SUMPRODUCT(($A$5:A561&lt;&gt;"")*((($K$5:K561="")+($K$5:K561="Undecided")+($J$5:J561=""))&gt;0)),"")</f>
        <v/>
      </c>
    </row>
    <row r="562" customFormat="false" ht="15" hidden="false" customHeight="false" outlineLevel="0" collapsed="false">
      <c r="A562" s="29"/>
      <c r="B562" s="30"/>
      <c r="C562" s="30"/>
      <c r="D562" s="29"/>
      <c r="E562" s="20" t="str">
        <f aca="false">IF(D562="","",IFERROR(INDEX(Tables!$B:$B,MATCH(D562,Tables!$A:$A,0)),"ID not found"))</f>
        <v/>
      </c>
      <c r="F562" s="20" t="str">
        <f aca="false">IF(D562="","",IFERROR(INDEX(Tables!$C:$C,MATCH(D562,Tables!$A:$A,0)),""))</f>
        <v/>
      </c>
      <c r="G562" s="30"/>
      <c r="H562" s="30"/>
      <c r="I562" s="30"/>
      <c r="J562" s="30"/>
      <c r="K562" s="30"/>
      <c r="L562" s="30"/>
      <c r="M562" s="30"/>
      <c r="N562" s="20" t="str">
        <f aca="false">IF(A562="","",COUNTIF('Metric to Field'!$B:$B,A562))</f>
        <v/>
      </c>
      <c r="O562" s="20" t="str">
        <f aca="false">IF(A562="","",SUMIF('Metric to Field'!$B:$B,A562,'Metric to Field'!$F:$F))</f>
        <v/>
      </c>
      <c r="P562" s="30"/>
      <c r="Q562" s="30"/>
      <c r="R562" s="30"/>
      <c r="S562" s="30"/>
      <c r="T562" s="34" t="str">
        <f aca="false">IF(AND(A562&lt;&gt;"",K562="Fix upstream"),COUNTIF($K$5:K562,"Fix upstream"),"")</f>
        <v/>
      </c>
      <c r="U562" s="34" t="str">
        <f aca="false">IF(AND(A562&lt;&gt;"",OR(K562="Move to business rules",K562="Merge into certified table")),COUNTIF($K$5:K562,"Move to business rules")+COUNTIF($K$5:K562,"Merge into certified table"),"")</f>
        <v/>
      </c>
      <c r="V562" s="34" t="str">
        <f aca="false">IF(AND(A562&lt;&gt;"",OR(K562="",K562="Undecided",J562="")),SUMPRODUCT(($A$5:A562&lt;&gt;"")*((($K$5:K562="")+($K$5:K562="Undecided")+($J$5:J562=""))&gt;0)),"")</f>
        <v/>
      </c>
    </row>
    <row r="563" customFormat="false" ht="15" hidden="false" customHeight="false" outlineLevel="0" collapsed="false">
      <c r="A563" s="29"/>
      <c r="B563" s="30"/>
      <c r="C563" s="30"/>
      <c r="D563" s="29"/>
      <c r="E563" s="20" t="str">
        <f aca="false">IF(D563="","",IFERROR(INDEX(Tables!$B:$B,MATCH(D563,Tables!$A:$A,0)),"ID not found"))</f>
        <v/>
      </c>
      <c r="F563" s="20" t="str">
        <f aca="false">IF(D563="","",IFERROR(INDEX(Tables!$C:$C,MATCH(D563,Tables!$A:$A,0)),""))</f>
        <v/>
      </c>
      <c r="G563" s="30"/>
      <c r="H563" s="30"/>
      <c r="I563" s="30"/>
      <c r="J563" s="30"/>
      <c r="K563" s="30"/>
      <c r="L563" s="30"/>
      <c r="M563" s="30"/>
      <c r="N563" s="20" t="str">
        <f aca="false">IF(A563="","",COUNTIF('Metric to Field'!$B:$B,A563))</f>
        <v/>
      </c>
      <c r="O563" s="20" t="str">
        <f aca="false">IF(A563="","",SUMIF('Metric to Field'!$B:$B,A563,'Metric to Field'!$F:$F))</f>
        <v/>
      </c>
      <c r="P563" s="30"/>
      <c r="Q563" s="30"/>
      <c r="R563" s="30"/>
      <c r="S563" s="30"/>
      <c r="T563" s="34" t="str">
        <f aca="false">IF(AND(A563&lt;&gt;"",K563="Fix upstream"),COUNTIF($K$5:K563,"Fix upstream"),"")</f>
        <v/>
      </c>
      <c r="U563" s="34" t="str">
        <f aca="false">IF(AND(A563&lt;&gt;"",OR(K563="Move to business rules",K563="Merge into certified table")),COUNTIF($K$5:K563,"Move to business rules")+COUNTIF($K$5:K563,"Merge into certified table"),"")</f>
        <v/>
      </c>
      <c r="V563" s="34" t="str">
        <f aca="false">IF(AND(A563&lt;&gt;"",OR(K563="",K563="Undecided",J563="")),SUMPRODUCT(($A$5:A563&lt;&gt;"")*((($K$5:K563="")+($K$5:K563="Undecided")+($J$5:J563=""))&gt;0)),"")</f>
        <v/>
      </c>
    </row>
    <row r="564" customFormat="false" ht="15" hidden="false" customHeight="false" outlineLevel="0" collapsed="false">
      <c r="A564" s="29"/>
      <c r="B564" s="30"/>
      <c r="C564" s="30"/>
      <c r="D564" s="29"/>
      <c r="E564" s="20" t="str">
        <f aca="false">IF(D564="","",IFERROR(INDEX(Tables!$B:$B,MATCH(D564,Tables!$A:$A,0)),"ID not found"))</f>
        <v/>
      </c>
      <c r="F564" s="20" t="str">
        <f aca="false">IF(D564="","",IFERROR(INDEX(Tables!$C:$C,MATCH(D564,Tables!$A:$A,0)),""))</f>
        <v/>
      </c>
      <c r="G564" s="30"/>
      <c r="H564" s="30"/>
      <c r="I564" s="30"/>
      <c r="J564" s="30"/>
      <c r="K564" s="30"/>
      <c r="L564" s="30"/>
      <c r="M564" s="30"/>
      <c r="N564" s="20" t="str">
        <f aca="false">IF(A564="","",COUNTIF('Metric to Field'!$B:$B,A564))</f>
        <v/>
      </c>
      <c r="O564" s="20" t="str">
        <f aca="false">IF(A564="","",SUMIF('Metric to Field'!$B:$B,A564,'Metric to Field'!$F:$F))</f>
        <v/>
      </c>
      <c r="P564" s="30"/>
      <c r="Q564" s="30"/>
      <c r="R564" s="30"/>
      <c r="S564" s="30"/>
      <c r="T564" s="34" t="str">
        <f aca="false">IF(AND(A564&lt;&gt;"",K564="Fix upstream"),COUNTIF($K$5:K564,"Fix upstream"),"")</f>
        <v/>
      </c>
      <c r="U564" s="34" t="str">
        <f aca="false">IF(AND(A564&lt;&gt;"",OR(K564="Move to business rules",K564="Merge into certified table")),COUNTIF($K$5:K564,"Move to business rules")+COUNTIF($K$5:K564,"Merge into certified table"),"")</f>
        <v/>
      </c>
      <c r="V564" s="34" t="str">
        <f aca="false">IF(AND(A564&lt;&gt;"",OR(K564="",K564="Undecided",J564="")),SUMPRODUCT(($A$5:A564&lt;&gt;"")*((($K$5:K564="")+($K$5:K564="Undecided")+($J$5:J564=""))&gt;0)),"")</f>
        <v/>
      </c>
    </row>
    <row r="565" customFormat="false" ht="15" hidden="false" customHeight="false" outlineLevel="0" collapsed="false">
      <c r="A565" s="29"/>
      <c r="B565" s="30"/>
      <c r="C565" s="30"/>
      <c r="D565" s="29"/>
      <c r="E565" s="20" t="str">
        <f aca="false">IF(D565="","",IFERROR(INDEX(Tables!$B:$B,MATCH(D565,Tables!$A:$A,0)),"ID not found"))</f>
        <v/>
      </c>
      <c r="F565" s="20" t="str">
        <f aca="false">IF(D565="","",IFERROR(INDEX(Tables!$C:$C,MATCH(D565,Tables!$A:$A,0)),""))</f>
        <v/>
      </c>
      <c r="G565" s="30"/>
      <c r="H565" s="30"/>
      <c r="I565" s="30"/>
      <c r="J565" s="30"/>
      <c r="K565" s="30"/>
      <c r="L565" s="30"/>
      <c r="M565" s="30"/>
      <c r="N565" s="20" t="str">
        <f aca="false">IF(A565="","",COUNTIF('Metric to Field'!$B:$B,A565))</f>
        <v/>
      </c>
      <c r="O565" s="20" t="str">
        <f aca="false">IF(A565="","",SUMIF('Metric to Field'!$B:$B,A565,'Metric to Field'!$F:$F))</f>
        <v/>
      </c>
      <c r="P565" s="30"/>
      <c r="Q565" s="30"/>
      <c r="R565" s="30"/>
      <c r="S565" s="30"/>
      <c r="T565" s="34" t="str">
        <f aca="false">IF(AND(A565&lt;&gt;"",K565="Fix upstream"),COUNTIF($K$5:K565,"Fix upstream"),"")</f>
        <v/>
      </c>
      <c r="U565" s="34" t="str">
        <f aca="false">IF(AND(A565&lt;&gt;"",OR(K565="Move to business rules",K565="Merge into certified table")),COUNTIF($K$5:K565,"Move to business rules")+COUNTIF($K$5:K565,"Merge into certified table"),"")</f>
        <v/>
      </c>
      <c r="V565" s="34" t="str">
        <f aca="false">IF(AND(A565&lt;&gt;"",OR(K565="",K565="Undecided",J565="")),SUMPRODUCT(($A$5:A565&lt;&gt;"")*((($K$5:K565="")+($K$5:K565="Undecided")+($J$5:J565=""))&gt;0)),"")</f>
        <v/>
      </c>
    </row>
    <row r="566" customFormat="false" ht="15" hidden="false" customHeight="false" outlineLevel="0" collapsed="false">
      <c r="A566" s="29"/>
      <c r="B566" s="30"/>
      <c r="C566" s="30"/>
      <c r="D566" s="29"/>
      <c r="E566" s="20" t="str">
        <f aca="false">IF(D566="","",IFERROR(INDEX(Tables!$B:$B,MATCH(D566,Tables!$A:$A,0)),"ID not found"))</f>
        <v/>
      </c>
      <c r="F566" s="20" t="str">
        <f aca="false">IF(D566="","",IFERROR(INDEX(Tables!$C:$C,MATCH(D566,Tables!$A:$A,0)),""))</f>
        <v/>
      </c>
      <c r="G566" s="30"/>
      <c r="H566" s="30"/>
      <c r="I566" s="30"/>
      <c r="J566" s="30"/>
      <c r="K566" s="30"/>
      <c r="L566" s="30"/>
      <c r="M566" s="30"/>
      <c r="N566" s="20" t="str">
        <f aca="false">IF(A566="","",COUNTIF('Metric to Field'!$B:$B,A566))</f>
        <v/>
      </c>
      <c r="O566" s="20" t="str">
        <f aca="false">IF(A566="","",SUMIF('Metric to Field'!$B:$B,A566,'Metric to Field'!$F:$F))</f>
        <v/>
      </c>
      <c r="P566" s="30"/>
      <c r="Q566" s="30"/>
      <c r="R566" s="30"/>
      <c r="S566" s="30"/>
      <c r="T566" s="34" t="str">
        <f aca="false">IF(AND(A566&lt;&gt;"",K566="Fix upstream"),COUNTIF($K$5:K566,"Fix upstream"),"")</f>
        <v/>
      </c>
      <c r="U566" s="34" t="str">
        <f aca="false">IF(AND(A566&lt;&gt;"",OR(K566="Move to business rules",K566="Merge into certified table")),COUNTIF($K$5:K566,"Move to business rules")+COUNTIF($K$5:K566,"Merge into certified table"),"")</f>
        <v/>
      </c>
      <c r="V566" s="34" t="str">
        <f aca="false">IF(AND(A566&lt;&gt;"",OR(K566="",K566="Undecided",J566="")),SUMPRODUCT(($A$5:A566&lt;&gt;"")*((($K$5:K566="")+($K$5:K566="Undecided")+($J$5:J566=""))&gt;0)),"")</f>
        <v/>
      </c>
    </row>
    <row r="567" customFormat="false" ht="15" hidden="false" customHeight="false" outlineLevel="0" collapsed="false">
      <c r="A567" s="29"/>
      <c r="B567" s="30"/>
      <c r="C567" s="30"/>
      <c r="D567" s="29"/>
      <c r="E567" s="20" t="str">
        <f aca="false">IF(D567="","",IFERROR(INDEX(Tables!$B:$B,MATCH(D567,Tables!$A:$A,0)),"ID not found"))</f>
        <v/>
      </c>
      <c r="F567" s="20" t="str">
        <f aca="false">IF(D567="","",IFERROR(INDEX(Tables!$C:$C,MATCH(D567,Tables!$A:$A,0)),""))</f>
        <v/>
      </c>
      <c r="G567" s="30"/>
      <c r="H567" s="30"/>
      <c r="I567" s="30"/>
      <c r="J567" s="30"/>
      <c r="K567" s="30"/>
      <c r="L567" s="30"/>
      <c r="M567" s="30"/>
      <c r="N567" s="20" t="str">
        <f aca="false">IF(A567="","",COUNTIF('Metric to Field'!$B:$B,A567))</f>
        <v/>
      </c>
      <c r="O567" s="20" t="str">
        <f aca="false">IF(A567="","",SUMIF('Metric to Field'!$B:$B,A567,'Metric to Field'!$F:$F))</f>
        <v/>
      </c>
      <c r="P567" s="30"/>
      <c r="Q567" s="30"/>
      <c r="R567" s="30"/>
      <c r="S567" s="30"/>
      <c r="T567" s="34" t="str">
        <f aca="false">IF(AND(A567&lt;&gt;"",K567="Fix upstream"),COUNTIF($K$5:K567,"Fix upstream"),"")</f>
        <v/>
      </c>
      <c r="U567" s="34" t="str">
        <f aca="false">IF(AND(A567&lt;&gt;"",OR(K567="Move to business rules",K567="Merge into certified table")),COUNTIF($K$5:K567,"Move to business rules")+COUNTIF($K$5:K567,"Merge into certified table"),"")</f>
        <v/>
      </c>
      <c r="V567" s="34" t="str">
        <f aca="false">IF(AND(A567&lt;&gt;"",OR(K567="",K567="Undecided",J567="")),SUMPRODUCT(($A$5:A567&lt;&gt;"")*((($K$5:K567="")+($K$5:K567="Undecided")+($J$5:J567=""))&gt;0)),"")</f>
        <v/>
      </c>
    </row>
    <row r="568" customFormat="false" ht="15" hidden="false" customHeight="false" outlineLevel="0" collapsed="false">
      <c r="A568" s="29"/>
      <c r="B568" s="30"/>
      <c r="C568" s="30"/>
      <c r="D568" s="29"/>
      <c r="E568" s="20" t="str">
        <f aca="false">IF(D568="","",IFERROR(INDEX(Tables!$B:$B,MATCH(D568,Tables!$A:$A,0)),"ID not found"))</f>
        <v/>
      </c>
      <c r="F568" s="20" t="str">
        <f aca="false">IF(D568="","",IFERROR(INDEX(Tables!$C:$C,MATCH(D568,Tables!$A:$A,0)),""))</f>
        <v/>
      </c>
      <c r="G568" s="30"/>
      <c r="H568" s="30"/>
      <c r="I568" s="30"/>
      <c r="J568" s="30"/>
      <c r="K568" s="30"/>
      <c r="L568" s="30"/>
      <c r="M568" s="30"/>
      <c r="N568" s="20" t="str">
        <f aca="false">IF(A568="","",COUNTIF('Metric to Field'!$B:$B,A568))</f>
        <v/>
      </c>
      <c r="O568" s="20" t="str">
        <f aca="false">IF(A568="","",SUMIF('Metric to Field'!$B:$B,A568,'Metric to Field'!$F:$F))</f>
        <v/>
      </c>
      <c r="P568" s="30"/>
      <c r="Q568" s="30"/>
      <c r="R568" s="30"/>
      <c r="S568" s="30"/>
      <c r="T568" s="34" t="str">
        <f aca="false">IF(AND(A568&lt;&gt;"",K568="Fix upstream"),COUNTIF($K$5:K568,"Fix upstream"),"")</f>
        <v/>
      </c>
      <c r="U568" s="34" t="str">
        <f aca="false">IF(AND(A568&lt;&gt;"",OR(K568="Move to business rules",K568="Merge into certified table")),COUNTIF($K$5:K568,"Move to business rules")+COUNTIF($K$5:K568,"Merge into certified table"),"")</f>
        <v/>
      </c>
      <c r="V568" s="34" t="str">
        <f aca="false">IF(AND(A568&lt;&gt;"",OR(K568="",K568="Undecided",J568="")),SUMPRODUCT(($A$5:A568&lt;&gt;"")*((($K$5:K568="")+($K$5:K568="Undecided")+($J$5:J568=""))&gt;0)),"")</f>
        <v/>
      </c>
    </row>
    <row r="569" customFormat="false" ht="15" hidden="false" customHeight="false" outlineLevel="0" collapsed="false">
      <c r="A569" s="29"/>
      <c r="B569" s="30"/>
      <c r="C569" s="30"/>
      <c r="D569" s="29"/>
      <c r="E569" s="20" t="str">
        <f aca="false">IF(D569="","",IFERROR(INDEX(Tables!$B:$B,MATCH(D569,Tables!$A:$A,0)),"ID not found"))</f>
        <v/>
      </c>
      <c r="F569" s="20" t="str">
        <f aca="false">IF(D569="","",IFERROR(INDEX(Tables!$C:$C,MATCH(D569,Tables!$A:$A,0)),""))</f>
        <v/>
      </c>
      <c r="G569" s="30"/>
      <c r="H569" s="30"/>
      <c r="I569" s="30"/>
      <c r="J569" s="30"/>
      <c r="K569" s="30"/>
      <c r="L569" s="30"/>
      <c r="M569" s="30"/>
      <c r="N569" s="20" t="str">
        <f aca="false">IF(A569="","",COUNTIF('Metric to Field'!$B:$B,A569))</f>
        <v/>
      </c>
      <c r="O569" s="20" t="str">
        <f aca="false">IF(A569="","",SUMIF('Metric to Field'!$B:$B,A569,'Metric to Field'!$F:$F))</f>
        <v/>
      </c>
      <c r="P569" s="30"/>
      <c r="Q569" s="30"/>
      <c r="R569" s="30"/>
      <c r="S569" s="30"/>
      <c r="T569" s="34" t="str">
        <f aca="false">IF(AND(A569&lt;&gt;"",K569="Fix upstream"),COUNTIF($K$5:K569,"Fix upstream"),"")</f>
        <v/>
      </c>
      <c r="U569" s="34" t="str">
        <f aca="false">IF(AND(A569&lt;&gt;"",OR(K569="Move to business rules",K569="Merge into certified table")),COUNTIF($K$5:K569,"Move to business rules")+COUNTIF($K$5:K569,"Merge into certified table"),"")</f>
        <v/>
      </c>
      <c r="V569" s="34" t="str">
        <f aca="false">IF(AND(A569&lt;&gt;"",OR(K569="",K569="Undecided",J569="")),SUMPRODUCT(($A$5:A569&lt;&gt;"")*((($K$5:K569="")+($K$5:K569="Undecided")+($J$5:J569=""))&gt;0)),"")</f>
        <v/>
      </c>
    </row>
    <row r="570" customFormat="false" ht="15" hidden="false" customHeight="false" outlineLevel="0" collapsed="false">
      <c r="A570" s="29"/>
      <c r="B570" s="30"/>
      <c r="C570" s="30"/>
      <c r="D570" s="29"/>
      <c r="E570" s="20" t="str">
        <f aca="false">IF(D570="","",IFERROR(INDEX(Tables!$B:$B,MATCH(D570,Tables!$A:$A,0)),"ID not found"))</f>
        <v/>
      </c>
      <c r="F570" s="20" t="str">
        <f aca="false">IF(D570="","",IFERROR(INDEX(Tables!$C:$C,MATCH(D570,Tables!$A:$A,0)),""))</f>
        <v/>
      </c>
      <c r="G570" s="30"/>
      <c r="H570" s="30"/>
      <c r="I570" s="30"/>
      <c r="J570" s="30"/>
      <c r="K570" s="30"/>
      <c r="L570" s="30"/>
      <c r="M570" s="30"/>
      <c r="N570" s="20" t="str">
        <f aca="false">IF(A570="","",COUNTIF('Metric to Field'!$B:$B,A570))</f>
        <v/>
      </c>
      <c r="O570" s="20" t="str">
        <f aca="false">IF(A570="","",SUMIF('Metric to Field'!$B:$B,A570,'Metric to Field'!$F:$F))</f>
        <v/>
      </c>
      <c r="P570" s="30"/>
      <c r="Q570" s="30"/>
      <c r="R570" s="30"/>
      <c r="S570" s="30"/>
      <c r="T570" s="34" t="str">
        <f aca="false">IF(AND(A570&lt;&gt;"",K570="Fix upstream"),COUNTIF($K$5:K570,"Fix upstream"),"")</f>
        <v/>
      </c>
      <c r="U570" s="34" t="str">
        <f aca="false">IF(AND(A570&lt;&gt;"",OR(K570="Move to business rules",K570="Merge into certified table")),COUNTIF($K$5:K570,"Move to business rules")+COUNTIF($K$5:K570,"Merge into certified table"),"")</f>
        <v/>
      </c>
      <c r="V570" s="34" t="str">
        <f aca="false">IF(AND(A570&lt;&gt;"",OR(K570="",K570="Undecided",J570="")),SUMPRODUCT(($A$5:A570&lt;&gt;"")*((($K$5:K570="")+($K$5:K570="Undecided")+($J$5:J570=""))&gt;0)),"")</f>
        <v/>
      </c>
    </row>
    <row r="571" customFormat="false" ht="15" hidden="false" customHeight="false" outlineLevel="0" collapsed="false">
      <c r="A571" s="29"/>
      <c r="B571" s="30"/>
      <c r="C571" s="30"/>
      <c r="D571" s="29"/>
      <c r="E571" s="20" t="str">
        <f aca="false">IF(D571="","",IFERROR(INDEX(Tables!$B:$B,MATCH(D571,Tables!$A:$A,0)),"ID not found"))</f>
        <v/>
      </c>
      <c r="F571" s="20" t="str">
        <f aca="false">IF(D571="","",IFERROR(INDEX(Tables!$C:$C,MATCH(D571,Tables!$A:$A,0)),""))</f>
        <v/>
      </c>
      <c r="G571" s="30"/>
      <c r="H571" s="30"/>
      <c r="I571" s="30"/>
      <c r="J571" s="30"/>
      <c r="K571" s="30"/>
      <c r="L571" s="30"/>
      <c r="M571" s="30"/>
      <c r="N571" s="20" t="str">
        <f aca="false">IF(A571="","",COUNTIF('Metric to Field'!$B:$B,A571))</f>
        <v/>
      </c>
      <c r="O571" s="20" t="str">
        <f aca="false">IF(A571="","",SUMIF('Metric to Field'!$B:$B,A571,'Metric to Field'!$F:$F))</f>
        <v/>
      </c>
      <c r="P571" s="30"/>
      <c r="Q571" s="30"/>
      <c r="R571" s="30"/>
      <c r="S571" s="30"/>
      <c r="T571" s="34" t="str">
        <f aca="false">IF(AND(A571&lt;&gt;"",K571="Fix upstream"),COUNTIF($K$5:K571,"Fix upstream"),"")</f>
        <v/>
      </c>
      <c r="U571" s="34" t="str">
        <f aca="false">IF(AND(A571&lt;&gt;"",OR(K571="Move to business rules",K571="Merge into certified table")),COUNTIF($K$5:K571,"Move to business rules")+COUNTIF($K$5:K571,"Merge into certified table"),"")</f>
        <v/>
      </c>
      <c r="V571" s="34" t="str">
        <f aca="false">IF(AND(A571&lt;&gt;"",OR(K571="",K571="Undecided",J571="")),SUMPRODUCT(($A$5:A571&lt;&gt;"")*((($K$5:K571="")+($K$5:K571="Undecided")+($J$5:J571=""))&gt;0)),"")</f>
        <v/>
      </c>
    </row>
    <row r="572" customFormat="false" ht="15" hidden="false" customHeight="false" outlineLevel="0" collapsed="false">
      <c r="A572" s="29"/>
      <c r="B572" s="30"/>
      <c r="C572" s="30"/>
      <c r="D572" s="29"/>
      <c r="E572" s="20" t="str">
        <f aca="false">IF(D572="","",IFERROR(INDEX(Tables!$B:$B,MATCH(D572,Tables!$A:$A,0)),"ID not found"))</f>
        <v/>
      </c>
      <c r="F572" s="20" t="str">
        <f aca="false">IF(D572="","",IFERROR(INDEX(Tables!$C:$C,MATCH(D572,Tables!$A:$A,0)),""))</f>
        <v/>
      </c>
      <c r="G572" s="30"/>
      <c r="H572" s="30"/>
      <c r="I572" s="30"/>
      <c r="J572" s="30"/>
      <c r="K572" s="30"/>
      <c r="L572" s="30"/>
      <c r="M572" s="30"/>
      <c r="N572" s="20" t="str">
        <f aca="false">IF(A572="","",COUNTIF('Metric to Field'!$B:$B,A572))</f>
        <v/>
      </c>
      <c r="O572" s="20" t="str">
        <f aca="false">IF(A572="","",SUMIF('Metric to Field'!$B:$B,A572,'Metric to Field'!$F:$F))</f>
        <v/>
      </c>
      <c r="P572" s="30"/>
      <c r="Q572" s="30"/>
      <c r="R572" s="30"/>
      <c r="S572" s="30"/>
      <c r="T572" s="34" t="str">
        <f aca="false">IF(AND(A572&lt;&gt;"",K572="Fix upstream"),COUNTIF($K$5:K572,"Fix upstream"),"")</f>
        <v/>
      </c>
      <c r="U572" s="34" t="str">
        <f aca="false">IF(AND(A572&lt;&gt;"",OR(K572="Move to business rules",K572="Merge into certified table")),COUNTIF($K$5:K572,"Move to business rules")+COUNTIF($K$5:K572,"Merge into certified table"),"")</f>
        <v/>
      </c>
      <c r="V572" s="34" t="str">
        <f aca="false">IF(AND(A572&lt;&gt;"",OR(K572="",K572="Undecided",J572="")),SUMPRODUCT(($A$5:A572&lt;&gt;"")*((($K$5:K572="")+($K$5:K572="Undecided")+($J$5:J572=""))&gt;0)),"")</f>
        <v/>
      </c>
    </row>
    <row r="573" customFormat="false" ht="15" hidden="false" customHeight="false" outlineLevel="0" collapsed="false">
      <c r="A573" s="29"/>
      <c r="B573" s="30"/>
      <c r="C573" s="30"/>
      <c r="D573" s="29"/>
      <c r="E573" s="20" t="str">
        <f aca="false">IF(D573="","",IFERROR(INDEX(Tables!$B:$B,MATCH(D573,Tables!$A:$A,0)),"ID not found"))</f>
        <v/>
      </c>
      <c r="F573" s="20" t="str">
        <f aca="false">IF(D573="","",IFERROR(INDEX(Tables!$C:$C,MATCH(D573,Tables!$A:$A,0)),""))</f>
        <v/>
      </c>
      <c r="G573" s="30"/>
      <c r="H573" s="30"/>
      <c r="I573" s="30"/>
      <c r="J573" s="30"/>
      <c r="K573" s="30"/>
      <c r="L573" s="30"/>
      <c r="M573" s="30"/>
      <c r="N573" s="20" t="str">
        <f aca="false">IF(A573="","",COUNTIF('Metric to Field'!$B:$B,A573))</f>
        <v/>
      </c>
      <c r="O573" s="20" t="str">
        <f aca="false">IF(A573="","",SUMIF('Metric to Field'!$B:$B,A573,'Metric to Field'!$F:$F))</f>
        <v/>
      </c>
      <c r="P573" s="30"/>
      <c r="Q573" s="30"/>
      <c r="R573" s="30"/>
      <c r="S573" s="30"/>
      <c r="T573" s="34" t="str">
        <f aca="false">IF(AND(A573&lt;&gt;"",K573="Fix upstream"),COUNTIF($K$5:K573,"Fix upstream"),"")</f>
        <v/>
      </c>
      <c r="U573" s="34" t="str">
        <f aca="false">IF(AND(A573&lt;&gt;"",OR(K573="Move to business rules",K573="Merge into certified table")),COUNTIF($K$5:K573,"Move to business rules")+COUNTIF($K$5:K573,"Merge into certified table"),"")</f>
        <v/>
      </c>
      <c r="V573" s="34" t="str">
        <f aca="false">IF(AND(A573&lt;&gt;"",OR(K573="",K573="Undecided",J573="")),SUMPRODUCT(($A$5:A573&lt;&gt;"")*((($K$5:K573="")+($K$5:K573="Undecided")+($J$5:J573=""))&gt;0)),"")</f>
        <v/>
      </c>
    </row>
    <row r="574" customFormat="false" ht="15" hidden="false" customHeight="false" outlineLevel="0" collapsed="false">
      <c r="A574" s="29"/>
      <c r="B574" s="30"/>
      <c r="C574" s="30"/>
      <c r="D574" s="29"/>
      <c r="E574" s="20" t="str">
        <f aca="false">IF(D574="","",IFERROR(INDEX(Tables!$B:$B,MATCH(D574,Tables!$A:$A,0)),"ID not found"))</f>
        <v/>
      </c>
      <c r="F574" s="20" t="str">
        <f aca="false">IF(D574="","",IFERROR(INDEX(Tables!$C:$C,MATCH(D574,Tables!$A:$A,0)),""))</f>
        <v/>
      </c>
      <c r="G574" s="30"/>
      <c r="H574" s="30"/>
      <c r="I574" s="30"/>
      <c r="J574" s="30"/>
      <c r="K574" s="30"/>
      <c r="L574" s="30"/>
      <c r="M574" s="30"/>
      <c r="N574" s="20" t="str">
        <f aca="false">IF(A574="","",COUNTIF('Metric to Field'!$B:$B,A574))</f>
        <v/>
      </c>
      <c r="O574" s="20" t="str">
        <f aca="false">IF(A574="","",SUMIF('Metric to Field'!$B:$B,A574,'Metric to Field'!$F:$F))</f>
        <v/>
      </c>
      <c r="P574" s="30"/>
      <c r="Q574" s="30"/>
      <c r="R574" s="30"/>
      <c r="S574" s="30"/>
      <c r="T574" s="34" t="str">
        <f aca="false">IF(AND(A574&lt;&gt;"",K574="Fix upstream"),COUNTIF($K$5:K574,"Fix upstream"),"")</f>
        <v/>
      </c>
      <c r="U574" s="34" t="str">
        <f aca="false">IF(AND(A574&lt;&gt;"",OR(K574="Move to business rules",K574="Merge into certified table")),COUNTIF($K$5:K574,"Move to business rules")+COUNTIF($K$5:K574,"Merge into certified table"),"")</f>
        <v/>
      </c>
      <c r="V574" s="34" t="str">
        <f aca="false">IF(AND(A574&lt;&gt;"",OR(K574="",K574="Undecided",J574="")),SUMPRODUCT(($A$5:A574&lt;&gt;"")*((($K$5:K574="")+($K$5:K574="Undecided")+($J$5:J574=""))&gt;0)),"")</f>
        <v/>
      </c>
    </row>
    <row r="575" customFormat="false" ht="15" hidden="false" customHeight="false" outlineLevel="0" collapsed="false">
      <c r="A575" s="29"/>
      <c r="B575" s="30"/>
      <c r="C575" s="30"/>
      <c r="D575" s="29"/>
      <c r="E575" s="20" t="str">
        <f aca="false">IF(D575="","",IFERROR(INDEX(Tables!$B:$B,MATCH(D575,Tables!$A:$A,0)),"ID not found"))</f>
        <v/>
      </c>
      <c r="F575" s="20" t="str">
        <f aca="false">IF(D575="","",IFERROR(INDEX(Tables!$C:$C,MATCH(D575,Tables!$A:$A,0)),""))</f>
        <v/>
      </c>
      <c r="G575" s="30"/>
      <c r="H575" s="30"/>
      <c r="I575" s="30"/>
      <c r="J575" s="30"/>
      <c r="K575" s="30"/>
      <c r="L575" s="30"/>
      <c r="M575" s="30"/>
      <c r="N575" s="20" t="str">
        <f aca="false">IF(A575="","",COUNTIF('Metric to Field'!$B:$B,A575))</f>
        <v/>
      </c>
      <c r="O575" s="20" t="str">
        <f aca="false">IF(A575="","",SUMIF('Metric to Field'!$B:$B,A575,'Metric to Field'!$F:$F))</f>
        <v/>
      </c>
      <c r="P575" s="30"/>
      <c r="Q575" s="30"/>
      <c r="R575" s="30"/>
      <c r="S575" s="30"/>
      <c r="T575" s="34" t="str">
        <f aca="false">IF(AND(A575&lt;&gt;"",K575="Fix upstream"),COUNTIF($K$5:K575,"Fix upstream"),"")</f>
        <v/>
      </c>
      <c r="U575" s="34" t="str">
        <f aca="false">IF(AND(A575&lt;&gt;"",OR(K575="Move to business rules",K575="Merge into certified table")),COUNTIF($K$5:K575,"Move to business rules")+COUNTIF($K$5:K575,"Merge into certified table"),"")</f>
        <v/>
      </c>
      <c r="V575" s="34" t="str">
        <f aca="false">IF(AND(A575&lt;&gt;"",OR(K575="",K575="Undecided",J575="")),SUMPRODUCT(($A$5:A575&lt;&gt;"")*((($K$5:K575="")+($K$5:K575="Undecided")+($J$5:J575=""))&gt;0)),"")</f>
        <v/>
      </c>
    </row>
    <row r="576" customFormat="false" ht="15" hidden="false" customHeight="false" outlineLevel="0" collapsed="false">
      <c r="A576" s="29"/>
      <c r="B576" s="30"/>
      <c r="C576" s="30"/>
      <c r="D576" s="29"/>
      <c r="E576" s="20" t="str">
        <f aca="false">IF(D576="","",IFERROR(INDEX(Tables!$B:$B,MATCH(D576,Tables!$A:$A,0)),"ID not found"))</f>
        <v/>
      </c>
      <c r="F576" s="20" t="str">
        <f aca="false">IF(D576="","",IFERROR(INDEX(Tables!$C:$C,MATCH(D576,Tables!$A:$A,0)),""))</f>
        <v/>
      </c>
      <c r="G576" s="30"/>
      <c r="H576" s="30"/>
      <c r="I576" s="30"/>
      <c r="J576" s="30"/>
      <c r="K576" s="30"/>
      <c r="L576" s="30"/>
      <c r="M576" s="30"/>
      <c r="N576" s="20" t="str">
        <f aca="false">IF(A576="","",COUNTIF('Metric to Field'!$B:$B,A576))</f>
        <v/>
      </c>
      <c r="O576" s="20" t="str">
        <f aca="false">IF(A576="","",SUMIF('Metric to Field'!$B:$B,A576,'Metric to Field'!$F:$F))</f>
        <v/>
      </c>
      <c r="P576" s="30"/>
      <c r="Q576" s="30"/>
      <c r="R576" s="30"/>
      <c r="S576" s="30"/>
      <c r="T576" s="34" t="str">
        <f aca="false">IF(AND(A576&lt;&gt;"",K576="Fix upstream"),COUNTIF($K$5:K576,"Fix upstream"),"")</f>
        <v/>
      </c>
      <c r="U576" s="34" t="str">
        <f aca="false">IF(AND(A576&lt;&gt;"",OR(K576="Move to business rules",K576="Merge into certified table")),COUNTIF($K$5:K576,"Move to business rules")+COUNTIF($K$5:K576,"Merge into certified table"),"")</f>
        <v/>
      </c>
      <c r="V576" s="34" t="str">
        <f aca="false">IF(AND(A576&lt;&gt;"",OR(K576="",K576="Undecided",J576="")),SUMPRODUCT(($A$5:A576&lt;&gt;"")*((($K$5:K576="")+($K$5:K576="Undecided")+($J$5:J576=""))&gt;0)),"")</f>
        <v/>
      </c>
    </row>
    <row r="577" customFormat="false" ht="15" hidden="false" customHeight="false" outlineLevel="0" collapsed="false">
      <c r="A577" s="29"/>
      <c r="B577" s="30"/>
      <c r="C577" s="30"/>
      <c r="D577" s="29"/>
      <c r="E577" s="20" t="str">
        <f aca="false">IF(D577="","",IFERROR(INDEX(Tables!$B:$B,MATCH(D577,Tables!$A:$A,0)),"ID not found"))</f>
        <v/>
      </c>
      <c r="F577" s="20" t="str">
        <f aca="false">IF(D577="","",IFERROR(INDEX(Tables!$C:$C,MATCH(D577,Tables!$A:$A,0)),""))</f>
        <v/>
      </c>
      <c r="G577" s="30"/>
      <c r="H577" s="30"/>
      <c r="I577" s="30"/>
      <c r="J577" s="30"/>
      <c r="K577" s="30"/>
      <c r="L577" s="30"/>
      <c r="M577" s="30"/>
      <c r="N577" s="20" t="str">
        <f aca="false">IF(A577="","",COUNTIF('Metric to Field'!$B:$B,A577))</f>
        <v/>
      </c>
      <c r="O577" s="20" t="str">
        <f aca="false">IF(A577="","",SUMIF('Metric to Field'!$B:$B,A577,'Metric to Field'!$F:$F))</f>
        <v/>
      </c>
      <c r="P577" s="30"/>
      <c r="Q577" s="30"/>
      <c r="R577" s="30"/>
      <c r="S577" s="30"/>
      <c r="T577" s="34" t="str">
        <f aca="false">IF(AND(A577&lt;&gt;"",K577="Fix upstream"),COUNTIF($K$5:K577,"Fix upstream"),"")</f>
        <v/>
      </c>
      <c r="U577" s="34" t="str">
        <f aca="false">IF(AND(A577&lt;&gt;"",OR(K577="Move to business rules",K577="Merge into certified table")),COUNTIF($K$5:K577,"Move to business rules")+COUNTIF($K$5:K577,"Merge into certified table"),"")</f>
        <v/>
      </c>
      <c r="V577" s="34" t="str">
        <f aca="false">IF(AND(A577&lt;&gt;"",OR(K577="",K577="Undecided",J577="")),SUMPRODUCT(($A$5:A577&lt;&gt;"")*((($K$5:K577="")+($K$5:K577="Undecided")+($J$5:J577=""))&gt;0)),"")</f>
        <v/>
      </c>
    </row>
    <row r="578" customFormat="false" ht="15" hidden="false" customHeight="false" outlineLevel="0" collapsed="false">
      <c r="A578" s="29"/>
      <c r="B578" s="30"/>
      <c r="C578" s="30"/>
      <c r="D578" s="29"/>
      <c r="E578" s="20" t="str">
        <f aca="false">IF(D578="","",IFERROR(INDEX(Tables!$B:$B,MATCH(D578,Tables!$A:$A,0)),"ID not found"))</f>
        <v/>
      </c>
      <c r="F578" s="20" t="str">
        <f aca="false">IF(D578="","",IFERROR(INDEX(Tables!$C:$C,MATCH(D578,Tables!$A:$A,0)),""))</f>
        <v/>
      </c>
      <c r="G578" s="30"/>
      <c r="H578" s="30"/>
      <c r="I578" s="30"/>
      <c r="J578" s="30"/>
      <c r="K578" s="30"/>
      <c r="L578" s="30"/>
      <c r="M578" s="30"/>
      <c r="N578" s="20" t="str">
        <f aca="false">IF(A578="","",COUNTIF('Metric to Field'!$B:$B,A578))</f>
        <v/>
      </c>
      <c r="O578" s="20" t="str">
        <f aca="false">IF(A578="","",SUMIF('Metric to Field'!$B:$B,A578,'Metric to Field'!$F:$F))</f>
        <v/>
      </c>
      <c r="P578" s="30"/>
      <c r="Q578" s="30"/>
      <c r="R578" s="30"/>
      <c r="S578" s="30"/>
      <c r="T578" s="34" t="str">
        <f aca="false">IF(AND(A578&lt;&gt;"",K578="Fix upstream"),COUNTIF($K$5:K578,"Fix upstream"),"")</f>
        <v/>
      </c>
      <c r="U578" s="34" t="str">
        <f aca="false">IF(AND(A578&lt;&gt;"",OR(K578="Move to business rules",K578="Merge into certified table")),COUNTIF($K$5:K578,"Move to business rules")+COUNTIF($K$5:K578,"Merge into certified table"),"")</f>
        <v/>
      </c>
      <c r="V578" s="34" t="str">
        <f aca="false">IF(AND(A578&lt;&gt;"",OR(K578="",K578="Undecided",J578="")),SUMPRODUCT(($A$5:A578&lt;&gt;"")*((($K$5:K578="")+($K$5:K578="Undecided")+($J$5:J578=""))&gt;0)),"")</f>
        <v/>
      </c>
    </row>
    <row r="579" customFormat="false" ht="15" hidden="false" customHeight="false" outlineLevel="0" collapsed="false">
      <c r="A579" s="29"/>
      <c r="B579" s="30"/>
      <c r="C579" s="30"/>
      <c r="D579" s="29"/>
      <c r="E579" s="20" t="str">
        <f aca="false">IF(D579="","",IFERROR(INDEX(Tables!$B:$B,MATCH(D579,Tables!$A:$A,0)),"ID not found"))</f>
        <v/>
      </c>
      <c r="F579" s="20" t="str">
        <f aca="false">IF(D579="","",IFERROR(INDEX(Tables!$C:$C,MATCH(D579,Tables!$A:$A,0)),""))</f>
        <v/>
      </c>
      <c r="G579" s="30"/>
      <c r="H579" s="30"/>
      <c r="I579" s="30"/>
      <c r="J579" s="30"/>
      <c r="K579" s="30"/>
      <c r="L579" s="30"/>
      <c r="M579" s="30"/>
      <c r="N579" s="20" t="str">
        <f aca="false">IF(A579="","",COUNTIF('Metric to Field'!$B:$B,A579))</f>
        <v/>
      </c>
      <c r="O579" s="20" t="str">
        <f aca="false">IF(A579="","",SUMIF('Metric to Field'!$B:$B,A579,'Metric to Field'!$F:$F))</f>
        <v/>
      </c>
      <c r="P579" s="30"/>
      <c r="Q579" s="30"/>
      <c r="R579" s="30"/>
      <c r="S579" s="30"/>
      <c r="T579" s="34" t="str">
        <f aca="false">IF(AND(A579&lt;&gt;"",K579="Fix upstream"),COUNTIF($K$5:K579,"Fix upstream"),"")</f>
        <v/>
      </c>
      <c r="U579" s="34" t="str">
        <f aca="false">IF(AND(A579&lt;&gt;"",OR(K579="Move to business rules",K579="Merge into certified table")),COUNTIF($K$5:K579,"Move to business rules")+COUNTIF($K$5:K579,"Merge into certified table"),"")</f>
        <v/>
      </c>
      <c r="V579" s="34" t="str">
        <f aca="false">IF(AND(A579&lt;&gt;"",OR(K579="",K579="Undecided",J579="")),SUMPRODUCT(($A$5:A579&lt;&gt;"")*((($K$5:K579="")+($K$5:K579="Undecided")+($J$5:J579=""))&gt;0)),"")</f>
        <v/>
      </c>
    </row>
    <row r="580" customFormat="false" ht="15" hidden="false" customHeight="false" outlineLevel="0" collapsed="false">
      <c r="A580" s="29"/>
      <c r="B580" s="30"/>
      <c r="C580" s="30"/>
      <c r="D580" s="29"/>
      <c r="E580" s="20" t="str">
        <f aca="false">IF(D580="","",IFERROR(INDEX(Tables!$B:$B,MATCH(D580,Tables!$A:$A,0)),"ID not found"))</f>
        <v/>
      </c>
      <c r="F580" s="20" t="str">
        <f aca="false">IF(D580="","",IFERROR(INDEX(Tables!$C:$C,MATCH(D580,Tables!$A:$A,0)),""))</f>
        <v/>
      </c>
      <c r="G580" s="30"/>
      <c r="H580" s="30"/>
      <c r="I580" s="30"/>
      <c r="J580" s="30"/>
      <c r="K580" s="30"/>
      <c r="L580" s="30"/>
      <c r="M580" s="30"/>
      <c r="N580" s="20" t="str">
        <f aca="false">IF(A580="","",COUNTIF('Metric to Field'!$B:$B,A580))</f>
        <v/>
      </c>
      <c r="O580" s="20" t="str">
        <f aca="false">IF(A580="","",SUMIF('Metric to Field'!$B:$B,A580,'Metric to Field'!$F:$F))</f>
        <v/>
      </c>
      <c r="P580" s="30"/>
      <c r="Q580" s="30"/>
      <c r="R580" s="30"/>
      <c r="S580" s="30"/>
      <c r="T580" s="34" t="str">
        <f aca="false">IF(AND(A580&lt;&gt;"",K580="Fix upstream"),COUNTIF($K$5:K580,"Fix upstream"),"")</f>
        <v/>
      </c>
      <c r="U580" s="34" t="str">
        <f aca="false">IF(AND(A580&lt;&gt;"",OR(K580="Move to business rules",K580="Merge into certified table")),COUNTIF($K$5:K580,"Move to business rules")+COUNTIF($K$5:K580,"Merge into certified table"),"")</f>
        <v/>
      </c>
      <c r="V580" s="34" t="str">
        <f aca="false">IF(AND(A580&lt;&gt;"",OR(K580="",K580="Undecided",J580="")),SUMPRODUCT(($A$5:A580&lt;&gt;"")*((($K$5:K580="")+($K$5:K580="Undecided")+($J$5:J580=""))&gt;0)),"")</f>
        <v/>
      </c>
    </row>
    <row r="581" customFormat="false" ht="15" hidden="false" customHeight="false" outlineLevel="0" collapsed="false">
      <c r="A581" s="29"/>
      <c r="B581" s="30"/>
      <c r="C581" s="30"/>
      <c r="D581" s="29"/>
      <c r="E581" s="20" t="str">
        <f aca="false">IF(D581="","",IFERROR(INDEX(Tables!$B:$B,MATCH(D581,Tables!$A:$A,0)),"ID not found"))</f>
        <v/>
      </c>
      <c r="F581" s="20" t="str">
        <f aca="false">IF(D581="","",IFERROR(INDEX(Tables!$C:$C,MATCH(D581,Tables!$A:$A,0)),""))</f>
        <v/>
      </c>
      <c r="G581" s="30"/>
      <c r="H581" s="30"/>
      <c r="I581" s="30"/>
      <c r="J581" s="30"/>
      <c r="K581" s="30"/>
      <c r="L581" s="30"/>
      <c r="M581" s="30"/>
      <c r="N581" s="20" t="str">
        <f aca="false">IF(A581="","",COUNTIF('Metric to Field'!$B:$B,A581))</f>
        <v/>
      </c>
      <c r="O581" s="20" t="str">
        <f aca="false">IF(A581="","",SUMIF('Metric to Field'!$B:$B,A581,'Metric to Field'!$F:$F))</f>
        <v/>
      </c>
      <c r="P581" s="30"/>
      <c r="Q581" s="30"/>
      <c r="R581" s="30"/>
      <c r="S581" s="30"/>
      <c r="T581" s="34" t="str">
        <f aca="false">IF(AND(A581&lt;&gt;"",K581="Fix upstream"),COUNTIF($K$5:K581,"Fix upstream"),"")</f>
        <v/>
      </c>
      <c r="U581" s="34" t="str">
        <f aca="false">IF(AND(A581&lt;&gt;"",OR(K581="Move to business rules",K581="Merge into certified table")),COUNTIF($K$5:K581,"Move to business rules")+COUNTIF($K$5:K581,"Merge into certified table"),"")</f>
        <v/>
      </c>
      <c r="V581" s="34" t="str">
        <f aca="false">IF(AND(A581&lt;&gt;"",OR(K581="",K581="Undecided",J581="")),SUMPRODUCT(($A$5:A581&lt;&gt;"")*((($K$5:K581="")+($K$5:K581="Undecided")+($J$5:J581=""))&gt;0)),"")</f>
        <v/>
      </c>
    </row>
    <row r="582" customFormat="false" ht="15" hidden="false" customHeight="false" outlineLevel="0" collapsed="false">
      <c r="A582" s="29"/>
      <c r="B582" s="30"/>
      <c r="C582" s="30"/>
      <c r="D582" s="29"/>
      <c r="E582" s="20" t="str">
        <f aca="false">IF(D582="","",IFERROR(INDEX(Tables!$B:$B,MATCH(D582,Tables!$A:$A,0)),"ID not found"))</f>
        <v/>
      </c>
      <c r="F582" s="20" t="str">
        <f aca="false">IF(D582="","",IFERROR(INDEX(Tables!$C:$C,MATCH(D582,Tables!$A:$A,0)),""))</f>
        <v/>
      </c>
      <c r="G582" s="30"/>
      <c r="H582" s="30"/>
      <c r="I582" s="30"/>
      <c r="J582" s="30"/>
      <c r="K582" s="30"/>
      <c r="L582" s="30"/>
      <c r="M582" s="30"/>
      <c r="N582" s="20" t="str">
        <f aca="false">IF(A582="","",COUNTIF('Metric to Field'!$B:$B,A582))</f>
        <v/>
      </c>
      <c r="O582" s="20" t="str">
        <f aca="false">IF(A582="","",SUMIF('Metric to Field'!$B:$B,A582,'Metric to Field'!$F:$F))</f>
        <v/>
      </c>
      <c r="P582" s="30"/>
      <c r="Q582" s="30"/>
      <c r="R582" s="30"/>
      <c r="S582" s="30"/>
      <c r="T582" s="34" t="str">
        <f aca="false">IF(AND(A582&lt;&gt;"",K582="Fix upstream"),COUNTIF($K$5:K582,"Fix upstream"),"")</f>
        <v/>
      </c>
      <c r="U582" s="34" t="str">
        <f aca="false">IF(AND(A582&lt;&gt;"",OR(K582="Move to business rules",K582="Merge into certified table")),COUNTIF($K$5:K582,"Move to business rules")+COUNTIF($K$5:K582,"Merge into certified table"),"")</f>
        <v/>
      </c>
      <c r="V582" s="34" t="str">
        <f aca="false">IF(AND(A582&lt;&gt;"",OR(K582="",K582="Undecided",J582="")),SUMPRODUCT(($A$5:A582&lt;&gt;"")*((($K$5:K582="")+($K$5:K582="Undecided")+($J$5:J582=""))&gt;0)),"")</f>
        <v/>
      </c>
    </row>
    <row r="583" customFormat="false" ht="15" hidden="false" customHeight="false" outlineLevel="0" collapsed="false">
      <c r="A583" s="29"/>
      <c r="B583" s="30"/>
      <c r="C583" s="30"/>
      <c r="D583" s="29"/>
      <c r="E583" s="20" t="str">
        <f aca="false">IF(D583="","",IFERROR(INDEX(Tables!$B:$B,MATCH(D583,Tables!$A:$A,0)),"ID not found"))</f>
        <v/>
      </c>
      <c r="F583" s="20" t="str">
        <f aca="false">IF(D583="","",IFERROR(INDEX(Tables!$C:$C,MATCH(D583,Tables!$A:$A,0)),""))</f>
        <v/>
      </c>
      <c r="G583" s="30"/>
      <c r="H583" s="30"/>
      <c r="I583" s="30"/>
      <c r="J583" s="30"/>
      <c r="K583" s="30"/>
      <c r="L583" s="30"/>
      <c r="M583" s="30"/>
      <c r="N583" s="20" t="str">
        <f aca="false">IF(A583="","",COUNTIF('Metric to Field'!$B:$B,A583))</f>
        <v/>
      </c>
      <c r="O583" s="20" t="str">
        <f aca="false">IF(A583="","",SUMIF('Metric to Field'!$B:$B,A583,'Metric to Field'!$F:$F))</f>
        <v/>
      </c>
      <c r="P583" s="30"/>
      <c r="Q583" s="30"/>
      <c r="R583" s="30"/>
      <c r="S583" s="30"/>
      <c r="T583" s="34" t="str">
        <f aca="false">IF(AND(A583&lt;&gt;"",K583="Fix upstream"),COUNTIF($K$5:K583,"Fix upstream"),"")</f>
        <v/>
      </c>
      <c r="U583" s="34" t="str">
        <f aca="false">IF(AND(A583&lt;&gt;"",OR(K583="Move to business rules",K583="Merge into certified table")),COUNTIF($K$5:K583,"Move to business rules")+COUNTIF($K$5:K583,"Merge into certified table"),"")</f>
        <v/>
      </c>
      <c r="V583" s="34" t="str">
        <f aca="false">IF(AND(A583&lt;&gt;"",OR(K583="",K583="Undecided",J583="")),SUMPRODUCT(($A$5:A583&lt;&gt;"")*((($K$5:K583="")+($K$5:K583="Undecided")+($J$5:J583=""))&gt;0)),"")</f>
        <v/>
      </c>
    </row>
    <row r="584" customFormat="false" ht="15" hidden="false" customHeight="false" outlineLevel="0" collapsed="false">
      <c r="A584" s="29"/>
      <c r="B584" s="30"/>
      <c r="C584" s="30"/>
      <c r="D584" s="29"/>
      <c r="E584" s="20" t="str">
        <f aca="false">IF(D584="","",IFERROR(INDEX(Tables!$B:$B,MATCH(D584,Tables!$A:$A,0)),"ID not found"))</f>
        <v/>
      </c>
      <c r="F584" s="20" t="str">
        <f aca="false">IF(D584="","",IFERROR(INDEX(Tables!$C:$C,MATCH(D584,Tables!$A:$A,0)),""))</f>
        <v/>
      </c>
      <c r="G584" s="30"/>
      <c r="H584" s="30"/>
      <c r="I584" s="30"/>
      <c r="J584" s="30"/>
      <c r="K584" s="30"/>
      <c r="L584" s="30"/>
      <c r="M584" s="30"/>
      <c r="N584" s="20" t="str">
        <f aca="false">IF(A584="","",COUNTIF('Metric to Field'!$B:$B,A584))</f>
        <v/>
      </c>
      <c r="O584" s="20" t="str">
        <f aca="false">IF(A584="","",SUMIF('Metric to Field'!$B:$B,A584,'Metric to Field'!$F:$F))</f>
        <v/>
      </c>
      <c r="P584" s="30"/>
      <c r="Q584" s="30"/>
      <c r="R584" s="30"/>
      <c r="S584" s="30"/>
      <c r="T584" s="34" t="str">
        <f aca="false">IF(AND(A584&lt;&gt;"",K584="Fix upstream"),COUNTIF($K$5:K584,"Fix upstream"),"")</f>
        <v/>
      </c>
      <c r="U584" s="34" t="str">
        <f aca="false">IF(AND(A584&lt;&gt;"",OR(K584="Move to business rules",K584="Merge into certified table")),COUNTIF($K$5:K584,"Move to business rules")+COUNTIF($K$5:K584,"Merge into certified table"),"")</f>
        <v/>
      </c>
      <c r="V584" s="34" t="str">
        <f aca="false">IF(AND(A584&lt;&gt;"",OR(K584="",K584="Undecided",J584="")),SUMPRODUCT(($A$5:A584&lt;&gt;"")*((($K$5:K584="")+($K$5:K584="Undecided")+($J$5:J584=""))&gt;0)),"")</f>
        <v/>
      </c>
    </row>
    <row r="585" customFormat="false" ht="15" hidden="false" customHeight="false" outlineLevel="0" collapsed="false">
      <c r="A585" s="29"/>
      <c r="B585" s="30"/>
      <c r="C585" s="30"/>
      <c r="D585" s="29"/>
      <c r="E585" s="20" t="str">
        <f aca="false">IF(D585="","",IFERROR(INDEX(Tables!$B:$B,MATCH(D585,Tables!$A:$A,0)),"ID not found"))</f>
        <v/>
      </c>
      <c r="F585" s="20" t="str">
        <f aca="false">IF(D585="","",IFERROR(INDEX(Tables!$C:$C,MATCH(D585,Tables!$A:$A,0)),""))</f>
        <v/>
      </c>
      <c r="G585" s="30"/>
      <c r="H585" s="30"/>
      <c r="I585" s="30"/>
      <c r="J585" s="30"/>
      <c r="K585" s="30"/>
      <c r="L585" s="30"/>
      <c r="M585" s="30"/>
      <c r="N585" s="20" t="str">
        <f aca="false">IF(A585="","",COUNTIF('Metric to Field'!$B:$B,A585))</f>
        <v/>
      </c>
      <c r="O585" s="20" t="str">
        <f aca="false">IF(A585="","",SUMIF('Metric to Field'!$B:$B,A585,'Metric to Field'!$F:$F))</f>
        <v/>
      </c>
      <c r="P585" s="30"/>
      <c r="Q585" s="30"/>
      <c r="R585" s="30"/>
      <c r="S585" s="30"/>
      <c r="T585" s="34" t="str">
        <f aca="false">IF(AND(A585&lt;&gt;"",K585="Fix upstream"),COUNTIF($K$5:K585,"Fix upstream"),"")</f>
        <v/>
      </c>
      <c r="U585" s="34" t="str">
        <f aca="false">IF(AND(A585&lt;&gt;"",OR(K585="Move to business rules",K585="Merge into certified table")),COUNTIF($K$5:K585,"Move to business rules")+COUNTIF($K$5:K585,"Merge into certified table"),"")</f>
        <v/>
      </c>
      <c r="V585" s="34" t="str">
        <f aca="false">IF(AND(A585&lt;&gt;"",OR(K585="",K585="Undecided",J585="")),SUMPRODUCT(($A$5:A585&lt;&gt;"")*((($K$5:K585="")+($K$5:K585="Undecided")+($J$5:J585=""))&gt;0)),"")</f>
        <v/>
      </c>
    </row>
    <row r="586" customFormat="false" ht="15" hidden="false" customHeight="false" outlineLevel="0" collapsed="false">
      <c r="A586" s="29"/>
      <c r="B586" s="30"/>
      <c r="C586" s="30"/>
      <c r="D586" s="29"/>
      <c r="E586" s="20" t="str">
        <f aca="false">IF(D586="","",IFERROR(INDEX(Tables!$B:$B,MATCH(D586,Tables!$A:$A,0)),"ID not found"))</f>
        <v/>
      </c>
      <c r="F586" s="20" t="str">
        <f aca="false">IF(D586="","",IFERROR(INDEX(Tables!$C:$C,MATCH(D586,Tables!$A:$A,0)),""))</f>
        <v/>
      </c>
      <c r="G586" s="30"/>
      <c r="H586" s="30"/>
      <c r="I586" s="30"/>
      <c r="J586" s="30"/>
      <c r="K586" s="30"/>
      <c r="L586" s="30"/>
      <c r="M586" s="30"/>
      <c r="N586" s="20" t="str">
        <f aca="false">IF(A586="","",COUNTIF('Metric to Field'!$B:$B,A586))</f>
        <v/>
      </c>
      <c r="O586" s="20" t="str">
        <f aca="false">IF(A586="","",SUMIF('Metric to Field'!$B:$B,A586,'Metric to Field'!$F:$F))</f>
        <v/>
      </c>
      <c r="P586" s="30"/>
      <c r="Q586" s="30"/>
      <c r="R586" s="30"/>
      <c r="S586" s="30"/>
      <c r="T586" s="34" t="str">
        <f aca="false">IF(AND(A586&lt;&gt;"",K586="Fix upstream"),COUNTIF($K$5:K586,"Fix upstream"),"")</f>
        <v/>
      </c>
      <c r="U586" s="34" t="str">
        <f aca="false">IF(AND(A586&lt;&gt;"",OR(K586="Move to business rules",K586="Merge into certified table")),COUNTIF($K$5:K586,"Move to business rules")+COUNTIF($K$5:K586,"Merge into certified table"),"")</f>
        <v/>
      </c>
      <c r="V586" s="34" t="str">
        <f aca="false">IF(AND(A586&lt;&gt;"",OR(K586="",K586="Undecided",J586="")),SUMPRODUCT(($A$5:A586&lt;&gt;"")*((($K$5:K586="")+($K$5:K586="Undecided")+($J$5:J586=""))&gt;0)),"")</f>
        <v/>
      </c>
    </row>
    <row r="587" customFormat="false" ht="15" hidden="false" customHeight="false" outlineLevel="0" collapsed="false">
      <c r="A587" s="29"/>
      <c r="B587" s="30"/>
      <c r="C587" s="30"/>
      <c r="D587" s="29"/>
      <c r="E587" s="20" t="str">
        <f aca="false">IF(D587="","",IFERROR(INDEX(Tables!$B:$B,MATCH(D587,Tables!$A:$A,0)),"ID not found"))</f>
        <v/>
      </c>
      <c r="F587" s="20" t="str">
        <f aca="false">IF(D587="","",IFERROR(INDEX(Tables!$C:$C,MATCH(D587,Tables!$A:$A,0)),""))</f>
        <v/>
      </c>
      <c r="G587" s="30"/>
      <c r="H587" s="30"/>
      <c r="I587" s="30"/>
      <c r="J587" s="30"/>
      <c r="K587" s="30"/>
      <c r="L587" s="30"/>
      <c r="M587" s="30"/>
      <c r="N587" s="20" t="str">
        <f aca="false">IF(A587="","",COUNTIF('Metric to Field'!$B:$B,A587))</f>
        <v/>
      </c>
      <c r="O587" s="20" t="str">
        <f aca="false">IF(A587="","",SUMIF('Metric to Field'!$B:$B,A587,'Metric to Field'!$F:$F))</f>
        <v/>
      </c>
      <c r="P587" s="30"/>
      <c r="Q587" s="30"/>
      <c r="R587" s="30"/>
      <c r="S587" s="30"/>
      <c r="T587" s="34" t="str">
        <f aca="false">IF(AND(A587&lt;&gt;"",K587="Fix upstream"),COUNTIF($K$5:K587,"Fix upstream"),"")</f>
        <v/>
      </c>
      <c r="U587" s="34" t="str">
        <f aca="false">IF(AND(A587&lt;&gt;"",OR(K587="Move to business rules",K587="Merge into certified table")),COUNTIF($K$5:K587,"Move to business rules")+COUNTIF($K$5:K587,"Merge into certified table"),"")</f>
        <v/>
      </c>
      <c r="V587" s="34" t="str">
        <f aca="false">IF(AND(A587&lt;&gt;"",OR(K587="",K587="Undecided",J587="")),SUMPRODUCT(($A$5:A587&lt;&gt;"")*((($K$5:K587="")+($K$5:K587="Undecided")+($J$5:J587=""))&gt;0)),"")</f>
        <v/>
      </c>
    </row>
    <row r="588" customFormat="false" ht="15" hidden="false" customHeight="false" outlineLevel="0" collapsed="false">
      <c r="A588" s="29"/>
      <c r="B588" s="30"/>
      <c r="C588" s="30"/>
      <c r="D588" s="29"/>
      <c r="E588" s="20" t="str">
        <f aca="false">IF(D588="","",IFERROR(INDEX(Tables!$B:$B,MATCH(D588,Tables!$A:$A,0)),"ID not found"))</f>
        <v/>
      </c>
      <c r="F588" s="20" t="str">
        <f aca="false">IF(D588="","",IFERROR(INDEX(Tables!$C:$C,MATCH(D588,Tables!$A:$A,0)),""))</f>
        <v/>
      </c>
      <c r="G588" s="30"/>
      <c r="H588" s="30"/>
      <c r="I588" s="30"/>
      <c r="J588" s="30"/>
      <c r="K588" s="30"/>
      <c r="L588" s="30"/>
      <c r="M588" s="30"/>
      <c r="N588" s="20" t="str">
        <f aca="false">IF(A588="","",COUNTIF('Metric to Field'!$B:$B,A588))</f>
        <v/>
      </c>
      <c r="O588" s="20" t="str">
        <f aca="false">IF(A588="","",SUMIF('Metric to Field'!$B:$B,A588,'Metric to Field'!$F:$F))</f>
        <v/>
      </c>
      <c r="P588" s="30"/>
      <c r="Q588" s="30"/>
      <c r="R588" s="30"/>
      <c r="S588" s="30"/>
      <c r="T588" s="34" t="str">
        <f aca="false">IF(AND(A588&lt;&gt;"",K588="Fix upstream"),COUNTIF($K$5:K588,"Fix upstream"),"")</f>
        <v/>
      </c>
      <c r="U588" s="34" t="str">
        <f aca="false">IF(AND(A588&lt;&gt;"",OR(K588="Move to business rules",K588="Merge into certified table")),COUNTIF($K$5:K588,"Move to business rules")+COUNTIF($K$5:K588,"Merge into certified table"),"")</f>
        <v/>
      </c>
      <c r="V588" s="34" t="str">
        <f aca="false">IF(AND(A588&lt;&gt;"",OR(K588="",K588="Undecided",J588="")),SUMPRODUCT(($A$5:A588&lt;&gt;"")*((($K$5:K588="")+($K$5:K588="Undecided")+($J$5:J588=""))&gt;0)),"")</f>
        <v/>
      </c>
    </row>
    <row r="589" customFormat="false" ht="15" hidden="false" customHeight="false" outlineLevel="0" collapsed="false">
      <c r="A589" s="29"/>
      <c r="B589" s="30"/>
      <c r="C589" s="30"/>
      <c r="D589" s="29"/>
      <c r="E589" s="20" t="str">
        <f aca="false">IF(D589="","",IFERROR(INDEX(Tables!$B:$B,MATCH(D589,Tables!$A:$A,0)),"ID not found"))</f>
        <v/>
      </c>
      <c r="F589" s="20" t="str">
        <f aca="false">IF(D589="","",IFERROR(INDEX(Tables!$C:$C,MATCH(D589,Tables!$A:$A,0)),""))</f>
        <v/>
      </c>
      <c r="G589" s="30"/>
      <c r="H589" s="30"/>
      <c r="I589" s="30"/>
      <c r="J589" s="30"/>
      <c r="K589" s="30"/>
      <c r="L589" s="30"/>
      <c r="M589" s="30"/>
      <c r="N589" s="20" t="str">
        <f aca="false">IF(A589="","",COUNTIF('Metric to Field'!$B:$B,A589))</f>
        <v/>
      </c>
      <c r="O589" s="20" t="str">
        <f aca="false">IF(A589="","",SUMIF('Metric to Field'!$B:$B,A589,'Metric to Field'!$F:$F))</f>
        <v/>
      </c>
      <c r="P589" s="30"/>
      <c r="Q589" s="30"/>
      <c r="R589" s="30"/>
      <c r="S589" s="30"/>
      <c r="T589" s="34" t="str">
        <f aca="false">IF(AND(A589&lt;&gt;"",K589="Fix upstream"),COUNTIF($K$5:K589,"Fix upstream"),"")</f>
        <v/>
      </c>
      <c r="U589" s="34" t="str">
        <f aca="false">IF(AND(A589&lt;&gt;"",OR(K589="Move to business rules",K589="Merge into certified table")),COUNTIF($K$5:K589,"Move to business rules")+COUNTIF($K$5:K589,"Merge into certified table"),"")</f>
        <v/>
      </c>
      <c r="V589" s="34" t="str">
        <f aca="false">IF(AND(A589&lt;&gt;"",OR(K589="",K589="Undecided",J589="")),SUMPRODUCT(($A$5:A589&lt;&gt;"")*((($K$5:K589="")+($K$5:K589="Undecided")+($J$5:J589=""))&gt;0)),"")</f>
        <v/>
      </c>
    </row>
    <row r="590" customFormat="false" ht="15" hidden="false" customHeight="false" outlineLevel="0" collapsed="false">
      <c r="A590" s="29"/>
      <c r="B590" s="30"/>
      <c r="C590" s="30"/>
      <c r="D590" s="29"/>
      <c r="E590" s="20" t="str">
        <f aca="false">IF(D590="","",IFERROR(INDEX(Tables!$B:$B,MATCH(D590,Tables!$A:$A,0)),"ID not found"))</f>
        <v/>
      </c>
      <c r="F590" s="20" t="str">
        <f aca="false">IF(D590="","",IFERROR(INDEX(Tables!$C:$C,MATCH(D590,Tables!$A:$A,0)),""))</f>
        <v/>
      </c>
      <c r="G590" s="30"/>
      <c r="H590" s="30"/>
      <c r="I590" s="30"/>
      <c r="J590" s="30"/>
      <c r="K590" s="30"/>
      <c r="L590" s="30"/>
      <c r="M590" s="30"/>
      <c r="N590" s="20" t="str">
        <f aca="false">IF(A590="","",COUNTIF('Metric to Field'!$B:$B,A590))</f>
        <v/>
      </c>
      <c r="O590" s="20" t="str">
        <f aca="false">IF(A590="","",SUMIF('Metric to Field'!$B:$B,A590,'Metric to Field'!$F:$F))</f>
        <v/>
      </c>
      <c r="P590" s="30"/>
      <c r="Q590" s="30"/>
      <c r="R590" s="30"/>
      <c r="S590" s="30"/>
      <c r="T590" s="34" t="str">
        <f aca="false">IF(AND(A590&lt;&gt;"",K590="Fix upstream"),COUNTIF($K$5:K590,"Fix upstream"),"")</f>
        <v/>
      </c>
      <c r="U590" s="34" t="str">
        <f aca="false">IF(AND(A590&lt;&gt;"",OR(K590="Move to business rules",K590="Merge into certified table")),COUNTIF($K$5:K590,"Move to business rules")+COUNTIF($K$5:K590,"Merge into certified table"),"")</f>
        <v/>
      </c>
      <c r="V590" s="34" t="str">
        <f aca="false">IF(AND(A590&lt;&gt;"",OR(K590="",K590="Undecided",J590="")),SUMPRODUCT(($A$5:A590&lt;&gt;"")*((($K$5:K590="")+($K$5:K590="Undecided")+($J$5:J590=""))&gt;0)),"")</f>
        <v/>
      </c>
    </row>
    <row r="591" customFormat="false" ht="15" hidden="false" customHeight="false" outlineLevel="0" collapsed="false">
      <c r="A591" s="29"/>
      <c r="B591" s="30"/>
      <c r="C591" s="30"/>
      <c r="D591" s="29"/>
      <c r="E591" s="20" t="str">
        <f aca="false">IF(D591="","",IFERROR(INDEX(Tables!$B:$B,MATCH(D591,Tables!$A:$A,0)),"ID not found"))</f>
        <v/>
      </c>
      <c r="F591" s="20" t="str">
        <f aca="false">IF(D591="","",IFERROR(INDEX(Tables!$C:$C,MATCH(D591,Tables!$A:$A,0)),""))</f>
        <v/>
      </c>
      <c r="G591" s="30"/>
      <c r="H591" s="30"/>
      <c r="I591" s="30"/>
      <c r="J591" s="30"/>
      <c r="K591" s="30"/>
      <c r="L591" s="30"/>
      <c r="M591" s="30"/>
      <c r="N591" s="20" t="str">
        <f aca="false">IF(A591="","",COUNTIF('Metric to Field'!$B:$B,A591))</f>
        <v/>
      </c>
      <c r="O591" s="20" t="str">
        <f aca="false">IF(A591="","",SUMIF('Metric to Field'!$B:$B,A591,'Metric to Field'!$F:$F))</f>
        <v/>
      </c>
      <c r="P591" s="30"/>
      <c r="Q591" s="30"/>
      <c r="R591" s="30"/>
      <c r="S591" s="30"/>
      <c r="T591" s="34" t="str">
        <f aca="false">IF(AND(A591&lt;&gt;"",K591="Fix upstream"),COUNTIF($K$5:K591,"Fix upstream"),"")</f>
        <v/>
      </c>
      <c r="U591" s="34" t="str">
        <f aca="false">IF(AND(A591&lt;&gt;"",OR(K591="Move to business rules",K591="Merge into certified table")),COUNTIF($K$5:K591,"Move to business rules")+COUNTIF($K$5:K591,"Merge into certified table"),"")</f>
        <v/>
      </c>
      <c r="V591" s="34" t="str">
        <f aca="false">IF(AND(A591&lt;&gt;"",OR(K591="",K591="Undecided",J591="")),SUMPRODUCT(($A$5:A591&lt;&gt;"")*((($K$5:K591="")+($K$5:K591="Undecided")+($J$5:J591=""))&gt;0)),"")</f>
        <v/>
      </c>
    </row>
    <row r="592" customFormat="false" ht="15" hidden="false" customHeight="false" outlineLevel="0" collapsed="false">
      <c r="A592" s="29"/>
      <c r="B592" s="30"/>
      <c r="C592" s="30"/>
      <c r="D592" s="29"/>
      <c r="E592" s="20" t="str">
        <f aca="false">IF(D592="","",IFERROR(INDEX(Tables!$B:$B,MATCH(D592,Tables!$A:$A,0)),"ID not found"))</f>
        <v/>
      </c>
      <c r="F592" s="20" t="str">
        <f aca="false">IF(D592="","",IFERROR(INDEX(Tables!$C:$C,MATCH(D592,Tables!$A:$A,0)),""))</f>
        <v/>
      </c>
      <c r="G592" s="30"/>
      <c r="H592" s="30"/>
      <c r="I592" s="30"/>
      <c r="J592" s="30"/>
      <c r="K592" s="30"/>
      <c r="L592" s="30"/>
      <c r="M592" s="30"/>
      <c r="N592" s="20" t="str">
        <f aca="false">IF(A592="","",COUNTIF('Metric to Field'!$B:$B,A592))</f>
        <v/>
      </c>
      <c r="O592" s="20" t="str">
        <f aca="false">IF(A592="","",SUMIF('Metric to Field'!$B:$B,A592,'Metric to Field'!$F:$F))</f>
        <v/>
      </c>
      <c r="P592" s="30"/>
      <c r="Q592" s="30"/>
      <c r="R592" s="30"/>
      <c r="S592" s="30"/>
      <c r="T592" s="34" t="str">
        <f aca="false">IF(AND(A592&lt;&gt;"",K592="Fix upstream"),COUNTIF($K$5:K592,"Fix upstream"),"")</f>
        <v/>
      </c>
      <c r="U592" s="34" t="str">
        <f aca="false">IF(AND(A592&lt;&gt;"",OR(K592="Move to business rules",K592="Merge into certified table")),COUNTIF($K$5:K592,"Move to business rules")+COUNTIF($K$5:K592,"Merge into certified table"),"")</f>
        <v/>
      </c>
      <c r="V592" s="34" t="str">
        <f aca="false">IF(AND(A592&lt;&gt;"",OR(K592="",K592="Undecided",J592="")),SUMPRODUCT(($A$5:A592&lt;&gt;"")*((($K$5:K592="")+($K$5:K592="Undecided")+($J$5:J592=""))&gt;0)),"")</f>
        <v/>
      </c>
    </row>
    <row r="593" customFormat="false" ht="15" hidden="false" customHeight="false" outlineLevel="0" collapsed="false">
      <c r="A593" s="29"/>
      <c r="B593" s="30"/>
      <c r="C593" s="30"/>
      <c r="D593" s="29"/>
      <c r="E593" s="20" t="str">
        <f aca="false">IF(D593="","",IFERROR(INDEX(Tables!$B:$B,MATCH(D593,Tables!$A:$A,0)),"ID not found"))</f>
        <v/>
      </c>
      <c r="F593" s="20" t="str">
        <f aca="false">IF(D593="","",IFERROR(INDEX(Tables!$C:$C,MATCH(D593,Tables!$A:$A,0)),""))</f>
        <v/>
      </c>
      <c r="G593" s="30"/>
      <c r="H593" s="30"/>
      <c r="I593" s="30"/>
      <c r="J593" s="30"/>
      <c r="K593" s="30"/>
      <c r="L593" s="30"/>
      <c r="M593" s="30"/>
      <c r="N593" s="20" t="str">
        <f aca="false">IF(A593="","",COUNTIF('Metric to Field'!$B:$B,A593))</f>
        <v/>
      </c>
      <c r="O593" s="20" t="str">
        <f aca="false">IF(A593="","",SUMIF('Metric to Field'!$B:$B,A593,'Metric to Field'!$F:$F))</f>
        <v/>
      </c>
      <c r="P593" s="30"/>
      <c r="Q593" s="30"/>
      <c r="R593" s="30"/>
      <c r="S593" s="30"/>
      <c r="T593" s="34" t="str">
        <f aca="false">IF(AND(A593&lt;&gt;"",K593="Fix upstream"),COUNTIF($K$5:K593,"Fix upstream"),"")</f>
        <v/>
      </c>
      <c r="U593" s="34" t="str">
        <f aca="false">IF(AND(A593&lt;&gt;"",OR(K593="Move to business rules",K593="Merge into certified table")),COUNTIF($K$5:K593,"Move to business rules")+COUNTIF($K$5:K593,"Merge into certified table"),"")</f>
        <v/>
      </c>
      <c r="V593" s="34" t="str">
        <f aca="false">IF(AND(A593&lt;&gt;"",OR(K593="",K593="Undecided",J593="")),SUMPRODUCT(($A$5:A593&lt;&gt;"")*((($K$5:K593="")+($K$5:K593="Undecided")+($J$5:J593=""))&gt;0)),"")</f>
        <v/>
      </c>
    </row>
    <row r="594" customFormat="false" ht="15" hidden="false" customHeight="false" outlineLevel="0" collapsed="false">
      <c r="A594" s="29"/>
      <c r="B594" s="30"/>
      <c r="C594" s="30"/>
      <c r="D594" s="29"/>
      <c r="E594" s="20" t="str">
        <f aca="false">IF(D594="","",IFERROR(INDEX(Tables!$B:$B,MATCH(D594,Tables!$A:$A,0)),"ID not found"))</f>
        <v/>
      </c>
      <c r="F594" s="20" t="str">
        <f aca="false">IF(D594="","",IFERROR(INDEX(Tables!$C:$C,MATCH(D594,Tables!$A:$A,0)),""))</f>
        <v/>
      </c>
      <c r="G594" s="30"/>
      <c r="H594" s="30"/>
      <c r="I594" s="30"/>
      <c r="J594" s="30"/>
      <c r="K594" s="30"/>
      <c r="L594" s="30"/>
      <c r="M594" s="30"/>
      <c r="N594" s="20" t="str">
        <f aca="false">IF(A594="","",COUNTIF('Metric to Field'!$B:$B,A594))</f>
        <v/>
      </c>
      <c r="O594" s="20" t="str">
        <f aca="false">IF(A594="","",SUMIF('Metric to Field'!$B:$B,A594,'Metric to Field'!$F:$F))</f>
        <v/>
      </c>
      <c r="P594" s="30"/>
      <c r="Q594" s="30"/>
      <c r="R594" s="30"/>
      <c r="S594" s="30"/>
      <c r="T594" s="34" t="str">
        <f aca="false">IF(AND(A594&lt;&gt;"",K594="Fix upstream"),COUNTIF($K$5:K594,"Fix upstream"),"")</f>
        <v/>
      </c>
      <c r="U594" s="34" t="str">
        <f aca="false">IF(AND(A594&lt;&gt;"",OR(K594="Move to business rules",K594="Merge into certified table")),COUNTIF($K$5:K594,"Move to business rules")+COUNTIF($K$5:K594,"Merge into certified table"),"")</f>
        <v/>
      </c>
      <c r="V594" s="34" t="str">
        <f aca="false">IF(AND(A594&lt;&gt;"",OR(K594="",K594="Undecided",J594="")),SUMPRODUCT(($A$5:A594&lt;&gt;"")*((($K$5:K594="")+($K$5:K594="Undecided")+($J$5:J594=""))&gt;0)),"")</f>
        <v/>
      </c>
    </row>
    <row r="595" customFormat="false" ht="15" hidden="false" customHeight="false" outlineLevel="0" collapsed="false">
      <c r="A595" s="29"/>
      <c r="B595" s="30"/>
      <c r="C595" s="30"/>
      <c r="D595" s="29"/>
      <c r="E595" s="20" t="str">
        <f aca="false">IF(D595="","",IFERROR(INDEX(Tables!$B:$B,MATCH(D595,Tables!$A:$A,0)),"ID not found"))</f>
        <v/>
      </c>
      <c r="F595" s="20" t="str">
        <f aca="false">IF(D595="","",IFERROR(INDEX(Tables!$C:$C,MATCH(D595,Tables!$A:$A,0)),""))</f>
        <v/>
      </c>
      <c r="G595" s="30"/>
      <c r="H595" s="30"/>
      <c r="I595" s="30"/>
      <c r="J595" s="30"/>
      <c r="K595" s="30"/>
      <c r="L595" s="30"/>
      <c r="M595" s="30"/>
      <c r="N595" s="20" t="str">
        <f aca="false">IF(A595="","",COUNTIF('Metric to Field'!$B:$B,A595))</f>
        <v/>
      </c>
      <c r="O595" s="20" t="str">
        <f aca="false">IF(A595="","",SUMIF('Metric to Field'!$B:$B,A595,'Metric to Field'!$F:$F))</f>
        <v/>
      </c>
      <c r="P595" s="30"/>
      <c r="Q595" s="30"/>
      <c r="R595" s="30"/>
      <c r="S595" s="30"/>
      <c r="T595" s="34" t="str">
        <f aca="false">IF(AND(A595&lt;&gt;"",K595="Fix upstream"),COUNTIF($K$5:K595,"Fix upstream"),"")</f>
        <v/>
      </c>
      <c r="U595" s="34" t="str">
        <f aca="false">IF(AND(A595&lt;&gt;"",OR(K595="Move to business rules",K595="Merge into certified table")),COUNTIF($K$5:K595,"Move to business rules")+COUNTIF($K$5:K595,"Merge into certified table"),"")</f>
        <v/>
      </c>
      <c r="V595" s="34" t="str">
        <f aca="false">IF(AND(A595&lt;&gt;"",OR(K595="",K595="Undecided",J595="")),SUMPRODUCT(($A$5:A595&lt;&gt;"")*((($K$5:K595="")+($K$5:K595="Undecided")+($J$5:J595=""))&gt;0)),"")</f>
        <v/>
      </c>
    </row>
    <row r="596" customFormat="false" ht="15" hidden="false" customHeight="false" outlineLevel="0" collapsed="false">
      <c r="A596" s="29"/>
      <c r="B596" s="30"/>
      <c r="C596" s="30"/>
      <c r="D596" s="29"/>
      <c r="E596" s="20" t="str">
        <f aca="false">IF(D596="","",IFERROR(INDEX(Tables!$B:$B,MATCH(D596,Tables!$A:$A,0)),"ID not found"))</f>
        <v/>
      </c>
      <c r="F596" s="20" t="str">
        <f aca="false">IF(D596="","",IFERROR(INDEX(Tables!$C:$C,MATCH(D596,Tables!$A:$A,0)),""))</f>
        <v/>
      </c>
      <c r="G596" s="30"/>
      <c r="H596" s="30"/>
      <c r="I596" s="30"/>
      <c r="J596" s="30"/>
      <c r="K596" s="30"/>
      <c r="L596" s="30"/>
      <c r="M596" s="30"/>
      <c r="N596" s="20" t="str">
        <f aca="false">IF(A596="","",COUNTIF('Metric to Field'!$B:$B,A596))</f>
        <v/>
      </c>
      <c r="O596" s="20" t="str">
        <f aca="false">IF(A596="","",SUMIF('Metric to Field'!$B:$B,A596,'Metric to Field'!$F:$F))</f>
        <v/>
      </c>
      <c r="P596" s="30"/>
      <c r="Q596" s="30"/>
      <c r="R596" s="30"/>
      <c r="S596" s="30"/>
      <c r="T596" s="34" t="str">
        <f aca="false">IF(AND(A596&lt;&gt;"",K596="Fix upstream"),COUNTIF($K$5:K596,"Fix upstream"),"")</f>
        <v/>
      </c>
      <c r="U596" s="34" t="str">
        <f aca="false">IF(AND(A596&lt;&gt;"",OR(K596="Move to business rules",K596="Merge into certified table")),COUNTIF($K$5:K596,"Move to business rules")+COUNTIF($K$5:K596,"Merge into certified table"),"")</f>
        <v/>
      </c>
      <c r="V596" s="34" t="str">
        <f aca="false">IF(AND(A596&lt;&gt;"",OR(K596="",K596="Undecided",J596="")),SUMPRODUCT(($A$5:A596&lt;&gt;"")*((($K$5:K596="")+($K$5:K596="Undecided")+($J$5:J596=""))&gt;0)),"")</f>
        <v/>
      </c>
    </row>
    <row r="597" customFormat="false" ht="15" hidden="false" customHeight="false" outlineLevel="0" collapsed="false">
      <c r="A597" s="29"/>
      <c r="B597" s="30"/>
      <c r="C597" s="30"/>
      <c r="D597" s="29"/>
      <c r="E597" s="20" t="str">
        <f aca="false">IF(D597="","",IFERROR(INDEX(Tables!$B:$B,MATCH(D597,Tables!$A:$A,0)),"ID not found"))</f>
        <v/>
      </c>
      <c r="F597" s="20" t="str">
        <f aca="false">IF(D597="","",IFERROR(INDEX(Tables!$C:$C,MATCH(D597,Tables!$A:$A,0)),""))</f>
        <v/>
      </c>
      <c r="G597" s="30"/>
      <c r="H597" s="30"/>
      <c r="I597" s="30"/>
      <c r="J597" s="30"/>
      <c r="K597" s="30"/>
      <c r="L597" s="30"/>
      <c r="M597" s="30"/>
      <c r="N597" s="20" t="str">
        <f aca="false">IF(A597="","",COUNTIF('Metric to Field'!$B:$B,A597))</f>
        <v/>
      </c>
      <c r="O597" s="20" t="str">
        <f aca="false">IF(A597="","",SUMIF('Metric to Field'!$B:$B,A597,'Metric to Field'!$F:$F))</f>
        <v/>
      </c>
      <c r="P597" s="30"/>
      <c r="Q597" s="30"/>
      <c r="R597" s="30"/>
      <c r="S597" s="30"/>
      <c r="T597" s="34" t="str">
        <f aca="false">IF(AND(A597&lt;&gt;"",K597="Fix upstream"),COUNTIF($K$5:K597,"Fix upstream"),"")</f>
        <v/>
      </c>
      <c r="U597" s="34" t="str">
        <f aca="false">IF(AND(A597&lt;&gt;"",OR(K597="Move to business rules",K597="Merge into certified table")),COUNTIF($K$5:K597,"Move to business rules")+COUNTIF($K$5:K597,"Merge into certified table"),"")</f>
        <v/>
      </c>
      <c r="V597" s="34" t="str">
        <f aca="false">IF(AND(A597&lt;&gt;"",OR(K597="",K597="Undecided",J597="")),SUMPRODUCT(($A$5:A597&lt;&gt;"")*((($K$5:K597="")+($K$5:K597="Undecided")+($J$5:J597=""))&gt;0)),"")</f>
        <v/>
      </c>
    </row>
    <row r="598" customFormat="false" ht="15" hidden="false" customHeight="false" outlineLevel="0" collapsed="false">
      <c r="A598" s="29"/>
      <c r="B598" s="30"/>
      <c r="C598" s="30"/>
      <c r="D598" s="29"/>
      <c r="E598" s="20" t="str">
        <f aca="false">IF(D598="","",IFERROR(INDEX(Tables!$B:$B,MATCH(D598,Tables!$A:$A,0)),"ID not found"))</f>
        <v/>
      </c>
      <c r="F598" s="20" t="str">
        <f aca="false">IF(D598="","",IFERROR(INDEX(Tables!$C:$C,MATCH(D598,Tables!$A:$A,0)),""))</f>
        <v/>
      </c>
      <c r="G598" s="30"/>
      <c r="H598" s="30"/>
      <c r="I598" s="30"/>
      <c r="J598" s="30"/>
      <c r="K598" s="30"/>
      <c r="L598" s="30"/>
      <c r="M598" s="30"/>
      <c r="N598" s="20" t="str">
        <f aca="false">IF(A598="","",COUNTIF('Metric to Field'!$B:$B,A598))</f>
        <v/>
      </c>
      <c r="O598" s="20" t="str">
        <f aca="false">IF(A598="","",SUMIF('Metric to Field'!$B:$B,A598,'Metric to Field'!$F:$F))</f>
        <v/>
      </c>
      <c r="P598" s="30"/>
      <c r="Q598" s="30"/>
      <c r="R598" s="30"/>
      <c r="S598" s="30"/>
      <c r="T598" s="34" t="str">
        <f aca="false">IF(AND(A598&lt;&gt;"",K598="Fix upstream"),COUNTIF($K$5:K598,"Fix upstream"),"")</f>
        <v/>
      </c>
      <c r="U598" s="34" t="str">
        <f aca="false">IF(AND(A598&lt;&gt;"",OR(K598="Move to business rules",K598="Merge into certified table")),COUNTIF($K$5:K598,"Move to business rules")+COUNTIF($K$5:K598,"Merge into certified table"),"")</f>
        <v/>
      </c>
      <c r="V598" s="34" t="str">
        <f aca="false">IF(AND(A598&lt;&gt;"",OR(K598="",K598="Undecided",J598="")),SUMPRODUCT(($A$5:A598&lt;&gt;"")*((($K$5:K598="")+($K$5:K598="Undecided")+($J$5:J598=""))&gt;0)),"")</f>
        <v/>
      </c>
    </row>
    <row r="599" customFormat="false" ht="15" hidden="false" customHeight="false" outlineLevel="0" collapsed="false">
      <c r="A599" s="29"/>
      <c r="B599" s="30"/>
      <c r="C599" s="30"/>
      <c r="D599" s="29"/>
      <c r="E599" s="20" t="str">
        <f aca="false">IF(D599="","",IFERROR(INDEX(Tables!$B:$B,MATCH(D599,Tables!$A:$A,0)),"ID not found"))</f>
        <v/>
      </c>
      <c r="F599" s="20" t="str">
        <f aca="false">IF(D599="","",IFERROR(INDEX(Tables!$C:$C,MATCH(D599,Tables!$A:$A,0)),""))</f>
        <v/>
      </c>
      <c r="G599" s="30"/>
      <c r="H599" s="30"/>
      <c r="I599" s="30"/>
      <c r="J599" s="30"/>
      <c r="K599" s="30"/>
      <c r="L599" s="30"/>
      <c r="M599" s="30"/>
      <c r="N599" s="20" t="str">
        <f aca="false">IF(A599="","",COUNTIF('Metric to Field'!$B:$B,A599))</f>
        <v/>
      </c>
      <c r="O599" s="20" t="str">
        <f aca="false">IF(A599="","",SUMIF('Metric to Field'!$B:$B,A599,'Metric to Field'!$F:$F))</f>
        <v/>
      </c>
      <c r="P599" s="30"/>
      <c r="Q599" s="30"/>
      <c r="R599" s="30"/>
      <c r="S599" s="30"/>
      <c r="T599" s="34" t="str">
        <f aca="false">IF(AND(A599&lt;&gt;"",K599="Fix upstream"),COUNTIF($K$5:K599,"Fix upstream"),"")</f>
        <v/>
      </c>
      <c r="U599" s="34" t="str">
        <f aca="false">IF(AND(A599&lt;&gt;"",OR(K599="Move to business rules",K599="Merge into certified table")),COUNTIF($K$5:K599,"Move to business rules")+COUNTIF($K$5:K599,"Merge into certified table"),"")</f>
        <v/>
      </c>
      <c r="V599" s="34" t="str">
        <f aca="false">IF(AND(A599&lt;&gt;"",OR(K599="",K599="Undecided",J599="")),SUMPRODUCT(($A$5:A599&lt;&gt;"")*((($K$5:K599="")+($K$5:K599="Undecided")+($J$5:J599=""))&gt;0)),"")</f>
        <v/>
      </c>
    </row>
    <row r="600" customFormat="false" ht="15" hidden="false" customHeight="false" outlineLevel="0" collapsed="false">
      <c r="A600" s="29"/>
      <c r="B600" s="30"/>
      <c r="C600" s="30"/>
      <c r="D600" s="29"/>
      <c r="E600" s="20" t="str">
        <f aca="false">IF(D600="","",IFERROR(INDEX(Tables!$B:$B,MATCH(D600,Tables!$A:$A,0)),"ID not found"))</f>
        <v/>
      </c>
      <c r="F600" s="20" t="str">
        <f aca="false">IF(D600="","",IFERROR(INDEX(Tables!$C:$C,MATCH(D600,Tables!$A:$A,0)),""))</f>
        <v/>
      </c>
      <c r="G600" s="30"/>
      <c r="H600" s="30"/>
      <c r="I600" s="30"/>
      <c r="J600" s="30"/>
      <c r="K600" s="30"/>
      <c r="L600" s="30"/>
      <c r="M600" s="30"/>
      <c r="N600" s="20" t="str">
        <f aca="false">IF(A600="","",COUNTIF('Metric to Field'!$B:$B,A600))</f>
        <v/>
      </c>
      <c r="O600" s="20" t="str">
        <f aca="false">IF(A600="","",SUMIF('Metric to Field'!$B:$B,A600,'Metric to Field'!$F:$F))</f>
        <v/>
      </c>
      <c r="P600" s="30"/>
      <c r="Q600" s="30"/>
      <c r="R600" s="30"/>
      <c r="S600" s="30"/>
      <c r="T600" s="34" t="str">
        <f aca="false">IF(AND(A600&lt;&gt;"",K600="Fix upstream"),COUNTIF($K$5:K600,"Fix upstream"),"")</f>
        <v/>
      </c>
      <c r="U600" s="34" t="str">
        <f aca="false">IF(AND(A600&lt;&gt;"",OR(K600="Move to business rules",K600="Merge into certified table")),COUNTIF($K$5:K600,"Move to business rules")+COUNTIF($K$5:K600,"Merge into certified table"),"")</f>
        <v/>
      </c>
      <c r="V600" s="34" t="str">
        <f aca="false">IF(AND(A600&lt;&gt;"",OR(K600="",K600="Undecided",J600="")),SUMPRODUCT(($A$5:A600&lt;&gt;"")*((($K$5:K600="")+($K$5:K600="Undecided")+($J$5:J600=""))&gt;0)),"")</f>
        <v/>
      </c>
    </row>
    <row r="601" customFormat="false" ht="15" hidden="false" customHeight="false" outlineLevel="0" collapsed="false">
      <c r="A601" s="29"/>
      <c r="B601" s="30"/>
      <c r="C601" s="30"/>
      <c r="D601" s="29"/>
      <c r="E601" s="20" t="str">
        <f aca="false">IF(D601="","",IFERROR(INDEX(Tables!$B:$B,MATCH(D601,Tables!$A:$A,0)),"ID not found"))</f>
        <v/>
      </c>
      <c r="F601" s="20" t="str">
        <f aca="false">IF(D601="","",IFERROR(INDEX(Tables!$C:$C,MATCH(D601,Tables!$A:$A,0)),""))</f>
        <v/>
      </c>
      <c r="G601" s="30"/>
      <c r="H601" s="30"/>
      <c r="I601" s="30"/>
      <c r="J601" s="30"/>
      <c r="K601" s="30"/>
      <c r="L601" s="30"/>
      <c r="M601" s="30"/>
      <c r="N601" s="20" t="str">
        <f aca="false">IF(A601="","",COUNTIF('Metric to Field'!$B:$B,A601))</f>
        <v/>
      </c>
      <c r="O601" s="20" t="str">
        <f aca="false">IF(A601="","",SUMIF('Metric to Field'!$B:$B,A601,'Metric to Field'!$F:$F))</f>
        <v/>
      </c>
      <c r="P601" s="30"/>
      <c r="Q601" s="30"/>
      <c r="R601" s="30"/>
      <c r="S601" s="30"/>
      <c r="T601" s="34" t="str">
        <f aca="false">IF(AND(A601&lt;&gt;"",K601="Fix upstream"),COUNTIF($K$5:K601,"Fix upstream"),"")</f>
        <v/>
      </c>
      <c r="U601" s="34" t="str">
        <f aca="false">IF(AND(A601&lt;&gt;"",OR(K601="Move to business rules",K601="Merge into certified table")),COUNTIF($K$5:K601,"Move to business rules")+COUNTIF($K$5:K601,"Merge into certified table"),"")</f>
        <v/>
      </c>
      <c r="V601" s="34" t="str">
        <f aca="false">IF(AND(A601&lt;&gt;"",OR(K601="",K601="Undecided",J601="")),SUMPRODUCT(($A$5:A601&lt;&gt;"")*((($K$5:K601="")+($K$5:K601="Undecided")+($J$5:J601=""))&gt;0)),"")</f>
        <v/>
      </c>
    </row>
    <row r="602" customFormat="false" ht="15" hidden="false" customHeight="false" outlineLevel="0" collapsed="false">
      <c r="A602" s="29"/>
      <c r="B602" s="30"/>
      <c r="C602" s="30"/>
      <c r="D602" s="29"/>
      <c r="E602" s="20" t="str">
        <f aca="false">IF(D602="","",IFERROR(INDEX(Tables!$B:$B,MATCH(D602,Tables!$A:$A,0)),"ID not found"))</f>
        <v/>
      </c>
      <c r="F602" s="20" t="str">
        <f aca="false">IF(D602="","",IFERROR(INDEX(Tables!$C:$C,MATCH(D602,Tables!$A:$A,0)),""))</f>
        <v/>
      </c>
      <c r="G602" s="30"/>
      <c r="H602" s="30"/>
      <c r="I602" s="30"/>
      <c r="J602" s="30"/>
      <c r="K602" s="30"/>
      <c r="L602" s="30"/>
      <c r="M602" s="30"/>
      <c r="N602" s="20" t="str">
        <f aca="false">IF(A602="","",COUNTIF('Metric to Field'!$B:$B,A602))</f>
        <v/>
      </c>
      <c r="O602" s="20" t="str">
        <f aca="false">IF(A602="","",SUMIF('Metric to Field'!$B:$B,A602,'Metric to Field'!$F:$F))</f>
        <v/>
      </c>
      <c r="P602" s="30"/>
      <c r="Q602" s="30"/>
      <c r="R602" s="30"/>
      <c r="S602" s="30"/>
      <c r="T602" s="34" t="str">
        <f aca="false">IF(AND(A602&lt;&gt;"",K602="Fix upstream"),COUNTIF($K$5:K602,"Fix upstream"),"")</f>
        <v/>
      </c>
      <c r="U602" s="34" t="str">
        <f aca="false">IF(AND(A602&lt;&gt;"",OR(K602="Move to business rules",K602="Merge into certified table")),COUNTIF($K$5:K602,"Move to business rules")+COUNTIF($K$5:K602,"Merge into certified table"),"")</f>
        <v/>
      </c>
      <c r="V602" s="34" t="str">
        <f aca="false">IF(AND(A602&lt;&gt;"",OR(K602="",K602="Undecided",J602="")),SUMPRODUCT(($A$5:A602&lt;&gt;"")*((($K$5:K602="")+($K$5:K602="Undecided")+($J$5:J602=""))&gt;0)),"")</f>
        <v/>
      </c>
    </row>
    <row r="603" customFormat="false" ht="15" hidden="false" customHeight="false" outlineLevel="0" collapsed="false">
      <c r="A603" s="29"/>
      <c r="B603" s="30"/>
      <c r="C603" s="30"/>
      <c r="D603" s="29"/>
      <c r="E603" s="20" t="str">
        <f aca="false">IF(D603="","",IFERROR(INDEX(Tables!$B:$B,MATCH(D603,Tables!$A:$A,0)),"ID not found"))</f>
        <v/>
      </c>
      <c r="F603" s="20" t="str">
        <f aca="false">IF(D603="","",IFERROR(INDEX(Tables!$C:$C,MATCH(D603,Tables!$A:$A,0)),""))</f>
        <v/>
      </c>
      <c r="G603" s="30"/>
      <c r="H603" s="30"/>
      <c r="I603" s="30"/>
      <c r="J603" s="30"/>
      <c r="K603" s="30"/>
      <c r="L603" s="30"/>
      <c r="M603" s="30"/>
      <c r="N603" s="20" t="str">
        <f aca="false">IF(A603="","",COUNTIF('Metric to Field'!$B:$B,A603))</f>
        <v/>
      </c>
      <c r="O603" s="20" t="str">
        <f aca="false">IF(A603="","",SUMIF('Metric to Field'!$B:$B,A603,'Metric to Field'!$F:$F))</f>
        <v/>
      </c>
      <c r="P603" s="30"/>
      <c r="Q603" s="30"/>
      <c r="R603" s="30"/>
      <c r="S603" s="30"/>
      <c r="T603" s="34" t="str">
        <f aca="false">IF(AND(A603&lt;&gt;"",K603="Fix upstream"),COUNTIF($K$5:K603,"Fix upstream"),"")</f>
        <v/>
      </c>
      <c r="U603" s="34" t="str">
        <f aca="false">IF(AND(A603&lt;&gt;"",OR(K603="Move to business rules",K603="Merge into certified table")),COUNTIF($K$5:K603,"Move to business rules")+COUNTIF($K$5:K603,"Merge into certified table"),"")</f>
        <v/>
      </c>
      <c r="V603" s="34" t="str">
        <f aca="false">IF(AND(A603&lt;&gt;"",OR(K603="",K603="Undecided",J603="")),SUMPRODUCT(($A$5:A603&lt;&gt;"")*((($K$5:K603="")+($K$5:K603="Undecided")+($J$5:J603=""))&gt;0)),"")</f>
        <v/>
      </c>
    </row>
    <row r="604" customFormat="false" ht="15" hidden="false" customHeight="false" outlineLevel="0" collapsed="false">
      <c r="A604" s="29"/>
      <c r="B604" s="30"/>
      <c r="C604" s="30"/>
      <c r="D604" s="29"/>
      <c r="E604" s="20" t="str">
        <f aca="false">IF(D604="","",IFERROR(INDEX(Tables!$B:$B,MATCH(D604,Tables!$A:$A,0)),"ID not found"))</f>
        <v/>
      </c>
      <c r="F604" s="20" t="str">
        <f aca="false">IF(D604="","",IFERROR(INDEX(Tables!$C:$C,MATCH(D604,Tables!$A:$A,0)),""))</f>
        <v/>
      </c>
      <c r="G604" s="30"/>
      <c r="H604" s="30"/>
      <c r="I604" s="30"/>
      <c r="J604" s="30"/>
      <c r="K604" s="30"/>
      <c r="L604" s="30"/>
      <c r="M604" s="30"/>
      <c r="N604" s="20" t="str">
        <f aca="false">IF(A604="","",COUNTIF('Metric to Field'!$B:$B,A604))</f>
        <v/>
      </c>
      <c r="O604" s="20" t="str">
        <f aca="false">IF(A604="","",SUMIF('Metric to Field'!$B:$B,A604,'Metric to Field'!$F:$F))</f>
        <v/>
      </c>
      <c r="P604" s="30"/>
      <c r="Q604" s="30"/>
      <c r="R604" s="30"/>
      <c r="S604" s="30"/>
      <c r="T604" s="34" t="str">
        <f aca="false">IF(AND(A604&lt;&gt;"",K604="Fix upstream"),COUNTIF($K$5:K604,"Fix upstream"),"")</f>
        <v/>
      </c>
      <c r="U604" s="34" t="str">
        <f aca="false">IF(AND(A604&lt;&gt;"",OR(K604="Move to business rules",K604="Merge into certified table")),COUNTIF($K$5:K604,"Move to business rules")+COUNTIF($K$5:K604,"Merge into certified table"),"")</f>
        <v/>
      </c>
      <c r="V604" s="34" t="str">
        <f aca="false">IF(AND(A604&lt;&gt;"",OR(K604="",K604="Undecided",J604="")),SUMPRODUCT(($A$5:A604&lt;&gt;"")*((($K$5:K604="")+($K$5:K604="Undecided")+($J$5:J604=""))&gt;0)),"")</f>
        <v/>
      </c>
    </row>
  </sheetData>
  <autoFilter ref="A4:V604"/>
  <conditionalFormatting sqref="I5:I604">
    <cfRule type="cellIs" priority="2" operator="equal" aboveAverage="0" equalAverage="0" bottom="0" percent="0" rank="0" text="" dxfId="16">
      <formula>"Issue"</formula>
    </cfRule>
    <cfRule type="cellIs" priority="3" operator="equal" aboveAverage="0" equalAverage="0" bottom="0" percent="0" rank="0" text="" dxfId="14">
      <formula>"Clean"</formula>
    </cfRule>
  </conditionalFormatting>
  <conditionalFormatting sqref="K5:K604">
    <cfRule type="cellIs" priority="4" operator="equal" aboveAverage="0" equalAverage="0" bottom="0" percent="0" rank="0" text="" dxfId="16">
      <formula>"Retire"</formula>
    </cfRule>
    <cfRule type="cellIs" priority="5" operator="equal" aboveAverage="0" equalAverage="0" bottom="0" percent="0" rank="0" text="" dxfId="15">
      <formula>"Fix upstream"</formula>
    </cfRule>
    <cfRule type="cellIs" priority="6" operator="equal" aboveAverage="0" equalAverage="0" bottom="0" percent="0" rank="0" text="" dxfId="17">
      <formula>"Move to business rules"</formula>
    </cfRule>
    <cfRule type="cellIs" priority="7" operator="equal" aboveAverage="0" equalAverage="0" bottom="0" percent="0" rank="0" text="" dxfId="17">
      <formula>"Merge into certified table"</formula>
    </cfRule>
  </conditionalFormatting>
  <conditionalFormatting sqref="E5:E604">
    <cfRule type="cellIs" priority="8" operator="equal" aboveAverage="0" equalAverage="0" bottom="0" percent="0" rank="0" text="" dxfId="16">
      <formula>"ID not found"</formula>
    </cfRule>
  </conditionalFormatting>
  <conditionalFormatting sqref="A5:V604">
    <cfRule type="expression" priority="9" aboveAverage="0" equalAverage="0" bottom="0" percent="0" rank="0" text="" dxfId="18">
      <formula>$C5="Derived"</formula>
    </cfRule>
  </conditionalFormatting>
  <dataValidations count="5">
    <dataValidation allowBlank="true" errorStyle="stop" operator="between" showDropDown="false" showErrorMessage="false" showInputMessage="false" sqref="C5:C84" type="list">
      <formula1>"Raw,Derived"</formula1>
      <formula2>0</formula2>
    </dataValidation>
    <dataValidation allowBlank="true" errorStyle="stop" operator="between" showDropDown="false" showErrorMessage="false" showInputMessage="false" sqref="I5:I84" type="list">
      <formula1>"Clean,Issue,Unknown"</formula1>
      <formula2>0</formula2>
    </dataValidation>
    <dataValidation allowBlank="true" errorStyle="stop" operator="between" showDropDown="false" showErrorMessage="false" showInputMessage="false" sqref="J5:J84" type="list">
      <formula1>"Source tables,Business rules,Certified tables,Reporting"</formula1>
      <formula2>0</formula2>
    </dataValidation>
    <dataValidation allowBlank="true" errorStyle="stop" operator="between" showDropDown="false" showErrorMessage="false" showInputMessage="false" sqref="K5:K84" type="list">
      <formula1>"Keep as is,Build,Fix upstream,Move to business rules,Merge into certified table,Retire,Undecided"</formula1>
      <formula2>0</formula2>
    </dataValidation>
    <dataValidation allowBlank="true" errorStyle="stop" operator="between" showDropDown="false" showErrorMessage="false" showInputMessage="false" sqref="Q5:Q84" type="list">
      <formula1>"Found,Inferred,Guessed,Human"</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A5C"/>
    <pageSetUpPr fitToPage="true"/>
  </sheetPr>
  <dimension ref="A1:I8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30"/>
    <col collapsed="false" customWidth="true" hidden="false" outlineLevel="0" max="4" min="4" style="0" width="28"/>
    <col collapsed="false" customWidth="true" hidden="false" outlineLevel="0" max="5" min="5" style="0" width="18"/>
    <col collapsed="false" customWidth="true" hidden="false" outlineLevel="0" max="6" min="6" style="0" width="12"/>
    <col collapsed="false" customWidth="true" hidden="false" outlineLevel="0" max="7" min="7" style="0" width="28"/>
    <col collapsed="false" customWidth="true" hidden="false" outlineLevel="0" max="8" min="8" style="0" width="22"/>
    <col collapsed="false" customWidth="true" hidden="false" outlineLevel="0" max="9" min="9" style="0" width="11"/>
  </cols>
  <sheetData>
    <row r="1" customFormat="false" ht="17.35" hidden="false" customHeight="false" outlineLevel="0" collapsed="false">
      <c r="A1" s="1" t="s">
        <v>15</v>
      </c>
    </row>
    <row r="2" customFormat="false" ht="15" hidden="false" customHeight="false" outlineLevel="0" collapsed="false">
      <c r="A2" s="2" t="s">
        <v>469</v>
      </c>
    </row>
    <row r="4" customFormat="false" ht="31.5" hidden="false" customHeight="true" outlineLevel="0" collapsed="false">
      <c r="A4" s="21" t="s">
        <v>107</v>
      </c>
      <c r="B4" s="21" t="s">
        <v>114</v>
      </c>
      <c r="C4" s="21" t="s">
        <v>109</v>
      </c>
      <c r="D4" s="21" t="s">
        <v>115</v>
      </c>
      <c r="E4" s="21" t="s">
        <v>293</v>
      </c>
      <c r="F4" s="21" t="s">
        <v>296</v>
      </c>
      <c r="G4" s="21" t="s">
        <v>130</v>
      </c>
      <c r="H4" s="21" t="s">
        <v>171</v>
      </c>
      <c r="I4" s="21" t="s">
        <v>174</v>
      </c>
    </row>
    <row r="5" customFormat="false" ht="15" hidden="false" customHeight="false" outlineLevel="0" collapsed="false">
      <c r="A5" s="29" t="s">
        <v>204</v>
      </c>
      <c r="B5" s="29" t="s">
        <v>291</v>
      </c>
      <c r="C5" s="20" t="str">
        <f aca="false">IF(A5="","",IFERROR(INDEX(Metrics!$C:$C,MATCH(A5,Metrics!$A:$A,0)),"ID not found"))</f>
        <v>Cycle time (approved to accepted)</v>
      </c>
      <c r="D5" s="20" t="str">
        <f aca="false">IF(B5="","",IFERROR(INDEX(Fields!$B:$B,MATCH(B5,Fields!$A:$A,0)),"ID not found"))</f>
        <v>Requisition approved date</v>
      </c>
      <c r="E5" s="30" t="s">
        <v>295</v>
      </c>
      <c r="F5" s="20" t="n">
        <f aca="false">IF(A5="",0,COUNTIF('Metric to Product'!$A:$A,A5))</f>
        <v>2</v>
      </c>
      <c r="G5" s="30" t="s">
        <v>374</v>
      </c>
      <c r="H5" s="30" t="s">
        <v>173</v>
      </c>
      <c r="I5" s="30" t="s">
        <v>176</v>
      </c>
    </row>
    <row r="6" customFormat="false" ht="15" hidden="false" customHeight="false" outlineLevel="0" collapsed="false">
      <c r="A6" s="29" t="s">
        <v>204</v>
      </c>
      <c r="B6" s="29" t="s">
        <v>447</v>
      </c>
      <c r="C6" s="20" t="str">
        <f aca="false">IF(A6="","",IFERROR(INDEX(Metrics!$C:$C,MATCH(A6,Metrics!$A:$A,0)),"ID not found"))</f>
        <v>Cycle time (approved to accepted)</v>
      </c>
      <c r="D6" s="20" t="str">
        <f aca="false">IF(B6="","",IFERROR(INDEX(Fields!$B:$B,MATCH(B6,Fields!$A:$A,0)),"ID not found"))</f>
        <v>Offer accepted date</v>
      </c>
      <c r="E6" s="30" t="s">
        <v>470</v>
      </c>
      <c r="F6" s="20" t="n">
        <f aca="false">IF(A6="",0,COUNTIF('Metric to Product'!$A:$A,A6))</f>
        <v>2</v>
      </c>
      <c r="G6" s="30" t="s">
        <v>374</v>
      </c>
      <c r="H6" s="30" t="s">
        <v>173</v>
      </c>
      <c r="I6" s="30" t="s">
        <v>176</v>
      </c>
    </row>
    <row r="7" customFormat="false" ht="15" hidden="false" customHeight="false" outlineLevel="0" collapsed="false">
      <c r="A7" s="29" t="s">
        <v>204</v>
      </c>
      <c r="B7" s="29" t="s">
        <v>449</v>
      </c>
      <c r="C7" s="20" t="str">
        <f aca="false">IF(A7="","",IFERROR(INDEX(Metrics!$C:$C,MATCH(A7,Metrics!$A:$A,0)),"ID not found"))</f>
        <v>Cycle time (approved to accepted)</v>
      </c>
      <c r="D7" s="20" t="str">
        <f aca="false">IF(B7="","",IFERROR(INDEX(Fields!$B:$B,MATCH(B7,Fields!$A:$A,0)),"ID not found"))</f>
        <v>Evergreen flag</v>
      </c>
      <c r="E7" s="30" t="s">
        <v>471</v>
      </c>
      <c r="F7" s="20" t="n">
        <f aca="false">IF(A7="",0,COUNTIF('Metric to Product'!$A:$A,A7))</f>
        <v>2</v>
      </c>
      <c r="G7" s="30" t="s">
        <v>374</v>
      </c>
      <c r="H7" s="30" t="s">
        <v>173</v>
      </c>
      <c r="I7" s="30" t="s">
        <v>176</v>
      </c>
    </row>
    <row r="8" customFormat="false" ht="15" hidden="false" customHeight="false" outlineLevel="0" collapsed="false">
      <c r="A8" s="29" t="s">
        <v>204</v>
      </c>
      <c r="B8" s="29" t="s">
        <v>452</v>
      </c>
      <c r="C8" s="20" t="str">
        <f aca="false">IF(A8="","",IFERROR(INDEX(Metrics!$C:$C,MATCH(A8,Metrics!$A:$A,0)),"ID not found"))</f>
        <v>Cycle time (approved to accepted)</v>
      </c>
      <c r="D8" s="20" t="str">
        <f aca="false">IF(B8="","",IFERROR(INDEX(Fields!$B:$B,MATCH(B8,Fields!$A:$A,0)),"ID not found"))</f>
        <v>Requisition status</v>
      </c>
      <c r="E8" s="30" t="s">
        <v>471</v>
      </c>
      <c r="F8" s="20" t="n">
        <f aca="false">IF(A8="",0,COUNTIF('Metric to Product'!$A:$A,A8))</f>
        <v>2</v>
      </c>
      <c r="G8" s="30" t="s">
        <v>374</v>
      </c>
      <c r="H8" s="30" t="s">
        <v>173</v>
      </c>
      <c r="I8" s="30" t="s">
        <v>176</v>
      </c>
    </row>
    <row r="9" customFormat="false" ht="15" hidden="false" customHeight="false" outlineLevel="0" collapsed="false">
      <c r="A9" s="29" t="s">
        <v>204</v>
      </c>
      <c r="B9" s="29" t="s">
        <v>454</v>
      </c>
      <c r="C9" s="20" t="str">
        <f aca="false">IF(A9="","",IFERROR(INDEX(Metrics!$C:$C,MATCH(A9,Metrics!$A:$A,0)),"ID not found"))</f>
        <v>Cycle time (approved to accepted)</v>
      </c>
      <c r="D9" s="20" t="str">
        <f aca="false">IF(B9="","",IFERROR(INDEX(Fields!$B:$B,MATCH(B9,Fields!$A:$A,0)),"ID not found"))</f>
        <v>Original requisition link</v>
      </c>
      <c r="E9" s="30" t="s">
        <v>472</v>
      </c>
      <c r="F9" s="20" t="n">
        <f aca="false">IF(A9="",0,COUNTIF('Metric to Product'!$A:$A,A9))</f>
        <v>2</v>
      </c>
      <c r="G9" s="30" t="s">
        <v>374</v>
      </c>
      <c r="H9" s="30" t="s">
        <v>173</v>
      </c>
      <c r="I9" s="30" t="s">
        <v>176</v>
      </c>
    </row>
    <row r="10" customFormat="false" ht="15" hidden="false" customHeight="false" outlineLevel="0" collapsed="false">
      <c r="A10" s="29" t="s">
        <v>348</v>
      </c>
      <c r="B10" s="29" t="s">
        <v>465</v>
      </c>
      <c r="C10" s="20" t="str">
        <f aca="false">IF(A10="","",IFERROR(INDEX(Metrics!$C:$C,MATCH(A10,Metrics!$A:$A,0)),"ID not found"))</f>
        <v>Cycle time (posted to start)</v>
      </c>
      <c r="D10" s="20" t="str">
        <f aca="false">IF(B10="","",IFERROR(INDEX(Fields!$B:$B,MATCH(B10,Fields!$A:$A,0)),"ID not found"))</f>
        <v>Requisition posted date</v>
      </c>
      <c r="E10" s="30" t="s">
        <v>295</v>
      </c>
      <c r="F10" s="20" t="n">
        <f aca="false">IF(A10="",0,COUNTIF('Metric to Product'!$A:$A,A10))</f>
        <v>1</v>
      </c>
      <c r="G10" s="30" t="s">
        <v>374</v>
      </c>
      <c r="H10" s="30" t="s">
        <v>173</v>
      </c>
      <c r="I10" s="30" t="s">
        <v>176</v>
      </c>
    </row>
    <row r="11" customFormat="false" ht="15" hidden="false" customHeight="false" outlineLevel="0" collapsed="false">
      <c r="A11" s="29" t="s">
        <v>348</v>
      </c>
      <c r="B11" s="29" t="s">
        <v>467</v>
      </c>
      <c r="C11" s="20" t="str">
        <f aca="false">IF(A11="","",IFERROR(INDEX(Metrics!$C:$C,MATCH(A11,Metrics!$A:$A,0)),"ID not found"))</f>
        <v>Cycle time (posted to start)</v>
      </c>
      <c r="D11" s="20" t="str">
        <f aca="false">IF(B11="","",IFERROR(INDEX(Fields!$B:$B,MATCH(B11,Fields!$A:$A,0)),"ID not found"))</f>
        <v>Start date</v>
      </c>
      <c r="E11" s="30" t="s">
        <v>470</v>
      </c>
      <c r="F11" s="20" t="n">
        <f aca="false">IF(A11="",0,COUNTIF('Metric to Product'!$A:$A,A11))</f>
        <v>1</v>
      </c>
      <c r="G11" s="30" t="s">
        <v>374</v>
      </c>
      <c r="H11" s="30" t="s">
        <v>173</v>
      </c>
      <c r="I11" s="30" t="s">
        <v>176</v>
      </c>
    </row>
    <row r="12" customFormat="false" ht="15" hidden="false" customHeight="false" outlineLevel="0" collapsed="false">
      <c r="A12" s="29" t="s">
        <v>348</v>
      </c>
      <c r="B12" s="29" t="s">
        <v>449</v>
      </c>
      <c r="C12" s="20" t="str">
        <f aca="false">IF(A12="","",IFERROR(INDEX(Metrics!$C:$C,MATCH(A12,Metrics!$A:$A,0)),"ID not found"))</f>
        <v>Cycle time (posted to start)</v>
      </c>
      <c r="D12" s="20" t="str">
        <f aca="false">IF(B12="","",IFERROR(INDEX(Fields!$B:$B,MATCH(B12,Fields!$A:$A,0)),"ID not found"))</f>
        <v>Evergreen flag</v>
      </c>
      <c r="E12" s="30" t="s">
        <v>471</v>
      </c>
      <c r="F12" s="20" t="n">
        <f aca="false">IF(A12="",0,COUNTIF('Metric to Product'!$A:$A,A12))</f>
        <v>1</v>
      </c>
      <c r="G12" s="30" t="s">
        <v>374</v>
      </c>
      <c r="H12" s="30" t="s">
        <v>173</v>
      </c>
      <c r="I12" s="30" t="s">
        <v>176</v>
      </c>
    </row>
    <row r="13" customFormat="false" ht="15" hidden="false" customHeight="false" outlineLevel="0" collapsed="false">
      <c r="A13" s="29" t="s">
        <v>386</v>
      </c>
      <c r="B13" s="29" t="s">
        <v>447</v>
      </c>
      <c r="C13" s="20" t="str">
        <f aca="false">IF(A13="","",IFERROR(INDEX(Metrics!$C:$C,MATCH(A13,Metrics!$A:$A,0)),"ID not found"))</f>
        <v>Hires</v>
      </c>
      <c r="D13" s="20" t="str">
        <f aca="false">IF(B13="","",IFERROR(INDEX(Fields!$B:$B,MATCH(B13,Fields!$A:$A,0)),"ID not found"))</f>
        <v>Offer accepted date</v>
      </c>
      <c r="E13" s="30" t="s">
        <v>473</v>
      </c>
      <c r="F13" s="20" t="n">
        <f aca="false">IF(A13="",0,COUNTIF('Metric to Product'!$A:$A,A13))</f>
        <v>2</v>
      </c>
      <c r="G13" s="30" t="s">
        <v>374</v>
      </c>
      <c r="H13" s="30" t="s">
        <v>173</v>
      </c>
      <c r="I13" s="30" t="s">
        <v>176</v>
      </c>
    </row>
    <row r="14" customFormat="false" ht="15" hidden="false" customHeight="false" outlineLevel="0" collapsed="false">
      <c r="A14" s="29" t="s">
        <v>386</v>
      </c>
      <c r="B14" s="29" t="s">
        <v>266</v>
      </c>
      <c r="C14" s="20" t="str">
        <f aca="false">IF(A14="","",IFERROR(INDEX(Metrics!$C:$C,MATCH(A14,Metrics!$A:$A,0)),"ID not found"))</f>
        <v>Hires</v>
      </c>
      <c r="D14" s="20" t="str">
        <f aca="false">IF(B14="","",IFERROR(INDEX(Fields!$B:$B,MATCH(B14,Fields!$A:$A,0)),"ID not found"))</f>
        <v>Credited recruiter</v>
      </c>
      <c r="E14" s="30" t="s">
        <v>474</v>
      </c>
      <c r="F14" s="20" t="n">
        <f aca="false">IF(A14="",0,COUNTIF('Metric to Product'!$A:$A,A14))</f>
        <v>2</v>
      </c>
      <c r="G14" s="30" t="s">
        <v>374</v>
      </c>
      <c r="H14" s="30" t="s">
        <v>173</v>
      </c>
      <c r="I14" s="30" t="s">
        <v>176</v>
      </c>
    </row>
    <row r="15" customFormat="false" ht="15" hidden="false" customHeight="false" outlineLevel="0" collapsed="false">
      <c r="A15" s="29"/>
      <c r="B15" s="29"/>
      <c r="C15" s="20" t="str">
        <f aca="false">IF(A15="","",IFERROR(INDEX(Metrics!$C:$C,MATCH(A15,Metrics!$A:$A,0)),"ID not found"))</f>
        <v/>
      </c>
      <c r="D15" s="20" t="str">
        <f aca="false">IF(B15="","",IFERROR(INDEX(Fields!$B:$B,MATCH(B15,Fields!$A:$A,0)),"ID not found"))</f>
        <v/>
      </c>
      <c r="E15" s="30"/>
      <c r="F15" s="20" t="n">
        <f aca="false">IF(A15="",0,COUNTIF('Metric to Product'!$A:$A,A15))</f>
        <v>0</v>
      </c>
      <c r="G15" s="30"/>
      <c r="H15" s="30"/>
      <c r="I15" s="30"/>
    </row>
    <row r="16" customFormat="false" ht="15" hidden="false" customHeight="false" outlineLevel="0" collapsed="false">
      <c r="A16" s="29"/>
      <c r="B16" s="29"/>
      <c r="C16" s="20" t="str">
        <f aca="false">IF(A16="","",IFERROR(INDEX(Metrics!$C:$C,MATCH(A16,Metrics!$A:$A,0)),"ID not found"))</f>
        <v/>
      </c>
      <c r="D16" s="20" t="str">
        <f aca="false">IF(B16="","",IFERROR(INDEX(Fields!$B:$B,MATCH(B16,Fields!$A:$A,0)),"ID not found"))</f>
        <v/>
      </c>
      <c r="E16" s="30"/>
      <c r="F16" s="20" t="n">
        <f aca="false">IF(A16="",0,COUNTIF('Metric to Product'!$A:$A,A16))</f>
        <v>0</v>
      </c>
      <c r="G16" s="30"/>
      <c r="H16" s="30"/>
      <c r="I16" s="30"/>
    </row>
    <row r="17" customFormat="false" ht="15" hidden="false" customHeight="false" outlineLevel="0" collapsed="false">
      <c r="A17" s="29"/>
      <c r="B17" s="29"/>
      <c r="C17" s="20" t="str">
        <f aca="false">IF(A17="","",IFERROR(INDEX(Metrics!$C:$C,MATCH(A17,Metrics!$A:$A,0)),"ID not found"))</f>
        <v/>
      </c>
      <c r="D17" s="20" t="str">
        <f aca="false">IF(B17="","",IFERROR(INDEX(Fields!$B:$B,MATCH(B17,Fields!$A:$A,0)),"ID not found"))</f>
        <v/>
      </c>
      <c r="E17" s="30"/>
      <c r="F17" s="20" t="n">
        <f aca="false">IF(A17="",0,COUNTIF('Metric to Product'!$A:$A,A17))</f>
        <v>0</v>
      </c>
      <c r="G17" s="30"/>
      <c r="H17" s="30"/>
      <c r="I17" s="30"/>
    </row>
    <row r="18" customFormat="false" ht="15" hidden="false" customHeight="false" outlineLevel="0" collapsed="false">
      <c r="A18" s="29"/>
      <c r="B18" s="29"/>
      <c r="C18" s="20" t="str">
        <f aca="false">IF(A18="","",IFERROR(INDEX(Metrics!$C:$C,MATCH(A18,Metrics!$A:$A,0)),"ID not found"))</f>
        <v/>
      </c>
      <c r="D18" s="20" t="str">
        <f aca="false">IF(B18="","",IFERROR(INDEX(Fields!$B:$B,MATCH(B18,Fields!$A:$A,0)),"ID not found"))</f>
        <v/>
      </c>
      <c r="E18" s="30"/>
      <c r="F18" s="20" t="n">
        <f aca="false">IF(A18="",0,COUNTIF('Metric to Product'!$A:$A,A18))</f>
        <v>0</v>
      </c>
      <c r="G18" s="30"/>
      <c r="H18" s="30"/>
      <c r="I18" s="30"/>
    </row>
    <row r="19" customFormat="false" ht="15" hidden="false" customHeight="false" outlineLevel="0" collapsed="false">
      <c r="A19" s="29"/>
      <c r="B19" s="29"/>
      <c r="C19" s="20" t="str">
        <f aca="false">IF(A19="","",IFERROR(INDEX(Metrics!$C:$C,MATCH(A19,Metrics!$A:$A,0)),"ID not found"))</f>
        <v/>
      </c>
      <c r="D19" s="20" t="str">
        <f aca="false">IF(B19="","",IFERROR(INDEX(Fields!$B:$B,MATCH(B19,Fields!$A:$A,0)),"ID not found"))</f>
        <v/>
      </c>
      <c r="E19" s="30"/>
      <c r="F19" s="20" t="n">
        <f aca="false">IF(A19="",0,COUNTIF('Metric to Product'!$A:$A,A19))</f>
        <v>0</v>
      </c>
      <c r="G19" s="30"/>
      <c r="H19" s="30"/>
      <c r="I19" s="30"/>
    </row>
    <row r="20" customFormat="false" ht="15" hidden="false" customHeight="false" outlineLevel="0" collapsed="false">
      <c r="A20" s="29"/>
      <c r="B20" s="29"/>
      <c r="C20" s="20" t="str">
        <f aca="false">IF(A20="","",IFERROR(INDEX(Metrics!$C:$C,MATCH(A20,Metrics!$A:$A,0)),"ID not found"))</f>
        <v/>
      </c>
      <c r="D20" s="20" t="str">
        <f aca="false">IF(B20="","",IFERROR(INDEX(Fields!$B:$B,MATCH(B20,Fields!$A:$A,0)),"ID not found"))</f>
        <v/>
      </c>
      <c r="E20" s="30"/>
      <c r="F20" s="20" t="n">
        <f aca="false">IF(A20="",0,COUNTIF('Metric to Product'!$A:$A,A20))</f>
        <v>0</v>
      </c>
      <c r="G20" s="30"/>
      <c r="H20" s="30"/>
      <c r="I20" s="30"/>
    </row>
    <row r="21" customFormat="false" ht="15" hidden="false" customHeight="false" outlineLevel="0" collapsed="false">
      <c r="A21" s="29"/>
      <c r="B21" s="29"/>
      <c r="C21" s="20" t="str">
        <f aca="false">IF(A21="","",IFERROR(INDEX(Metrics!$C:$C,MATCH(A21,Metrics!$A:$A,0)),"ID not found"))</f>
        <v/>
      </c>
      <c r="D21" s="20" t="str">
        <f aca="false">IF(B21="","",IFERROR(INDEX(Fields!$B:$B,MATCH(B21,Fields!$A:$A,0)),"ID not found"))</f>
        <v/>
      </c>
      <c r="E21" s="30"/>
      <c r="F21" s="20" t="n">
        <f aca="false">IF(A21="",0,COUNTIF('Metric to Product'!$A:$A,A21))</f>
        <v>0</v>
      </c>
      <c r="G21" s="30"/>
      <c r="H21" s="30"/>
      <c r="I21" s="30"/>
    </row>
    <row r="22" customFormat="false" ht="15" hidden="false" customHeight="false" outlineLevel="0" collapsed="false">
      <c r="A22" s="29"/>
      <c r="B22" s="29"/>
      <c r="C22" s="20" t="str">
        <f aca="false">IF(A22="","",IFERROR(INDEX(Metrics!$C:$C,MATCH(A22,Metrics!$A:$A,0)),"ID not found"))</f>
        <v/>
      </c>
      <c r="D22" s="20" t="str">
        <f aca="false">IF(B22="","",IFERROR(INDEX(Fields!$B:$B,MATCH(B22,Fields!$A:$A,0)),"ID not found"))</f>
        <v/>
      </c>
      <c r="E22" s="30"/>
      <c r="F22" s="20" t="n">
        <f aca="false">IF(A22="",0,COUNTIF('Metric to Product'!$A:$A,A22))</f>
        <v>0</v>
      </c>
      <c r="G22" s="30"/>
      <c r="H22" s="30"/>
      <c r="I22" s="30"/>
    </row>
    <row r="23" customFormat="false" ht="15" hidden="false" customHeight="false" outlineLevel="0" collapsed="false">
      <c r="A23" s="29"/>
      <c r="B23" s="29"/>
      <c r="C23" s="20" t="str">
        <f aca="false">IF(A23="","",IFERROR(INDEX(Metrics!$C:$C,MATCH(A23,Metrics!$A:$A,0)),"ID not found"))</f>
        <v/>
      </c>
      <c r="D23" s="20" t="str">
        <f aca="false">IF(B23="","",IFERROR(INDEX(Fields!$B:$B,MATCH(B23,Fields!$A:$A,0)),"ID not found"))</f>
        <v/>
      </c>
      <c r="E23" s="30"/>
      <c r="F23" s="20" t="n">
        <f aca="false">IF(A23="",0,COUNTIF('Metric to Product'!$A:$A,A23))</f>
        <v>0</v>
      </c>
      <c r="G23" s="30"/>
      <c r="H23" s="30"/>
      <c r="I23" s="30"/>
    </row>
    <row r="24" customFormat="false" ht="15" hidden="false" customHeight="false" outlineLevel="0" collapsed="false">
      <c r="A24" s="29"/>
      <c r="B24" s="29"/>
      <c r="C24" s="20" t="str">
        <f aca="false">IF(A24="","",IFERROR(INDEX(Metrics!$C:$C,MATCH(A24,Metrics!$A:$A,0)),"ID not found"))</f>
        <v/>
      </c>
      <c r="D24" s="20" t="str">
        <f aca="false">IF(B24="","",IFERROR(INDEX(Fields!$B:$B,MATCH(B24,Fields!$A:$A,0)),"ID not found"))</f>
        <v/>
      </c>
      <c r="E24" s="30"/>
      <c r="F24" s="20" t="n">
        <f aca="false">IF(A24="",0,COUNTIF('Metric to Product'!$A:$A,A24))</f>
        <v>0</v>
      </c>
      <c r="G24" s="30"/>
      <c r="H24" s="30"/>
      <c r="I24" s="30"/>
    </row>
    <row r="25" customFormat="false" ht="15" hidden="false" customHeight="false" outlineLevel="0" collapsed="false">
      <c r="A25" s="29"/>
      <c r="B25" s="29"/>
      <c r="C25" s="20" t="str">
        <f aca="false">IF(A25="","",IFERROR(INDEX(Metrics!$C:$C,MATCH(A25,Metrics!$A:$A,0)),"ID not found"))</f>
        <v/>
      </c>
      <c r="D25" s="20" t="str">
        <f aca="false">IF(B25="","",IFERROR(INDEX(Fields!$B:$B,MATCH(B25,Fields!$A:$A,0)),"ID not found"))</f>
        <v/>
      </c>
      <c r="E25" s="30"/>
      <c r="F25" s="20" t="n">
        <f aca="false">IF(A25="",0,COUNTIF('Metric to Product'!$A:$A,A25))</f>
        <v>0</v>
      </c>
      <c r="G25" s="30"/>
      <c r="H25" s="30"/>
      <c r="I25" s="30"/>
    </row>
    <row r="26" customFormat="false" ht="15" hidden="false" customHeight="false" outlineLevel="0" collapsed="false">
      <c r="A26" s="29"/>
      <c r="B26" s="29"/>
      <c r="C26" s="20" t="str">
        <f aca="false">IF(A26="","",IFERROR(INDEX(Metrics!$C:$C,MATCH(A26,Metrics!$A:$A,0)),"ID not found"))</f>
        <v/>
      </c>
      <c r="D26" s="20" t="str">
        <f aca="false">IF(B26="","",IFERROR(INDEX(Fields!$B:$B,MATCH(B26,Fields!$A:$A,0)),"ID not found"))</f>
        <v/>
      </c>
      <c r="E26" s="30"/>
      <c r="F26" s="20" t="n">
        <f aca="false">IF(A26="",0,COUNTIF('Metric to Product'!$A:$A,A26))</f>
        <v>0</v>
      </c>
      <c r="G26" s="30"/>
      <c r="H26" s="30"/>
      <c r="I26" s="30"/>
    </row>
    <row r="27" customFormat="false" ht="15" hidden="false" customHeight="false" outlineLevel="0" collapsed="false">
      <c r="A27" s="29"/>
      <c r="B27" s="29"/>
      <c r="C27" s="20" t="str">
        <f aca="false">IF(A27="","",IFERROR(INDEX(Metrics!$C:$C,MATCH(A27,Metrics!$A:$A,0)),"ID not found"))</f>
        <v/>
      </c>
      <c r="D27" s="20" t="str">
        <f aca="false">IF(B27="","",IFERROR(INDEX(Fields!$B:$B,MATCH(B27,Fields!$A:$A,0)),"ID not found"))</f>
        <v/>
      </c>
      <c r="E27" s="30"/>
      <c r="F27" s="20" t="n">
        <f aca="false">IF(A27="",0,COUNTIF('Metric to Product'!$A:$A,A27))</f>
        <v>0</v>
      </c>
      <c r="G27" s="30"/>
      <c r="H27" s="30"/>
      <c r="I27" s="30"/>
    </row>
    <row r="28" customFormat="false" ht="15" hidden="false" customHeight="false" outlineLevel="0" collapsed="false">
      <c r="A28" s="29"/>
      <c r="B28" s="29"/>
      <c r="C28" s="20" t="str">
        <f aca="false">IF(A28="","",IFERROR(INDEX(Metrics!$C:$C,MATCH(A28,Metrics!$A:$A,0)),"ID not found"))</f>
        <v/>
      </c>
      <c r="D28" s="20" t="str">
        <f aca="false">IF(B28="","",IFERROR(INDEX(Fields!$B:$B,MATCH(B28,Fields!$A:$A,0)),"ID not found"))</f>
        <v/>
      </c>
      <c r="E28" s="30"/>
      <c r="F28" s="20" t="n">
        <f aca="false">IF(A28="",0,COUNTIF('Metric to Product'!$A:$A,A28))</f>
        <v>0</v>
      </c>
      <c r="G28" s="30"/>
      <c r="H28" s="30"/>
      <c r="I28" s="30"/>
    </row>
    <row r="29" customFormat="false" ht="15" hidden="false" customHeight="false" outlineLevel="0" collapsed="false">
      <c r="A29" s="29"/>
      <c r="B29" s="29"/>
      <c r="C29" s="20" t="str">
        <f aca="false">IF(A29="","",IFERROR(INDEX(Metrics!$C:$C,MATCH(A29,Metrics!$A:$A,0)),"ID not found"))</f>
        <v/>
      </c>
      <c r="D29" s="20" t="str">
        <f aca="false">IF(B29="","",IFERROR(INDEX(Fields!$B:$B,MATCH(B29,Fields!$A:$A,0)),"ID not found"))</f>
        <v/>
      </c>
      <c r="E29" s="30"/>
      <c r="F29" s="20" t="n">
        <f aca="false">IF(A29="",0,COUNTIF('Metric to Product'!$A:$A,A29))</f>
        <v>0</v>
      </c>
      <c r="G29" s="30"/>
      <c r="H29" s="30"/>
      <c r="I29" s="30"/>
    </row>
    <row r="30" customFormat="false" ht="15" hidden="false" customHeight="false" outlineLevel="0" collapsed="false">
      <c r="A30" s="29"/>
      <c r="B30" s="29"/>
      <c r="C30" s="20" t="str">
        <f aca="false">IF(A30="","",IFERROR(INDEX(Metrics!$C:$C,MATCH(A30,Metrics!$A:$A,0)),"ID not found"))</f>
        <v/>
      </c>
      <c r="D30" s="20" t="str">
        <f aca="false">IF(B30="","",IFERROR(INDEX(Fields!$B:$B,MATCH(B30,Fields!$A:$A,0)),"ID not found"))</f>
        <v/>
      </c>
      <c r="E30" s="30"/>
      <c r="F30" s="20" t="n">
        <f aca="false">IF(A30="",0,COUNTIF('Metric to Product'!$A:$A,A30))</f>
        <v>0</v>
      </c>
      <c r="G30" s="30"/>
      <c r="H30" s="30"/>
      <c r="I30" s="30"/>
    </row>
    <row r="31" customFormat="false" ht="15" hidden="false" customHeight="false" outlineLevel="0" collapsed="false">
      <c r="A31" s="29"/>
      <c r="B31" s="29"/>
      <c r="C31" s="20" t="str">
        <f aca="false">IF(A31="","",IFERROR(INDEX(Metrics!$C:$C,MATCH(A31,Metrics!$A:$A,0)),"ID not found"))</f>
        <v/>
      </c>
      <c r="D31" s="20" t="str">
        <f aca="false">IF(B31="","",IFERROR(INDEX(Fields!$B:$B,MATCH(B31,Fields!$A:$A,0)),"ID not found"))</f>
        <v/>
      </c>
      <c r="E31" s="30"/>
      <c r="F31" s="20" t="n">
        <f aca="false">IF(A31="",0,COUNTIF('Metric to Product'!$A:$A,A31))</f>
        <v>0</v>
      </c>
      <c r="G31" s="30"/>
      <c r="H31" s="30"/>
      <c r="I31" s="30"/>
    </row>
    <row r="32" customFormat="false" ht="15" hidden="false" customHeight="false" outlineLevel="0" collapsed="false">
      <c r="A32" s="29"/>
      <c r="B32" s="29"/>
      <c r="C32" s="20" t="str">
        <f aca="false">IF(A32="","",IFERROR(INDEX(Metrics!$C:$C,MATCH(A32,Metrics!$A:$A,0)),"ID not found"))</f>
        <v/>
      </c>
      <c r="D32" s="20" t="str">
        <f aca="false">IF(B32="","",IFERROR(INDEX(Fields!$B:$B,MATCH(B32,Fields!$A:$A,0)),"ID not found"))</f>
        <v/>
      </c>
      <c r="E32" s="30"/>
      <c r="F32" s="20" t="n">
        <f aca="false">IF(A32="",0,COUNTIF('Metric to Product'!$A:$A,A32))</f>
        <v>0</v>
      </c>
      <c r="G32" s="30"/>
      <c r="H32" s="30"/>
      <c r="I32" s="30"/>
    </row>
    <row r="33" customFormat="false" ht="15" hidden="false" customHeight="false" outlineLevel="0" collapsed="false">
      <c r="A33" s="29"/>
      <c r="B33" s="29"/>
      <c r="C33" s="20" t="str">
        <f aca="false">IF(A33="","",IFERROR(INDEX(Metrics!$C:$C,MATCH(A33,Metrics!$A:$A,0)),"ID not found"))</f>
        <v/>
      </c>
      <c r="D33" s="20" t="str">
        <f aca="false">IF(B33="","",IFERROR(INDEX(Fields!$B:$B,MATCH(B33,Fields!$A:$A,0)),"ID not found"))</f>
        <v/>
      </c>
      <c r="E33" s="30"/>
      <c r="F33" s="20" t="n">
        <f aca="false">IF(A33="",0,COUNTIF('Metric to Product'!$A:$A,A33))</f>
        <v>0</v>
      </c>
      <c r="G33" s="30"/>
      <c r="H33" s="30"/>
      <c r="I33" s="30"/>
    </row>
    <row r="34" customFormat="false" ht="15" hidden="false" customHeight="false" outlineLevel="0" collapsed="false">
      <c r="A34" s="29"/>
      <c r="B34" s="29"/>
      <c r="C34" s="20" t="str">
        <f aca="false">IF(A34="","",IFERROR(INDEX(Metrics!$C:$C,MATCH(A34,Metrics!$A:$A,0)),"ID not found"))</f>
        <v/>
      </c>
      <c r="D34" s="20" t="str">
        <f aca="false">IF(B34="","",IFERROR(INDEX(Fields!$B:$B,MATCH(B34,Fields!$A:$A,0)),"ID not found"))</f>
        <v/>
      </c>
      <c r="E34" s="30"/>
      <c r="F34" s="20" t="n">
        <f aca="false">IF(A34="",0,COUNTIF('Metric to Product'!$A:$A,A34))</f>
        <v>0</v>
      </c>
      <c r="G34" s="30"/>
      <c r="H34" s="30"/>
      <c r="I34" s="30"/>
    </row>
    <row r="35" customFormat="false" ht="15" hidden="false" customHeight="false" outlineLevel="0" collapsed="false">
      <c r="A35" s="29"/>
      <c r="B35" s="29"/>
      <c r="C35" s="20" t="str">
        <f aca="false">IF(A35="","",IFERROR(INDEX(Metrics!$C:$C,MATCH(A35,Metrics!$A:$A,0)),"ID not found"))</f>
        <v/>
      </c>
      <c r="D35" s="20" t="str">
        <f aca="false">IF(B35="","",IFERROR(INDEX(Fields!$B:$B,MATCH(B35,Fields!$A:$A,0)),"ID not found"))</f>
        <v/>
      </c>
      <c r="E35" s="30"/>
      <c r="F35" s="20" t="n">
        <f aca="false">IF(A35="",0,COUNTIF('Metric to Product'!$A:$A,A35))</f>
        <v>0</v>
      </c>
      <c r="G35" s="30"/>
      <c r="H35" s="30"/>
      <c r="I35" s="30"/>
    </row>
    <row r="36" customFormat="false" ht="15" hidden="false" customHeight="false" outlineLevel="0" collapsed="false">
      <c r="A36" s="29"/>
      <c r="B36" s="29"/>
      <c r="C36" s="20" t="str">
        <f aca="false">IF(A36="","",IFERROR(INDEX(Metrics!$C:$C,MATCH(A36,Metrics!$A:$A,0)),"ID not found"))</f>
        <v/>
      </c>
      <c r="D36" s="20" t="str">
        <f aca="false">IF(B36="","",IFERROR(INDEX(Fields!$B:$B,MATCH(B36,Fields!$A:$A,0)),"ID not found"))</f>
        <v/>
      </c>
      <c r="E36" s="30"/>
      <c r="F36" s="20" t="n">
        <f aca="false">IF(A36="",0,COUNTIF('Metric to Product'!$A:$A,A36))</f>
        <v>0</v>
      </c>
      <c r="G36" s="30"/>
      <c r="H36" s="30"/>
      <c r="I36" s="30"/>
    </row>
    <row r="37" customFormat="false" ht="15" hidden="false" customHeight="false" outlineLevel="0" collapsed="false">
      <c r="A37" s="29"/>
      <c r="B37" s="29"/>
      <c r="C37" s="20" t="str">
        <f aca="false">IF(A37="","",IFERROR(INDEX(Metrics!$C:$C,MATCH(A37,Metrics!$A:$A,0)),"ID not found"))</f>
        <v/>
      </c>
      <c r="D37" s="20" t="str">
        <f aca="false">IF(B37="","",IFERROR(INDEX(Fields!$B:$B,MATCH(B37,Fields!$A:$A,0)),"ID not found"))</f>
        <v/>
      </c>
      <c r="E37" s="30"/>
      <c r="F37" s="20" t="n">
        <f aca="false">IF(A37="",0,COUNTIF('Metric to Product'!$A:$A,A37))</f>
        <v>0</v>
      </c>
      <c r="G37" s="30"/>
      <c r="H37" s="30"/>
      <c r="I37" s="30"/>
    </row>
    <row r="38" customFormat="false" ht="15" hidden="false" customHeight="false" outlineLevel="0" collapsed="false">
      <c r="A38" s="29"/>
      <c r="B38" s="29"/>
      <c r="C38" s="20" t="str">
        <f aca="false">IF(A38="","",IFERROR(INDEX(Metrics!$C:$C,MATCH(A38,Metrics!$A:$A,0)),"ID not found"))</f>
        <v/>
      </c>
      <c r="D38" s="20" t="str">
        <f aca="false">IF(B38="","",IFERROR(INDEX(Fields!$B:$B,MATCH(B38,Fields!$A:$A,0)),"ID not found"))</f>
        <v/>
      </c>
      <c r="E38" s="30"/>
      <c r="F38" s="20" t="n">
        <f aca="false">IF(A38="",0,COUNTIF('Metric to Product'!$A:$A,A38))</f>
        <v>0</v>
      </c>
      <c r="G38" s="30"/>
      <c r="H38" s="30"/>
      <c r="I38" s="30"/>
    </row>
    <row r="39" customFormat="false" ht="15" hidden="false" customHeight="false" outlineLevel="0" collapsed="false">
      <c r="A39" s="29"/>
      <c r="B39" s="29"/>
      <c r="C39" s="20" t="str">
        <f aca="false">IF(A39="","",IFERROR(INDEX(Metrics!$C:$C,MATCH(A39,Metrics!$A:$A,0)),"ID not found"))</f>
        <v/>
      </c>
      <c r="D39" s="20" t="str">
        <f aca="false">IF(B39="","",IFERROR(INDEX(Fields!$B:$B,MATCH(B39,Fields!$A:$A,0)),"ID not found"))</f>
        <v/>
      </c>
      <c r="E39" s="30"/>
      <c r="F39" s="20" t="n">
        <f aca="false">IF(A39="",0,COUNTIF('Metric to Product'!$A:$A,A39))</f>
        <v>0</v>
      </c>
      <c r="G39" s="30"/>
      <c r="H39" s="30"/>
      <c r="I39" s="30"/>
    </row>
    <row r="40" customFormat="false" ht="15" hidden="false" customHeight="false" outlineLevel="0" collapsed="false">
      <c r="A40" s="29"/>
      <c r="B40" s="29"/>
      <c r="C40" s="20" t="str">
        <f aca="false">IF(A40="","",IFERROR(INDEX(Metrics!$C:$C,MATCH(A40,Metrics!$A:$A,0)),"ID not found"))</f>
        <v/>
      </c>
      <c r="D40" s="20" t="str">
        <f aca="false">IF(B40="","",IFERROR(INDEX(Fields!$B:$B,MATCH(B40,Fields!$A:$A,0)),"ID not found"))</f>
        <v/>
      </c>
      <c r="E40" s="30"/>
      <c r="F40" s="20" t="n">
        <f aca="false">IF(A40="",0,COUNTIF('Metric to Product'!$A:$A,A40))</f>
        <v>0</v>
      </c>
      <c r="G40" s="30"/>
      <c r="H40" s="30"/>
      <c r="I40" s="30"/>
    </row>
    <row r="41" customFormat="false" ht="15" hidden="false" customHeight="false" outlineLevel="0" collapsed="false">
      <c r="A41" s="29"/>
      <c r="B41" s="29"/>
      <c r="C41" s="20" t="str">
        <f aca="false">IF(A41="","",IFERROR(INDEX(Metrics!$C:$C,MATCH(A41,Metrics!$A:$A,0)),"ID not found"))</f>
        <v/>
      </c>
      <c r="D41" s="20" t="str">
        <f aca="false">IF(B41="","",IFERROR(INDEX(Fields!$B:$B,MATCH(B41,Fields!$A:$A,0)),"ID not found"))</f>
        <v/>
      </c>
      <c r="E41" s="30"/>
      <c r="F41" s="20" t="n">
        <f aca="false">IF(A41="",0,COUNTIF('Metric to Product'!$A:$A,A41))</f>
        <v>0</v>
      </c>
      <c r="G41" s="30"/>
      <c r="H41" s="30"/>
      <c r="I41" s="30"/>
    </row>
    <row r="42" customFormat="false" ht="15" hidden="false" customHeight="false" outlineLevel="0" collapsed="false">
      <c r="A42" s="29"/>
      <c r="B42" s="29"/>
      <c r="C42" s="20" t="str">
        <f aca="false">IF(A42="","",IFERROR(INDEX(Metrics!$C:$C,MATCH(A42,Metrics!$A:$A,0)),"ID not found"))</f>
        <v/>
      </c>
      <c r="D42" s="20" t="str">
        <f aca="false">IF(B42="","",IFERROR(INDEX(Fields!$B:$B,MATCH(B42,Fields!$A:$A,0)),"ID not found"))</f>
        <v/>
      </c>
      <c r="E42" s="30"/>
      <c r="F42" s="20" t="n">
        <f aca="false">IF(A42="",0,COUNTIF('Metric to Product'!$A:$A,A42))</f>
        <v>0</v>
      </c>
      <c r="G42" s="30"/>
      <c r="H42" s="30"/>
      <c r="I42" s="30"/>
    </row>
    <row r="43" customFormat="false" ht="15" hidden="false" customHeight="false" outlineLevel="0" collapsed="false">
      <c r="A43" s="29"/>
      <c r="B43" s="29"/>
      <c r="C43" s="20" t="str">
        <f aca="false">IF(A43="","",IFERROR(INDEX(Metrics!$C:$C,MATCH(A43,Metrics!$A:$A,0)),"ID not found"))</f>
        <v/>
      </c>
      <c r="D43" s="20" t="str">
        <f aca="false">IF(B43="","",IFERROR(INDEX(Fields!$B:$B,MATCH(B43,Fields!$A:$A,0)),"ID not found"))</f>
        <v/>
      </c>
      <c r="E43" s="30"/>
      <c r="F43" s="20" t="n">
        <f aca="false">IF(A43="",0,COUNTIF('Metric to Product'!$A:$A,A43))</f>
        <v>0</v>
      </c>
      <c r="G43" s="30"/>
      <c r="H43" s="30"/>
      <c r="I43" s="30"/>
    </row>
    <row r="44" customFormat="false" ht="15" hidden="false" customHeight="false" outlineLevel="0" collapsed="false">
      <c r="A44" s="29"/>
      <c r="B44" s="29"/>
      <c r="C44" s="20" t="str">
        <f aca="false">IF(A44="","",IFERROR(INDEX(Metrics!$C:$C,MATCH(A44,Metrics!$A:$A,0)),"ID not found"))</f>
        <v/>
      </c>
      <c r="D44" s="20" t="str">
        <f aca="false">IF(B44="","",IFERROR(INDEX(Fields!$B:$B,MATCH(B44,Fields!$A:$A,0)),"ID not found"))</f>
        <v/>
      </c>
      <c r="E44" s="30"/>
      <c r="F44" s="20" t="n">
        <f aca="false">IF(A44="",0,COUNTIF('Metric to Product'!$A:$A,A44))</f>
        <v>0</v>
      </c>
      <c r="G44" s="30"/>
      <c r="H44" s="30"/>
      <c r="I44" s="30"/>
    </row>
    <row r="45" customFormat="false" ht="15" hidden="false" customHeight="false" outlineLevel="0" collapsed="false">
      <c r="A45" s="29"/>
      <c r="B45" s="29"/>
      <c r="C45" s="20" t="str">
        <f aca="false">IF(A45="","",IFERROR(INDEX(Metrics!$C:$C,MATCH(A45,Metrics!$A:$A,0)),"ID not found"))</f>
        <v/>
      </c>
      <c r="D45" s="20" t="str">
        <f aca="false">IF(B45="","",IFERROR(INDEX(Fields!$B:$B,MATCH(B45,Fields!$A:$A,0)),"ID not found"))</f>
        <v/>
      </c>
      <c r="E45" s="30"/>
      <c r="F45" s="20" t="n">
        <f aca="false">IF(A45="",0,COUNTIF('Metric to Product'!$A:$A,A45))</f>
        <v>0</v>
      </c>
      <c r="G45" s="30"/>
      <c r="H45" s="30"/>
      <c r="I45" s="30"/>
    </row>
    <row r="46" customFormat="false" ht="15" hidden="false" customHeight="false" outlineLevel="0" collapsed="false">
      <c r="A46" s="29"/>
      <c r="B46" s="29"/>
      <c r="C46" s="20" t="str">
        <f aca="false">IF(A46="","",IFERROR(INDEX(Metrics!$C:$C,MATCH(A46,Metrics!$A:$A,0)),"ID not found"))</f>
        <v/>
      </c>
      <c r="D46" s="20" t="str">
        <f aca="false">IF(B46="","",IFERROR(INDEX(Fields!$B:$B,MATCH(B46,Fields!$A:$A,0)),"ID not found"))</f>
        <v/>
      </c>
      <c r="E46" s="30"/>
      <c r="F46" s="20" t="n">
        <f aca="false">IF(A46="",0,COUNTIF('Metric to Product'!$A:$A,A46))</f>
        <v>0</v>
      </c>
      <c r="G46" s="30"/>
      <c r="H46" s="30"/>
      <c r="I46" s="30"/>
    </row>
    <row r="47" customFormat="false" ht="15" hidden="false" customHeight="false" outlineLevel="0" collapsed="false">
      <c r="A47" s="29"/>
      <c r="B47" s="29"/>
      <c r="C47" s="20" t="str">
        <f aca="false">IF(A47="","",IFERROR(INDEX(Metrics!$C:$C,MATCH(A47,Metrics!$A:$A,0)),"ID not found"))</f>
        <v/>
      </c>
      <c r="D47" s="20" t="str">
        <f aca="false">IF(B47="","",IFERROR(INDEX(Fields!$B:$B,MATCH(B47,Fields!$A:$A,0)),"ID not found"))</f>
        <v/>
      </c>
      <c r="E47" s="30"/>
      <c r="F47" s="20" t="n">
        <f aca="false">IF(A47="",0,COUNTIF('Metric to Product'!$A:$A,A47))</f>
        <v>0</v>
      </c>
      <c r="G47" s="30"/>
      <c r="H47" s="30"/>
      <c r="I47" s="30"/>
    </row>
    <row r="48" customFormat="false" ht="15" hidden="false" customHeight="false" outlineLevel="0" collapsed="false">
      <c r="A48" s="29"/>
      <c r="B48" s="29"/>
      <c r="C48" s="20" t="str">
        <f aca="false">IF(A48="","",IFERROR(INDEX(Metrics!$C:$C,MATCH(A48,Metrics!$A:$A,0)),"ID not found"))</f>
        <v/>
      </c>
      <c r="D48" s="20" t="str">
        <f aca="false">IF(B48="","",IFERROR(INDEX(Fields!$B:$B,MATCH(B48,Fields!$A:$A,0)),"ID not found"))</f>
        <v/>
      </c>
      <c r="E48" s="30"/>
      <c r="F48" s="20" t="n">
        <f aca="false">IF(A48="",0,COUNTIF('Metric to Product'!$A:$A,A48))</f>
        <v>0</v>
      </c>
      <c r="G48" s="30"/>
      <c r="H48" s="30"/>
      <c r="I48" s="30"/>
    </row>
    <row r="49" customFormat="false" ht="15" hidden="false" customHeight="false" outlineLevel="0" collapsed="false">
      <c r="A49" s="29"/>
      <c r="B49" s="29"/>
      <c r="C49" s="20" t="str">
        <f aca="false">IF(A49="","",IFERROR(INDEX(Metrics!$C:$C,MATCH(A49,Metrics!$A:$A,0)),"ID not found"))</f>
        <v/>
      </c>
      <c r="D49" s="20" t="str">
        <f aca="false">IF(B49="","",IFERROR(INDEX(Fields!$B:$B,MATCH(B49,Fields!$A:$A,0)),"ID not found"))</f>
        <v/>
      </c>
      <c r="E49" s="30"/>
      <c r="F49" s="20" t="n">
        <f aca="false">IF(A49="",0,COUNTIF('Metric to Product'!$A:$A,A49))</f>
        <v>0</v>
      </c>
      <c r="G49" s="30"/>
      <c r="H49" s="30"/>
      <c r="I49" s="30"/>
    </row>
    <row r="50" customFormat="false" ht="15" hidden="false" customHeight="false" outlineLevel="0" collapsed="false">
      <c r="A50" s="29"/>
      <c r="B50" s="29"/>
      <c r="C50" s="20" t="str">
        <f aca="false">IF(A50="","",IFERROR(INDEX(Metrics!$C:$C,MATCH(A50,Metrics!$A:$A,0)),"ID not found"))</f>
        <v/>
      </c>
      <c r="D50" s="20" t="str">
        <f aca="false">IF(B50="","",IFERROR(INDEX(Fields!$B:$B,MATCH(B50,Fields!$A:$A,0)),"ID not found"))</f>
        <v/>
      </c>
      <c r="E50" s="30"/>
      <c r="F50" s="20" t="n">
        <f aca="false">IF(A50="",0,COUNTIF('Metric to Product'!$A:$A,A50))</f>
        <v>0</v>
      </c>
      <c r="G50" s="30"/>
      <c r="H50" s="30"/>
      <c r="I50" s="30"/>
    </row>
    <row r="51" customFormat="false" ht="15" hidden="false" customHeight="false" outlineLevel="0" collapsed="false">
      <c r="A51" s="29"/>
      <c r="B51" s="29"/>
      <c r="C51" s="20" t="str">
        <f aca="false">IF(A51="","",IFERROR(INDEX(Metrics!$C:$C,MATCH(A51,Metrics!$A:$A,0)),"ID not found"))</f>
        <v/>
      </c>
      <c r="D51" s="20" t="str">
        <f aca="false">IF(B51="","",IFERROR(INDEX(Fields!$B:$B,MATCH(B51,Fields!$A:$A,0)),"ID not found"))</f>
        <v/>
      </c>
      <c r="E51" s="30"/>
      <c r="F51" s="20" t="n">
        <f aca="false">IF(A51="",0,COUNTIF('Metric to Product'!$A:$A,A51))</f>
        <v>0</v>
      </c>
      <c r="G51" s="30"/>
      <c r="H51" s="30"/>
      <c r="I51" s="30"/>
    </row>
    <row r="52" customFormat="false" ht="15" hidden="false" customHeight="false" outlineLevel="0" collapsed="false">
      <c r="A52" s="29"/>
      <c r="B52" s="29"/>
      <c r="C52" s="20" t="str">
        <f aca="false">IF(A52="","",IFERROR(INDEX(Metrics!$C:$C,MATCH(A52,Metrics!$A:$A,0)),"ID not found"))</f>
        <v/>
      </c>
      <c r="D52" s="20" t="str">
        <f aca="false">IF(B52="","",IFERROR(INDEX(Fields!$B:$B,MATCH(B52,Fields!$A:$A,0)),"ID not found"))</f>
        <v/>
      </c>
      <c r="E52" s="30"/>
      <c r="F52" s="20" t="n">
        <f aca="false">IF(A52="",0,COUNTIF('Metric to Product'!$A:$A,A52))</f>
        <v>0</v>
      </c>
      <c r="G52" s="30"/>
      <c r="H52" s="30"/>
      <c r="I52" s="30"/>
    </row>
    <row r="53" customFormat="false" ht="15" hidden="false" customHeight="false" outlineLevel="0" collapsed="false">
      <c r="A53" s="29"/>
      <c r="B53" s="29"/>
      <c r="C53" s="20" t="str">
        <f aca="false">IF(A53="","",IFERROR(INDEX(Metrics!$C:$C,MATCH(A53,Metrics!$A:$A,0)),"ID not found"))</f>
        <v/>
      </c>
      <c r="D53" s="20" t="str">
        <f aca="false">IF(B53="","",IFERROR(INDEX(Fields!$B:$B,MATCH(B53,Fields!$A:$A,0)),"ID not found"))</f>
        <v/>
      </c>
      <c r="E53" s="30"/>
      <c r="F53" s="20" t="n">
        <f aca="false">IF(A53="",0,COUNTIF('Metric to Product'!$A:$A,A53))</f>
        <v>0</v>
      </c>
      <c r="G53" s="30"/>
      <c r="H53" s="30"/>
      <c r="I53" s="30"/>
    </row>
    <row r="54" customFormat="false" ht="15" hidden="false" customHeight="false" outlineLevel="0" collapsed="false">
      <c r="A54" s="29"/>
      <c r="B54" s="29"/>
      <c r="C54" s="20" t="str">
        <f aca="false">IF(A54="","",IFERROR(INDEX(Metrics!$C:$C,MATCH(A54,Metrics!$A:$A,0)),"ID not found"))</f>
        <v/>
      </c>
      <c r="D54" s="20" t="str">
        <f aca="false">IF(B54="","",IFERROR(INDEX(Fields!$B:$B,MATCH(B54,Fields!$A:$A,0)),"ID not found"))</f>
        <v/>
      </c>
      <c r="E54" s="30"/>
      <c r="F54" s="20" t="n">
        <f aca="false">IF(A54="",0,COUNTIF('Metric to Product'!$A:$A,A54))</f>
        <v>0</v>
      </c>
      <c r="G54" s="30"/>
      <c r="H54" s="30"/>
      <c r="I54" s="30"/>
    </row>
    <row r="55" customFormat="false" ht="15" hidden="false" customHeight="false" outlineLevel="0" collapsed="false">
      <c r="A55" s="29"/>
      <c r="B55" s="29"/>
      <c r="C55" s="20" t="str">
        <f aca="false">IF(A55="","",IFERROR(INDEX(Metrics!$C:$C,MATCH(A55,Metrics!$A:$A,0)),"ID not found"))</f>
        <v/>
      </c>
      <c r="D55" s="20" t="str">
        <f aca="false">IF(B55="","",IFERROR(INDEX(Fields!$B:$B,MATCH(B55,Fields!$A:$A,0)),"ID not found"))</f>
        <v/>
      </c>
      <c r="E55" s="30"/>
      <c r="F55" s="20" t="n">
        <f aca="false">IF(A55="",0,COUNTIF('Metric to Product'!$A:$A,A55))</f>
        <v>0</v>
      </c>
      <c r="G55" s="30"/>
      <c r="H55" s="30"/>
      <c r="I55" s="30"/>
    </row>
    <row r="56" customFormat="false" ht="15" hidden="false" customHeight="false" outlineLevel="0" collapsed="false">
      <c r="A56" s="29"/>
      <c r="B56" s="29"/>
      <c r="C56" s="20" t="str">
        <f aca="false">IF(A56="","",IFERROR(INDEX(Metrics!$C:$C,MATCH(A56,Metrics!$A:$A,0)),"ID not found"))</f>
        <v/>
      </c>
      <c r="D56" s="20" t="str">
        <f aca="false">IF(B56="","",IFERROR(INDEX(Fields!$B:$B,MATCH(B56,Fields!$A:$A,0)),"ID not found"))</f>
        <v/>
      </c>
      <c r="E56" s="30"/>
      <c r="F56" s="20" t="n">
        <f aca="false">IF(A56="",0,COUNTIF('Metric to Product'!$A:$A,A56))</f>
        <v>0</v>
      </c>
      <c r="G56" s="30"/>
      <c r="H56" s="30"/>
      <c r="I56" s="30"/>
    </row>
    <row r="57" customFormat="false" ht="15" hidden="false" customHeight="false" outlineLevel="0" collapsed="false">
      <c r="A57" s="29"/>
      <c r="B57" s="29"/>
      <c r="C57" s="20" t="str">
        <f aca="false">IF(A57="","",IFERROR(INDEX(Metrics!$C:$C,MATCH(A57,Metrics!$A:$A,0)),"ID not found"))</f>
        <v/>
      </c>
      <c r="D57" s="20" t="str">
        <f aca="false">IF(B57="","",IFERROR(INDEX(Fields!$B:$B,MATCH(B57,Fields!$A:$A,0)),"ID not found"))</f>
        <v/>
      </c>
      <c r="E57" s="30"/>
      <c r="F57" s="20" t="n">
        <f aca="false">IF(A57="",0,COUNTIF('Metric to Product'!$A:$A,A57))</f>
        <v>0</v>
      </c>
      <c r="G57" s="30"/>
      <c r="H57" s="30"/>
      <c r="I57" s="30"/>
    </row>
    <row r="58" customFormat="false" ht="15" hidden="false" customHeight="false" outlineLevel="0" collapsed="false">
      <c r="A58" s="29"/>
      <c r="B58" s="29"/>
      <c r="C58" s="20" t="str">
        <f aca="false">IF(A58="","",IFERROR(INDEX(Metrics!$C:$C,MATCH(A58,Metrics!$A:$A,0)),"ID not found"))</f>
        <v/>
      </c>
      <c r="D58" s="20" t="str">
        <f aca="false">IF(B58="","",IFERROR(INDEX(Fields!$B:$B,MATCH(B58,Fields!$A:$A,0)),"ID not found"))</f>
        <v/>
      </c>
      <c r="E58" s="30"/>
      <c r="F58" s="20" t="n">
        <f aca="false">IF(A58="",0,COUNTIF('Metric to Product'!$A:$A,A58))</f>
        <v>0</v>
      </c>
      <c r="G58" s="30"/>
      <c r="H58" s="30"/>
      <c r="I58" s="30"/>
    </row>
    <row r="59" customFormat="false" ht="15" hidden="false" customHeight="false" outlineLevel="0" collapsed="false">
      <c r="A59" s="29"/>
      <c r="B59" s="29"/>
      <c r="C59" s="20" t="str">
        <f aca="false">IF(A59="","",IFERROR(INDEX(Metrics!$C:$C,MATCH(A59,Metrics!$A:$A,0)),"ID not found"))</f>
        <v/>
      </c>
      <c r="D59" s="20" t="str">
        <f aca="false">IF(B59="","",IFERROR(INDEX(Fields!$B:$B,MATCH(B59,Fields!$A:$A,0)),"ID not found"))</f>
        <v/>
      </c>
      <c r="E59" s="30"/>
      <c r="F59" s="20" t="n">
        <f aca="false">IF(A59="",0,COUNTIF('Metric to Product'!$A:$A,A59))</f>
        <v>0</v>
      </c>
      <c r="G59" s="30"/>
      <c r="H59" s="30"/>
      <c r="I59" s="30"/>
    </row>
    <row r="60" customFormat="false" ht="15" hidden="false" customHeight="false" outlineLevel="0" collapsed="false">
      <c r="A60" s="29"/>
      <c r="B60" s="29"/>
      <c r="C60" s="20" t="str">
        <f aca="false">IF(A60="","",IFERROR(INDEX(Metrics!$C:$C,MATCH(A60,Metrics!$A:$A,0)),"ID not found"))</f>
        <v/>
      </c>
      <c r="D60" s="20" t="str">
        <f aca="false">IF(B60="","",IFERROR(INDEX(Fields!$B:$B,MATCH(B60,Fields!$A:$A,0)),"ID not found"))</f>
        <v/>
      </c>
      <c r="E60" s="30"/>
      <c r="F60" s="20" t="n">
        <f aca="false">IF(A60="",0,COUNTIF('Metric to Product'!$A:$A,A60))</f>
        <v>0</v>
      </c>
      <c r="G60" s="30"/>
      <c r="H60" s="30"/>
      <c r="I60" s="30"/>
    </row>
    <row r="61" customFormat="false" ht="15" hidden="false" customHeight="false" outlineLevel="0" collapsed="false">
      <c r="A61" s="29"/>
      <c r="B61" s="29"/>
      <c r="C61" s="20" t="str">
        <f aca="false">IF(A61="","",IFERROR(INDEX(Metrics!$C:$C,MATCH(A61,Metrics!$A:$A,0)),"ID not found"))</f>
        <v/>
      </c>
      <c r="D61" s="20" t="str">
        <f aca="false">IF(B61="","",IFERROR(INDEX(Fields!$B:$B,MATCH(B61,Fields!$A:$A,0)),"ID not found"))</f>
        <v/>
      </c>
      <c r="E61" s="30"/>
      <c r="F61" s="20" t="n">
        <f aca="false">IF(A61="",0,COUNTIF('Metric to Product'!$A:$A,A61))</f>
        <v>0</v>
      </c>
      <c r="G61" s="30"/>
      <c r="H61" s="30"/>
      <c r="I61" s="30"/>
    </row>
    <row r="62" customFormat="false" ht="15" hidden="false" customHeight="false" outlineLevel="0" collapsed="false">
      <c r="A62" s="29"/>
      <c r="B62" s="29"/>
      <c r="C62" s="20" t="str">
        <f aca="false">IF(A62="","",IFERROR(INDEX(Metrics!$C:$C,MATCH(A62,Metrics!$A:$A,0)),"ID not found"))</f>
        <v/>
      </c>
      <c r="D62" s="20" t="str">
        <f aca="false">IF(B62="","",IFERROR(INDEX(Fields!$B:$B,MATCH(B62,Fields!$A:$A,0)),"ID not found"))</f>
        <v/>
      </c>
      <c r="E62" s="30"/>
      <c r="F62" s="20" t="n">
        <f aca="false">IF(A62="",0,COUNTIF('Metric to Product'!$A:$A,A62))</f>
        <v>0</v>
      </c>
      <c r="G62" s="30"/>
      <c r="H62" s="30"/>
      <c r="I62" s="30"/>
    </row>
    <row r="63" customFormat="false" ht="15" hidden="false" customHeight="false" outlineLevel="0" collapsed="false">
      <c r="A63" s="29"/>
      <c r="B63" s="29"/>
      <c r="C63" s="20" t="str">
        <f aca="false">IF(A63="","",IFERROR(INDEX(Metrics!$C:$C,MATCH(A63,Metrics!$A:$A,0)),"ID not found"))</f>
        <v/>
      </c>
      <c r="D63" s="20" t="str">
        <f aca="false">IF(B63="","",IFERROR(INDEX(Fields!$B:$B,MATCH(B63,Fields!$A:$A,0)),"ID not found"))</f>
        <v/>
      </c>
      <c r="E63" s="30"/>
      <c r="F63" s="20" t="n">
        <f aca="false">IF(A63="",0,COUNTIF('Metric to Product'!$A:$A,A63))</f>
        <v>0</v>
      </c>
      <c r="G63" s="30"/>
      <c r="H63" s="30"/>
      <c r="I63" s="30"/>
    </row>
    <row r="64" customFormat="false" ht="15" hidden="false" customHeight="false" outlineLevel="0" collapsed="false">
      <c r="A64" s="29"/>
      <c r="B64" s="29"/>
      <c r="C64" s="20" t="str">
        <f aca="false">IF(A64="","",IFERROR(INDEX(Metrics!$C:$C,MATCH(A64,Metrics!$A:$A,0)),"ID not found"))</f>
        <v/>
      </c>
      <c r="D64" s="20" t="str">
        <f aca="false">IF(B64="","",IFERROR(INDEX(Fields!$B:$B,MATCH(B64,Fields!$A:$A,0)),"ID not found"))</f>
        <v/>
      </c>
      <c r="E64" s="30"/>
      <c r="F64" s="20" t="n">
        <f aca="false">IF(A64="",0,COUNTIF('Metric to Product'!$A:$A,A64))</f>
        <v>0</v>
      </c>
      <c r="G64" s="30"/>
      <c r="H64" s="30"/>
      <c r="I64" s="30"/>
    </row>
    <row r="65" customFormat="false" ht="15" hidden="false" customHeight="false" outlineLevel="0" collapsed="false">
      <c r="A65" s="29"/>
      <c r="B65" s="29"/>
      <c r="C65" s="20" t="str">
        <f aca="false">IF(A65="","",IFERROR(INDEX(Metrics!$C:$C,MATCH(A65,Metrics!$A:$A,0)),"ID not found"))</f>
        <v/>
      </c>
      <c r="D65" s="20" t="str">
        <f aca="false">IF(B65="","",IFERROR(INDEX(Fields!$B:$B,MATCH(B65,Fields!$A:$A,0)),"ID not found"))</f>
        <v/>
      </c>
      <c r="E65" s="30"/>
      <c r="F65" s="20" t="n">
        <f aca="false">IF(A65="",0,COUNTIF('Metric to Product'!$A:$A,A65))</f>
        <v>0</v>
      </c>
      <c r="G65" s="30"/>
      <c r="H65" s="30"/>
      <c r="I65" s="30"/>
    </row>
    <row r="66" customFormat="false" ht="15" hidden="false" customHeight="false" outlineLevel="0" collapsed="false">
      <c r="A66" s="29"/>
      <c r="B66" s="29"/>
      <c r="C66" s="20" t="str">
        <f aca="false">IF(A66="","",IFERROR(INDEX(Metrics!$C:$C,MATCH(A66,Metrics!$A:$A,0)),"ID not found"))</f>
        <v/>
      </c>
      <c r="D66" s="20" t="str">
        <f aca="false">IF(B66="","",IFERROR(INDEX(Fields!$B:$B,MATCH(B66,Fields!$A:$A,0)),"ID not found"))</f>
        <v/>
      </c>
      <c r="E66" s="30"/>
      <c r="F66" s="20" t="n">
        <f aca="false">IF(A66="",0,COUNTIF('Metric to Product'!$A:$A,A66))</f>
        <v>0</v>
      </c>
      <c r="G66" s="30"/>
      <c r="H66" s="30"/>
      <c r="I66" s="30"/>
    </row>
    <row r="67" customFormat="false" ht="15" hidden="false" customHeight="false" outlineLevel="0" collapsed="false">
      <c r="A67" s="29"/>
      <c r="B67" s="29"/>
      <c r="C67" s="20" t="str">
        <f aca="false">IF(A67="","",IFERROR(INDEX(Metrics!$C:$C,MATCH(A67,Metrics!$A:$A,0)),"ID not found"))</f>
        <v/>
      </c>
      <c r="D67" s="20" t="str">
        <f aca="false">IF(B67="","",IFERROR(INDEX(Fields!$B:$B,MATCH(B67,Fields!$A:$A,0)),"ID not found"))</f>
        <v/>
      </c>
      <c r="E67" s="30"/>
      <c r="F67" s="20" t="n">
        <f aca="false">IF(A67="",0,COUNTIF('Metric to Product'!$A:$A,A67))</f>
        <v>0</v>
      </c>
      <c r="G67" s="30"/>
      <c r="H67" s="30"/>
      <c r="I67" s="30"/>
    </row>
    <row r="68" customFormat="false" ht="15" hidden="false" customHeight="false" outlineLevel="0" collapsed="false">
      <c r="A68" s="29"/>
      <c r="B68" s="29"/>
      <c r="C68" s="20" t="str">
        <f aca="false">IF(A68="","",IFERROR(INDEX(Metrics!$C:$C,MATCH(A68,Metrics!$A:$A,0)),"ID not found"))</f>
        <v/>
      </c>
      <c r="D68" s="20" t="str">
        <f aca="false">IF(B68="","",IFERROR(INDEX(Fields!$B:$B,MATCH(B68,Fields!$A:$A,0)),"ID not found"))</f>
        <v/>
      </c>
      <c r="E68" s="30"/>
      <c r="F68" s="20" t="n">
        <f aca="false">IF(A68="",0,COUNTIF('Metric to Product'!$A:$A,A68))</f>
        <v>0</v>
      </c>
      <c r="G68" s="30"/>
      <c r="H68" s="30"/>
      <c r="I68" s="30"/>
    </row>
    <row r="69" customFormat="false" ht="15" hidden="false" customHeight="false" outlineLevel="0" collapsed="false">
      <c r="A69" s="29"/>
      <c r="B69" s="29"/>
      <c r="C69" s="20" t="str">
        <f aca="false">IF(A69="","",IFERROR(INDEX(Metrics!$C:$C,MATCH(A69,Metrics!$A:$A,0)),"ID not found"))</f>
        <v/>
      </c>
      <c r="D69" s="20" t="str">
        <f aca="false">IF(B69="","",IFERROR(INDEX(Fields!$B:$B,MATCH(B69,Fields!$A:$A,0)),"ID not found"))</f>
        <v/>
      </c>
      <c r="E69" s="30"/>
      <c r="F69" s="20" t="n">
        <f aca="false">IF(A69="",0,COUNTIF('Metric to Product'!$A:$A,A69))</f>
        <v>0</v>
      </c>
      <c r="G69" s="30"/>
      <c r="H69" s="30"/>
      <c r="I69" s="30"/>
    </row>
    <row r="70" customFormat="false" ht="15" hidden="false" customHeight="false" outlineLevel="0" collapsed="false">
      <c r="A70" s="29"/>
      <c r="B70" s="29"/>
      <c r="C70" s="20" t="str">
        <f aca="false">IF(A70="","",IFERROR(INDEX(Metrics!$C:$C,MATCH(A70,Metrics!$A:$A,0)),"ID not found"))</f>
        <v/>
      </c>
      <c r="D70" s="20" t="str">
        <f aca="false">IF(B70="","",IFERROR(INDEX(Fields!$B:$B,MATCH(B70,Fields!$A:$A,0)),"ID not found"))</f>
        <v/>
      </c>
      <c r="E70" s="30"/>
      <c r="F70" s="20" t="n">
        <f aca="false">IF(A70="",0,COUNTIF('Metric to Product'!$A:$A,A70))</f>
        <v>0</v>
      </c>
      <c r="G70" s="30"/>
      <c r="H70" s="30"/>
      <c r="I70" s="30"/>
    </row>
    <row r="71" customFormat="false" ht="15" hidden="false" customHeight="false" outlineLevel="0" collapsed="false">
      <c r="A71" s="29"/>
      <c r="B71" s="29"/>
      <c r="C71" s="20" t="str">
        <f aca="false">IF(A71="","",IFERROR(INDEX(Metrics!$C:$C,MATCH(A71,Metrics!$A:$A,0)),"ID not found"))</f>
        <v/>
      </c>
      <c r="D71" s="20" t="str">
        <f aca="false">IF(B71="","",IFERROR(INDEX(Fields!$B:$B,MATCH(B71,Fields!$A:$A,0)),"ID not found"))</f>
        <v/>
      </c>
      <c r="E71" s="30"/>
      <c r="F71" s="20" t="n">
        <f aca="false">IF(A71="",0,COUNTIF('Metric to Product'!$A:$A,A71))</f>
        <v>0</v>
      </c>
      <c r="G71" s="30"/>
      <c r="H71" s="30"/>
      <c r="I71" s="30"/>
    </row>
    <row r="72" customFormat="false" ht="15" hidden="false" customHeight="false" outlineLevel="0" collapsed="false">
      <c r="A72" s="29"/>
      <c r="B72" s="29"/>
      <c r="C72" s="20" t="str">
        <f aca="false">IF(A72="","",IFERROR(INDEX(Metrics!$C:$C,MATCH(A72,Metrics!$A:$A,0)),"ID not found"))</f>
        <v/>
      </c>
      <c r="D72" s="20" t="str">
        <f aca="false">IF(B72="","",IFERROR(INDEX(Fields!$B:$B,MATCH(B72,Fields!$A:$A,0)),"ID not found"))</f>
        <v/>
      </c>
      <c r="E72" s="30"/>
      <c r="F72" s="20" t="n">
        <f aca="false">IF(A72="",0,COUNTIF('Metric to Product'!$A:$A,A72))</f>
        <v>0</v>
      </c>
      <c r="G72" s="30"/>
      <c r="H72" s="30"/>
      <c r="I72" s="30"/>
    </row>
    <row r="73" customFormat="false" ht="15" hidden="false" customHeight="false" outlineLevel="0" collapsed="false">
      <c r="A73" s="29"/>
      <c r="B73" s="29"/>
      <c r="C73" s="20" t="str">
        <f aca="false">IF(A73="","",IFERROR(INDEX(Metrics!$C:$C,MATCH(A73,Metrics!$A:$A,0)),"ID not found"))</f>
        <v/>
      </c>
      <c r="D73" s="20" t="str">
        <f aca="false">IF(B73="","",IFERROR(INDEX(Fields!$B:$B,MATCH(B73,Fields!$A:$A,0)),"ID not found"))</f>
        <v/>
      </c>
      <c r="E73" s="30"/>
      <c r="F73" s="20" t="n">
        <f aca="false">IF(A73="",0,COUNTIF('Metric to Product'!$A:$A,A73))</f>
        <v>0</v>
      </c>
      <c r="G73" s="30"/>
      <c r="H73" s="30"/>
      <c r="I73" s="30"/>
    </row>
    <row r="74" customFormat="false" ht="15" hidden="false" customHeight="false" outlineLevel="0" collapsed="false">
      <c r="A74" s="29"/>
      <c r="B74" s="29"/>
      <c r="C74" s="20" t="str">
        <f aca="false">IF(A74="","",IFERROR(INDEX(Metrics!$C:$C,MATCH(A74,Metrics!$A:$A,0)),"ID not found"))</f>
        <v/>
      </c>
      <c r="D74" s="20" t="str">
        <f aca="false">IF(B74="","",IFERROR(INDEX(Fields!$B:$B,MATCH(B74,Fields!$A:$A,0)),"ID not found"))</f>
        <v/>
      </c>
      <c r="E74" s="30"/>
      <c r="F74" s="20" t="n">
        <f aca="false">IF(A74="",0,COUNTIF('Metric to Product'!$A:$A,A74))</f>
        <v>0</v>
      </c>
      <c r="G74" s="30"/>
      <c r="H74" s="30"/>
      <c r="I74" s="30"/>
    </row>
    <row r="75" customFormat="false" ht="15" hidden="false" customHeight="false" outlineLevel="0" collapsed="false">
      <c r="A75" s="29"/>
      <c r="B75" s="29"/>
      <c r="C75" s="20" t="str">
        <f aca="false">IF(A75="","",IFERROR(INDEX(Metrics!$C:$C,MATCH(A75,Metrics!$A:$A,0)),"ID not found"))</f>
        <v/>
      </c>
      <c r="D75" s="20" t="str">
        <f aca="false">IF(B75="","",IFERROR(INDEX(Fields!$B:$B,MATCH(B75,Fields!$A:$A,0)),"ID not found"))</f>
        <v/>
      </c>
      <c r="E75" s="30"/>
      <c r="F75" s="20" t="n">
        <f aca="false">IF(A75="",0,COUNTIF('Metric to Product'!$A:$A,A75))</f>
        <v>0</v>
      </c>
      <c r="G75" s="30"/>
      <c r="H75" s="30"/>
      <c r="I75" s="30"/>
    </row>
    <row r="76" customFormat="false" ht="15" hidden="false" customHeight="false" outlineLevel="0" collapsed="false">
      <c r="A76" s="29"/>
      <c r="B76" s="29"/>
      <c r="C76" s="20" t="str">
        <f aca="false">IF(A76="","",IFERROR(INDEX(Metrics!$C:$C,MATCH(A76,Metrics!$A:$A,0)),"ID not found"))</f>
        <v/>
      </c>
      <c r="D76" s="20" t="str">
        <f aca="false">IF(B76="","",IFERROR(INDEX(Fields!$B:$B,MATCH(B76,Fields!$A:$A,0)),"ID not found"))</f>
        <v/>
      </c>
      <c r="E76" s="30"/>
      <c r="F76" s="20" t="n">
        <f aca="false">IF(A76="",0,COUNTIF('Metric to Product'!$A:$A,A76))</f>
        <v>0</v>
      </c>
      <c r="G76" s="30"/>
      <c r="H76" s="30"/>
      <c r="I76" s="30"/>
    </row>
    <row r="77" customFormat="false" ht="15" hidden="false" customHeight="false" outlineLevel="0" collapsed="false">
      <c r="A77" s="29"/>
      <c r="B77" s="29"/>
      <c r="C77" s="20" t="str">
        <f aca="false">IF(A77="","",IFERROR(INDEX(Metrics!$C:$C,MATCH(A77,Metrics!$A:$A,0)),"ID not found"))</f>
        <v/>
      </c>
      <c r="D77" s="20" t="str">
        <f aca="false">IF(B77="","",IFERROR(INDEX(Fields!$B:$B,MATCH(B77,Fields!$A:$A,0)),"ID not found"))</f>
        <v/>
      </c>
      <c r="E77" s="30"/>
      <c r="F77" s="20" t="n">
        <f aca="false">IF(A77="",0,COUNTIF('Metric to Product'!$A:$A,A77))</f>
        <v>0</v>
      </c>
      <c r="G77" s="30"/>
      <c r="H77" s="30"/>
      <c r="I77" s="30"/>
    </row>
    <row r="78" customFormat="false" ht="15" hidden="false" customHeight="false" outlineLevel="0" collapsed="false">
      <c r="A78" s="29"/>
      <c r="B78" s="29"/>
      <c r="C78" s="20" t="str">
        <f aca="false">IF(A78="","",IFERROR(INDEX(Metrics!$C:$C,MATCH(A78,Metrics!$A:$A,0)),"ID not found"))</f>
        <v/>
      </c>
      <c r="D78" s="20" t="str">
        <f aca="false">IF(B78="","",IFERROR(INDEX(Fields!$B:$B,MATCH(B78,Fields!$A:$A,0)),"ID not found"))</f>
        <v/>
      </c>
      <c r="E78" s="30"/>
      <c r="F78" s="20" t="n">
        <f aca="false">IF(A78="",0,COUNTIF('Metric to Product'!$A:$A,A78))</f>
        <v>0</v>
      </c>
      <c r="G78" s="30"/>
      <c r="H78" s="30"/>
      <c r="I78" s="30"/>
    </row>
    <row r="79" customFormat="false" ht="15" hidden="false" customHeight="false" outlineLevel="0" collapsed="false">
      <c r="A79" s="29"/>
      <c r="B79" s="29"/>
      <c r="C79" s="20" t="str">
        <f aca="false">IF(A79="","",IFERROR(INDEX(Metrics!$C:$C,MATCH(A79,Metrics!$A:$A,0)),"ID not found"))</f>
        <v/>
      </c>
      <c r="D79" s="20" t="str">
        <f aca="false">IF(B79="","",IFERROR(INDEX(Fields!$B:$B,MATCH(B79,Fields!$A:$A,0)),"ID not found"))</f>
        <v/>
      </c>
      <c r="E79" s="30"/>
      <c r="F79" s="20" t="n">
        <f aca="false">IF(A79="",0,COUNTIF('Metric to Product'!$A:$A,A79))</f>
        <v>0</v>
      </c>
      <c r="G79" s="30"/>
      <c r="H79" s="30"/>
      <c r="I79" s="30"/>
    </row>
    <row r="80" customFormat="false" ht="15" hidden="false" customHeight="false" outlineLevel="0" collapsed="false">
      <c r="A80" s="29"/>
      <c r="B80" s="29"/>
      <c r="C80" s="20" t="str">
        <f aca="false">IF(A80="","",IFERROR(INDEX(Metrics!$C:$C,MATCH(A80,Metrics!$A:$A,0)),"ID not found"))</f>
        <v/>
      </c>
      <c r="D80" s="20" t="str">
        <f aca="false">IF(B80="","",IFERROR(INDEX(Fields!$B:$B,MATCH(B80,Fields!$A:$A,0)),"ID not found"))</f>
        <v/>
      </c>
      <c r="E80" s="30"/>
      <c r="F80" s="20" t="n">
        <f aca="false">IF(A80="",0,COUNTIF('Metric to Product'!$A:$A,A80))</f>
        <v>0</v>
      </c>
      <c r="G80" s="30"/>
      <c r="H80" s="30"/>
      <c r="I80" s="30"/>
    </row>
    <row r="81" customFormat="false" ht="15" hidden="false" customHeight="false" outlineLevel="0" collapsed="false">
      <c r="A81" s="29"/>
      <c r="B81" s="29"/>
      <c r="C81" s="20" t="str">
        <f aca="false">IF(A81="","",IFERROR(INDEX(Metrics!$C:$C,MATCH(A81,Metrics!$A:$A,0)),"ID not found"))</f>
        <v/>
      </c>
      <c r="D81" s="20" t="str">
        <f aca="false">IF(B81="","",IFERROR(INDEX(Fields!$B:$B,MATCH(B81,Fields!$A:$A,0)),"ID not found"))</f>
        <v/>
      </c>
      <c r="E81" s="30"/>
      <c r="F81" s="20" t="n">
        <f aca="false">IF(A81="",0,COUNTIF('Metric to Product'!$A:$A,A81))</f>
        <v>0</v>
      </c>
      <c r="G81" s="30"/>
      <c r="H81" s="30"/>
      <c r="I81" s="30"/>
    </row>
    <row r="82" customFormat="false" ht="15" hidden="false" customHeight="false" outlineLevel="0" collapsed="false">
      <c r="A82" s="29"/>
      <c r="B82" s="29"/>
      <c r="C82" s="20" t="str">
        <f aca="false">IF(A82="","",IFERROR(INDEX(Metrics!$C:$C,MATCH(A82,Metrics!$A:$A,0)),"ID not found"))</f>
        <v/>
      </c>
      <c r="D82" s="20" t="str">
        <f aca="false">IF(B82="","",IFERROR(INDEX(Fields!$B:$B,MATCH(B82,Fields!$A:$A,0)),"ID not found"))</f>
        <v/>
      </c>
      <c r="E82" s="30"/>
      <c r="F82" s="20" t="n">
        <f aca="false">IF(A82="",0,COUNTIF('Metric to Product'!$A:$A,A82))</f>
        <v>0</v>
      </c>
      <c r="G82" s="30"/>
      <c r="H82" s="30"/>
      <c r="I82" s="30"/>
    </row>
    <row r="83" customFormat="false" ht="15" hidden="false" customHeight="false" outlineLevel="0" collapsed="false">
      <c r="A83" s="29"/>
      <c r="B83" s="29"/>
      <c r="C83" s="20" t="str">
        <f aca="false">IF(A83="","",IFERROR(INDEX(Metrics!$C:$C,MATCH(A83,Metrics!$A:$A,0)),"ID not found"))</f>
        <v/>
      </c>
      <c r="D83" s="20" t="str">
        <f aca="false">IF(B83="","",IFERROR(INDEX(Fields!$B:$B,MATCH(B83,Fields!$A:$A,0)),"ID not found"))</f>
        <v/>
      </c>
      <c r="E83" s="30"/>
      <c r="F83" s="20" t="n">
        <f aca="false">IF(A83="",0,COUNTIF('Metric to Product'!$A:$A,A83))</f>
        <v>0</v>
      </c>
      <c r="G83" s="30"/>
      <c r="H83" s="30"/>
      <c r="I83" s="30"/>
    </row>
    <row r="84" customFormat="false" ht="15" hidden="false" customHeight="false" outlineLevel="0" collapsed="false">
      <c r="A84" s="29"/>
      <c r="B84" s="29"/>
      <c r="C84" s="20" t="str">
        <f aca="false">IF(A84="","",IFERROR(INDEX(Metrics!$C:$C,MATCH(A84,Metrics!$A:$A,0)),"ID not found"))</f>
        <v/>
      </c>
      <c r="D84" s="20" t="str">
        <f aca="false">IF(B84="","",IFERROR(INDEX(Fields!$B:$B,MATCH(B84,Fields!$A:$A,0)),"ID not found"))</f>
        <v/>
      </c>
      <c r="E84" s="30"/>
      <c r="F84" s="20" t="n">
        <f aca="false">IF(A84="",0,COUNTIF('Metric to Product'!$A:$A,A84))</f>
        <v>0</v>
      </c>
      <c r="G84" s="30"/>
      <c r="H84" s="30"/>
      <c r="I84" s="30"/>
    </row>
    <row r="85" customFormat="false" ht="15" hidden="false" customHeight="false" outlineLevel="0" collapsed="false">
      <c r="A85" s="29"/>
      <c r="B85" s="29"/>
      <c r="C85" s="20" t="str">
        <f aca="false">IF(A85="","",IFERROR(INDEX(Metrics!$C:$C,MATCH(A85,Metrics!$A:$A,0)),"ID not found"))</f>
        <v/>
      </c>
      <c r="D85" s="20" t="str">
        <f aca="false">IF(B85="","",IFERROR(INDEX(Fields!$B:$B,MATCH(B85,Fields!$A:$A,0)),"ID not found"))</f>
        <v/>
      </c>
      <c r="E85" s="30"/>
      <c r="F85" s="20" t="n">
        <f aca="false">IF(A85="",0,COUNTIF('Metric to Product'!$A:$A,A85))</f>
        <v>0</v>
      </c>
      <c r="G85" s="30"/>
      <c r="H85" s="30"/>
      <c r="I85" s="30"/>
    </row>
    <row r="86" customFormat="false" ht="15" hidden="false" customHeight="false" outlineLevel="0" collapsed="false">
      <c r="A86" s="29"/>
      <c r="B86" s="29"/>
      <c r="C86" s="20" t="str">
        <f aca="false">IF(A86="","",IFERROR(INDEX(Metrics!$C:$C,MATCH(A86,Metrics!$A:$A,0)),"ID not found"))</f>
        <v/>
      </c>
      <c r="D86" s="20" t="str">
        <f aca="false">IF(B86="","",IFERROR(INDEX(Fields!$B:$B,MATCH(B86,Fields!$A:$A,0)),"ID not found"))</f>
        <v/>
      </c>
      <c r="E86" s="30"/>
      <c r="F86" s="20" t="n">
        <f aca="false">IF(A86="",0,COUNTIF('Metric to Product'!$A:$A,A86))</f>
        <v>0</v>
      </c>
      <c r="G86" s="30"/>
      <c r="H86" s="30"/>
      <c r="I86" s="30"/>
    </row>
    <row r="87" customFormat="false" ht="15" hidden="false" customHeight="false" outlineLevel="0" collapsed="false">
      <c r="A87" s="29"/>
      <c r="B87" s="29"/>
      <c r="C87" s="20" t="str">
        <f aca="false">IF(A87="","",IFERROR(INDEX(Metrics!$C:$C,MATCH(A87,Metrics!$A:$A,0)),"ID not found"))</f>
        <v/>
      </c>
      <c r="D87" s="20" t="str">
        <f aca="false">IF(B87="","",IFERROR(INDEX(Fields!$B:$B,MATCH(B87,Fields!$A:$A,0)),"ID not found"))</f>
        <v/>
      </c>
      <c r="E87" s="30"/>
      <c r="F87" s="20" t="n">
        <f aca="false">IF(A87="",0,COUNTIF('Metric to Product'!$A:$A,A87))</f>
        <v>0</v>
      </c>
      <c r="G87" s="30"/>
      <c r="H87" s="30"/>
      <c r="I87" s="30"/>
    </row>
    <row r="88" customFormat="false" ht="15" hidden="false" customHeight="false" outlineLevel="0" collapsed="false">
      <c r="A88" s="29"/>
      <c r="B88" s="29"/>
      <c r="C88" s="20" t="str">
        <f aca="false">IF(A88="","",IFERROR(INDEX(Metrics!$C:$C,MATCH(A88,Metrics!$A:$A,0)),"ID not found"))</f>
        <v/>
      </c>
      <c r="D88" s="20" t="str">
        <f aca="false">IF(B88="","",IFERROR(INDEX(Fields!$B:$B,MATCH(B88,Fields!$A:$A,0)),"ID not found"))</f>
        <v/>
      </c>
      <c r="E88" s="30"/>
      <c r="F88" s="20" t="n">
        <f aca="false">IF(A88="",0,COUNTIF('Metric to Product'!$A:$A,A88))</f>
        <v>0</v>
      </c>
      <c r="G88" s="30"/>
      <c r="H88" s="30"/>
      <c r="I88" s="30"/>
    </row>
    <row r="89" customFormat="false" ht="15" hidden="false" customHeight="false" outlineLevel="0" collapsed="false">
      <c r="A89" s="29"/>
      <c r="B89" s="29"/>
      <c r="C89" s="20" t="str">
        <f aca="false">IF(A89="","",IFERROR(INDEX(Metrics!$C:$C,MATCH(A89,Metrics!$A:$A,0)),"ID not found"))</f>
        <v/>
      </c>
      <c r="D89" s="20" t="str">
        <f aca="false">IF(B89="","",IFERROR(INDEX(Fields!$B:$B,MATCH(B89,Fields!$A:$A,0)),"ID not found"))</f>
        <v/>
      </c>
      <c r="E89" s="30"/>
      <c r="F89" s="20" t="n">
        <f aca="false">IF(A89="",0,COUNTIF('Metric to Product'!$A:$A,A89))</f>
        <v>0</v>
      </c>
      <c r="G89" s="30"/>
      <c r="H89" s="30"/>
      <c r="I89" s="30"/>
    </row>
    <row r="90" customFormat="false" ht="15" hidden="false" customHeight="false" outlineLevel="0" collapsed="false">
      <c r="A90" s="29"/>
      <c r="B90" s="29"/>
      <c r="C90" s="20" t="str">
        <f aca="false">IF(A90="","",IFERROR(INDEX(Metrics!$C:$C,MATCH(A90,Metrics!$A:$A,0)),"ID not found"))</f>
        <v/>
      </c>
      <c r="D90" s="20" t="str">
        <f aca="false">IF(B90="","",IFERROR(INDEX(Fields!$B:$B,MATCH(B90,Fields!$A:$A,0)),"ID not found"))</f>
        <v/>
      </c>
      <c r="E90" s="30"/>
      <c r="F90" s="20" t="n">
        <f aca="false">IF(A90="",0,COUNTIF('Metric to Product'!$A:$A,A90))</f>
        <v>0</v>
      </c>
      <c r="G90" s="30"/>
      <c r="H90" s="30"/>
      <c r="I90" s="30"/>
    </row>
    <row r="91" customFormat="false" ht="15" hidden="false" customHeight="false" outlineLevel="0" collapsed="false">
      <c r="A91" s="29"/>
      <c r="B91" s="29"/>
      <c r="C91" s="20" t="str">
        <f aca="false">IF(A91="","",IFERROR(INDEX(Metrics!$C:$C,MATCH(A91,Metrics!$A:$A,0)),"ID not found"))</f>
        <v/>
      </c>
      <c r="D91" s="20" t="str">
        <f aca="false">IF(B91="","",IFERROR(INDEX(Fields!$B:$B,MATCH(B91,Fields!$A:$A,0)),"ID not found"))</f>
        <v/>
      </c>
      <c r="E91" s="30"/>
      <c r="F91" s="20" t="n">
        <f aca="false">IF(A91="",0,COUNTIF('Metric to Product'!$A:$A,A91))</f>
        <v>0</v>
      </c>
      <c r="G91" s="30"/>
      <c r="H91" s="30"/>
      <c r="I91" s="30"/>
    </row>
    <row r="92" customFormat="false" ht="15" hidden="false" customHeight="false" outlineLevel="0" collapsed="false">
      <c r="A92" s="29"/>
      <c r="B92" s="29"/>
      <c r="C92" s="20" t="str">
        <f aca="false">IF(A92="","",IFERROR(INDEX(Metrics!$C:$C,MATCH(A92,Metrics!$A:$A,0)),"ID not found"))</f>
        <v/>
      </c>
      <c r="D92" s="20" t="str">
        <f aca="false">IF(B92="","",IFERROR(INDEX(Fields!$B:$B,MATCH(B92,Fields!$A:$A,0)),"ID not found"))</f>
        <v/>
      </c>
      <c r="E92" s="30"/>
      <c r="F92" s="20" t="n">
        <f aca="false">IF(A92="",0,COUNTIF('Metric to Product'!$A:$A,A92))</f>
        <v>0</v>
      </c>
      <c r="G92" s="30"/>
      <c r="H92" s="30"/>
      <c r="I92" s="30"/>
    </row>
    <row r="93" customFormat="false" ht="15" hidden="false" customHeight="false" outlineLevel="0" collapsed="false">
      <c r="A93" s="29"/>
      <c r="B93" s="29"/>
      <c r="C93" s="20" t="str">
        <f aca="false">IF(A93="","",IFERROR(INDEX(Metrics!$C:$C,MATCH(A93,Metrics!$A:$A,0)),"ID not found"))</f>
        <v/>
      </c>
      <c r="D93" s="20" t="str">
        <f aca="false">IF(B93="","",IFERROR(INDEX(Fields!$B:$B,MATCH(B93,Fields!$A:$A,0)),"ID not found"))</f>
        <v/>
      </c>
      <c r="E93" s="30"/>
      <c r="F93" s="20" t="n">
        <f aca="false">IF(A93="",0,COUNTIF('Metric to Product'!$A:$A,A93))</f>
        <v>0</v>
      </c>
      <c r="G93" s="30"/>
      <c r="H93" s="30"/>
      <c r="I93" s="30"/>
    </row>
    <row r="94" customFormat="false" ht="15" hidden="false" customHeight="false" outlineLevel="0" collapsed="false">
      <c r="A94" s="29"/>
      <c r="B94" s="29"/>
      <c r="C94" s="20" t="str">
        <f aca="false">IF(A94="","",IFERROR(INDEX(Metrics!$C:$C,MATCH(A94,Metrics!$A:$A,0)),"ID not found"))</f>
        <v/>
      </c>
      <c r="D94" s="20" t="str">
        <f aca="false">IF(B94="","",IFERROR(INDEX(Fields!$B:$B,MATCH(B94,Fields!$A:$A,0)),"ID not found"))</f>
        <v/>
      </c>
      <c r="E94" s="30"/>
      <c r="F94" s="20" t="n">
        <f aca="false">IF(A94="",0,COUNTIF('Metric to Product'!$A:$A,A94))</f>
        <v>0</v>
      </c>
      <c r="G94" s="30"/>
      <c r="H94" s="30"/>
      <c r="I94" s="30"/>
    </row>
    <row r="95" customFormat="false" ht="15" hidden="false" customHeight="false" outlineLevel="0" collapsed="false">
      <c r="A95" s="29"/>
      <c r="B95" s="29"/>
      <c r="C95" s="20" t="str">
        <f aca="false">IF(A95="","",IFERROR(INDEX(Metrics!$C:$C,MATCH(A95,Metrics!$A:$A,0)),"ID not found"))</f>
        <v/>
      </c>
      <c r="D95" s="20" t="str">
        <f aca="false">IF(B95="","",IFERROR(INDEX(Fields!$B:$B,MATCH(B95,Fields!$A:$A,0)),"ID not found"))</f>
        <v/>
      </c>
      <c r="E95" s="30"/>
      <c r="F95" s="20" t="n">
        <f aca="false">IF(A95="",0,COUNTIF('Metric to Product'!$A:$A,A95))</f>
        <v>0</v>
      </c>
      <c r="G95" s="30"/>
      <c r="H95" s="30"/>
      <c r="I95" s="30"/>
    </row>
    <row r="96" customFormat="false" ht="15" hidden="false" customHeight="false" outlineLevel="0" collapsed="false">
      <c r="A96" s="29"/>
      <c r="B96" s="29"/>
      <c r="C96" s="20" t="str">
        <f aca="false">IF(A96="","",IFERROR(INDEX(Metrics!$C:$C,MATCH(A96,Metrics!$A:$A,0)),"ID not found"))</f>
        <v/>
      </c>
      <c r="D96" s="20" t="str">
        <f aca="false">IF(B96="","",IFERROR(INDEX(Fields!$B:$B,MATCH(B96,Fields!$A:$A,0)),"ID not found"))</f>
        <v/>
      </c>
      <c r="E96" s="30"/>
      <c r="F96" s="20" t="n">
        <f aca="false">IF(A96="",0,COUNTIF('Metric to Product'!$A:$A,A96))</f>
        <v>0</v>
      </c>
      <c r="G96" s="30"/>
      <c r="H96" s="30"/>
      <c r="I96" s="30"/>
    </row>
    <row r="97" customFormat="false" ht="15" hidden="false" customHeight="false" outlineLevel="0" collapsed="false">
      <c r="A97" s="29"/>
      <c r="B97" s="29"/>
      <c r="C97" s="20" t="str">
        <f aca="false">IF(A97="","",IFERROR(INDEX(Metrics!$C:$C,MATCH(A97,Metrics!$A:$A,0)),"ID not found"))</f>
        <v/>
      </c>
      <c r="D97" s="20" t="str">
        <f aca="false">IF(B97="","",IFERROR(INDEX(Fields!$B:$B,MATCH(B97,Fields!$A:$A,0)),"ID not found"))</f>
        <v/>
      </c>
      <c r="E97" s="30"/>
      <c r="F97" s="20" t="n">
        <f aca="false">IF(A97="",0,COUNTIF('Metric to Product'!$A:$A,A97))</f>
        <v>0</v>
      </c>
      <c r="G97" s="30"/>
      <c r="H97" s="30"/>
      <c r="I97" s="30"/>
    </row>
    <row r="98" customFormat="false" ht="15" hidden="false" customHeight="false" outlineLevel="0" collapsed="false">
      <c r="A98" s="29"/>
      <c r="B98" s="29"/>
      <c r="C98" s="20" t="str">
        <f aca="false">IF(A98="","",IFERROR(INDEX(Metrics!$C:$C,MATCH(A98,Metrics!$A:$A,0)),"ID not found"))</f>
        <v/>
      </c>
      <c r="D98" s="20" t="str">
        <f aca="false">IF(B98="","",IFERROR(INDEX(Fields!$B:$B,MATCH(B98,Fields!$A:$A,0)),"ID not found"))</f>
        <v/>
      </c>
      <c r="E98" s="30"/>
      <c r="F98" s="20" t="n">
        <f aca="false">IF(A98="",0,COUNTIF('Metric to Product'!$A:$A,A98))</f>
        <v>0</v>
      </c>
      <c r="G98" s="30"/>
      <c r="H98" s="30"/>
      <c r="I98" s="30"/>
    </row>
    <row r="99" customFormat="false" ht="15" hidden="false" customHeight="false" outlineLevel="0" collapsed="false">
      <c r="A99" s="29"/>
      <c r="B99" s="29"/>
      <c r="C99" s="20" t="str">
        <f aca="false">IF(A99="","",IFERROR(INDEX(Metrics!$C:$C,MATCH(A99,Metrics!$A:$A,0)),"ID not found"))</f>
        <v/>
      </c>
      <c r="D99" s="20" t="str">
        <f aca="false">IF(B99="","",IFERROR(INDEX(Fields!$B:$B,MATCH(B99,Fields!$A:$A,0)),"ID not found"))</f>
        <v/>
      </c>
      <c r="E99" s="30"/>
      <c r="F99" s="20" t="n">
        <f aca="false">IF(A99="",0,COUNTIF('Metric to Product'!$A:$A,A99))</f>
        <v>0</v>
      </c>
      <c r="G99" s="30"/>
      <c r="H99" s="30"/>
      <c r="I99" s="30"/>
    </row>
    <row r="100" customFormat="false" ht="15" hidden="false" customHeight="false" outlineLevel="0" collapsed="false">
      <c r="A100" s="29"/>
      <c r="B100" s="29"/>
      <c r="C100" s="20" t="str">
        <f aca="false">IF(A100="","",IFERROR(INDEX(Metrics!$C:$C,MATCH(A100,Metrics!$A:$A,0)),"ID not found"))</f>
        <v/>
      </c>
      <c r="D100" s="20" t="str">
        <f aca="false">IF(B100="","",IFERROR(INDEX(Fields!$B:$B,MATCH(B100,Fields!$A:$A,0)),"ID not found"))</f>
        <v/>
      </c>
      <c r="E100" s="30"/>
      <c r="F100" s="20" t="n">
        <f aca="false">IF(A100="",0,COUNTIF('Metric to Product'!$A:$A,A100))</f>
        <v>0</v>
      </c>
      <c r="G100" s="30"/>
      <c r="H100" s="30"/>
      <c r="I100" s="30"/>
    </row>
    <row r="101" customFormat="false" ht="15" hidden="false" customHeight="false" outlineLevel="0" collapsed="false">
      <c r="A101" s="29"/>
      <c r="B101" s="29"/>
      <c r="C101" s="20" t="str">
        <f aca="false">IF(A101="","",IFERROR(INDEX(Metrics!$C:$C,MATCH(A101,Metrics!$A:$A,0)),"ID not found"))</f>
        <v/>
      </c>
      <c r="D101" s="20" t="str">
        <f aca="false">IF(B101="","",IFERROR(INDEX(Fields!$B:$B,MATCH(B101,Fields!$A:$A,0)),"ID not found"))</f>
        <v/>
      </c>
      <c r="E101" s="30"/>
      <c r="F101" s="20" t="n">
        <f aca="false">IF(A101="",0,COUNTIF('Metric to Product'!$A:$A,A101))</f>
        <v>0</v>
      </c>
      <c r="G101" s="30"/>
      <c r="H101" s="30"/>
      <c r="I101" s="30"/>
    </row>
    <row r="102" customFormat="false" ht="15" hidden="false" customHeight="false" outlineLevel="0" collapsed="false">
      <c r="A102" s="29"/>
      <c r="B102" s="29"/>
      <c r="C102" s="20" t="str">
        <f aca="false">IF(A102="","",IFERROR(INDEX(Metrics!$C:$C,MATCH(A102,Metrics!$A:$A,0)),"ID not found"))</f>
        <v/>
      </c>
      <c r="D102" s="20" t="str">
        <f aca="false">IF(B102="","",IFERROR(INDEX(Fields!$B:$B,MATCH(B102,Fields!$A:$A,0)),"ID not found"))</f>
        <v/>
      </c>
      <c r="E102" s="30"/>
      <c r="F102" s="20" t="n">
        <f aca="false">IF(A102="",0,COUNTIF('Metric to Product'!$A:$A,A102))</f>
        <v>0</v>
      </c>
      <c r="G102" s="30"/>
      <c r="H102" s="30"/>
      <c r="I102" s="30"/>
    </row>
    <row r="103" customFormat="false" ht="15" hidden="false" customHeight="false" outlineLevel="0" collapsed="false">
      <c r="A103" s="29"/>
      <c r="B103" s="29"/>
      <c r="C103" s="20" t="str">
        <f aca="false">IF(A103="","",IFERROR(INDEX(Metrics!$C:$C,MATCH(A103,Metrics!$A:$A,0)),"ID not found"))</f>
        <v/>
      </c>
      <c r="D103" s="20" t="str">
        <f aca="false">IF(B103="","",IFERROR(INDEX(Fields!$B:$B,MATCH(B103,Fields!$A:$A,0)),"ID not found"))</f>
        <v/>
      </c>
      <c r="E103" s="30"/>
      <c r="F103" s="20" t="n">
        <f aca="false">IF(A103="",0,COUNTIF('Metric to Product'!$A:$A,A103))</f>
        <v>0</v>
      </c>
      <c r="G103" s="30"/>
      <c r="H103" s="30"/>
      <c r="I103" s="30"/>
    </row>
    <row r="104" customFormat="false" ht="15" hidden="false" customHeight="false" outlineLevel="0" collapsed="false">
      <c r="A104" s="29"/>
      <c r="B104" s="29"/>
      <c r="C104" s="20" t="str">
        <f aca="false">IF(A104="","",IFERROR(INDEX(Metrics!$C:$C,MATCH(A104,Metrics!$A:$A,0)),"ID not found"))</f>
        <v/>
      </c>
      <c r="D104" s="20" t="str">
        <f aca="false">IF(B104="","",IFERROR(INDEX(Fields!$B:$B,MATCH(B104,Fields!$A:$A,0)),"ID not found"))</f>
        <v/>
      </c>
      <c r="E104" s="30"/>
      <c r="F104" s="20" t="n">
        <f aca="false">IF(A104="",0,COUNTIF('Metric to Product'!$A:$A,A104))</f>
        <v>0</v>
      </c>
      <c r="G104" s="30"/>
      <c r="H104" s="30"/>
      <c r="I104" s="30"/>
    </row>
    <row r="105" customFormat="false" ht="15" hidden="false" customHeight="false" outlineLevel="0" collapsed="false">
      <c r="A105" s="29"/>
      <c r="B105" s="29"/>
      <c r="C105" s="20" t="str">
        <f aca="false">IF(A105="","",IFERROR(INDEX(Metrics!$C:$C,MATCH(A105,Metrics!$A:$A,0)),"ID not found"))</f>
        <v/>
      </c>
      <c r="D105" s="20" t="str">
        <f aca="false">IF(B105="","",IFERROR(INDEX(Fields!$B:$B,MATCH(B105,Fields!$A:$A,0)),"ID not found"))</f>
        <v/>
      </c>
      <c r="E105" s="30"/>
      <c r="F105" s="20" t="n">
        <f aca="false">IF(A105="",0,COUNTIF('Metric to Product'!$A:$A,A105))</f>
        <v>0</v>
      </c>
      <c r="G105" s="30"/>
      <c r="H105" s="30"/>
      <c r="I105" s="30"/>
    </row>
    <row r="106" customFormat="false" ht="15" hidden="false" customHeight="false" outlineLevel="0" collapsed="false">
      <c r="A106" s="29"/>
      <c r="B106" s="29"/>
      <c r="C106" s="20" t="str">
        <f aca="false">IF(A106="","",IFERROR(INDEX(Metrics!$C:$C,MATCH(A106,Metrics!$A:$A,0)),"ID not found"))</f>
        <v/>
      </c>
      <c r="D106" s="20" t="str">
        <f aca="false">IF(B106="","",IFERROR(INDEX(Fields!$B:$B,MATCH(B106,Fields!$A:$A,0)),"ID not found"))</f>
        <v/>
      </c>
      <c r="E106" s="30"/>
      <c r="F106" s="20" t="n">
        <f aca="false">IF(A106="",0,COUNTIF('Metric to Product'!$A:$A,A106))</f>
        <v>0</v>
      </c>
      <c r="G106" s="30"/>
      <c r="H106" s="30"/>
      <c r="I106" s="30"/>
    </row>
    <row r="107" customFormat="false" ht="15" hidden="false" customHeight="false" outlineLevel="0" collapsed="false">
      <c r="A107" s="29"/>
      <c r="B107" s="29"/>
      <c r="C107" s="20" t="str">
        <f aca="false">IF(A107="","",IFERROR(INDEX(Metrics!$C:$C,MATCH(A107,Metrics!$A:$A,0)),"ID not found"))</f>
        <v/>
      </c>
      <c r="D107" s="20" t="str">
        <f aca="false">IF(B107="","",IFERROR(INDEX(Fields!$B:$B,MATCH(B107,Fields!$A:$A,0)),"ID not found"))</f>
        <v/>
      </c>
      <c r="E107" s="30"/>
      <c r="F107" s="20" t="n">
        <f aca="false">IF(A107="",0,COUNTIF('Metric to Product'!$A:$A,A107))</f>
        <v>0</v>
      </c>
      <c r="G107" s="30"/>
      <c r="H107" s="30"/>
      <c r="I107" s="30"/>
    </row>
    <row r="108" customFormat="false" ht="15" hidden="false" customHeight="false" outlineLevel="0" collapsed="false">
      <c r="A108" s="29"/>
      <c r="B108" s="29"/>
      <c r="C108" s="20" t="str">
        <f aca="false">IF(A108="","",IFERROR(INDEX(Metrics!$C:$C,MATCH(A108,Metrics!$A:$A,0)),"ID not found"))</f>
        <v/>
      </c>
      <c r="D108" s="20" t="str">
        <f aca="false">IF(B108="","",IFERROR(INDEX(Fields!$B:$B,MATCH(B108,Fields!$A:$A,0)),"ID not found"))</f>
        <v/>
      </c>
      <c r="E108" s="30"/>
      <c r="F108" s="20" t="n">
        <f aca="false">IF(A108="",0,COUNTIF('Metric to Product'!$A:$A,A108))</f>
        <v>0</v>
      </c>
      <c r="G108" s="30"/>
      <c r="H108" s="30"/>
      <c r="I108" s="30"/>
    </row>
    <row r="109" customFormat="false" ht="15" hidden="false" customHeight="false" outlineLevel="0" collapsed="false">
      <c r="A109" s="29"/>
      <c r="B109" s="29"/>
      <c r="C109" s="20" t="str">
        <f aca="false">IF(A109="","",IFERROR(INDEX(Metrics!$C:$C,MATCH(A109,Metrics!$A:$A,0)),"ID not found"))</f>
        <v/>
      </c>
      <c r="D109" s="20" t="str">
        <f aca="false">IF(B109="","",IFERROR(INDEX(Fields!$B:$B,MATCH(B109,Fields!$A:$A,0)),"ID not found"))</f>
        <v/>
      </c>
      <c r="E109" s="30"/>
      <c r="F109" s="20" t="n">
        <f aca="false">IF(A109="",0,COUNTIF('Metric to Product'!$A:$A,A109))</f>
        <v>0</v>
      </c>
      <c r="G109" s="30"/>
      <c r="H109" s="30"/>
      <c r="I109" s="30"/>
    </row>
    <row r="110" customFormat="false" ht="15" hidden="false" customHeight="false" outlineLevel="0" collapsed="false">
      <c r="A110" s="29"/>
      <c r="B110" s="29"/>
      <c r="C110" s="20" t="str">
        <f aca="false">IF(A110="","",IFERROR(INDEX(Metrics!$C:$C,MATCH(A110,Metrics!$A:$A,0)),"ID not found"))</f>
        <v/>
      </c>
      <c r="D110" s="20" t="str">
        <f aca="false">IF(B110="","",IFERROR(INDEX(Fields!$B:$B,MATCH(B110,Fields!$A:$A,0)),"ID not found"))</f>
        <v/>
      </c>
      <c r="E110" s="30"/>
      <c r="F110" s="20" t="n">
        <f aca="false">IF(A110="",0,COUNTIF('Metric to Product'!$A:$A,A110))</f>
        <v>0</v>
      </c>
      <c r="G110" s="30"/>
      <c r="H110" s="30"/>
      <c r="I110" s="30"/>
    </row>
    <row r="111" customFormat="false" ht="15" hidden="false" customHeight="false" outlineLevel="0" collapsed="false">
      <c r="A111" s="29"/>
      <c r="B111" s="29"/>
      <c r="C111" s="20" t="str">
        <f aca="false">IF(A111="","",IFERROR(INDEX(Metrics!$C:$C,MATCH(A111,Metrics!$A:$A,0)),"ID not found"))</f>
        <v/>
      </c>
      <c r="D111" s="20" t="str">
        <f aca="false">IF(B111="","",IFERROR(INDEX(Fields!$B:$B,MATCH(B111,Fields!$A:$A,0)),"ID not found"))</f>
        <v/>
      </c>
      <c r="E111" s="30"/>
      <c r="F111" s="20" t="n">
        <f aca="false">IF(A111="",0,COUNTIF('Metric to Product'!$A:$A,A111))</f>
        <v>0</v>
      </c>
      <c r="G111" s="30"/>
      <c r="H111" s="30"/>
      <c r="I111" s="30"/>
    </row>
    <row r="112" customFormat="false" ht="15" hidden="false" customHeight="false" outlineLevel="0" collapsed="false">
      <c r="A112" s="29"/>
      <c r="B112" s="29"/>
      <c r="C112" s="20" t="str">
        <f aca="false">IF(A112="","",IFERROR(INDEX(Metrics!$C:$C,MATCH(A112,Metrics!$A:$A,0)),"ID not found"))</f>
        <v/>
      </c>
      <c r="D112" s="20" t="str">
        <f aca="false">IF(B112="","",IFERROR(INDEX(Fields!$B:$B,MATCH(B112,Fields!$A:$A,0)),"ID not found"))</f>
        <v/>
      </c>
      <c r="E112" s="30"/>
      <c r="F112" s="20" t="n">
        <f aca="false">IF(A112="",0,COUNTIF('Metric to Product'!$A:$A,A112))</f>
        <v>0</v>
      </c>
      <c r="G112" s="30"/>
      <c r="H112" s="30"/>
      <c r="I112" s="30"/>
    </row>
    <row r="113" customFormat="false" ht="15" hidden="false" customHeight="false" outlineLevel="0" collapsed="false">
      <c r="A113" s="29"/>
      <c r="B113" s="29"/>
      <c r="C113" s="20" t="str">
        <f aca="false">IF(A113="","",IFERROR(INDEX(Metrics!$C:$C,MATCH(A113,Metrics!$A:$A,0)),"ID not found"))</f>
        <v/>
      </c>
      <c r="D113" s="20" t="str">
        <f aca="false">IF(B113="","",IFERROR(INDEX(Fields!$B:$B,MATCH(B113,Fields!$A:$A,0)),"ID not found"))</f>
        <v/>
      </c>
      <c r="E113" s="30"/>
      <c r="F113" s="20" t="n">
        <f aca="false">IF(A113="",0,COUNTIF('Metric to Product'!$A:$A,A113))</f>
        <v>0</v>
      </c>
      <c r="G113" s="30"/>
      <c r="H113" s="30"/>
      <c r="I113" s="30"/>
    </row>
    <row r="114" customFormat="false" ht="15" hidden="false" customHeight="false" outlineLevel="0" collapsed="false">
      <c r="A114" s="29"/>
      <c r="B114" s="29"/>
      <c r="C114" s="20" t="str">
        <f aca="false">IF(A114="","",IFERROR(INDEX(Metrics!$C:$C,MATCH(A114,Metrics!$A:$A,0)),"ID not found"))</f>
        <v/>
      </c>
      <c r="D114" s="20" t="str">
        <f aca="false">IF(B114="","",IFERROR(INDEX(Fields!$B:$B,MATCH(B114,Fields!$A:$A,0)),"ID not found"))</f>
        <v/>
      </c>
      <c r="E114" s="30"/>
      <c r="F114" s="20" t="n">
        <f aca="false">IF(A114="",0,COUNTIF('Metric to Product'!$A:$A,A114))</f>
        <v>0</v>
      </c>
      <c r="G114" s="30"/>
      <c r="H114" s="30"/>
      <c r="I114" s="30"/>
    </row>
    <row r="115" customFormat="false" ht="15" hidden="false" customHeight="false" outlineLevel="0" collapsed="false">
      <c r="A115" s="29"/>
      <c r="B115" s="29"/>
      <c r="C115" s="20" t="str">
        <f aca="false">IF(A115="","",IFERROR(INDEX(Metrics!$C:$C,MATCH(A115,Metrics!$A:$A,0)),"ID not found"))</f>
        <v/>
      </c>
      <c r="D115" s="20" t="str">
        <f aca="false">IF(B115="","",IFERROR(INDEX(Fields!$B:$B,MATCH(B115,Fields!$A:$A,0)),"ID not found"))</f>
        <v/>
      </c>
      <c r="E115" s="30"/>
      <c r="F115" s="20" t="n">
        <f aca="false">IF(A115="",0,COUNTIF('Metric to Product'!$A:$A,A115))</f>
        <v>0</v>
      </c>
      <c r="G115" s="30"/>
      <c r="H115" s="30"/>
      <c r="I115" s="30"/>
    </row>
    <row r="116" customFormat="false" ht="15" hidden="false" customHeight="false" outlineLevel="0" collapsed="false">
      <c r="A116" s="29"/>
      <c r="B116" s="29"/>
      <c r="C116" s="20" t="str">
        <f aca="false">IF(A116="","",IFERROR(INDEX(Metrics!$C:$C,MATCH(A116,Metrics!$A:$A,0)),"ID not found"))</f>
        <v/>
      </c>
      <c r="D116" s="20" t="str">
        <f aca="false">IF(B116="","",IFERROR(INDEX(Fields!$B:$B,MATCH(B116,Fields!$A:$A,0)),"ID not found"))</f>
        <v/>
      </c>
      <c r="E116" s="30"/>
      <c r="F116" s="20" t="n">
        <f aca="false">IF(A116="",0,COUNTIF('Metric to Product'!$A:$A,A116))</f>
        <v>0</v>
      </c>
      <c r="G116" s="30"/>
      <c r="H116" s="30"/>
      <c r="I116" s="30"/>
    </row>
    <row r="117" customFormat="false" ht="15" hidden="false" customHeight="false" outlineLevel="0" collapsed="false">
      <c r="A117" s="29"/>
      <c r="B117" s="29"/>
      <c r="C117" s="20" t="str">
        <f aca="false">IF(A117="","",IFERROR(INDEX(Metrics!$C:$C,MATCH(A117,Metrics!$A:$A,0)),"ID not found"))</f>
        <v/>
      </c>
      <c r="D117" s="20" t="str">
        <f aca="false">IF(B117="","",IFERROR(INDEX(Fields!$B:$B,MATCH(B117,Fields!$A:$A,0)),"ID not found"))</f>
        <v/>
      </c>
      <c r="E117" s="30"/>
      <c r="F117" s="20" t="n">
        <f aca="false">IF(A117="",0,COUNTIF('Metric to Product'!$A:$A,A117))</f>
        <v>0</v>
      </c>
      <c r="G117" s="30"/>
      <c r="H117" s="30"/>
      <c r="I117" s="30"/>
    </row>
    <row r="118" customFormat="false" ht="15" hidden="false" customHeight="false" outlineLevel="0" collapsed="false">
      <c r="A118" s="29"/>
      <c r="B118" s="29"/>
      <c r="C118" s="20" t="str">
        <f aca="false">IF(A118="","",IFERROR(INDEX(Metrics!$C:$C,MATCH(A118,Metrics!$A:$A,0)),"ID not found"))</f>
        <v/>
      </c>
      <c r="D118" s="20" t="str">
        <f aca="false">IF(B118="","",IFERROR(INDEX(Fields!$B:$B,MATCH(B118,Fields!$A:$A,0)),"ID not found"))</f>
        <v/>
      </c>
      <c r="E118" s="30"/>
      <c r="F118" s="20" t="n">
        <f aca="false">IF(A118="",0,COUNTIF('Metric to Product'!$A:$A,A118))</f>
        <v>0</v>
      </c>
      <c r="G118" s="30"/>
      <c r="H118" s="30"/>
      <c r="I118" s="30"/>
    </row>
    <row r="119" customFormat="false" ht="15" hidden="false" customHeight="false" outlineLevel="0" collapsed="false">
      <c r="A119" s="29"/>
      <c r="B119" s="29"/>
      <c r="C119" s="20" t="str">
        <f aca="false">IF(A119="","",IFERROR(INDEX(Metrics!$C:$C,MATCH(A119,Metrics!$A:$A,0)),"ID not found"))</f>
        <v/>
      </c>
      <c r="D119" s="20" t="str">
        <f aca="false">IF(B119="","",IFERROR(INDEX(Fields!$B:$B,MATCH(B119,Fields!$A:$A,0)),"ID not found"))</f>
        <v/>
      </c>
      <c r="E119" s="30"/>
      <c r="F119" s="20" t="n">
        <f aca="false">IF(A119="",0,COUNTIF('Metric to Product'!$A:$A,A119))</f>
        <v>0</v>
      </c>
      <c r="G119" s="30"/>
      <c r="H119" s="30"/>
      <c r="I119" s="30"/>
    </row>
    <row r="120" customFormat="false" ht="15" hidden="false" customHeight="false" outlineLevel="0" collapsed="false">
      <c r="A120" s="29"/>
      <c r="B120" s="29"/>
      <c r="C120" s="20" t="str">
        <f aca="false">IF(A120="","",IFERROR(INDEX(Metrics!$C:$C,MATCH(A120,Metrics!$A:$A,0)),"ID not found"))</f>
        <v/>
      </c>
      <c r="D120" s="20" t="str">
        <f aca="false">IF(B120="","",IFERROR(INDEX(Fields!$B:$B,MATCH(B120,Fields!$A:$A,0)),"ID not found"))</f>
        <v/>
      </c>
      <c r="E120" s="30"/>
      <c r="F120" s="20" t="n">
        <f aca="false">IF(A120="",0,COUNTIF('Metric to Product'!$A:$A,A120))</f>
        <v>0</v>
      </c>
      <c r="G120" s="30"/>
      <c r="H120" s="30"/>
      <c r="I120" s="30"/>
    </row>
    <row r="121" customFormat="false" ht="15" hidden="false" customHeight="false" outlineLevel="0" collapsed="false">
      <c r="A121" s="29"/>
      <c r="B121" s="29"/>
      <c r="C121" s="20" t="str">
        <f aca="false">IF(A121="","",IFERROR(INDEX(Metrics!$C:$C,MATCH(A121,Metrics!$A:$A,0)),"ID not found"))</f>
        <v/>
      </c>
      <c r="D121" s="20" t="str">
        <f aca="false">IF(B121="","",IFERROR(INDEX(Fields!$B:$B,MATCH(B121,Fields!$A:$A,0)),"ID not found"))</f>
        <v/>
      </c>
      <c r="E121" s="30"/>
      <c r="F121" s="20" t="n">
        <f aca="false">IF(A121="",0,COUNTIF('Metric to Product'!$A:$A,A121))</f>
        <v>0</v>
      </c>
      <c r="G121" s="30"/>
      <c r="H121" s="30"/>
      <c r="I121" s="30"/>
    </row>
    <row r="122" customFormat="false" ht="15" hidden="false" customHeight="false" outlineLevel="0" collapsed="false">
      <c r="A122" s="29"/>
      <c r="B122" s="29"/>
      <c r="C122" s="20" t="str">
        <f aca="false">IF(A122="","",IFERROR(INDEX(Metrics!$C:$C,MATCH(A122,Metrics!$A:$A,0)),"ID not found"))</f>
        <v/>
      </c>
      <c r="D122" s="20" t="str">
        <f aca="false">IF(B122="","",IFERROR(INDEX(Fields!$B:$B,MATCH(B122,Fields!$A:$A,0)),"ID not found"))</f>
        <v/>
      </c>
      <c r="E122" s="30"/>
      <c r="F122" s="20" t="n">
        <f aca="false">IF(A122="",0,COUNTIF('Metric to Product'!$A:$A,A122))</f>
        <v>0</v>
      </c>
      <c r="G122" s="30"/>
      <c r="H122" s="30"/>
      <c r="I122" s="30"/>
    </row>
    <row r="123" customFormat="false" ht="15" hidden="false" customHeight="false" outlineLevel="0" collapsed="false">
      <c r="A123" s="29"/>
      <c r="B123" s="29"/>
      <c r="C123" s="20" t="str">
        <f aca="false">IF(A123="","",IFERROR(INDEX(Metrics!$C:$C,MATCH(A123,Metrics!$A:$A,0)),"ID not found"))</f>
        <v/>
      </c>
      <c r="D123" s="20" t="str">
        <f aca="false">IF(B123="","",IFERROR(INDEX(Fields!$B:$B,MATCH(B123,Fields!$A:$A,0)),"ID not found"))</f>
        <v/>
      </c>
      <c r="E123" s="30"/>
      <c r="F123" s="20" t="n">
        <f aca="false">IF(A123="",0,COUNTIF('Metric to Product'!$A:$A,A123))</f>
        <v>0</v>
      </c>
      <c r="G123" s="30"/>
      <c r="H123" s="30"/>
      <c r="I123" s="30"/>
    </row>
    <row r="124" customFormat="false" ht="15" hidden="false" customHeight="false" outlineLevel="0" collapsed="false">
      <c r="A124" s="29"/>
      <c r="B124" s="29"/>
      <c r="C124" s="20" t="str">
        <f aca="false">IF(A124="","",IFERROR(INDEX(Metrics!$C:$C,MATCH(A124,Metrics!$A:$A,0)),"ID not found"))</f>
        <v/>
      </c>
      <c r="D124" s="20" t="str">
        <f aca="false">IF(B124="","",IFERROR(INDEX(Fields!$B:$B,MATCH(B124,Fields!$A:$A,0)),"ID not found"))</f>
        <v/>
      </c>
      <c r="E124" s="30"/>
      <c r="F124" s="20" t="n">
        <f aca="false">IF(A124="",0,COUNTIF('Metric to Product'!$A:$A,A124))</f>
        <v>0</v>
      </c>
      <c r="G124" s="30"/>
      <c r="H124" s="30"/>
      <c r="I124" s="30"/>
    </row>
    <row r="125" customFormat="false" ht="15" hidden="false" customHeight="false" outlineLevel="0" collapsed="false">
      <c r="A125" s="29"/>
      <c r="B125" s="29"/>
      <c r="C125" s="20" t="str">
        <f aca="false">IF(A125="","",IFERROR(INDEX(Metrics!$C:$C,MATCH(A125,Metrics!$A:$A,0)),"ID not found"))</f>
        <v/>
      </c>
      <c r="D125" s="20" t="str">
        <f aca="false">IF(B125="","",IFERROR(INDEX(Fields!$B:$B,MATCH(B125,Fields!$A:$A,0)),"ID not found"))</f>
        <v/>
      </c>
      <c r="E125" s="30"/>
      <c r="F125" s="20" t="n">
        <f aca="false">IF(A125="",0,COUNTIF('Metric to Product'!$A:$A,A125))</f>
        <v>0</v>
      </c>
      <c r="G125" s="30"/>
      <c r="H125" s="30"/>
      <c r="I125" s="30"/>
    </row>
    <row r="126" customFormat="false" ht="15" hidden="false" customHeight="false" outlineLevel="0" collapsed="false">
      <c r="A126" s="29"/>
      <c r="B126" s="29"/>
      <c r="C126" s="20" t="str">
        <f aca="false">IF(A126="","",IFERROR(INDEX(Metrics!$C:$C,MATCH(A126,Metrics!$A:$A,0)),"ID not found"))</f>
        <v/>
      </c>
      <c r="D126" s="20" t="str">
        <f aca="false">IF(B126="","",IFERROR(INDEX(Fields!$B:$B,MATCH(B126,Fields!$A:$A,0)),"ID not found"))</f>
        <v/>
      </c>
      <c r="E126" s="30"/>
      <c r="F126" s="20" t="n">
        <f aca="false">IF(A126="",0,COUNTIF('Metric to Product'!$A:$A,A126))</f>
        <v>0</v>
      </c>
      <c r="G126" s="30"/>
      <c r="H126" s="30"/>
      <c r="I126" s="30"/>
    </row>
    <row r="127" customFormat="false" ht="15" hidden="false" customHeight="false" outlineLevel="0" collapsed="false">
      <c r="A127" s="29"/>
      <c r="B127" s="29"/>
      <c r="C127" s="20" t="str">
        <f aca="false">IF(A127="","",IFERROR(INDEX(Metrics!$C:$C,MATCH(A127,Metrics!$A:$A,0)),"ID not found"))</f>
        <v/>
      </c>
      <c r="D127" s="20" t="str">
        <f aca="false">IF(B127="","",IFERROR(INDEX(Fields!$B:$B,MATCH(B127,Fields!$A:$A,0)),"ID not found"))</f>
        <v/>
      </c>
      <c r="E127" s="30"/>
      <c r="F127" s="20" t="n">
        <f aca="false">IF(A127="",0,COUNTIF('Metric to Product'!$A:$A,A127))</f>
        <v>0</v>
      </c>
      <c r="G127" s="30"/>
      <c r="H127" s="30"/>
      <c r="I127" s="30"/>
    </row>
    <row r="128" customFormat="false" ht="15" hidden="false" customHeight="false" outlineLevel="0" collapsed="false">
      <c r="A128" s="29"/>
      <c r="B128" s="29"/>
      <c r="C128" s="20" t="str">
        <f aca="false">IF(A128="","",IFERROR(INDEX(Metrics!$C:$C,MATCH(A128,Metrics!$A:$A,0)),"ID not found"))</f>
        <v/>
      </c>
      <c r="D128" s="20" t="str">
        <f aca="false">IF(B128="","",IFERROR(INDEX(Fields!$B:$B,MATCH(B128,Fields!$A:$A,0)),"ID not found"))</f>
        <v/>
      </c>
      <c r="E128" s="30"/>
      <c r="F128" s="20" t="n">
        <f aca="false">IF(A128="",0,COUNTIF('Metric to Product'!$A:$A,A128))</f>
        <v>0</v>
      </c>
      <c r="G128" s="30"/>
      <c r="H128" s="30"/>
      <c r="I128" s="30"/>
    </row>
    <row r="129" customFormat="false" ht="15" hidden="false" customHeight="false" outlineLevel="0" collapsed="false">
      <c r="A129" s="29"/>
      <c r="B129" s="29"/>
      <c r="C129" s="20" t="str">
        <f aca="false">IF(A129="","",IFERROR(INDEX(Metrics!$C:$C,MATCH(A129,Metrics!$A:$A,0)),"ID not found"))</f>
        <v/>
      </c>
      <c r="D129" s="20" t="str">
        <f aca="false">IF(B129="","",IFERROR(INDEX(Fields!$B:$B,MATCH(B129,Fields!$A:$A,0)),"ID not found"))</f>
        <v/>
      </c>
      <c r="E129" s="30"/>
      <c r="F129" s="20" t="n">
        <f aca="false">IF(A129="",0,COUNTIF('Metric to Product'!$A:$A,A129))</f>
        <v>0</v>
      </c>
      <c r="G129" s="30"/>
      <c r="H129" s="30"/>
      <c r="I129" s="30"/>
    </row>
    <row r="130" customFormat="false" ht="15" hidden="false" customHeight="false" outlineLevel="0" collapsed="false">
      <c r="A130" s="29"/>
      <c r="B130" s="29"/>
      <c r="C130" s="20" t="str">
        <f aca="false">IF(A130="","",IFERROR(INDEX(Metrics!$C:$C,MATCH(A130,Metrics!$A:$A,0)),"ID not found"))</f>
        <v/>
      </c>
      <c r="D130" s="20" t="str">
        <f aca="false">IF(B130="","",IFERROR(INDEX(Fields!$B:$B,MATCH(B130,Fields!$A:$A,0)),"ID not found"))</f>
        <v/>
      </c>
      <c r="E130" s="30"/>
      <c r="F130" s="20" t="n">
        <f aca="false">IF(A130="",0,COUNTIF('Metric to Product'!$A:$A,A130))</f>
        <v>0</v>
      </c>
      <c r="G130" s="30"/>
      <c r="H130" s="30"/>
      <c r="I130" s="30"/>
    </row>
    <row r="131" customFormat="false" ht="15" hidden="false" customHeight="false" outlineLevel="0" collapsed="false">
      <c r="A131" s="29"/>
      <c r="B131" s="29"/>
      <c r="C131" s="20" t="str">
        <f aca="false">IF(A131="","",IFERROR(INDEX(Metrics!$C:$C,MATCH(A131,Metrics!$A:$A,0)),"ID not found"))</f>
        <v/>
      </c>
      <c r="D131" s="20" t="str">
        <f aca="false">IF(B131="","",IFERROR(INDEX(Fields!$B:$B,MATCH(B131,Fields!$A:$A,0)),"ID not found"))</f>
        <v/>
      </c>
      <c r="E131" s="30"/>
      <c r="F131" s="20" t="n">
        <f aca="false">IF(A131="",0,COUNTIF('Metric to Product'!$A:$A,A131))</f>
        <v>0</v>
      </c>
      <c r="G131" s="30"/>
      <c r="H131" s="30"/>
      <c r="I131" s="30"/>
    </row>
    <row r="132" customFormat="false" ht="15" hidden="false" customHeight="false" outlineLevel="0" collapsed="false">
      <c r="A132" s="29"/>
      <c r="B132" s="29"/>
      <c r="C132" s="20" t="str">
        <f aca="false">IF(A132="","",IFERROR(INDEX(Metrics!$C:$C,MATCH(A132,Metrics!$A:$A,0)),"ID not found"))</f>
        <v/>
      </c>
      <c r="D132" s="20" t="str">
        <f aca="false">IF(B132="","",IFERROR(INDEX(Fields!$B:$B,MATCH(B132,Fields!$A:$A,0)),"ID not found"))</f>
        <v/>
      </c>
      <c r="E132" s="30"/>
      <c r="F132" s="20" t="n">
        <f aca="false">IF(A132="",0,COUNTIF('Metric to Product'!$A:$A,A132))</f>
        <v>0</v>
      </c>
      <c r="G132" s="30"/>
      <c r="H132" s="30"/>
      <c r="I132" s="30"/>
    </row>
    <row r="133" customFormat="false" ht="15" hidden="false" customHeight="false" outlineLevel="0" collapsed="false">
      <c r="A133" s="29"/>
      <c r="B133" s="29"/>
      <c r="C133" s="20" t="str">
        <f aca="false">IF(A133="","",IFERROR(INDEX(Metrics!$C:$C,MATCH(A133,Metrics!$A:$A,0)),"ID not found"))</f>
        <v/>
      </c>
      <c r="D133" s="20" t="str">
        <f aca="false">IF(B133="","",IFERROR(INDEX(Fields!$B:$B,MATCH(B133,Fields!$A:$A,0)),"ID not found"))</f>
        <v/>
      </c>
      <c r="E133" s="30"/>
      <c r="F133" s="20" t="n">
        <f aca="false">IF(A133="",0,COUNTIF('Metric to Product'!$A:$A,A133))</f>
        <v>0</v>
      </c>
      <c r="G133" s="30"/>
      <c r="H133" s="30"/>
      <c r="I133" s="30"/>
    </row>
    <row r="134" customFormat="false" ht="15" hidden="false" customHeight="false" outlineLevel="0" collapsed="false">
      <c r="A134" s="29"/>
      <c r="B134" s="29"/>
      <c r="C134" s="20" t="str">
        <f aca="false">IF(A134="","",IFERROR(INDEX(Metrics!$C:$C,MATCH(A134,Metrics!$A:$A,0)),"ID not found"))</f>
        <v/>
      </c>
      <c r="D134" s="20" t="str">
        <f aca="false">IF(B134="","",IFERROR(INDEX(Fields!$B:$B,MATCH(B134,Fields!$A:$A,0)),"ID not found"))</f>
        <v/>
      </c>
      <c r="E134" s="30"/>
      <c r="F134" s="20" t="n">
        <f aca="false">IF(A134="",0,COUNTIF('Metric to Product'!$A:$A,A134))</f>
        <v>0</v>
      </c>
      <c r="G134" s="30"/>
      <c r="H134" s="30"/>
      <c r="I134" s="30"/>
    </row>
    <row r="135" customFormat="false" ht="15" hidden="false" customHeight="false" outlineLevel="0" collapsed="false">
      <c r="A135" s="29"/>
      <c r="B135" s="29"/>
      <c r="C135" s="20" t="str">
        <f aca="false">IF(A135="","",IFERROR(INDEX(Metrics!$C:$C,MATCH(A135,Metrics!$A:$A,0)),"ID not found"))</f>
        <v/>
      </c>
      <c r="D135" s="20" t="str">
        <f aca="false">IF(B135="","",IFERROR(INDEX(Fields!$B:$B,MATCH(B135,Fields!$A:$A,0)),"ID not found"))</f>
        <v/>
      </c>
      <c r="E135" s="30"/>
      <c r="F135" s="20" t="n">
        <f aca="false">IF(A135="",0,COUNTIF('Metric to Product'!$A:$A,A135))</f>
        <v>0</v>
      </c>
      <c r="G135" s="30"/>
      <c r="H135" s="30"/>
      <c r="I135" s="30"/>
    </row>
    <row r="136" customFormat="false" ht="15" hidden="false" customHeight="false" outlineLevel="0" collapsed="false">
      <c r="A136" s="29"/>
      <c r="B136" s="29"/>
      <c r="C136" s="20" t="str">
        <f aca="false">IF(A136="","",IFERROR(INDEX(Metrics!$C:$C,MATCH(A136,Metrics!$A:$A,0)),"ID not found"))</f>
        <v/>
      </c>
      <c r="D136" s="20" t="str">
        <f aca="false">IF(B136="","",IFERROR(INDEX(Fields!$B:$B,MATCH(B136,Fields!$A:$A,0)),"ID not found"))</f>
        <v/>
      </c>
      <c r="E136" s="30"/>
      <c r="F136" s="20" t="n">
        <f aca="false">IF(A136="",0,COUNTIF('Metric to Product'!$A:$A,A136))</f>
        <v>0</v>
      </c>
      <c r="G136" s="30"/>
      <c r="H136" s="30"/>
      <c r="I136" s="30"/>
    </row>
    <row r="137" customFormat="false" ht="15" hidden="false" customHeight="false" outlineLevel="0" collapsed="false">
      <c r="A137" s="29"/>
      <c r="B137" s="29"/>
      <c r="C137" s="20" t="str">
        <f aca="false">IF(A137="","",IFERROR(INDEX(Metrics!$C:$C,MATCH(A137,Metrics!$A:$A,0)),"ID not found"))</f>
        <v/>
      </c>
      <c r="D137" s="20" t="str">
        <f aca="false">IF(B137="","",IFERROR(INDEX(Fields!$B:$B,MATCH(B137,Fields!$A:$A,0)),"ID not found"))</f>
        <v/>
      </c>
      <c r="E137" s="30"/>
      <c r="F137" s="20" t="n">
        <f aca="false">IF(A137="",0,COUNTIF('Metric to Product'!$A:$A,A137))</f>
        <v>0</v>
      </c>
      <c r="G137" s="30"/>
      <c r="H137" s="30"/>
      <c r="I137" s="30"/>
    </row>
    <row r="138" customFormat="false" ht="15" hidden="false" customHeight="false" outlineLevel="0" collapsed="false">
      <c r="A138" s="29"/>
      <c r="B138" s="29"/>
      <c r="C138" s="20" t="str">
        <f aca="false">IF(A138="","",IFERROR(INDEX(Metrics!$C:$C,MATCH(A138,Metrics!$A:$A,0)),"ID not found"))</f>
        <v/>
      </c>
      <c r="D138" s="20" t="str">
        <f aca="false">IF(B138="","",IFERROR(INDEX(Fields!$B:$B,MATCH(B138,Fields!$A:$A,0)),"ID not found"))</f>
        <v/>
      </c>
      <c r="E138" s="30"/>
      <c r="F138" s="20" t="n">
        <f aca="false">IF(A138="",0,COUNTIF('Metric to Product'!$A:$A,A138))</f>
        <v>0</v>
      </c>
      <c r="G138" s="30"/>
      <c r="H138" s="30"/>
      <c r="I138" s="30"/>
    </row>
    <row r="139" customFormat="false" ht="15" hidden="false" customHeight="false" outlineLevel="0" collapsed="false">
      <c r="A139" s="29"/>
      <c r="B139" s="29"/>
      <c r="C139" s="20" t="str">
        <f aca="false">IF(A139="","",IFERROR(INDEX(Metrics!$C:$C,MATCH(A139,Metrics!$A:$A,0)),"ID not found"))</f>
        <v/>
      </c>
      <c r="D139" s="20" t="str">
        <f aca="false">IF(B139="","",IFERROR(INDEX(Fields!$B:$B,MATCH(B139,Fields!$A:$A,0)),"ID not found"))</f>
        <v/>
      </c>
      <c r="E139" s="30"/>
      <c r="F139" s="20" t="n">
        <f aca="false">IF(A139="",0,COUNTIF('Metric to Product'!$A:$A,A139))</f>
        <v>0</v>
      </c>
      <c r="G139" s="30"/>
      <c r="H139" s="30"/>
      <c r="I139" s="30"/>
    </row>
    <row r="140" customFormat="false" ht="15" hidden="false" customHeight="false" outlineLevel="0" collapsed="false">
      <c r="A140" s="29"/>
      <c r="B140" s="29"/>
      <c r="C140" s="20" t="str">
        <f aca="false">IF(A140="","",IFERROR(INDEX(Metrics!$C:$C,MATCH(A140,Metrics!$A:$A,0)),"ID not found"))</f>
        <v/>
      </c>
      <c r="D140" s="20" t="str">
        <f aca="false">IF(B140="","",IFERROR(INDEX(Fields!$B:$B,MATCH(B140,Fields!$A:$A,0)),"ID not found"))</f>
        <v/>
      </c>
      <c r="E140" s="30"/>
      <c r="F140" s="20" t="n">
        <f aca="false">IF(A140="",0,COUNTIF('Metric to Product'!$A:$A,A140))</f>
        <v>0</v>
      </c>
      <c r="G140" s="30"/>
      <c r="H140" s="30"/>
      <c r="I140" s="30"/>
    </row>
    <row r="141" customFormat="false" ht="15" hidden="false" customHeight="false" outlineLevel="0" collapsed="false">
      <c r="A141" s="29"/>
      <c r="B141" s="29"/>
      <c r="C141" s="20" t="str">
        <f aca="false">IF(A141="","",IFERROR(INDEX(Metrics!$C:$C,MATCH(A141,Metrics!$A:$A,0)),"ID not found"))</f>
        <v/>
      </c>
      <c r="D141" s="20" t="str">
        <f aca="false">IF(B141="","",IFERROR(INDEX(Fields!$B:$B,MATCH(B141,Fields!$A:$A,0)),"ID not found"))</f>
        <v/>
      </c>
      <c r="E141" s="30"/>
      <c r="F141" s="20" t="n">
        <f aca="false">IF(A141="",0,COUNTIF('Metric to Product'!$A:$A,A141))</f>
        <v>0</v>
      </c>
      <c r="G141" s="30"/>
      <c r="H141" s="30"/>
      <c r="I141" s="30"/>
    </row>
    <row r="142" customFormat="false" ht="15" hidden="false" customHeight="false" outlineLevel="0" collapsed="false">
      <c r="A142" s="29"/>
      <c r="B142" s="29"/>
      <c r="C142" s="20" t="str">
        <f aca="false">IF(A142="","",IFERROR(INDEX(Metrics!$C:$C,MATCH(A142,Metrics!$A:$A,0)),"ID not found"))</f>
        <v/>
      </c>
      <c r="D142" s="20" t="str">
        <f aca="false">IF(B142="","",IFERROR(INDEX(Fields!$B:$B,MATCH(B142,Fields!$A:$A,0)),"ID not found"))</f>
        <v/>
      </c>
      <c r="E142" s="30"/>
      <c r="F142" s="20" t="n">
        <f aca="false">IF(A142="",0,COUNTIF('Metric to Product'!$A:$A,A142))</f>
        <v>0</v>
      </c>
      <c r="G142" s="30"/>
      <c r="H142" s="30"/>
      <c r="I142" s="30"/>
    </row>
    <row r="143" customFormat="false" ht="15" hidden="false" customHeight="false" outlineLevel="0" collapsed="false">
      <c r="A143" s="29"/>
      <c r="B143" s="29"/>
      <c r="C143" s="20" t="str">
        <f aca="false">IF(A143="","",IFERROR(INDEX(Metrics!$C:$C,MATCH(A143,Metrics!$A:$A,0)),"ID not found"))</f>
        <v/>
      </c>
      <c r="D143" s="20" t="str">
        <f aca="false">IF(B143="","",IFERROR(INDEX(Fields!$B:$B,MATCH(B143,Fields!$A:$A,0)),"ID not found"))</f>
        <v/>
      </c>
      <c r="E143" s="30"/>
      <c r="F143" s="20" t="n">
        <f aca="false">IF(A143="",0,COUNTIF('Metric to Product'!$A:$A,A143))</f>
        <v>0</v>
      </c>
      <c r="G143" s="30"/>
      <c r="H143" s="30"/>
      <c r="I143" s="30"/>
    </row>
    <row r="144" customFormat="false" ht="15" hidden="false" customHeight="false" outlineLevel="0" collapsed="false">
      <c r="A144" s="29"/>
      <c r="B144" s="29"/>
      <c r="C144" s="20" t="str">
        <f aca="false">IF(A144="","",IFERROR(INDEX(Metrics!$C:$C,MATCH(A144,Metrics!$A:$A,0)),"ID not found"))</f>
        <v/>
      </c>
      <c r="D144" s="20" t="str">
        <f aca="false">IF(B144="","",IFERROR(INDEX(Fields!$B:$B,MATCH(B144,Fields!$A:$A,0)),"ID not found"))</f>
        <v/>
      </c>
      <c r="E144" s="30"/>
      <c r="F144" s="20" t="n">
        <f aca="false">IF(A144="",0,COUNTIF('Metric to Product'!$A:$A,A144))</f>
        <v>0</v>
      </c>
      <c r="G144" s="30"/>
      <c r="H144" s="30"/>
      <c r="I144" s="30"/>
    </row>
    <row r="145" customFormat="false" ht="15" hidden="false" customHeight="false" outlineLevel="0" collapsed="false">
      <c r="A145" s="29"/>
      <c r="B145" s="29"/>
      <c r="C145" s="20" t="str">
        <f aca="false">IF(A145="","",IFERROR(INDEX(Metrics!$C:$C,MATCH(A145,Metrics!$A:$A,0)),"ID not found"))</f>
        <v/>
      </c>
      <c r="D145" s="20" t="str">
        <f aca="false">IF(B145="","",IFERROR(INDEX(Fields!$B:$B,MATCH(B145,Fields!$A:$A,0)),"ID not found"))</f>
        <v/>
      </c>
      <c r="E145" s="30"/>
      <c r="F145" s="20" t="n">
        <f aca="false">IF(A145="",0,COUNTIF('Metric to Product'!$A:$A,A145))</f>
        <v>0</v>
      </c>
      <c r="G145" s="30"/>
      <c r="H145" s="30"/>
      <c r="I145" s="30"/>
    </row>
    <row r="146" customFormat="false" ht="15" hidden="false" customHeight="false" outlineLevel="0" collapsed="false">
      <c r="A146" s="29"/>
      <c r="B146" s="29"/>
      <c r="C146" s="20" t="str">
        <f aca="false">IF(A146="","",IFERROR(INDEX(Metrics!$C:$C,MATCH(A146,Metrics!$A:$A,0)),"ID not found"))</f>
        <v/>
      </c>
      <c r="D146" s="20" t="str">
        <f aca="false">IF(B146="","",IFERROR(INDEX(Fields!$B:$B,MATCH(B146,Fields!$A:$A,0)),"ID not found"))</f>
        <v/>
      </c>
      <c r="E146" s="30"/>
      <c r="F146" s="20" t="n">
        <f aca="false">IF(A146="",0,COUNTIF('Metric to Product'!$A:$A,A146))</f>
        <v>0</v>
      </c>
      <c r="G146" s="30"/>
      <c r="H146" s="30"/>
      <c r="I146" s="30"/>
    </row>
    <row r="147" customFormat="false" ht="15" hidden="false" customHeight="false" outlineLevel="0" collapsed="false">
      <c r="A147" s="29"/>
      <c r="B147" s="29"/>
      <c r="C147" s="20" t="str">
        <f aca="false">IF(A147="","",IFERROR(INDEX(Metrics!$C:$C,MATCH(A147,Metrics!$A:$A,0)),"ID not found"))</f>
        <v/>
      </c>
      <c r="D147" s="20" t="str">
        <f aca="false">IF(B147="","",IFERROR(INDEX(Fields!$B:$B,MATCH(B147,Fields!$A:$A,0)),"ID not found"))</f>
        <v/>
      </c>
      <c r="E147" s="30"/>
      <c r="F147" s="20" t="n">
        <f aca="false">IF(A147="",0,COUNTIF('Metric to Product'!$A:$A,A147))</f>
        <v>0</v>
      </c>
      <c r="G147" s="30"/>
      <c r="H147" s="30"/>
      <c r="I147" s="30"/>
    </row>
    <row r="148" customFormat="false" ht="15" hidden="false" customHeight="false" outlineLevel="0" collapsed="false">
      <c r="A148" s="29"/>
      <c r="B148" s="29"/>
      <c r="C148" s="20" t="str">
        <f aca="false">IF(A148="","",IFERROR(INDEX(Metrics!$C:$C,MATCH(A148,Metrics!$A:$A,0)),"ID not found"))</f>
        <v/>
      </c>
      <c r="D148" s="20" t="str">
        <f aca="false">IF(B148="","",IFERROR(INDEX(Fields!$B:$B,MATCH(B148,Fields!$A:$A,0)),"ID not found"))</f>
        <v/>
      </c>
      <c r="E148" s="30"/>
      <c r="F148" s="20" t="n">
        <f aca="false">IF(A148="",0,COUNTIF('Metric to Product'!$A:$A,A148))</f>
        <v>0</v>
      </c>
      <c r="G148" s="30"/>
      <c r="H148" s="30"/>
      <c r="I148" s="30"/>
    </row>
    <row r="149" customFormat="false" ht="15" hidden="false" customHeight="false" outlineLevel="0" collapsed="false">
      <c r="A149" s="29"/>
      <c r="B149" s="29"/>
      <c r="C149" s="20" t="str">
        <f aca="false">IF(A149="","",IFERROR(INDEX(Metrics!$C:$C,MATCH(A149,Metrics!$A:$A,0)),"ID not found"))</f>
        <v/>
      </c>
      <c r="D149" s="20" t="str">
        <f aca="false">IF(B149="","",IFERROR(INDEX(Fields!$B:$B,MATCH(B149,Fields!$A:$A,0)),"ID not found"))</f>
        <v/>
      </c>
      <c r="E149" s="30"/>
      <c r="F149" s="20" t="n">
        <f aca="false">IF(A149="",0,COUNTIF('Metric to Product'!$A:$A,A149))</f>
        <v>0</v>
      </c>
      <c r="G149" s="30"/>
      <c r="H149" s="30"/>
      <c r="I149" s="30"/>
    </row>
    <row r="150" customFormat="false" ht="15" hidden="false" customHeight="false" outlineLevel="0" collapsed="false">
      <c r="A150" s="29"/>
      <c r="B150" s="29"/>
      <c r="C150" s="20" t="str">
        <f aca="false">IF(A150="","",IFERROR(INDEX(Metrics!$C:$C,MATCH(A150,Metrics!$A:$A,0)),"ID not found"))</f>
        <v/>
      </c>
      <c r="D150" s="20" t="str">
        <f aca="false">IF(B150="","",IFERROR(INDEX(Fields!$B:$B,MATCH(B150,Fields!$A:$A,0)),"ID not found"))</f>
        <v/>
      </c>
      <c r="E150" s="30"/>
      <c r="F150" s="20" t="n">
        <f aca="false">IF(A150="",0,COUNTIF('Metric to Product'!$A:$A,A150))</f>
        <v>0</v>
      </c>
      <c r="G150" s="30"/>
      <c r="H150" s="30"/>
      <c r="I150" s="30"/>
    </row>
    <row r="151" customFormat="false" ht="15" hidden="false" customHeight="false" outlineLevel="0" collapsed="false">
      <c r="A151" s="29"/>
      <c r="B151" s="29"/>
      <c r="C151" s="20" t="str">
        <f aca="false">IF(A151="","",IFERROR(INDEX(Metrics!$C:$C,MATCH(A151,Metrics!$A:$A,0)),"ID not found"))</f>
        <v/>
      </c>
      <c r="D151" s="20" t="str">
        <f aca="false">IF(B151="","",IFERROR(INDEX(Fields!$B:$B,MATCH(B151,Fields!$A:$A,0)),"ID not found"))</f>
        <v/>
      </c>
      <c r="E151" s="30"/>
      <c r="F151" s="20" t="n">
        <f aca="false">IF(A151="",0,COUNTIF('Metric to Product'!$A:$A,A151))</f>
        <v>0</v>
      </c>
      <c r="G151" s="30"/>
      <c r="H151" s="30"/>
      <c r="I151" s="30"/>
    </row>
    <row r="152" customFormat="false" ht="15" hidden="false" customHeight="false" outlineLevel="0" collapsed="false">
      <c r="A152" s="29"/>
      <c r="B152" s="29"/>
      <c r="C152" s="20" t="str">
        <f aca="false">IF(A152="","",IFERROR(INDEX(Metrics!$C:$C,MATCH(A152,Metrics!$A:$A,0)),"ID not found"))</f>
        <v/>
      </c>
      <c r="D152" s="20" t="str">
        <f aca="false">IF(B152="","",IFERROR(INDEX(Fields!$B:$B,MATCH(B152,Fields!$A:$A,0)),"ID not found"))</f>
        <v/>
      </c>
      <c r="E152" s="30"/>
      <c r="F152" s="20" t="n">
        <f aca="false">IF(A152="",0,COUNTIF('Metric to Product'!$A:$A,A152))</f>
        <v>0</v>
      </c>
      <c r="G152" s="30"/>
      <c r="H152" s="30"/>
      <c r="I152" s="30"/>
    </row>
    <row r="153" customFormat="false" ht="15" hidden="false" customHeight="false" outlineLevel="0" collapsed="false">
      <c r="A153" s="29"/>
      <c r="B153" s="29"/>
      <c r="C153" s="20" t="str">
        <f aca="false">IF(A153="","",IFERROR(INDEX(Metrics!$C:$C,MATCH(A153,Metrics!$A:$A,0)),"ID not found"))</f>
        <v/>
      </c>
      <c r="D153" s="20" t="str">
        <f aca="false">IF(B153="","",IFERROR(INDEX(Fields!$B:$B,MATCH(B153,Fields!$A:$A,0)),"ID not found"))</f>
        <v/>
      </c>
      <c r="E153" s="30"/>
      <c r="F153" s="20" t="n">
        <f aca="false">IF(A153="",0,COUNTIF('Metric to Product'!$A:$A,A153))</f>
        <v>0</v>
      </c>
      <c r="G153" s="30"/>
      <c r="H153" s="30"/>
      <c r="I153" s="30"/>
    </row>
    <row r="154" customFormat="false" ht="15" hidden="false" customHeight="false" outlineLevel="0" collapsed="false">
      <c r="A154" s="29"/>
      <c r="B154" s="29"/>
      <c r="C154" s="20" t="str">
        <f aca="false">IF(A154="","",IFERROR(INDEX(Metrics!$C:$C,MATCH(A154,Metrics!$A:$A,0)),"ID not found"))</f>
        <v/>
      </c>
      <c r="D154" s="20" t="str">
        <f aca="false">IF(B154="","",IFERROR(INDEX(Fields!$B:$B,MATCH(B154,Fields!$A:$A,0)),"ID not found"))</f>
        <v/>
      </c>
      <c r="E154" s="30"/>
      <c r="F154" s="20" t="n">
        <f aca="false">IF(A154="",0,COUNTIF('Metric to Product'!$A:$A,A154))</f>
        <v>0</v>
      </c>
      <c r="G154" s="30"/>
      <c r="H154" s="30"/>
      <c r="I154" s="30"/>
    </row>
    <row r="155" customFormat="false" ht="15" hidden="false" customHeight="false" outlineLevel="0" collapsed="false">
      <c r="A155" s="29"/>
      <c r="B155" s="29"/>
      <c r="C155" s="20" t="str">
        <f aca="false">IF(A155="","",IFERROR(INDEX(Metrics!$C:$C,MATCH(A155,Metrics!$A:$A,0)),"ID not found"))</f>
        <v/>
      </c>
      <c r="D155" s="20" t="str">
        <f aca="false">IF(B155="","",IFERROR(INDEX(Fields!$B:$B,MATCH(B155,Fields!$A:$A,0)),"ID not found"))</f>
        <v/>
      </c>
      <c r="E155" s="30"/>
      <c r="F155" s="20" t="n">
        <f aca="false">IF(A155="",0,COUNTIF('Metric to Product'!$A:$A,A155))</f>
        <v>0</v>
      </c>
      <c r="G155" s="30"/>
      <c r="H155" s="30"/>
      <c r="I155" s="30"/>
    </row>
    <row r="156" customFormat="false" ht="15" hidden="false" customHeight="false" outlineLevel="0" collapsed="false">
      <c r="A156" s="29"/>
      <c r="B156" s="29"/>
      <c r="C156" s="20" t="str">
        <f aca="false">IF(A156="","",IFERROR(INDEX(Metrics!$C:$C,MATCH(A156,Metrics!$A:$A,0)),"ID not found"))</f>
        <v/>
      </c>
      <c r="D156" s="20" t="str">
        <f aca="false">IF(B156="","",IFERROR(INDEX(Fields!$B:$B,MATCH(B156,Fields!$A:$A,0)),"ID not found"))</f>
        <v/>
      </c>
      <c r="E156" s="30"/>
      <c r="F156" s="20" t="n">
        <f aca="false">IF(A156="",0,COUNTIF('Metric to Product'!$A:$A,A156))</f>
        <v>0</v>
      </c>
      <c r="G156" s="30"/>
      <c r="H156" s="30"/>
      <c r="I156" s="30"/>
    </row>
    <row r="157" customFormat="false" ht="15" hidden="false" customHeight="false" outlineLevel="0" collapsed="false">
      <c r="A157" s="29"/>
      <c r="B157" s="29"/>
      <c r="C157" s="20" t="str">
        <f aca="false">IF(A157="","",IFERROR(INDEX(Metrics!$C:$C,MATCH(A157,Metrics!$A:$A,0)),"ID not found"))</f>
        <v/>
      </c>
      <c r="D157" s="20" t="str">
        <f aca="false">IF(B157="","",IFERROR(INDEX(Fields!$B:$B,MATCH(B157,Fields!$A:$A,0)),"ID not found"))</f>
        <v/>
      </c>
      <c r="E157" s="30"/>
      <c r="F157" s="20" t="n">
        <f aca="false">IF(A157="",0,COUNTIF('Metric to Product'!$A:$A,A157))</f>
        <v>0</v>
      </c>
      <c r="G157" s="30"/>
      <c r="H157" s="30"/>
      <c r="I157" s="30"/>
    </row>
    <row r="158" customFormat="false" ht="15" hidden="false" customHeight="false" outlineLevel="0" collapsed="false">
      <c r="A158" s="29"/>
      <c r="B158" s="29"/>
      <c r="C158" s="20" t="str">
        <f aca="false">IF(A158="","",IFERROR(INDEX(Metrics!$C:$C,MATCH(A158,Metrics!$A:$A,0)),"ID not found"))</f>
        <v/>
      </c>
      <c r="D158" s="20" t="str">
        <f aca="false">IF(B158="","",IFERROR(INDEX(Fields!$B:$B,MATCH(B158,Fields!$A:$A,0)),"ID not found"))</f>
        <v/>
      </c>
      <c r="E158" s="30"/>
      <c r="F158" s="20" t="n">
        <f aca="false">IF(A158="",0,COUNTIF('Metric to Product'!$A:$A,A158))</f>
        <v>0</v>
      </c>
      <c r="G158" s="30"/>
      <c r="H158" s="30"/>
      <c r="I158" s="30"/>
    </row>
    <row r="159" customFormat="false" ht="15" hidden="false" customHeight="false" outlineLevel="0" collapsed="false">
      <c r="A159" s="29"/>
      <c r="B159" s="29"/>
      <c r="C159" s="20" t="str">
        <f aca="false">IF(A159="","",IFERROR(INDEX(Metrics!$C:$C,MATCH(A159,Metrics!$A:$A,0)),"ID not found"))</f>
        <v/>
      </c>
      <c r="D159" s="20" t="str">
        <f aca="false">IF(B159="","",IFERROR(INDEX(Fields!$B:$B,MATCH(B159,Fields!$A:$A,0)),"ID not found"))</f>
        <v/>
      </c>
      <c r="E159" s="30"/>
      <c r="F159" s="20" t="n">
        <f aca="false">IF(A159="",0,COUNTIF('Metric to Product'!$A:$A,A159))</f>
        <v>0</v>
      </c>
      <c r="G159" s="30"/>
      <c r="H159" s="30"/>
      <c r="I159" s="30"/>
    </row>
    <row r="160" customFormat="false" ht="15" hidden="false" customHeight="false" outlineLevel="0" collapsed="false">
      <c r="A160" s="29"/>
      <c r="B160" s="29"/>
      <c r="C160" s="20" t="str">
        <f aca="false">IF(A160="","",IFERROR(INDEX(Metrics!$C:$C,MATCH(A160,Metrics!$A:$A,0)),"ID not found"))</f>
        <v/>
      </c>
      <c r="D160" s="20" t="str">
        <f aca="false">IF(B160="","",IFERROR(INDEX(Fields!$B:$B,MATCH(B160,Fields!$A:$A,0)),"ID not found"))</f>
        <v/>
      </c>
      <c r="E160" s="30"/>
      <c r="F160" s="20" t="n">
        <f aca="false">IF(A160="",0,COUNTIF('Metric to Product'!$A:$A,A160))</f>
        <v>0</v>
      </c>
      <c r="G160" s="30"/>
      <c r="H160" s="30"/>
      <c r="I160" s="30"/>
    </row>
    <row r="161" customFormat="false" ht="15" hidden="false" customHeight="false" outlineLevel="0" collapsed="false">
      <c r="A161" s="29"/>
      <c r="B161" s="29"/>
      <c r="C161" s="20" t="str">
        <f aca="false">IF(A161="","",IFERROR(INDEX(Metrics!$C:$C,MATCH(A161,Metrics!$A:$A,0)),"ID not found"))</f>
        <v/>
      </c>
      <c r="D161" s="20" t="str">
        <f aca="false">IF(B161="","",IFERROR(INDEX(Fields!$B:$B,MATCH(B161,Fields!$A:$A,0)),"ID not found"))</f>
        <v/>
      </c>
      <c r="E161" s="30"/>
      <c r="F161" s="20" t="n">
        <f aca="false">IF(A161="",0,COUNTIF('Metric to Product'!$A:$A,A161))</f>
        <v>0</v>
      </c>
      <c r="G161" s="30"/>
      <c r="H161" s="30"/>
      <c r="I161" s="30"/>
    </row>
    <row r="162" customFormat="false" ht="15" hidden="false" customHeight="false" outlineLevel="0" collapsed="false">
      <c r="A162" s="29"/>
      <c r="B162" s="29"/>
      <c r="C162" s="20" t="str">
        <f aca="false">IF(A162="","",IFERROR(INDEX(Metrics!$C:$C,MATCH(A162,Metrics!$A:$A,0)),"ID not found"))</f>
        <v/>
      </c>
      <c r="D162" s="20" t="str">
        <f aca="false">IF(B162="","",IFERROR(INDEX(Fields!$B:$B,MATCH(B162,Fields!$A:$A,0)),"ID not found"))</f>
        <v/>
      </c>
      <c r="E162" s="30"/>
      <c r="F162" s="20" t="n">
        <f aca="false">IF(A162="",0,COUNTIF('Metric to Product'!$A:$A,A162))</f>
        <v>0</v>
      </c>
      <c r="G162" s="30"/>
      <c r="H162" s="30"/>
      <c r="I162" s="30"/>
    </row>
    <row r="163" customFormat="false" ht="15" hidden="false" customHeight="false" outlineLevel="0" collapsed="false">
      <c r="A163" s="29"/>
      <c r="B163" s="29"/>
      <c r="C163" s="20" t="str">
        <f aca="false">IF(A163="","",IFERROR(INDEX(Metrics!$C:$C,MATCH(A163,Metrics!$A:$A,0)),"ID not found"))</f>
        <v/>
      </c>
      <c r="D163" s="20" t="str">
        <f aca="false">IF(B163="","",IFERROR(INDEX(Fields!$B:$B,MATCH(B163,Fields!$A:$A,0)),"ID not found"))</f>
        <v/>
      </c>
      <c r="E163" s="30"/>
      <c r="F163" s="20" t="n">
        <f aca="false">IF(A163="",0,COUNTIF('Metric to Product'!$A:$A,A163))</f>
        <v>0</v>
      </c>
      <c r="G163" s="30"/>
      <c r="H163" s="30"/>
      <c r="I163" s="30"/>
    </row>
    <row r="164" customFormat="false" ht="15" hidden="false" customHeight="false" outlineLevel="0" collapsed="false">
      <c r="A164" s="29"/>
      <c r="B164" s="29"/>
      <c r="C164" s="20" t="str">
        <f aca="false">IF(A164="","",IFERROR(INDEX(Metrics!$C:$C,MATCH(A164,Metrics!$A:$A,0)),"ID not found"))</f>
        <v/>
      </c>
      <c r="D164" s="20" t="str">
        <f aca="false">IF(B164="","",IFERROR(INDEX(Fields!$B:$B,MATCH(B164,Fields!$A:$A,0)),"ID not found"))</f>
        <v/>
      </c>
      <c r="E164" s="30"/>
      <c r="F164" s="20" t="n">
        <f aca="false">IF(A164="",0,COUNTIF('Metric to Product'!$A:$A,A164))</f>
        <v>0</v>
      </c>
      <c r="G164" s="30"/>
      <c r="H164" s="30"/>
      <c r="I164" s="30"/>
    </row>
    <row r="165" customFormat="false" ht="15" hidden="false" customHeight="false" outlineLevel="0" collapsed="false">
      <c r="A165" s="29"/>
      <c r="B165" s="29"/>
      <c r="C165" s="20" t="str">
        <f aca="false">IF(A165="","",IFERROR(INDEX(Metrics!$C:$C,MATCH(A165,Metrics!$A:$A,0)),"ID not found"))</f>
        <v/>
      </c>
      <c r="D165" s="20" t="str">
        <f aca="false">IF(B165="","",IFERROR(INDEX(Fields!$B:$B,MATCH(B165,Fields!$A:$A,0)),"ID not found"))</f>
        <v/>
      </c>
      <c r="E165" s="30"/>
      <c r="F165" s="20" t="n">
        <f aca="false">IF(A165="",0,COUNTIF('Metric to Product'!$A:$A,A165))</f>
        <v>0</v>
      </c>
      <c r="G165" s="30"/>
      <c r="H165" s="30"/>
      <c r="I165" s="30"/>
    </row>
    <row r="166" customFormat="false" ht="15" hidden="false" customHeight="false" outlineLevel="0" collapsed="false">
      <c r="A166" s="29"/>
      <c r="B166" s="29"/>
      <c r="C166" s="20" t="str">
        <f aca="false">IF(A166="","",IFERROR(INDEX(Metrics!$C:$C,MATCH(A166,Metrics!$A:$A,0)),"ID not found"))</f>
        <v/>
      </c>
      <c r="D166" s="20" t="str">
        <f aca="false">IF(B166="","",IFERROR(INDEX(Fields!$B:$B,MATCH(B166,Fields!$A:$A,0)),"ID not found"))</f>
        <v/>
      </c>
      <c r="E166" s="30"/>
      <c r="F166" s="20" t="n">
        <f aca="false">IF(A166="",0,COUNTIF('Metric to Product'!$A:$A,A166))</f>
        <v>0</v>
      </c>
      <c r="G166" s="30"/>
      <c r="H166" s="30"/>
      <c r="I166" s="30"/>
    </row>
    <row r="167" customFormat="false" ht="15" hidden="false" customHeight="false" outlineLevel="0" collapsed="false">
      <c r="A167" s="29"/>
      <c r="B167" s="29"/>
      <c r="C167" s="20" t="str">
        <f aca="false">IF(A167="","",IFERROR(INDEX(Metrics!$C:$C,MATCH(A167,Metrics!$A:$A,0)),"ID not found"))</f>
        <v/>
      </c>
      <c r="D167" s="20" t="str">
        <f aca="false">IF(B167="","",IFERROR(INDEX(Fields!$B:$B,MATCH(B167,Fields!$A:$A,0)),"ID not found"))</f>
        <v/>
      </c>
      <c r="E167" s="30"/>
      <c r="F167" s="20" t="n">
        <f aca="false">IF(A167="",0,COUNTIF('Metric to Product'!$A:$A,A167))</f>
        <v>0</v>
      </c>
      <c r="G167" s="30"/>
      <c r="H167" s="30"/>
      <c r="I167" s="30"/>
    </row>
    <row r="168" customFormat="false" ht="15" hidden="false" customHeight="false" outlineLevel="0" collapsed="false">
      <c r="A168" s="29"/>
      <c r="B168" s="29"/>
      <c r="C168" s="20" t="str">
        <f aca="false">IF(A168="","",IFERROR(INDEX(Metrics!$C:$C,MATCH(A168,Metrics!$A:$A,0)),"ID not found"))</f>
        <v/>
      </c>
      <c r="D168" s="20" t="str">
        <f aca="false">IF(B168="","",IFERROR(INDEX(Fields!$B:$B,MATCH(B168,Fields!$A:$A,0)),"ID not found"))</f>
        <v/>
      </c>
      <c r="E168" s="30"/>
      <c r="F168" s="20" t="n">
        <f aca="false">IF(A168="",0,COUNTIF('Metric to Product'!$A:$A,A168))</f>
        <v>0</v>
      </c>
      <c r="G168" s="30"/>
      <c r="H168" s="30"/>
      <c r="I168" s="30"/>
    </row>
    <row r="169" customFormat="false" ht="15" hidden="false" customHeight="false" outlineLevel="0" collapsed="false">
      <c r="A169" s="29"/>
      <c r="B169" s="29"/>
      <c r="C169" s="20" t="str">
        <f aca="false">IF(A169="","",IFERROR(INDEX(Metrics!$C:$C,MATCH(A169,Metrics!$A:$A,0)),"ID not found"))</f>
        <v/>
      </c>
      <c r="D169" s="20" t="str">
        <f aca="false">IF(B169="","",IFERROR(INDEX(Fields!$B:$B,MATCH(B169,Fields!$A:$A,0)),"ID not found"))</f>
        <v/>
      </c>
      <c r="E169" s="30"/>
      <c r="F169" s="20" t="n">
        <f aca="false">IF(A169="",0,COUNTIF('Metric to Product'!$A:$A,A169))</f>
        <v>0</v>
      </c>
      <c r="G169" s="30"/>
      <c r="H169" s="30"/>
      <c r="I169" s="30"/>
    </row>
    <row r="170" customFormat="false" ht="15" hidden="false" customHeight="false" outlineLevel="0" collapsed="false">
      <c r="A170" s="29"/>
      <c r="B170" s="29"/>
      <c r="C170" s="20" t="str">
        <f aca="false">IF(A170="","",IFERROR(INDEX(Metrics!$C:$C,MATCH(A170,Metrics!$A:$A,0)),"ID not found"))</f>
        <v/>
      </c>
      <c r="D170" s="20" t="str">
        <f aca="false">IF(B170="","",IFERROR(INDEX(Fields!$B:$B,MATCH(B170,Fields!$A:$A,0)),"ID not found"))</f>
        <v/>
      </c>
      <c r="E170" s="30"/>
      <c r="F170" s="20" t="n">
        <f aca="false">IF(A170="",0,COUNTIF('Metric to Product'!$A:$A,A170))</f>
        <v>0</v>
      </c>
      <c r="G170" s="30"/>
      <c r="H170" s="30"/>
      <c r="I170" s="30"/>
    </row>
    <row r="171" customFormat="false" ht="15" hidden="false" customHeight="false" outlineLevel="0" collapsed="false">
      <c r="A171" s="29"/>
      <c r="B171" s="29"/>
      <c r="C171" s="20" t="str">
        <f aca="false">IF(A171="","",IFERROR(INDEX(Metrics!$C:$C,MATCH(A171,Metrics!$A:$A,0)),"ID not found"))</f>
        <v/>
      </c>
      <c r="D171" s="20" t="str">
        <f aca="false">IF(B171="","",IFERROR(INDEX(Fields!$B:$B,MATCH(B171,Fields!$A:$A,0)),"ID not found"))</f>
        <v/>
      </c>
      <c r="E171" s="30"/>
      <c r="F171" s="20" t="n">
        <f aca="false">IF(A171="",0,COUNTIF('Metric to Product'!$A:$A,A171))</f>
        <v>0</v>
      </c>
      <c r="G171" s="30"/>
      <c r="H171" s="30"/>
      <c r="I171" s="30"/>
    </row>
    <row r="172" customFormat="false" ht="15" hidden="false" customHeight="false" outlineLevel="0" collapsed="false">
      <c r="A172" s="29"/>
      <c r="B172" s="29"/>
      <c r="C172" s="20" t="str">
        <f aca="false">IF(A172="","",IFERROR(INDEX(Metrics!$C:$C,MATCH(A172,Metrics!$A:$A,0)),"ID not found"))</f>
        <v/>
      </c>
      <c r="D172" s="20" t="str">
        <f aca="false">IF(B172="","",IFERROR(INDEX(Fields!$B:$B,MATCH(B172,Fields!$A:$A,0)),"ID not found"))</f>
        <v/>
      </c>
      <c r="E172" s="30"/>
      <c r="F172" s="20" t="n">
        <f aca="false">IF(A172="",0,COUNTIF('Metric to Product'!$A:$A,A172))</f>
        <v>0</v>
      </c>
      <c r="G172" s="30"/>
      <c r="H172" s="30"/>
      <c r="I172" s="30"/>
    </row>
    <row r="173" customFormat="false" ht="15" hidden="false" customHeight="false" outlineLevel="0" collapsed="false">
      <c r="A173" s="29"/>
      <c r="B173" s="29"/>
      <c r="C173" s="20" t="str">
        <f aca="false">IF(A173="","",IFERROR(INDEX(Metrics!$C:$C,MATCH(A173,Metrics!$A:$A,0)),"ID not found"))</f>
        <v/>
      </c>
      <c r="D173" s="20" t="str">
        <f aca="false">IF(B173="","",IFERROR(INDEX(Fields!$B:$B,MATCH(B173,Fields!$A:$A,0)),"ID not found"))</f>
        <v/>
      </c>
      <c r="E173" s="30"/>
      <c r="F173" s="20" t="n">
        <f aca="false">IF(A173="",0,COUNTIF('Metric to Product'!$A:$A,A173))</f>
        <v>0</v>
      </c>
      <c r="G173" s="30"/>
      <c r="H173" s="30"/>
      <c r="I173" s="30"/>
    </row>
    <row r="174" customFormat="false" ht="15" hidden="false" customHeight="false" outlineLevel="0" collapsed="false">
      <c r="A174" s="29"/>
      <c r="B174" s="29"/>
      <c r="C174" s="20" t="str">
        <f aca="false">IF(A174="","",IFERROR(INDEX(Metrics!$C:$C,MATCH(A174,Metrics!$A:$A,0)),"ID not found"))</f>
        <v/>
      </c>
      <c r="D174" s="20" t="str">
        <f aca="false">IF(B174="","",IFERROR(INDEX(Fields!$B:$B,MATCH(B174,Fields!$A:$A,0)),"ID not found"))</f>
        <v/>
      </c>
      <c r="E174" s="30"/>
      <c r="F174" s="20" t="n">
        <f aca="false">IF(A174="",0,COUNTIF('Metric to Product'!$A:$A,A174))</f>
        <v>0</v>
      </c>
      <c r="G174" s="30"/>
      <c r="H174" s="30"/>
      <c r="I174" s="30"/>
    </row>
    <row r="175" customFormat="false" ht="15" hidden="false" customHeight="false" outlineLevel="0" collapsed="false">
      <c r="A175" s="29"/>
      <c r="B175" s="29"/>
      <c r="C175" s="20" t="str">
        <f aca="false">IF(A175="","",IFERROR(INDEX(Metrics!$C:$C,MATCH(A175,Metrics!$A:$A,0)),"ID not found"))</f>
        <v/>
      </c>
      <c r="D175" s="20" t="str">
        <f aca="false">IF(B175="","",IFERROR(INDEX(Fields!$B:$B,MATCH(B175,Fields!$A:$A,0)),"ID not found"))</f>
        <v/>
      </c>
      <c r="E175" s="30"/>
      <c r="F175" s="20" t="n">
        <f aca="false">IF(A175="",0,COUNTIF('Metric to Product'!$A:$A,A175))</f>
        <v>0</v>
      </c>
      <c r="G175" s="30"/>
      <c r="H175" s="30"/>
      <c r="I175" s="30"/>
    </row>
    <row r="176" customFormat="false" ht="15" hidden="false" customHeight="false" outlineLevel="0" collapsed="false">
      <c r="A176" s="29"/>
      <c r="B176" s="29"/>
      <c r="C176" s="20" t="str">
        <f aca="false">IF(A176="","",IFERROR(INDEX(Metrics!$C:$C,MATCH(A176,Metrics!$A:$A,0)),"ID not found"))</f>
        <v/>
      </c>
      <c r="D176" s="20" t="str">
        <f aca="false">IF(B176="","",IFERROR(INDEX(Fields!$B:$B,MATCH(B176,Fields!$A:$A,0)),"ID not found"))</f>
        <v/>
      </c>
      <c r="E176" s="30"/>
      <c r="F176" s="20" t="n">
        <f aca="false">IF(A176="",0,COUNTIF('Metric to Product'!$A:$A,A176))</f>
        <v>0</v>
      </c>
      <c r="G176" s="30"/>
      <c r="H176" s="30"/>
      <c r="I176" s="30"/>
    </row>
    <row r="177" customFormat="false" ht="15" hidden="false" customHeight="false" outlineLevel="0" collapsed="false">
      <c r="A177" s="29"/>
      <c r="B177" s="29"/>
      <c r="C177" s="20" t="str">
        <f aca="false">IF(A177="","",IFERROR(INDEX(Metrics!$C:$C,MATCH(A177,Metrics!$A:$A,0)),"ID not found"))</f>
        <v/>
      </c>
      <c r="D177" s="20" t="str">
        <f aca="false">IF(B177="","",IFERROR(INDEX(Fields!$B:$B,MATCH(B177,Fields!$A:$A,0)),"ID not found"))</f>
        <v/>
      </c>
      <c r="E177" s="30"/>
      <c r="F177" s="20" t="n">
        <f aca="false">IF(A177="",0,COUNTIF('Metric to Product'!$A:$A,A177))</f>
        <v>0</v>
      </c>
      <c r="G177" s="30"/>
      <c r="H177" s="30"/>
      <c r="I177" s="30"/>
    </row>
    <row r="178" customFormat="false" ht="15" hidden="false" customHeight="false" outlineLevel="0" collapsed="false">
      <c r="A178" s="29"/>
      <c r="B178" s="29"/>
      <c r="C178" s="20" t="str">
        <f aca="false">IF(A178="","",IFERROR(INDEX(Metrics!$C:$C,MATCH(A178,Metrics!$A:$A,0)),"ID not found"))</f>
        <v/>
      </c>
      <c r="D178" s="20" t="str">
        <f aca="false">IF(B178="","",IFERROR(INDEX(Fields!$B:$B,MATCH(B178,Fields!$A:$A,0)),"ID not found"))</f>
        <v/>
      </c>
      <c r="E178" s="30"/>
      <c r="F178" s="20" t="n">
        <f aca="false">IF(A178="",0,COUNTIF('Metric to Product'!$A:$A,A178))</f>
        <v>0</v>
      </c>
      <c r="G178" s="30"/>
      <c r="H178" s="30"/>
      <c r="I178" s="30"/>
    </row>
    <row r="179" customFormat="false" ht="15" hidden="false" customHeight="false" outlineLevel="0" collapsed="false">
      <c r="A179" s="29"/>
      <c r="B179" s="29"/>
      <c r="C179" s="20" t="str">
        <f aca="false">IF(A179="","",IFERROR(INDEX(Metrics!$C:$C,MATCH(A179,Metrics!$A:$A,0)),"ID not found"))</f>
        <v/>
      </c>
      <c r="D179" s="20" t="str">
        <f aca="false">IF(B179="","",IFERROR(INDEX(Fields!$B:$B,MATCH(B179,Fields!$A:$A,0)),"ID not found"))</f>
        <v/>
      </c>
      <c r="E179" s="30"/>
      <c r="F179" s="20" t="n">
        <f aca="false">IF(A179="",0,COUNTIF('Metric to Product'!$A:$A,A179))</f>
        <v>0</v>
      </c>
      <c r="G179" s="30"/>
      <c r="H179" s="30"/>
      <c r="I179" s="30"/>
    </row>
    <row r="180" customFormat="false" ht="15" hidden="false" customHeight="false" outlineLevel="0" collapsed="false">
      <c r="A180" s="29"/>
      <c r="B180" s="29"/>
      <c r="C180" s="20" t="str">
        <f aca="false">IF(A180="","",IFERROR(INDEX(Metrics!$C:$C,MATCH(A180,Metrics!$A:$A,0)),"ID not found"))</f>
        <v/>
      </c>
      <c r="D180" s="20" t="str">
        <f aca="false">IF(B180="","",IFERROR(INDEX(Fields!$B:$B,MATCH(B180,Fields!$A:$A,0)),"ID not found"))</f>
        <v/>
      </c>
      <c r="E180" s="30"/>
      <c r="F180" s="20" t="n">
        <f aca="false">IF(A180="",0,COUNTIF('Metric to Product'!$A:$A,A180))</f>
        <v>0</v>
      </c>
      <c r="G180" s="30"/>
      <c r="H180" s="30"/>
      <c r="I180" s="30"/>
    </row>
    <row r="181" customFormat="false" ht="15" hidden="false" customHeight="false" outlineLevel="0" collapsed="false">
      <c r="A181" s="29"/>
      <c r="B181" s="29"/>
      <c r="C181" s="20" t="str">
        <f aca="false">IF(A181="","",IFERROR(INDEX(Metrics!$C:$C,MATCH(A181,Metrics!$A:$A,0)),"ID not found"))</f>
        <v/>
      </c>
      <c r="D181" s="20" t="str">
        <f aca="false">IF(B181="","",IFERROR(INDEX(Fields!$B:$B,MATCH(B181,Fields!$A:$A,0)),"ID not found"))</f>
        <v/>
      </c>
      <c r="E181" s="30"/>
      <c r="F181" s="20" t="n">
        <f aca="false">IF(A181="",0,COUNTIF('Metric to Product'!$A:$A,A181))</f>
        <v>0</v>
      </c>
      <c r="G181" s="30"/>
      <c r="H181" s="30"/>
      <c r="I181" s="30"/>
    </row>
    <row r="182" customFormat="false" ht="15" hidden="false" customHeight="false" outlineLevel="0" collapsed="false">
      <c r="A182" s="29"/>
      <c r="B182" s="29"/>
      <c r="C182" s="20" t="str">
        <f aca="false">IF(A182="","",IFERROR(INDEX(Metrics!$C:$C,MATCH(A182,Metrics!$A:$A,0)),"ID not found"))</f>
        <v/>
      </c>
      <c r="D182" s="20" t="str">
        <f aca="false">IF(B182="","",IFERROR(INDEX(Fields!$B:$B,MATCH(B182,Fields!$A:$A,0)),"ID not found"))</f>
        <v/>
      </c>
      <c r="E182" s="30"/>
      <c r="F182" s="20" t="n">
        <f aca="false">IF(A182="",0,COUNTIF('Metric to Product'!$A:$A,A182))</f>
        <v>0</v>
      </c>
      <c r="G182" s="30"/>
      <c r="H182" s="30"/>
      <c r="I182" s="30"/>
    </row>
    <row r="183" customFormat="false" ht="15" hidden="false" customHeight="false" outlineLevel="0" collapsed="false">
      <c r="A183" s="29"/>
      <c r="B183" s="29"/>
      <c r="C183" s="20" t="str">
        <f aca="false">IF(A183="","",IFERROR(INDEX(Metrics!$C:$C,MATCH(A183,Metrics!$A:$A,0)),"ID not found"))</f>
        <v/>
      </c>
      <c r="D183" s="20" t="str">
        <f aca="false">IF(B183="","",IFERROR(INDEX(Fields!$B:$B,MATCH(B183,Fields!$A:$A,0)),"ID not found"))</f>
        <v/>
      </c>
      <c r="E183" s="30"/>
      <c r="F183" s="20" t="n">
        <f aca="false">IF(A183="",0,COUNTIF('Metric to Product'!$A:$A,A183))</f>
        <v>0</v>
      </c>
      <c r="G183" s="30"/>
      <c r="H183" s="30"/>
      <c r="I183" s="30"/>
    </row>
    <row r="184" customFormat="false" ht="15" hidden="false" customHeight="false" outlineLevel="0" collapsed="false">
      <c r="A184" s="29"/>
      <c r="B184" s="29"/>
      <c r="C184" s="20" t="str">
        <f aca="false">IF(A184="","",IFERROR(INDEX(Metrics!$C:$C,MATCH(A184,Metrics!$A:$A,0)),"ID not found"))</f>
        <v/>
      </c>
      <c r="D184" s="20" t="str">
        <f aca="false">IF(B184="","",IFERROR(INDEX(Fields!$B:$B,MATCH(B184,Fields!$A:$A,0)),"ID not found"))</f>
        <v/>
      </c>
      <c r="E184" s="30"/>
      <c r="F184" s="20" t="n">
        <f aca="false">IF(A184="",0,COUNTIF('Metric to Product'!$A:$A,A184))</f>
        <v>0</v>
      </c>
      <c r="G184" s="30"/>
      <c r="H184" s="30"/>
      <c r="I184" s="30"/>
    </row>
    <row r="185" customFormat="false" ht="15" hidden="false" customHeight="false" outlineLevel="0" collapsed="false">
      <c r="A185" s="29"/>
      <c r="B185" s="29"/>
      <c r="C185" s="20" t="str">
        <f aca="false">IF(A185="","",IFERROR(INDEX(Metrics!$C:$C,MATCH(A185,Metrics!$A:$A,0)),"ID not found"))</f>
        <v/>
      </c>
      <c r="D185" s="20" t="str">
        <f aca="false">IF(B185="","",IFERROR(INDEX(Fields!$B:$B,MATCH(B185,Fields!$A:$A,0)),"ID not found"))</f>
        <v/>
      </c>
      <c r="E185" s="30"/>
      <c r="F185" s="20" t="n">
        <f aca="false">IF(A185="",0,COUNTIF('Metric to Product'!$A:$A,A185))</f>
        <v>0</v>
      </c>
      <c r="G185" s="30"/>
      <c r="H185" s="30"/>
      <c r="I185" s="30"/>
    </row>
    <row r="186" customFormat="false" ht="15" hidden="false" customHeight="false" outlineLevel="0" collapsed="false">
      <c r="A186" s="29"/>
      <c r="B186" s="29"/>
      <c r="C186" s="20" t="str">
        <f aca="false">IF(A186="","",IFERROR(INDEX(Metrics!$C:$C,MATCH(A186,Metrics!$A:$A,0)),"ID not found"))</f>
        <v/>
      </c>
      <c r="D186" s="20" t="str">
        <f aca="false">IF(B186="","",IFERROR(INDEX(Fields!$B:$B,MATCH(B186,Fields!$A:$A,0)),"ID not found"))</f>
        <v/>
      </c>
      <c r="E186" s="30"/>
      <c r="F186" s="20" t="n">
        <f aca="false">IF(A186="",0,COUNTIF('Metric to Product'!$A:$A,A186))</f>
        <v>0</v>
      </c>
      <c r="G186" s="30"/>
      <c r="H186" s="30"/>
      <c r="I186" s="30"/>
    </row>
    <row r="187" customFormat="false" ht="15" hidden="false" customHeight="false" outlineLevel="0" collapsed="false">
      <c r="A187" s="29"/>
      <c r="B187" s="29"/>
      <c r="C187" s="20" t="str">
        <f aca="false">IF(A187="","",IFERROR(INDEX(Metrics!$C:$C,MATCH(A187,Metrics!$A:$A,0)),"ID not found"))</f>
        <v/>
      </c>
      <c r="D187" s="20" t="str">
        <f aca="false">IF(B187="","",IFERROR(INDEX(Fields!$B:$B,MATCH(B187,Fields!$A:$A,0)),"ID not found"))</f>
        <v/>
      </c>
      <c r="E187" s="30"/>
      <c r="F187" s="20" t="n">
        <f aca="false">IF(A187="",0,COUNTIF('Metric to Product'!$A:$A,A187))</f>
        <v>0</v>
      </c>
      <c r="G187" s="30"/>
      <c r="H187" s="30"/>
      <c r="I187" s="30"/>
    </row>
    <row r="188" customFormat="false" ht="15" hidden="false" customHeight="false" outlineLevel="0" collapsed="false">
      <c r="A188" s="29"/>
      <c r="B188" s="29"/>
      <c r="C188" s="20" t="str">
        <f aca="false">IF(A188="","",IFERROR(INDEX(Metrics!$C:$C,MATCH(A188,Metrics!$A:$A,0)),"ID not found"))</f>
        <v/>
      </c>
      <c r="D188" s="20" t="str">
        <f aca="false">IF(B188="","",IFERROR(INDEX(Fields!$B:$B,MATCH(B188,Fields!$A:$A,0)),"ID not found"))</f>
        <v/>
      </c>
      <c r="E188" s="30"/>
      <c r="F188" s="20" t="n">
        <f aca="false">IF(A188="",0,COUNTIF('Metric to Product'!$A:$A,A188))</f>
        <v>0</v>
      </c>
      <c r="G188" s="30"/>
      <c r="H188" s="30"/>
      <c r="I188" s="30"/>
    </row>
    <row r="189" customFormat="false" ht="15" hidden="false" customHeight="false" outlineLevel="0" collapsed="false">
      <c r="A189" s="29"/>
      <c r="B189" s="29"/>
      <c r="C189" s="20" t="str">
        <f aca="false">IF(A189="","",IFERROR(INDEX(Metrics!$C:$C,MATCH(A189,Metrics!$A:$A,0)),"ID not found"))</f>
        <v/>
      </c>
      <c r="D189" s="20" t="str">
        <f aca="false">IF(B189="","",IFERROR(INDEX(Fields!$B:$B,MATCH(B189,Fields!$A:$A,0)),"ID not found"))</f>
        <v/>
      </c>
      <c r="E189" s="30"/>
      <c r="F189" s="20" t="n">
        <f aca="false">IF(A189="",0,COUNTIF('Metric to Product'!$A:$A,A189))</f>
        <v>0</v>
      </c>
      <c r="G189" s="30"/>
      <c r="H189" s="30"/>
      <c r="I189" s="30"/>
    </row>
    <row r="190" customFormat="false" ht="15" hidden="false" customHeight="false" outlineLevel="0" collapsed="false">
      <c r="A190" s="29"/>
      <c r="B190" s="29"/>
      <c r="C190" s="20" t="str">
        <f aca="false">IF(A190="","",IFERROR(INDEX(Metrics!$C:$C,MATCH(A190,Metrics!$A:$A,0)),"ID not found"))</f>
        <v/>
      </c>
      <c r="D190" s="20" t="str">
        <f aca="false">IF(B190="","",IFERROR(INDEX(Fields!$B:$B,MATCH(B190,Fields!$A:$A,0)),"ID not found"))</f>
        <v/>
      </c>
      <c r="E190" s="30"/>
      <c r="F190" s="20" t="n">
        <f aca="false">IF(A190="",0,COUNTIF('Metric to Product'!$A:$A,A190))</f>
        <v>0</v>
      </c>
      <c r="G190" s="30"/>
      <c r="H190" s="30"/>
      <c r="I190" s="30"/>
    </row>
    <row r="191" customFormat="false" ht="15" hidden="false" customHeight="false" outlineLevel="0" collapsed="false">
      <c r="A191" s="29"/>
      <c r="B191" s="29"/>
      <c r="C191" s="20" t="str">
        <f aca="false">IF(A191="","",IFERROR(INDEX(Metrics!$C:$C,MATCH(A191,Metrics!$A:$A,0)),"ID not found"))</f>
        <v/>
      </c>
      <c r="D191" s="20" t="str">
        <f aca="false">IF(B191="","",IFERROR(INDEX(Fields!$B:$B,MATCH(B191,Fields!$A:$A,0)),"ID not found"))</f>
        <v/>
      </c>
      <c r="E191" s="30"/>
      <c r="F191" s="20" t="n">
        <f aca="false">IF(A191="",0,COUNTIF('Metric to Product'!$A:$A,A191))</f>
        <v>0</v>
      </c>
      <c r="G191" s="30"/>
      <c r="H191" s="30"/>
      <c r="I191" s="30"/>
    </row>
    <row r="192" customFormat="false" ht="15" hidden="false" customHeight="false" outlineLevel="0" collapsed="false">
      <c r="A192" s="29"/>
      <c r="B192" s="29"/>
      <c r="C192" s="20" t="str">
        <f aca="false">IF(A192="","",IFERROR(INDEX(Metrics!$C:$C,MATCH(A192,Metrics!$A:$A,0)),"ID not found"))</f>
        <v/>
      </c>
      <c r="D192" s="20" t="str">
        <f aca="false">IF(B192="","",IFERROR(INDEX(Fields!$B:$B,MATCH(B192,Fields!$A:$A,0)),"ID not found"))</f>
        <v/>
      </c>
      <c r="E192" s="30"/>
      <c r="F192" s="20" t="n">
        <f aca="false">IF(A192="",0,COUNTIF('Metric to Product'!$A:$A,A192))</f>
        <v>0</v>
      </c>
      <c r="G192" s="30"/>
      <c r="H192" s="30"/>
      <c r="I192" s="30"/>
    </row>
    <row r="193" customFormat="false" ht="15" hidden="false" customHeight="false" outlineLevel="0" collapsed="false">
      <c r="A193" s="29"/>
      <c r="B193" s="29"/>
      <c r="C193" s="20" t="str">
        <f aca="false">IF(A193="","",IFERROR(INDEX(Metrics!$C:$C,MATCH(A193,Metrics!$A:$A,0)),"ID not found"))</f>
        <v/>
      </c>
      <c r="D193" s="20" t="str">
        <f aca="false">IF(B193="","",IFERROR(INDEX(Fields!$B:$B,MATCH(B193,Fields!$A:$A,0)),"ID not found"))</f>
        <v/>
      </c>
      <c r="E193" s="30"/>
      <c r="F193" s="20" t="n">
        <f aca="false">IF(A193="",0,COUNTIF('Metric to Product'!$A:$A,A193))</f>
        <v>0</v>
      </c>
      <c r="G193" s="30"/>
      <c r="H193" s="30"/>
      <c r="I193" s="30"/>
    </row>
    <row r="194" customFormat="false" ht="15" hidden="false" customHeight="false" outlineLevel="0" collapsed="false">
      <c r="A194" s="29"/>
      <c r="B194" s="29"/>
      <c r="C194" s="20" t="str">
        <f aca="false">IF(A194="","",IFERROR(INDEX(Metrics!$C:$C,MATCH(A194,Metrics!$A:$A,0)),"ID not found"))</f>
        <v/>
      </c>
      <c r="D194" s="20" t="str">
        <f aca="false">IF(B194="","",IFERROR(INDEX(Fields!$B:$B,MATCH(B194,Fields!$A:$A,0)),"ID not found"))</f>
        <v/>
      </c>
      <c r="E194" s="30"/>
      <c r="F194" s="20" t="n">
        <f aca="false">IF(A194="",0,COUNTIF('Metric to Product'!$A:$A,A194))</f>
        <v>0</v>
      </c>
      <c r="G194" s="30"/>
      <c r="H194" s="30"/>
      <c r="I194" s="30"/>
    </row>
    <row r="195" customFormat="false" ht="15" hidden="false" customHeight="false" outlineLevel="0" collapsed="false">
      <c r="A195" s="29"/>
      <c r="B195" s="29"/>
      <c r="C195" s="20" t="str">
        <f aca="false">IF(A195="","",IFERROR(INDEX(Metrics!$C:$C,MATCH(A195,Metrics!$A:$A,0)),"ID not found"))</f>
        <v/>
      </c>
      <c r="D195" s="20" t="str">
        <f aca="false">IF(B195="","",IFERROR(INDEX(Fields!$B:$B,MATCH(B195,Fields!$A:$A,0)),"ID not found"))</f>
        <v/>
      </c>
      <c r="E195" s="30"/>
      <c r="F195" s="20" t="n">
        <f aca="false">IF(A195="",0,COUNTIF('Metric to Product'!$A:$A,A195))</f>
        <v>0</v>
      </c>
      <c r="G195" s="30"/>
      <c r="H195" s="30"/>
      <c r="I195" s="30"/>
    </row>
    <row r="196" customFormat="false" ht="15" hidden="false" customHeight="false" outlineLevel="0" collapsed="false">
      <c r="A196" s="29"/>
      <c r="B196" s="29"/>
      <c r="C196" s="20" t="str">
        <f aca="false">IF(A196="","",IFERROR(INDEX(Metrics!$C:$C,MATCH(A196,Metrics!$A:$A,0)),"ID not found"))</f>
        <v/>
      </c>
      <c r="D196" s="20" t="str">
        <f aca="false">IF(B196="","",IFERROR(INDEX(Fields!$B:$B,MATCH(B196,Fields!$A:$A,0)),"ID not found"))</f>
        <v/>
      </c>
      <c r="E196" s="30"/>
      <c r="F196" s="20" t="n">
        <f aca="false">IF(A196="",0,COUNTIF('Metric to Product'!$A:$A,A196))</f>
        <v>0</v>
      </c>
      <c r="G196" s="30"/>
      <c r="H196" s="30"/>
      <c r="I196" s="30"/>
    </row>
    <row r="197" customFormat="false" ht="15" hidden="false" customHeight="false" outlineLevel="0" collapsed="false">
      <c r="A197" s="29"/>
      <c r="B197" s="29"/>
      <c r="C197" s="20" t="str">
        <f aca="false">IF(A197="","",IFERROR(INDEX(Metrics!$C:$C,MATCH(A197,Metrics!$A:$A,0)),"ID not found"))</f>
        <v/>
      </c>
      <c r="D197" s="20" t="str">
        <f aca="false">IF(B197="","",IFERROR(INDEX(Fields!$B:$B,MATCH(B197,Fields!$A:$A,0)),"ID not found"))</f>
        <v/>
      </c>
      <c r="E197" s="30"/>
      <c r="F197" s="20" t="n">
        <f aca="false">IF(A197="",0,COUNTIF('Metric to Product'!$A:$A,A197))</f>
        <v>0</v>
      </c>
      <c r="G197" s="30"/>
      <c r="H197" s="30"/>
      <c r="I197" s="30"/>
    </row>
    <row r="198" customFormat="false" ht="15" hidden="false" customHeight="false" outlineLevel="0" collapsed="false">
      <c r="A198" s="29"/>
      <c r="B198" s="29"/>
      <c r="C198" s="20" t="str">
        <f aca="false">IF(A198="","",IFERROR(INDEX(Metrics!$C:$C,MATCH(A198,Metrics!$A:$A,0)),"ID not found"))</f>
        <v/>
      </c>
      <c r="D198" s="20" t="str">
        <f aca="false">IF(B198="","",IFERROR(INDEX(Fields!$B:$B,MATCH(B198,Fields!$A:$A,0)),"ID not found"))</f>
        <v/>
      </c>
      <c r="E198" s="30"/>
      <c r="F198" s="20" t="n">
        <f aca="false">IF(A198="",0,COUNTIF('Metric to Product'!$A:$A,A198))</f>
        <v>0</v>
      </c>
      <c r="G198" s="30"/>
      <c r="H198" s="30"/>
      <c r="I198" s="30"/>
    </row>
    <row r="199" customFormat="false" ht="15" hidden="false" customHeight="false" outlineLevel="0" collapsed="false">
      <c r="A199" s="29"/>
      <c r="B199" s="29"/>
      <c r="C199" s="20" t="str">
        <f aca="false">IF(A199="","",IFERROR(INDEX(Metrics!$C:$C,MATCH(A199,Metrics!$A:$A,0)),"ID not found"))</f>
        <v/>
      </c>
      <c r="D199" s="20" t="str">
        <f aca="false">IF(B199="","",IFERROR(INDEX(Fields!$B:$B,MATCH(B199,Fields!$A:$A,0)),"ID not found"))</f>
        <v/>
      </c>
      <c r="E199" s="30"/>
      <c r="F199" s="20" t="n">
        <f aca="false">IF(A199="",0,COUNTIF('Metric to Product'!$A:$A,A199))</f>
        <v>0</v>
      </c>
      <c r="G199" s="30"/>
      <c r="H199" s="30"/>
      <c r="I199" s="30"/>
    </row>
    <row r="200" customFormat="false" ht="15" hidden="false" customHeight="false" outlineLevel="0" collapsed="false">
      <c r="A200" s="29"/>
      <c r="B200" s="29"/>
      <c r="C200" s="20" t="str">
        <f aca="false">IF(A200="","",IFERROR(INDEX(Metrics!$C:$C,MATCH(A200,Metrics!$A:$A,0)),"ID not found"))</f>
        <v/>
      </c>
      <c r="D200" s="20" t="str">
        <f aca="false">IF(B200="","",IFERROR(INDEX(Fields!$B:$B,MATCH(B200,Fields!$A:$A,0)),"ID not found"))</f>
        <v/>
      </c>
      <c r="E200" s="30"/>
      <c r="F200" s="20" t="n">
        <f aca="false">IF(A200="",0,COUNTIF('Metric to Product'!$A:$A,A200))</f>
        <v>0</v>
      </c>
      <c r="G200" s="30"/>
      <c r="H200" s="30"/>
      <c r="I200" s="30"/>
    </row>
    <row r="201" customFormat="false" ht="15" hidden="false" customHeight="false" outlineLevel="0" collapsed="false">
      <c r="A201" s="29"/>
      <c r="B201" s="29"/>
      <c r="C201" s="20" t="str">
        <f aca="false">IF(A201="","",IFERROR(INDEX(Metrics!$C:$C,MATCH(A201,Metrics!$A:$A,0)),"ID not found"))</f>
        <v/>
      </c>
      <c r="D201" s="20" t="str">
        <f aca="false">IF(B201="","",IFERROR(INDEX(Fields!$B:$B,MATCH(B201,Fields!$A:$A,0)),"ID not found"))</f>
        <v/>
      </c>
      <c r="E201" s="30"/>
      <c r="F201" s="20" t="n">
        <f aca="false">IF(A201="",0,COUNTIF('Metric to Product'!$A:$A,A201))</f>
        <v>0</v>
      </c>
      <c r="G201" s="30"/>
      <c r="H201" s="30"/>
      <c r="I201" s="30"/>
    </row>
    <row r="202" customFormat="false" ht="15" hidden="false" customHeight="false" outlineLevel="0" collapsed="false">
      <c r="A202" s="29"/>
      <c r="B202" s="29"/>
      <c r="C202" s="20" t="str">
        <f aca="false">IF(A202="","",IFERROR(INDEX(Metrics!$C:$C,MATCH(A202,Metrics!$A:$A,0)),"ID not found"))</f>
        <v/>
      </c>
      <c r="D202" s="20" t="str">
        <f aca="false">IF(B202="","",IFERROR(INDEX(Fields!$B:$B,MATCH(B202,Fields!$A:$A,0)),"ID not found"))</f>
        <v/>
      </c>
      <c r="E202" s="30"/>
      <c r="F202" s="20" t="n">
        <f aca="false">IF(A202="",0,COUNTIF('Metric to Product'!$A:$A,A202))</f>
        <v>0</v>
      </c>
      <c r="G202" s="30"/>
      <c r="H202" s="30"/>
      <c r="I202" s="30"/>
    </row>
    <row r="203" customFormat="false" ht="15" hidden="false" customHeight="false" outlineLevel="0" collapsed="false">
      <c r="A203" s="29"/>
      <c r="B203" s="29"/>
      <c r="C203" s="20" t="str">
        <f aca="false">IF(A203="","",IFERROR(INDEX(Metrics!$C:$C,MATCH(A203,Metrics!$A:$A,0)),"ID not found"))</f>
        <v/>
      </c>
      <c r="D203" s="20" t="str">
        <f aca="false">IF(B203="","",IFERROR(INDEX(Fields!$B:$B,MATCH(B203,Fields!$A:$A,0)),"ID not found"))</f>
        <v/>
      </c>
      <c r="E203" s="30"/>
      <c r="F203" s="20" t="n">
        <f aca="false">IF(A203="",0,COUNTIF('Metric to Product'!$A:$A,A203))</f>
        <v>0</v>
      </c>
      <c r="G203" s="30"/>
      <c r="H203" s="30"/>
      <c r="I203" s="30"/>
    </row>
    <row r="204" customFormat="false" ht="15" hidden="false" customHeight="false" outlineLevel="0" collapsed="false">
      <c r="A204" s="29"/>
      <c r="B204" s="29"/>
      <c r="C204" s="20" t="str">
        <f aca="false">IF(A204="","",IFERROR(INDEX(Metrics!$C:$C,MATCH(A204,Metrics!$A:$A,0)),"ID not found"))</f>
        <v/>
      </c>
      <c r="D204" s="20" t="str">
        <f aca="false">IF(B204="","",IFERROR(INDEX(Fields!$B:$B,MATCH(B204,Fields!$A:$A,0)),"ID not found"))</f>
        <v/>
      </c>
      <c r="E204" s="30"/>
      <c r="F204" s="20" t="n">
        <f aca="false">IF(A204="",0,COUNTIF('Metric to Product'!$A:$A,A204))</f>
        <v>0</v>
      </c>
      <c r="G204" s="30"/>
      <c r="H204" s="30"/>
      <c r="I204" s="30"/>
    </row>
    <row r="205" customFormat="false" ht="15" hidden="false" customHeight="false" outlineLevel="0" collapsed="false">
      <c r="A205" s="29"/>
      <c r="B205" s="29"/>
      <c r="C205" s="20" t="str">
        <f aca="false">IF(A205="","",IFERROR(INDEX(Metrics!$C:$C,MATCH(A205,Metrics!$A:$A,0)),"ID not found"))</f>
        <v/>
      </c>
      <c r="D205" s="20" t="str">
        <f aca="false">IF(B205="","",IFERROR(INDEX(Fields!$B:$B,MATCH(B205,Fields!$A:$A,0)),"ID not found"))</f>
        <v/>
      </c>
      <c r="E205" s="30"/>
      <c r="F205" s="20" t="n">
        <f aca="false">IF(A205="",0,COUNTIF('Metric to Product'!$A:$A,A205))</f>
        <v>0</v>
      </c>
      <c r="G205" s="30"/>
      <c r="H205" s="30"/>
      <c r="I205" s="30"/>
    </row>
    <row r="206" customFormat="false" ht="15" hidden="false" customHeight="false" outlineLevel="0" collapsed="false">
      <c r="A206" s="29"/>
      <c r="B206" s="29"/>
      <c r="C206" s="20" t="str">
        <f aca="false">IF(A206="","",IFERROR(INDEX(Metrics!$C:$C,MATCH(A206,Metrics!$A:$A,0)),"ID not found"))</f>
        <v/>
      </c>
      <c r="D206" s="20" t="str">
        <f aca="false">IF(B206="","",IFERROR(INDEX(Fields!$B:$B,MATCH(B206,Fields!$A:$A,0)),"ID not found"))</f>
        <v/>
      </c>
      <c r="E206" s="30"/>
      <c r="F206" s="20" t="n">
        <f aca="false">IF(A206="",0,COUNTIF('Metric to Product'!$A:$A,A206))</f>
        <v>0</v>
      </c>
      <c r="G206" s="30"/>
      <c r="H206" s="30"/>
      <c r="I206" s="30"/>
    </row>
    <row r="207" customFormat="false" ht="15" hidden="false" customHeight="false" outlineLevel="0" collapsed="false">
      <c r="A207" s="29"/>
      <c r="B207" s="29"/>
      <c r="C207" s="20" t="str">
        <f aca="false">IF(A207="","",IFERROR(INDEX(Metrics!$C:$C,MATCH(A207,Metrics!$A:$A,0)),"ID not found"))</f>
        <v/>
      </c>
      <c r="D207" s="20" t="str">
        <f aca="false">IF(B207="","",IFERROR(INDEX(Fields!$B:$B,MATCH(B207,Fields!$A:$A,0)),"ID not found"))</f>
        <v/>
      </c>
      <c r="E207" s="30"/>
      <c r="F207" s="20" t="n">
        <f aca="false">IF(A207="",0,COUNTIF('Metric to Product'!$A:$A,A207))</f>
        <v>0</v>
      </c>
      <c r="G207" s="30"/>
      <c r="H207" s="30"/>
      <c r="I207" s="30"/>
    </row>
    <row r="208" customFormat="false" ht="15" hidden="false" customHeight="false" outlineLevel="0" collapsed="false">
      <c r="A208" s="29"/>
      <c r="B208" s="29"/>
      <c r="C208" s="20" t="str">
        <f aca="false">IF(A208="","",IFERROR(INDEX(Metrics!$C:$C,MATCH(A208,Metrics!$A:$A,0)),"ID not found"))</f>
        <v/>
      </c>
      <c r="D208" s="20" t="str">
        <f aca="false">IF(B208="","",IFERROR(INDEX(Fields!$B:$B,MATCH(B208,Fields!$A:$A,0)),"ID not found"))</f>
        <v/>
      </c>
      <c r="E208" s="30"/>
      <c r="F208" s="20" t="n">
        <f aca="false">IF(A208="",0,COUNTIF('Metric to Product'!$A:$A,A208))</f>
        <v>0</v>
      </c>
      <c r="G208" s="30"/>
      <c r="H208" s="30"/>
      <c r="I208" s="30"/>
    </row>
    <row r="209" customFormat="false" ht="15" hidden="false" customHeight="false" outlineLevel="0" collapsed="false">
      <c r="A209" s="29"/>
      <c r="B209" s="29"/>
      <c r="C209" s="20" t="str">
        <f aca="false">IF(A209="","",IFERROR(INDEX(Metrics!$C:$C,MATCH(A209,Metrics!$A:$A,0)),"ID not found"))</f>
        <v/>
      </c>
      <c r="D209" s="20" t="str">
        <f aca="false">IF(B209="","",IFERROR(INDEX(Fields!$B:$B,MATCH(B209,Fields!$A:$A,0)),"ID not found"))</f>
        <v/>
      </c>
      <c r="E209" s="30"/>
      <c r="F209" s="20" t="n">
        <f aca="false">IF(A209="",0,COUNTIF('Metric to Product'!$A:$A,A209))</f>
        <v>0</v>
      </c>
      <c r="G209" s="30"/>
      <c r="H209" s="30"/>
      <c r="I209" s="30"/>
    </row>
    <row r="210" customFormat="false" ht="15" hidden="false" customHeight="false" outlineLevel="0" collapsed="false">
      <c r="A210" s="29"/>
      <c r="B210" s="29"/>
      <c r="C210" s="20" t="str">
        <f aca="false">IF(A210="","",IFERROR(INDEX(Metrics!$C:$C,MATCH(A210,Metrics!$A:$A,0)),"ID not found"))</f>
        <v/>
      </c>
      <c r="D210" s="20" t="str">
        <f aca="false">IF(B210="","",IFERROR(INDEX(Fields!$B:$B,MATCH(B210,Fields!$A:$A,0)),"ID not found"))</f>
        <v/>
      </c>
      <c r="E210" s="30"/>
      <c r="F210" s="20" t="n">
        <f aca="false">IF(A210="",0,COUNTIF('Metric to Product'!$A:$A,A210))</f>
        <v>0</v>
      </c>
      <c r="G210" s="30"/>
      <c r="H210" s="30"/>
      <c r="I210" s="30"/>
    </row>
    <row r="211" customFormat="false" ht="15" hidden="false" customHeight="false" outlineLevel="0" collapsed="false">
      <c r="A211" s="29"/>
      <c r="B211" s="29"/>
      <c r="C211" s="20" t="str">
        <f aca="false">IF(A211="","",IFERROR(INDEX(Metrics!$C:$C,MATCH(A211,Metrics!$A:$A,0)),"ID not found"))</f>
        <v/>
      </c>
      <c r="D211" s="20" t="str">
        <f aca="false">IF(B211="","",IFERROR(INDEX(Fields!$B:$B,MATCH(B211,Fields!$A:$A,0)),"ID not found"))</f>
        <v/>
      </c>
      <c r="E211" s="30"/>
      <c r="F211" s="20" t="n">
        <f aca="false">IF(A211="",0,COUNTIF('Metric to Product'!$A:$A,A211))</f>
        <v>0</v>
      </c>
      <c r="G211" s="30"/>
      <c r="H211" s="30"/>
      <c r="I211" s="30"/>
    </row>
    <row r="212" customFormat="false" ht="15" hidden="false" customHeight="false" outlineLevel="0" collapsed="false">
      <c r="A212" s="29"/>
      <c r="B212" s="29"/>
      <c r="C212" s="20" t="str">
        <f aca="false">IF(A212="","",IFERROR(INDEX(Metrics!$C:$C,MATCH(A212,Metrics!$A:$A,0)),"ID not found"))</f>
        <v/>
      </c>
      <c r="D212" s="20" t="str">
        <f aca="false">IF(B212="","",IFERROR(INDEX(Fields!$B:$B,MATCH(B212,Fields!$A:$A,0)),"ID not found"))</f>
        <v/>
      </c>
      <c r="E212" s="30"/>
      <c r="F212" s="20" t="n">
        <f aca="false">IF(A212="",0,COUNTIF('Metric to Product'!$A:$A,A212))</f>
        <v>0</v>
      </c>
      <c r="G212" s="30"/>
      <c r="H212" s="30"/>
      <c r="I212" s="30"/>
    </row>
    <row r="213" customFormat="false" ht="15" hidden="false" customHeight="false" outlineLevel="0" collapsed="false">
      <c r="A213" s="29"/>
      <c r="B213" s="29"/>
      <c r="C213" s="20" t="str">
        <f aca="false">IF(A213="","",IFERROR(INDEX(Metrics!$C:$C,MATCH(A213,Metrics!$A:$A,0)),"ID not found"))</f>
        <v/>
      </c>
      <c r="D213" s="20" t="str">
        <f aca="false">IF(B213="","",IFERROR(INDEX(Fields!$B:$B,MATCH(B213,Fields!$A:$A,0)),"ID not found"))</f>
        <v/>
      </c>
      <c r="E213" s="30"/>
      <c r="F213" s="20" t="n">
        <f aca="false">IF(A213="",0,COUNTIF('Metric to Product'!$A:$A,A213))</f>
        <v>0</v>
      </c>
      <c r="G213" s="30"/>
      <c r="H213" s="30"/>
      <c r="I213" s="30"/>
    </row>
    <row r="214" customFormat="false" ht="15" hidden="false" customHeight="false" outlineLevel="0" collapsed="false">
      <c r="A214" s="29"/>
      <c r="B214" s="29"/>
      <c r="C214" s="20" t="str">
        <f aca="false">IF(A214="","",IFERROR(INDEX(Metrics!$C:$C,MATCH(A214,Metrics!$A:$A,0)),"ID not found"))</f>
        <v/>
      </c>
      <c r="D214" s="20" t="str">
        <f aca="false">IF(B214="","",IFERROR(INDEX(Fields!$B:$B,MATCH(B214,Fields!$A:$A,0)),"ID not found"))</f>
        <v/>
      </c>
      <c r="E214" s="30"/>
      <c r="F214" s="20" t="n">
        <f aca="false">IF(A214="",0,COUNTIF('Metric to Product'!$A:$A,A214))</f>
        <v>0</v>
      </c>
      <c r="G214" s="30"/>
      <c r="H214" s="30"/>
      <c r="I214" s="30"/>
    </row>
    <row r="215" customFormat="false" ht="15" hidden="false" customHeight="false" outlineLevel="0" collapsed="false">
      <c r="A215" s="29"/>
      <c r="B215" s="29"/>
      <c r="C215" s="20" t="str">
        <f aca="false">IF(A215="","",IFERROR(INDEX(Metrics!$C:$C,MATCH(A215,Metrics!$A:$A,0)),"ID not found"))</f>
        <v/>
      </c>
      <c r="D215" s="20" t="str">
        <f aca="false">IF(B215="","",IFERROR(INDEX(Fields!$B:$B,MATCH(B215,Fields!$A:$A,0)),"ID not found"))</f>
        <v/>
      </c>
      <c r="E215" s="30"/>
      <c r="F215" s="20" t="n">
        <f aca="false">IF(A215="",0,COUNTIF('Metric to Product'!$A:$A,A215))</f>
        <v>0</v>
      </c>
      <c r="G215" s="30"/>
      <c r="H215" s="30"/>
      <c r="I215" s="30"/>
    </row>
    <row r="216" customFormat="false" ht="15" hidden="false" customHeight="false" outlineLevel="0" collapsed="false">
      <c r="A216" s="29"/>
      <c r="B216" s="29"/>
      <c r="C216" s="20" t="str">
        <f aca="false">IF(A216="","",IFERROR(INDEX(Metrics!$C:$C,MATCH(A216,Metrics!$A:$A,0)),"ID not found"))</f>
        <v/>
      </c>
      <c r="D216" s="20" t="str">
        <f aca="false">IF(B216="","",IFERROR(INDEX(Fields!$B:$B,MATCH(B216,Fields!$A:$A,0)),"ID not found"))</f>
        <v/>
      </c>
      <c r="E216" s="30"/>
      <c r="F216" s="20" t="n">
        <f aca="false">IF(A216="",0,COUNTIF('Metric to Product'!$A:$A,A216))</f>
        <v>0</v>
      </c>
      <c r="G216" s="30"/>
      <c r="H216" s="30"/>
      <c r="I216" s="30"/>
    </row>
    <row r="217" customFormat="false" ht="15" hidden="false" customHeight="false" outlineLevel="0" collapsed="false">
      <c r="A217" s="29"/>
      <c r="B217" s="29"/>
      <c r="C217" s="20" t="str">
        <f aca="false">IF(A217="","",IFERROR(INDEX(Metrics!$C:$C,MATCH(A217,Metrics!$A:$A,0)),"ID not found"))</f>
        <v/>
      </c>
      <c r="D217" s="20" t="str">
        <f aca="false">IF(B217="","",IFERROR(INDEX(Fields!$B:$B,MATCH(B217,Fields!$A:$A,0)),"ID not found"))</f>
        <v/>
      </c>
      <c r="E217" s="30"/>
      <c r="F217" s="20" t="n">
        <f aca="false">IF(A217="",0,COUNTIF('Metric to Product'!$A:$A,A217))</f>
        <v>0</v>
      </c>
      <c r="G217" s="30"/>
      <c r="H217" s="30"/>
      <c r="I217" s="30"/>
    </row>
    <row r="218" customFormat="false" ht="15" hidden="false" customHeight="false" outlineLevel="0" collapsed="false">
      <c r="A218" s="29"/>
      <c r="B218" s="29"/>
      <c r="C218" s="20" t="str">
        <f aca="false">IF(A218="","",IFERROR(INDEX(Metrics!$C:$C,MATCH(A218,Metrics!$A:$A,0)),"ID not found"))</f>
        <v/>
      </c>
      <c r="D218" s="20" t="str">
        <f aca="false">IF(B218="","",IFERROR(INDEX(Fields!$B:$B,MATCH(B218,Fields!$A:$A,0)),"ID not found"))</f>
        <v/>
      </c>
      <c r="E218" s="30"/>
      <c r="F218" s="20" t="n">
        <f aca="false">IF(A218="",0,COUNTIF('Metric to Product'!$A:$A,A218))</f>
        <v>0</v>
      </c>
      <c r="G218" s="30"/>
      <c r="H218" s="30"/>
      <c r="I218" s="30"/>
    </row>
    <row r="219" customFormat="false" ht="15" hidden="false" customHeight="false" outlineLevel="0" collapsed="false">
      <c r="A219" s="29"/>
      <c r="B219" s="29"/>
      <c r="C219" s="20" t="str">
        <f aca="false">IF(A219="","",IFERROR(INDEX(Metrics!$C:$C,MATCH(A219,Metrics!$A:$A,0)),"ID not found"))</f>
        <v/>
      </c>
      <c r="D219" s="20" t="str">
        <f aca="false">IF(B219="","",IFERROR(INDEX(Fields!$B:$B,MATCH(B219,Fields!$A:$A,0)),"ID not found"))</f>
        <v/>
      </c>
      <c r="E219" s="30"/>
      <c r="F219" s="20" t="n">
        <f aca="false">IF(A219="",0,COUNTIF('Metric to Product'!$A:$A,A219))</f>
        <v>0</v>
      </c>
      <c r="G219" s="30"/>
      <c r="H219" s="30"/>
      <c r="I219" s="30"/>
    </row>
    <row r="220" customFormat="false" ht="15" hidden="false" customHeight="false" outlineLevel="0" collapsed="false">
      <c r="A220" s="29"/>
      <c r="B220" s="29"/>
      <c r="C220" s="20" t="str">
        <f aca="false">IF(A220="","",IFERROR(INDEX(Metrics!$C:$C,MATCH(A220,Metrics!$A:$A,0)),"ID not found"))</f>
        <v/>
      </c>
      <c r="D220" s="20" t="str">
        <f aca="false">IF(B220="","",IFERROR(INDEX(Fields!$B:$B,MATCH(B220,Fields!$A:$A,0)),"ID not found"))</f>
        <v/>
      </c>
      <c r="E220" s="30"/>
      <c r="F220" s="20" t="n">
        <f aca="false">IF(A220="",0,COUNTIF('Metric to Product'!$A:$A,A220))</f>
        <v>0</v>
      </c>
      <c r="G220" s="30"/>
      <c r="H220" s="30"/>
      <c r="I220" s="30"/>
    </row>
    <row r="221" customFormat="false" ht="15" hidden="false" customHeight="false" outlineLevel="0" collapsed="false">
      <c r="A221" s="29"/>
      <c r="B221" s="29"/>
      <c r="C221" s="20" t="str">
        <f aca="false">IF(A221="","",IFERROR(INDEX(Metrics!$C:$C,MATCH(A221,Metrics!$A:$A,0)),"ID not found"))</f>
        <v/>
      </c>
      <c r="D221" s="20" t="str">
        <f aca="false">IF(B221="","",IFERROR(INDEX(Fields!$B:$B,MATCH(B221,Fields!$A:$A,0)),"ID not found"))</f>
        <v/>
      </c>
      <c r="E221" s="30"/>
      <c r="F221" s="20" t="n">
        <f aca="false">IF(A221="",0,COUNTIF('Metric to Product'!$A:$A,A221))</f>
        <v>0</v>
      </c>
      <c r="G221" s="30"/>
      <c r="H221" s="30"/>
      <c r="I221" s="30"/>
    </row>
    <row r="222" customFormat="false" ht="15" hidden="false" customHeight="false" outlineLevel="0" collapsed="false">
      <c r="A222" s="29"/>
      <c r="B222" s="29"/>
      <c r="C222" s="20" t="str">
        <f aca="false">IF(A222="","",IFERROR(INDEX(Metrics!$C:$C,MATCH(A222,Metrics!$A:$A,0)),"ID not found"))</f>
        <v/>
      </c>
      <c r="D222" s="20" t="str">
        <f aca="false">IF(B222="","",IFERROR(INDEX(Fields!$B:$B,MATCH(B222,Fields!$A:$A,0)),"ID not found"))</f>
        <v/>
      </c>
      <c r="E222" s="30"/>
      <c r="F222" s="20" t="n">
        <f aca="false">IF(A222="",0,COUNTIF('Metric to Product'!$A:$A,A222))</f>
        <v>0</v>
      </c>
      <c r="G222" s="30"/>
      <c r="H222" s="30"/>
      <c r="I222" s="30"/>
    </row>
    <row r="223" customFormat="false" ht="15" hidden="false" customHeight="false" outlineLevel="0" collapsed="false">
      <c r="A223" s="29"/>
      <c r="B223" s="29"/>
      <c r="C223" s="20" t="str">
        <f aca="false">IF(A223="","",IFERROR(INDEX(Metrics!$C:$C,MATCH(A223,Metrics!$A:$A,0)),"ID not found"))</f>
        <v/>
      </c>
      <c r="D223" s="20" t="str">
        <f aca="false">IF(B223="","",IFERROR(INDEX(Fields!$B:$B,MATCH(B223,Fields!$A:$A,0)),"ID not found"))</f>
        <v/>
      </c>
      <c r="E223" s="30"/>
      <c r="F223" s="20" t="n">
        <f aca="false">IF(A223="",0,COUNTIF('Metric to Product'!$A:$A,A223))</f>
        <v>0</v>
      </c>
      <c r="G223" s="30"/>
      <c r="H223" s="30"/>
      <c r="I223" s="30"/>
    </row>
    <row r="224" customFormat="false" ht="15" hidden="false" customHeight="false" outlineLevel="0" collapsed="false">
      <c r="A224" s="29"/>
      <c r="B224" s="29"/>
      <c r="C224" s="20" t="str">
        <f aca="false">IF(A224="","",IFERROR(INDEX(Metrics!$C:$C,MATCH(A224,Metrics!$A:$A,0)),"ID not found"))</f>
        <v/>
      </c>
      <c r="D224" s="20" t="str">
        <f aca="false">IF(B224="","",IFERROR(INDEX(Fields!$B:$B,MATCH(B224,Fields!$A:$A,0)),"ID not found"))</f>
        <v/>
      </c>
      <c r="E224" s="30"/>
      <c r="F224" s="20" t="n">
        <f aca="false">IF(A224="",0,COUNTIF('Metric to Product'!$A:$A,A224))</f>
        <v>0</v>
      </c>
      <c r="G224" s="30"/>
      <c r="H224" s="30"/>
      <c r="I224" s="30"/>
    </row>
    <row r="225" customFormat="false" ht="15" hidden="false" customHeight="false" outlineLevel="0" collapsed="false">
      <c r="A225" s="29"/>
      <c r="B225" s="29"/>
      <c r="C225" s="20" t="str">
        <f aca="false">IF(A225="","",IFERROR(INDEX(Metrics!$C:$C,MATCH(A225,Metrics!$A:$A,0)),"ID not found"))</f>
        <v/>
      </c>
      <c r="D225" s="20" t="str">
        <f aca="false">IF(B225="","",IFERROR(INDEX(Fields!$B:$B,MATCH(B225,Fields!$A:$A,0)),"ID not found"))</f>
        <v/>
      </c>
      <c r="E225" s="30"/>
      <c r="F225" s="20" t="n">
        <f aca="false">IF(A225="",0,COUNTIF('Metric to Product'!$A:$A,A225))</f>
        <v>0</v>
      </c>
      <c r="G225" s="30"/>
      <c r="H225" s="30"/>
      <c r="I225" s="30"/>
    </row>
    <row r="226" customFormat="false" ht="15" hidden="false" customHeight="false" outlineLevel="0" collapsed="false">
      <c r="A226" s="29"/>
      <c r="B226" s="29"/>
      <c r="C226" s="20" t="str">
        <f aca="false">IF(A226="","",IFERROR(INDEX(Metrics!$C:$C,MATCH(A226,Metrics!$A:$A,0)),"ID not found"))</f>
        <v/>
      </c>
      <c r="D226" s="20" t="str">
        <f aca="false">IF(B226="","",IFERROR(INDEX(Fields!$B:$B,MATCH(B226,Fields!$A:$A,0)),"ID not found"))</f>
        <v/>
      </c>
      <c r="E226" s="30"/>
      <c r="F226" s="20" t="n">
        <f aca="false">IF(A226="",0,COUNTIF('Metric to Product'!$A:$A,A226))</f>
        <v>0</v>
      </c>
      <c r="G226" s="30"/>
      <c r="H226" s="30"/>
      <c r="I226" s="30"/>
    </row>
    <row r="227" customFormat="false" ht="15" hidden="false" customHeight="false" outlineLevel="0" collapsed="false">
      <c r="A227" s="29"/>
      <c r="B227" s="29"/>
      <c r="C227" s="20" t="str">
        <f aca="false">IF(A227="","",IFERROR(INDEX(Metrics!$C:$C,MATCH(A227,Metrics!$A:$A,0)),"ID not found"))</f>
        <v/>
      </c>
      <c r="D227" s="20" t="str">
        <f aca="false">IF(B227="","",IFERROR(INDEX(Fields!$B:$B,MATCH(B227,Fields!$A:$A,0)),"ID not found"))</f>
        <v/>
      </c>
      <c r="E227" s="30"/>
      <c r="F227" s="20" t="n">
        <f aca="false">IF(A227="",0,COUNTIF('Metric to Product'!$A:$A,A227))</f>
        <v>0</v>
      </c>
      <c r="G227" s="30"/>
      <c r="H227" s="30"/>
      <c r="I227" s="30"/>
    </row>
    <row r="228" customFormat="false" ht="15" hidden="false" customHeight="false" outlineLevel="0" collapsed="false">
      <c r="A228" s="29"/>
      <c r="B228" s="29"/>
      <c r="C228" s="20" t="str">
        <f aca="false">IF(A228="","",IFERROR(INDEX(Metrics!$C:$C,MATCH(A228,Metrics!$A:$A,0)),"ID not found"))</f>
        <v/>
      </c>
      <c r="D228" s="20" t="str">
        <f aca="false">IF(B228="","",IFERROR(INDEX(Fields!$B:$B,MATCH(B228,Fields!$A:$A,0)),"ID not found"))</f>
        <v/>
      </c>
      <c r="E228" s="30"/>
      <c r="F228" s="20" t="n">
        <f aca="false">IF(A228="",0,COUNTIF('Metric to Product'!$A:$A,A228))</f>
        <v>0</v>
      </c>
      <c r="G228" s="30"/>
      <c r="H228" s="30"/>
      <c r="I228" s="30"/>
    </row>
    <row r="229" customFormat="false" ht="15" hidden="false" customHeight="false" outlineLevel="0" collapsed="false">
      <c r="A229" s="29"/>
      <c r="B229" s="29"/>
      <c r="C229" s="20" t="str">
        <f aca="false">IF(A229="","",IFERROR(INDEX(Metrics!$C:$C,MATCH(A229,Metrics!$A:$A,0)),"ID not found"))</f>
        <v/>
      </c>
      <c r="D229" s="20" t="str">
        <f aca="false">IF(B229="","",IFERROR(INDEX(Fields!$B:$B,MATCH(B229,Fields!$A:$A,0)),"ID not found"))</f>
        <v/>
      </c>
      <c r="E229" s="30"/>
      <c r="F229" s="20" t="n">
        <f aca="false">IF(A229="",0,COUNTIF('Metric to Product'!$A:$A,A229))</f>
        <v>0</v>
      </c>
      <c r="G229" s="30"/>
      <c r="H229" s="30"/>
      <c r="I229" s="30"/>
    </row>
    <row r="230" customFormat="false" ht="15" hidden="false" customHeight="false" outlineLevel="0" collapsed="false">
      <c r="A230" s="29"/>
      <c r="B230" s="29"/>
      <c r="C230" s="20" t="str">
        <f aca="false">IF(A230="","",IFERROR(INDEX(Metrics!$C:$C,MATCH(A230,Metrics!$A:$A,0)),"ID not found"))</f>
        <v/>
      </c>
      <c r="D230" s="20" t="str">
        <f aca="false">IF(B230="","",IFERROR(INDEX(Fields!$B:$B,MATCH(B230,Fields!$A:$A,0)),"ID not found"))</f>
        <v/>
      </c>
      <c r="E230" s="30"/>
      <c r="F230" s="20" t="n">
        <f aca="false">IF(A230="",0,COUNTIF('Metric to Product'!$A:$A,A230))</f>
        <v>0</v>
      </c>
      <c r="G230" s="30"/>
      <c r="H230" s="30"/>
      <c r="I230" s="30"/>
    </row>
    <row r="231" customFormat="false" ht="15" hidden="false" customHeight="false" outlineLevel="0" collapsed="false">
      <c r="A231" s="29"/>
      <c r="B231" s="29"/>
      <c r="C231" s="20" t="str">
        <f aca="false">IF(A231="","",IFERROR(INDEX(Metrics!$C:$C,MATCH(A231,Metrics!$A:$A,0)),"ID not found"))</f>
        <v/>
      </c>
      <c r="D231" s="20" t="str">
        <f aca="false">IF(B231="","",IFERROR(INDEX(Fields!$B:$B,MATCH(B231,Fields!$A:$A,0)),"ID not found"))</f>
        <v/>
      </c>
      <c r="E231" s="30"/>
      <c r="F231" s="20" t="n">
        <f aca="false">IF(A231="",0,COUNTIF('Metric to Product'!$A:$A,A231))</f>
        <v>0</v>
      </c>
      <c r="G231" s="30"/>
      <c r="H231" s="30"/>
      <c r="I231" s="30"/>
    </row>
    <row r="232" customFormat="false" ht="15" hidden="false" customHeight="false" outlineLevel="0" collapsed="false">
      <c r="A232" s="29"/>
      <c r="B232" s="29"/>
      <c r="C232" s="20" t="str">
        <f aca="false">IF(A232="","",IFERROR(INDEX(Metrics!$C:$C,MATCH(A232,Metrics!$A:$A,0)),"ID not found"))</f>
        <v/>
      </c>
      <c r="D232" s="20" t="str">
        <f aca="false">IF(B232="","",IFERROR(INDEX(Fields!$B:$B,MATCH(B232,Fields!$A:$A,0)),"ID not found"))</f>
        <v/>
      </c>
      <c r="E232" s="30"/>
      <c r="F232" s="20" t="n">
        <f aca="false">IF(A232="",0,COUNTIF('Metric to Product'!$A:$A,A232))</f>
        <v>0</v>
      </c>
      <c r="G232" s="30"/>
      <c r="H232" s="30"/>
      <c r="I232" s="30"/>
    </row>
    <row r="233" customFormat="false" ht="15" hidden="false" customHeight="false" outlineLevel="0" collapsed="false">
      <c r="A233" s="29"/>
      <c r="B233" s="29"/>
      <c r="C233" s="20" t="str">
        <f aca="false">IF(A233="","",IFERROR(INDEX(Metrics!$C:$C,MATCH(A233,Metrics!$A:$A,0)),"ID not found"))</f>
        <v/>
      </c>
      <c r="D233" s="20" t="str">
        <f aca="false">IF(B233="","",IFERROR(INDEX(Fields!$B:$B,MATCH(B233,Fields!$A:$A,0)),"ID not found"))</f>
        <v/>
      </c>
      <c r="E233" s="30"/>
      <c r="F233" s="20" t="n">
        <f aca="false">IF(A233="",0,COUNTIF('Metric to Product'!$A:$A,A233))</f>
        <v>0</v>
      </c>
      <c r="G233" s="30"/>
      <c r="H233" s="30"/>
      <c r="I233" s="30"/>
    </row>
    <row r="234" customFormat="false" ht="15" hidden="false" customHeight="false" outlineLevel="0" collapsed="false">
      <c r="A234" s="29"/>
      <c r="B234" s="29"/>
      <c r="C234" s="20" t="str">
        <f aca="false">IF(A234="","",IFERROR(INDEX(Metrics!$C:$C,MATCH(A234,Metrics!$A:$A,0)),"ID not found"))</f>
        <v/>
      </c>
      <c r="D234" s="20" t="str">
        <f aca="false">IF(B234="","",IFERROR(INDEX(Fields!$B:$B,MATCH(B234,Fields!$A:$A,0)),"ID not found"))</f>
        <v/>
      </c>
      <c r="E234" s="30"/>
      <c r="F234" s="20" t="n">
        <f aca="false">IF(A234="",0,COUNTIF('Metric to Product'!$A:$A,A234))</f>
        <v>0</v>
      </c>
      <c r="G234" s="30"/>
      <c r="H234" s="30"/>
      <c r="I234" s="30"/>
    </row>
    <row r="235" customFormat="false" ht="15" hidden="false" customHeight="false" outlineLevel="0" collapsed="false">
      <c r="A235" s="29"/>
      <c r="B235" s="29"/>
      <c r="C235" s="20" t="str">
        <f aca="false">IF(A235="","",IFERROR(INDEX(Metrics!$C:$C,MATCH(A235,Metrics!$A:$A,0)),"ID not found"))</f>
        <v/>
      </c>
      <c r="D235" s="20" t="str">
        <f aca="false">IF(B235="","",IFERROR(INDEX(Fields!$B:$B,MATCH(B235,Fields!$A:$A,0)),"ID not found"))</f>
        <v/>
      </c>
      <c r="E235" s="30"/>
      <c r="F235" s="20" t="n">
        <f aca="false">IF(A235="",0,COUNTIF('Metric to Product'!$A:$A,A235))</f>
        <v>0</v>
      </c>
      <c r="G235" s="30"/>
      <c r="H235" s="30"/>
      <c r="I235" s="30"/>
    </row>
    <row r="236" customFormat="false" ht="15" hidden="false" customHeight="false" outlineLevel="0" collapsed="false">
      <c r="A236" s="29"/>
      <c r="B236" s="29"/>
      <c r="C236" s="20" t="str">
        <f aca="false">IF(A236="","",IFERROR(INDEX(Metrics!$C:$C,MATCH(A236,Metrics!$A:$A,0)),"ID not found"))</f>
        <v/>
      </c>
      <c r="D236" s="20" t="str">
        <f aca="false">IF(B236="","",IFERROR(INDEX(Fields!$B:$B,MATCH(B236,Fields!$A:$A,0)),"ID not found"))</f>
        <v/>
      </c>
      <c r="E236" s="30"/>
      <c r="F236" s="20" t="n">
        <f aca="false">IF(A236="",0,COUNTIF('Metric to Product'!$A:$A,A236))</f>
        <v>0</v>
      </c>
      <c r="G236" s="30"/>
      <c r="H236" s="30"/>
      <c r="I236" s="30"/>
    </row>
    <row r="237" customFormat="false" ht="15" hidden="false" customHeight="false" outlineLevel="0" collapsed="false">
      <c r="A237" s="29"/>
      <c r="B237" s="29"/>
      <c r="C237" s="20" t="str">
        <f aca="false">IF(A237="","",IFERROR(INDEX(Metrics!$C:$C,MATCH(A237,Metrics!$A:$A,0)),"ID not found"))</f>
        <v/>
      </c>
      <c r="D237" s="20" t="str">
        <f aca="false">IF(B237="","",IFERROR(INDEX(Fields!$B:$B,MATCH(B237,Fields!$A:$A,0)),"ID not found"))</f>
        <v/>
      </c>
      <c r="E237" s="30"/>
      <c r="F237" s="20" t="n">
        <f aca="false">IF(A237="",0,COUNTIF('Metric to Product'!$A:$A,A237))</f>
        <v>0</v>
      </c>
      <c r="G237" s="30"/>
      <c r="H237" s="30"/>
      <c r="I237" s="30"/>
    </row>
    <row r="238" customFormat="false" ht="15" hidden="false" customHeight="false" outlineLevel="0" collapsed="false">
      <c r="A238" s="29"/>
      <c r="B238" s="29"/>
      <c r="C238" s="20" t="str">
        <f aca="false">IF(A238="","",IFERROR(INDEX(Metrics!$C:$C,MATCH(A238,Metrics!$A:$A,0)),"ID not found"))</f>
        <v/>
      </c>
      <c r="D238" s="20" t="str">
        <f aca="false">IF(B238="","",IFERROR(INDEX(Fields!$B:$B,MATCH(B238,Fields!$A:$A,0)),"ID not found"))</f>
        <v/>
      </c>
      <c r="E238" s="30"/>
      <c r="F238" s="20" t="n">
        <f aca="false">IF(A238="",0,COUNTIF('Metric to Product'!$A:$A,A238))</f>
        <v>0</v>
      </c>
      <c r="G238" s="30"/>
      <c r="H238" s="30"/>
      <c r="I238" s="30"/>
    </row>
    <row r="239" customFormat="false" ht="15" hidden="false" customHeight="false" outlineLevel="0" collapsed="false">
      <c r="A239" s="29"/>
      <c r="B239" s="29"/>
      <c r="C239" s="20" t="str">
        <f aca="false">IF(A239="","",IFERROR(INDEX(Metrics!$C:$C,MATCH(A239,Metrics!$A:$A,0)),"ID not found"))</f>
        <v/>
      </c>
      <c r="D239" s="20" t="str">
        <f aca="false">IF(B239="","",IFERROR(INDEX(Fields!$B:$B,MATCH(B239,Fields!$A:$A,0)),"ID not found"))</f>
        <v/>
      </c>
      <c r="E239" s="30"/>
      <c r="F239" s="20" t="n">
        <f aca="false">IF(A239="",0,COUNTIF('Metric to Product'!$A:$A,A239))</f>
        <v>0</v>
      </c>
      <c r="G239" s="30"/>
      <c r="H239" s="30"/>
      <c r="I239" s="30"/>
    </row>
    <row r="240" customFormat="false" ht="15" hidden="false" customHeight="false" outlineLevel="0" collapsed="false">
      <c r="A240" s="29"/>
      <c r="B240" s="29"/>
      <c r="C240" s="20" t="str">
        <f aca="false">IF(A240="","",IFERROR(INDEX(Metrics!$C:$C,MATCH(A240,Metrics!$A:$A,0)),"ID not found"))</f>
        <v/>
      </c>
      <c r="D240" s="20" t="str">
        <f aca="false">IF(B240="","",IFERROR(INDEX(Fields!$B:$B,MATCH(B240,Fields!$A:$A,0)),"ID not found"))</f>
        <v/>
      </c>
      <c r="E240" s="30"/>
      <c r="F240" s="20" t="n">
        <f aca="false">IF(A240="",0,COUNTIF('Metric to Product'!$A:$A,A240))</f>
        <v>0</v>
      </c>
      <c r="G240" s="30"/>
      <c r="H240" s="30"/>
      <c r="I240" s="30"/>
    </row>
    <row r="241" customFormat="false" ht="15" hidden="false" customHeight="false" outlineLevel="0" collapsed="false">
      <c r="A241" s="29"/>
      <c r="B241" s="29"/>
      <c r="C241" s="20" t="str">
        <f aca="false">IF(A241="","",IFERROR(INDEX(Metrics!$C:$C,MATCH(A241,Metrics!$A:$A,0)),"ID not found"))</f>
        <v/>
      </c>
      <c r="D241" s="20" t="str">
        <f aca="false">IF(B241="","",IFERROR(INDEX(Fields!$B:$B,MATCH(B241,Fields!$A:$A,0)),"ID not found"))</f>
        <v/>
      </c>
      <c r="E241" s="30"/>
      <c r="F241" s="20" t="n">
        <f aca="false">IF(A241="",0,COUNTIF('Metric to Product'!$A:$A,A241))</f>
        <v>0</v>
      </c>
      <c r="G241" s="30"/>
      <c r="H241" s="30"/>
      <c r="I241" s="30"/>
    </row>
    <row r="242" customFormat="false" ht="15" hidden="false" customHeight="false" outlineLevel="0" collapsed="false">
      <c r="A242" s="29"/>
      <c r="B242" s="29"/>
      <c r="C242" s="20" t="str">
        <f aca="false">IF(A242="","",IFERROR(INDEX(Metrics!$C:$C,MATCH(A242,Metrics!$A:$A,0)),"ID not found"))</f>
        <v/>
      </c>
      <c r="D242" s="20" t="str">
        <f aca="false">IF(B242="","",IFERROR(INDEX(Fields!$B:$B,MATCH(B242,Fields!$A:$A,0)),"ID not found"))</f>
        <v/>
      </c>
      <c r="E242" s="30"/>
      <c r="F242" s="20" t="n">
        <f aca="false">IF(A242="",0,COUNTIF('Metric to Product'!$A:$A,A242))</f>
        <v>0</v>
      </c>
      <c r="G242" s="30"/>
      <c r="H242" s="30"/>
      <c r="I242" s="30"/>
    </row>
    <row r="243" customFormat="false" ht="15" hidden="false" customHeight="false" outlineLevel="0" collapsed="false">
      <c r="A243" s="29"/>
      <c r="B243" s="29"/>
      <c r="C243" s="20" t="str">
        <f aca="false">IF(A243="","",IFERROR(INDEX(Metrics!$C:$C,MATCH(A243,Metrics!$A:$A,0)),"ID not found"))</f>
        <v/>
      </c>
      <c r="D243" s="20" t="str">
        <f aca="false">IF(B243="","",IFERROR(INDEX(Fields!$B:$B,MATCH(B243,Fields!$A:$A,0)),"ID not found"))</f>
        <v/>
      </c>
      <c r="E243" s="30"/>
      <c r="F243" s="20" t="n">
        <f aca="false">IF(A243="",0,COUNTIF('Metric to Product'!$A:$A,A243))</f>
        <v>0</v>
      </c>
      <c r="G243" s="30"/>
      <c r="H243" s="30"/>
      <c r="I243" s="30"/>
    </row>
    <row r="244" customFormat="false" ht="15" hidden="false" customHeight="false" outlineLevel="0" collapsed="false">
      <c r="A244" s="29"/>
      <c r="B244" s="29"/>
      <c r="C244" s="20" t="str">
        <f aca="false">IF(A244="","",IFERROR(INDEX(Metrics!$C:$C,MATCH(A244,Metrics!$A:$A,0)),"ID not found"))</f>
        <v/>
      </c>
      <c r="D244" s="20" t="str">
        <f aca="false">IF(B244="","",IFERROR(INDEX(Fields!$B:$B,MATCH(B244,Fields!$A:$A,0)),"ID not found"))</f>
        <v/>
      </c>
      <c r="E244" s="30"/>
      <c r="F244" s="20" t="n">
        <f aca="false">IF(A244="",0,COUNTIF('Metric to Product'!$A:$A,A244))</f>
        <v>0</v>
      </c>
      <c r="G244" s="30"/>
      <c r="H244" s="30"/>
      <c r="I244" s="30"/>
    </row>
    <row r="245" customFormat="false" ht="15" hidden="false" customHeight="false" outlineLevel="0" collapsed="false">
      <c r="A245" s="29"/>
      <c r="B245" s="29"/>
      <c r="C245" s="20" t="str">
        <f aca="false">IF(A245="","",IFERROR(INDEX(Metrics!$C:$C,MATCH(A245,Metrics!$A:$A,0)),"ID not found"))</f>
        <v/>
      </c>
      <c r="D245" s="20" t="str">
        <f aca="false">IF(B245="","",IFERROR(INDEX(Fields!$B:$B,MATCH(B245,Fields!$A:$A,0)),"ID not found"))</f>
        <v/>
      </c>
      <c r="E245" s="30"/>
      <c r="F245" s="20" t="n">
        <f aca="false">IF(A245="",0,COUNTIF('Metric to Product'!$A:$A,A245))</f>
        <v>0</v>
      </c>
      <c r="G245" s="30"/>
      <c r="H245" s="30"/>
      <c r="I245" s="30"/>
    </row>
    <row r="246" customFormat="false" ht="15" hidden="false" customHeight="false" outlineLevel="0" collapsed="false">
      <c r="A246" s="29"/>
      <c r="B246" s="29"/>
      <c r="C246" s="20" t="str">
        <f aca="false">IF(A246="","",IFERROR(INDEX(Metrics!$C:$C,MATCH(A246,Metrics!$A:$A,0)),"ID not found"))</f>
        <v/>
      </c>
      <c r="D246" s="20" t="str">
        <f aca="false">IF(B246="","",IFERROR(INDEX(Fields!$B:$B,MATCH(B246,Fields!$A:$A,0)),"ID not found"))</f>
        <v/>
      </c>
      <c r="E246" s="30"/>
      <c r="F246" s="20" t="n">
        <f aca="false">IF(A246="",0,COUNTIF('Metric to Product'!$A:$A,A246))</f>
        <v>0</v>
      </c>
      <c r="G246" s="30"/>
      <c r="H246" s="30"/>
      <c r="I246" s="30"/>
    </row>
    <row r="247" customFormat="false" ht="15" hidden="false" customHeight="false" outlineLevel="0" collapsed="false">
      <c r="A247" s="29"/>
      <c r="B247" s="29"/>
      <c r="C247" s="20" t="str">
        <f aca="false">IF(A247="","",IFERROR(INDEX(Metrics!$C:$C,MATCH(A247,Metrics!$A:$A,0)),"ID not found"))</f>
        <v/>
      </c>
      <c r="D247" s="20" t="str">
        <f aca="false">IF(B247="","",IFERROR(INDEX(Fields!$B:$B,MATCH(B247,Fields!$A:$A,0)),"ID not found"))</f>
        <v/>
      </c>
      <c r="E247" s="30"/>
      <c r="F247" s="20" t="n">
        <f aca="false">IF(A247="",0,COUNTIF('Metric to Product'!$A:$A,A247))</f>
        <v>0</v>
      </c>
      <c r="G247" s="30"/>
      <c r="H247" s="30"/>
      <c r="I247" s="30"/>
    </row>
    <row r="248" customFormat="false" ht="15" hidden="false" customHeight="false" outlineLevel="0" collapsed="false">
      <c r="A248" s="29"/>
      <c r="B248" s="29"/>
      <c r="C248" s="20" t="str">
        <f aca="false">IF(A248="","",IFERROR(INDEX(Metrics!$C:$C,MATCH(A248,Metrics!$A:$A,0)),"ID not found"))</f>
        <v/>
      </c>
      <c r="D248" s="20" t="str">
        <f aca="false">IF(B248="","",IFERROR(INDEX(Fields!$B:$B,MATCH(B248,Fields!$A:$A,0)),"ID not found"))</f>
        <v/>
      </c>
      <c r="E248" s="30"/>
      <c r="F248" s="20" t="n">
        <f aca="false">IF(A248="",0,COUNTIF('Metric to Product'!$A:$A,A248))</f>
        <v>0</v>
      </c>
      <c r="G248" s="30"/>
      <c r="H248" s="30"/>
      <c r="I248" s="30"/>
    </row>
    <row r="249" customFormat="false" ht="15" hidden="false" customHeight="false" outlineLevel="0" collapsed="false">
      <c r="A249" s="29"/>
      <c r="B249" s="29"/>
      <c r="C249" s="20" t="str">
        <f aca="false">IF(A249="","",IFERROR(INDEX(Metrics!$C:$C,MATCH(A249,Metrics!$A:$A,0)),"ID not found"))</f>
        <v/>
      </c>
      <c r="D249" s="20" t="str">
        <f aca="false">IF(B249="","",IFERROR(INDEX(Fields!$B:$B,MATCH(B249,Fields!$A:$A,0)),"ID not found"))</f>
        <v/>
      </c>
      <c r="E249" s="30"/>
      <c r="F249" s="20" t="n">
        <f aca="false">IF(A249="",0,COUNTIF('Metric to Product'!$A:$A,A249))</f>
        <v>0</v>
      </c>
      <c r="G249" s="30"/>
      <c r="H249" s="30"/>
      <c r="I249" s="30"/>
    </row>
    <row r="250" customFormat="false" ht="15" hidden="false" customHeight="false" outlineLevel="0" collapsed="false">
      <c r="A250" s="29"/>
      <c r="B250" s="29"/>
      <c r="C250" s="20" t="str">
        <f aca="false">IF(A250="","",IFERROR(INDEX(Metrics!$C:$C,MATCH(A250,Metrics!$A:$A,0)),"ID not found"))</f>
        <v/>
      </c>
      <c r="D250" s="20" t="str">
        <f aca="false">IF(B250="","",IFERROR(INDEX(Fields!$B:$B,MATCH(B250,Fields!$A:$A,0)),"ID not found"))</f>
        <v/>
      </c>
      <c r="E250" s="30"/>
      <c r="F250" s="20" t="n">
        <f aca="false">IF(A250="",0,COUNTIF('Metric to Product'!$A:$A,A250))</f>
        <v>0</v>
      </c>
      <c r="G250" s="30"/>
      <c r="H250" s="30"/>
      <c r="I250" s="30"/>
    </row>
    <row r="251" customFormat="false" ht="15" hidden="false" customHeight="false" outlineLevel="0" collapsed="false">
      <c r="A251" s="29"/>
      <c r="B251" s="29"/>
      <c r="C251" s="20" t="str">
        <f aca="false">IF(A251="","",IFERROR(INDEX(Metrics!$C:$C,MATCH(A251,Metrics!$A:$A,0)),"ID not found"))</f>
        <v/>
      </c>
      <c r="D251" s="20" t="str">
        <f aca="false">IF(B251="","",IFERROR(INDEX(Fields!$B:$B,MATCH(B251,Fields!$A:$A,0)),"ID not found"))</f>
        <v/>
      </c>
      <c r="E251" s="30"/>
      <c r="F251" s="20" t="n">
        <f aca="false">IF(A251="",0,COUNTIF('Metric to Product'!$A:$A,A251))</f>
        <v>0</v>
      </c>
      <c r="G251" s="30"/>
      <c r="H251" s="30"/>
      <c r="I251" s="30"/>
    </row>
    <row r="252" customFormat="false" ht="15" hidden="false" customHeight="false" outlineLevel="0" collapsed="false">
      <c r="A252" s="29"/>
      <c r="B252" s="29"/>
      <c r="C252" s="20" t="str">
        <f aca="false">IF(A252="","",IFERROR(INDEX(Metrics!$C:$C,MATCH(A252,Metrics!$A:$A,0)),"ID not found"))</f>
        <v/>
      </c>
      <c r="D252" s="20" t="str">
        <f aca="false">IF(B252="","",IFERROR(INDEX(Fields!$B:$B,MATCH(B252,Fields!$A:$A,0)),"ID not found"))</f>
        <v/>
      </c>
      <c r="E252" s="30"/>
      <c r="F252" s="20" t="n">
        <f aca="false">IF(A252="",0,COUNTIF('Metric to Product'!$A:$A,A252))</f>
        <v>0</v>
      </c>
      <c r="G252" s="30"/>
      <c r="H252" s="30"/>
      <c r="I252" s="30"/>
    </row>
    <row r="253" customFormat="false" ht="15" hidden="false" customHeight="false" outlineLevel="0" collapsed="false">
      <c r="A253" s="29"/>
      <c r="B253" s="29"/>
      <c r="C253" s="20" t="str">
        <f aca="false">IF(A253="","",IFERROR(INDEX(Metrics!$C:$C,MATCH(A253,Metrics!$A:$A,0)),"ID not found"))</f>
        <v/>
      </c>
      <c r="D253" s="20" t="str">
        <f aca="false">IF(B253="","",IFERROR(INDEX(Fields!$B:$B,MATCH(B253,Fields!$A:$A,0)),"ID not found"))</f>
        <v/>
      </c>
      <c r="E253" s="30"/>
      <c r="F253" s="20" t="n">
        <f aca="false">IF(A253="",0,COUNTIF('Metric to Product'!$A:$A,A253))</f>
        <v>0</v>
      </c>
      <c r="G253" s="30"/>
      <c r="H253" s="30"/>
      <c r="I253" s="30"/>
    </row>
    <row r="254" customFormat="false" ht="15" hidden="false" customHeight="false" outlineLevel="0" collapsed="false">
      <c r="A254" s="29"/>
      <c r="B254" s="29"/>
      <c r="C254" s="20" t="str">
        <f aca="false">IF(A254="","",IFERROR(INDEX(Metrics!$C:$C,MATCH(A254,Metrics!$A:$A,0)),"ID not found"))</f>
        <v/>
      </c>
      <c r="D254" s="20" t="str">
        <f aca="false">IF(B254="","",IFERROR(INDEX(Fields!$B:$B,MATCH(B254,Fields!$A:$A,0)),"ID not found"))</f>
        <v/>
      </c>
      <c r="E254" s="30"/>
      <c r="F254" s="20" t="n">
        <f aca="false">IF(A254="",0,COUNTIF('Metric to Product'!$A:$A,A254))</f>
        <v>0</v>
      </c>
      <c r="G254" s="30"/>
      <c r="H254" s="30"/>
      <c r="I254" s="30"/>
    </row>
    <row r="255" customFormat="false" ht="15" hidden="false" customHeight="false" outlineLevel="0" collapsed="false">
      <c r="A255" s="29"/>
      <c r="B255" s="29"/>
      <c r="C255" s="20" t="str">
        <f aca="false">IF(A255="","",IFERROR(INDEX(Metrics!$C:$C,MATCH(A255,Metrics!$A:$A,0)),"ID not found"))</f>
        <v/>
      </c>
      <c r="D255" s="20" t="str">
        <f aca="false">IF(B255="","",IFERROR(INDEX(Fields!$B:$B,MATCH(B255,Fields!$A:$A,0)),"ID not found"))</f>
        <v/>
      </c>
      <c r="E255" s="30"/>
      <c r="F255" s="20" t="n">
        <f aca="false">IF(A255="",0,COUNTIF('Metric to Product'!$A:$A,A255))</f>
        <v>0</v>
      </c>
      <c r="G255" s="30"/>
      <c r="H255" s="30"/>
      <c r="I255" s="30"/>
    </row>
    <row r="256" customFormat="false" ht="15" hidden="false" customHeight="false" outlineLevel="0" collapsed="false">
      <c r="A256" s="29"/>
      <c r="B256" s="29"/>
      <c r="C256" s="20" t="str">
        <f aca="false">IF(A256="","",IFERROR(INDEX(Metrics!$C:$C,MATCH(A256,Metrics!$A:$A,0)),"ID not found"))</f>
        <v/>
      </c>
      <c r="D256" s="20" t="str">
        <f aca="false">IF(B256="","",IFERROR(INDEX(Fields!$B:$B,MATCH(B256,Fields!$A:$A,0)),"ID not found"))</f>
        <v/>
      </c>
      <c r="E256" s="30"/>
      <c r="F256" s="20" t="n">
        <f aca="false">IF(A256="",0,COUNTIF('Metric to Product'!$A:$A,A256))</f>
        <v>0</v>
      </c>
      <c r="G256" s="30"/>
      <c r="H256" s="30"/>
      <c r="I256" s="30"/>
    </row>
    <row r="257" customFormat="false" ht="15" hidden="false" customHeight="false" outlineLevel="0" collapsed="false">
      <c r="A257" s="29"/>
      <c r="B257" s="29"/>
      <c r="C257" s="20" t="str">
        <f aca="false">IF(A257="","",IFERROR(INDEX(Metrics!$C:$C,MATCH(A257,Metrics!$A:$A,0)),"ID not found"))</f>
        <v/>
      </c>
      <c r="D257" s="20" t="str">
        <f aca="false">IF(B257="","",IFERROR(INDEX(Fields!$B:$B,MATCH(B257,Fields!$A:$A,0)),"ID not found"))</f>
        <v/>
      </c>
      <c r="E257" s="30"/>
      <c r="F257" s="20" t="n">
        <f aca="false">IF(A257="",0,COUNTIF('Metric to Product'!$A:$A,A257))</f>
        <v>0</v>
      </c>
      <c r="G257" s="30"/>
      <c r="H257" s="30"/>
      <c r="I257" s="30"/>
    </row>
    <row r="258" customFormat="false" ht="15" hidden="false" customHeight="false" outlineLevel="0" collapsed="false">
      <c r="A258" s="29"/>
      <c r="B258" s="29"/>
      <c r="C258" s="20" t="str">
        <f aca="false">IF(A258="","",IFERROR(INDEX(Metrics!$C:$C,MATCH(A258,Metrics!$A:$A,0)),"ID not found"))</f>
        <v/>
      </c>
      <c r="D258" s="20" t="str">
        <f aca="false">IF(B258="","",IFERROR(INDEX(Fields!$B:$B,MATCH(B258,Fields!$A:$A,0)),"ID not found"))</f>
        <v/>
      </c>
      <c r="E258" s="30"/>
      <c r="F258" s="20" t="n">
        <f aca="false">IF(A258="",0,COUNTIF('Metric to Product'!$A:$A,A258))</f>
        <v>0</v>
      </c>
      <c r="G258" s="30"/>
      <c r="H258" s="30"/>
      <c r="I258" s="30"/>
    </row>
    <row r="259" customFormat="false" ht="15" hidden="false" customHeight="false" outlineLevel="0" collapsed="false">
      <c r="A259" s="29"/>
      <c r="B259" s="29"/>
      <c r="C259" s="20" t="str">
        <f aca="false">IF(A259="","",IFERROR(INDEX(Metrics!$C:$C,MATCH(A259,Metrics!$A:$A,0)),"ID not found"))</f>
        <v/>
      </c>
      <c r="D259" s="20" t="str">
        <f aca="false">IF(B259="","",IFERROR(INDEX(Fields!$B:$B,MATCH(B259,Fields!$A:$A,0)),"ID not found"))</f>
        <v/>
      </c>
      <c r="E259" s="30"/>
      <c r="F259" s="20" t="n">
        <f aca="false">IF(A259="",0,COUNTIF('Metric to Product'!$A:$A,A259))</f>
        <v>0</v>
      </c>
      <c r="G259" s="30"/>
      <c r="H259" s="30"/>
      <c r="I259" s="30"/>
    </row>
    <row r="260" customFormat="false" ht="15" hidden="false" customHeight="false" outlineLevel="0" collapsed="false">
      <c r="A260" s="29"/>
      <c r="B260" s="29"/>
      <c r="C260" s="20" t="str">
        <f aca="false">IF(A260="","",IFERROR(INDEX(Metrics!$C:$C,MATCH(A260,Metrics!$A:$A,0)),"ID not found"))</f>
        <v/>
      </c>
      <c r="D260" s="20" t="str">
        <f aca="false">IF(B260="","",IFERROR(INDEX(Fields!$B:$B,MATCH(B260,Fields!$A:$A,0)),"ID not found"))</f>
        <v/>
      </c>
      <c r="E260" s="30"/>
      <c r="F260" s="20" t="n">
        <f aca="false">IF(A260="",0,COUNTIF('Metric to Product'!$A:$A,A260))</f>
        <v>0</v>
      </c>
      <c r="G260" s="30"/>
      <c r="H260" s="30"/>
      <c r="I260" s="30"/>
    </row>
    <row r="261" customFormat="false" ht="15" hidden="false" customHeight="false" outlineLevel="0" collapsed="false">
      <c r="A261" s="29"/>
      <c r="B261" s="29"/>
      <c r="C261" s="20" t="str">
        <f aca="false">IF(A261="","",IFERROR(INDEX(Metrics!$C:$C,MATCH(A261,Metrics!$A:$A,0)),"ID not found"))</f>
        <v/>
      </c>
      <c r="D261" s="20" t="str">
        <f aca="false">IF(B261="","",IFERROR(INDEX(Fields!$B:$B,MATCH(B261,Fields!$A:$A,0)),"ID not found"))</f>
        <v/>
      </c>
      <c r="E261" s="30"/>
      <c r="F261" s="20" t="n">
        <f aca="false">IF(A261="",0,COUNTIF('Metric to Product'!$A:$A,A261))</f>
        <v>0</v>
      </c>
      <c r="G261" s="30"/>
      <c r="H261" s="30"/>
      <c r="I261" s="30"/>
    </row>
    <row r="262" customFormat="false" ht="15" hidden="false" customHeight="false" outlineLevel="0" collapsed="false">
      <c r="A262" s="29"/>
      <c r="B262" s="29"/>
      <c r="C262" s="20" t="str">
        <f aca="false">IF(A262="","",IFERROR(INDEX(Metrics!$C:$C,MATCH(A262,Metrics!$A:$A,0)),"ID not found"))</f>
        <v/>
      </c>
      <c r="D262" s="20" t="str">
        <f aca="false">IF(B262="","",IFERROR(INDEX(Fields!$B:$B,MATCH(B262,Fields!$A:$A,0)),"ID not found"))</f>
        <v/>
      </c>
      <c r="E262" s="30"/>
      <c r="F262" s="20" t="n">
        <f aca="false">IF(A262="",0,COUNTIF('Metric to Product'!$A:$A,A262))</f>
        <v>0</v>
      </c>
      <c r="G262" s="30"/>
      <c r="H262" s="30"/>
      <c r="I262" s="30"/>
    </row>
    <row r="263" customFormat="false" ht="15" hidden="false" customHeight="false" outlineLevel="0" collapsed="false">
      <c r="A263" s="29"/>
      <c r="B263" s="29"/>
      <c r="C263" s="20" t="str">
        <f aca="false">IF(A263="","",IFERROR(INDEX(Metrics!$C:$C,MATCH(A263,Metrics!$A:$A,0)),"ID not found"))</f>
        <v/>
      </c>
      <c r="D263" s="20" t="str">
        <f aca="false">IF(B263="","",IFERROR(INDEX(Fields!$B:$B,MATCH(B263,Fields!$A:$A,0)),"ID not found"))</f>
        <v/>
      </c>
      <c r="E263" s="30"/>
      <c r="F263" s="20" t="n">
        <f aca="false">IF(A263="",0,COUNTIF('Metric to Product'!$A:$A,A263))</f>
        <v>0</v>
      </c>
      <c r="G263" s="30"/>
      <c r="H263" s="30"/>
      <c r="I263" s="30"/>
    </row>
    <row r="264" customFormat="false" ht="15" hidden="false" customHeight="false" outlineLevel="0" collapsed="false">
      <c r="A264" s="29"/>
      <c r="B264" s="29"/>
      <c r="C264" s="20" t="str">
        <f aca="false">IF(A264="","",IFERROR(INDEX(Metrics!$C:$C,MATCH(A264,Metrics!$A:$A,0)),"ID not found"))</f>
        <v/>
      </c>
      <c r="D264" s="20" t="str">
        <f aca="false">IF(B264="","",IFERROR(INDEX(Fields!$B:$B,MATCH(B264,Fields!$A:$A,0)),"ID not found"))</f>
        <v/>
      </c>
      <c r="E264" s="30"/>
      <c r="F264" s="20" t="n">
        <f aca="false">IF(A264="",0,COUNTIF('Metric to Product'!$A:$A,A264))</f>
        <v>0</v>
      </c>
      <c r="G264" s="30"/>
      <c r="H264" s="30"/>
      <c r="I264" s="30"/>
    </row>
    <row r="265" customFormat="false" ht="15" hidden="false" customHeight="false" outlineLevel="0" collapsed="false">
      <c r="A265" s="29"/>
      <c r="B265" s="29"/>
      <c r="C265" s="20" t="str">
        <f aca="false">IF(A265="","",IFERROR(INDEX(Metrics!$C:$C,MATCH(A265,Metrics!$A:$A,0)),"ID not found"))</f>
        <v/>
      </c>
      <c r="D265" s="20" t="str">
        <f aca="false">IF(B265="","",IFERROR(INDEX(Fields!$B:$B,MATCH(B265,Fields!$A:$A,0)),"ID not found"))</f>
        <v/>
      </c>
      <c r="E265" s="30"/>
      <c r="F265" s="20" t="n">
        <f aca="false">IF(A265="",0,COUNTIF('Metric to Product'!$A:$A,A265))</f>
        <v>0</v>
      </c>
      <c r="G265" s="30"/>
      <c r="H265" s="30"/>
      <c r="I265" s="30"/>
    </row>
    <row r="266" customFormat="false" ht="15" hidden="false" customHeight="false" outlineLevel="0" collapsed="false">
      <c r="A266" s="29"/>
      <c r="B266" s="29"/>
      <c r="C266" s="20" t="str">
        <f aca="false">IF(A266="","",IFERROR(INDEX(Metrics!$C:$C,MATCH(A266,Metrics!$A:$A,0)),"ID not found"))</f>
        <v/>
      </c>
      <c r="D266" s="20" t="str">
        <f aca="false">IF(B266="","",IFERROR(INDEX(Fields!$B:$B,MATCH(B266,Fields!$A:$A,0)),"ID not found"))</f>
        <v/>
      </c>
      <c r="E266" s="30"/>
      <c r="F266" s="20" t="n">
        <f aca="false">IF(A266="",0,COUNTIF('Metric to Product'!$A:$A,A266))</f>
        <v>0</v>
      </c>
      <c r="G266" s="30"/>
      <c r="H266" s="30"/>
      <c r="I266" s="30"/>
    </row>
    <row r="267" customFormat="false" ht="15" hidden="false" customHeight="false" outlineLevel="0" collapsed="false">
      <c r="A267" s="29"/>
      <c r="B267" s="29"/>
      <c r="C267" s="20" t="str">
        <f aca="false">IF(A267="","",IFERROR(INDEX(Metrics!$C:$C,MATCH(A267,Metrics!$A:$A,0)),"ID not found"))</f>
        <v/>
      </c>
      <c r="D267" s="20" t="str">
        <f aca="false">IF(B267="","",IFERROR(INDEX(Fields!$B:$B,MATCH(B267,Fields!$A:$A,0)),"ID not found"))</f>
        <v/>
      </c>
      <c r="E267" s="30"/>
      <c r="F267" s="20" t="n">
        <f aca="false">IF(A267="",0,COUNTIF('Metric to Product'!$A:$A,A267))</f>
        <v>0</v>
      </c>
      <c r="G267" s="30"/>
      <c r="H267" s="30"/>
      <c r="I267" s="30"/>
    </row>
    <row r="268" customFormat="false" ht="15" hidden="false" customHeight="false" outlineLevel="0" collapsed="false">
      <c r="A268" s="29"/>
      <c r="B268" s="29"/>
      <c r="C268" s="20" t="str">
        <f aca="false">IF(A268="","",IFERROR(INDEX(Metrics!$C:$C,MATCH(A268,Metrics!$A:$A,0)),"ID not found"))</f>
        <v/>
      </c>
      <c r="D268" s="20" t="str">
        <f aca="false">IF(B268="","",IFERROR(INDEX(Fields!$B:$B,MATCH(B268,Fields!$A:$A,0)),"ID not found"))</f>
        <v/>
      </c>
      <c r="E268" s="30"/>
      <c r="F268" s="20" t="n">
        <f aca="false">IF(A268="",0,COUNTIF('Metric to Product'!$A:$A,A268))</f>
        <v>0</v>
      </c>
      <c r="G268" s="30"/>
      <c r="H268" s="30"/>
      <c r="I268" s="30"/>
    </row>
    <row r="269" customFormat="false" ht="15" hidden="false" customHeight="false" outlineLevel="0" collapsed="false">
      <c r="A269" s="29"/>
      <c r="B269" s="29"/>
      <c r="C269" s="20" t="str">
        <f aca="false">IF(A269="","",IFERROR(INDEX(Metrics!$C:$C,MATCH(A269,Metrics!$A:$A,0)),"ID not found"))</f>
        <v/>
      </c>
      <c r="D269" s="20" t="str">
        <f aca="false">IF(B269="","",IFERROR(INDEX(Fields!$B:$B,MATCH(B269,Fields!$A:$A,0)),"ID not found"))</f>
        <v/>
      </c>
      <c r="E269" s="30"/>
      <c r="F269" s="20" t="n">
        <f aca="false">IF(A269="",0,COUNTIF('Metric to Product'!$A:$A,A269))</f>
        <v>0</v>
      </c>
      <c r="G269" s="30"/>
      <c r="H269" s="30"/>
      <c r="I269" s="30"/>
    </row>
    <row r="270" customFormat="false" ht="15" hidden="false" customHeight="false" outlineLevel="0" collapsed="false">
      <c r="A270" s="29"/>
      <c r="B270" s="29"/>
      <c r="C270" s="20" t="str">
        <f aca="false">IF(A270="","",IFERROR(INDEX(Metrics!$C:$C,MATCH(A270,Metrics!$A:$A,0)),"ID not found"))</f>
        <v/>
      </c>
      <c r="D270" s="20" t="str">
        <f aca="false">IF(B270="","",IFERROR(INDEX(Fields!$B:$B,MATCH(B270,Fields!$A:$A,0)),"ID not found"))</f>
        <v/>
      </c>
      <c r="E270" s="30"/>
      <c r="F270" s="20" t="n">
        <f aca="false">IF(A270="",0,COUNTIF('Metric to Product'!$A:$A,A270))</f>
        <v>0</v>
      </c>
      <c r="G270" s="30"/>
      <c r="H270" s="30"/>
      <c r="I270" s="30"/>
    </row>
    <row r="271" customFormat="false" ht="15" hidden="false" customHeight="false" outlineLevel="0" collapsed="false">
      <c r="A271" s="29"/>
      <c r="B271" s="29"/>
      <c r="C271" s="20" t="str">
        <f aca="false">IF(A271="","",IFERROR(INDEX(Metrics!$C:$C,MATCH(A271,Metrics!$A:$A,0)),"ID not found"))</f>
        <v/>
      </c>
      <c r="D271" s="20" t="str">
        <f aca="false">IF(B271="","",IFERROR(INDEX(Fields!$B:$B,MATCH(B271,Fields!$A:$A,0)),"ID not found"))</f>
        <v/>
      </c>
      <c r="E271" s="30"/>
      <c r="F271" s="20" t="n">
        <f aca="false">IF(A271="",0,COUNTIF('Metric to Product'!$A:$A,A271))</f>
        <v>0</v>
      </c>
      <c r="G271" s="30"/>
      <c r="H271" s="30"/>
      <c r="I271" s="30"/>
    </row>
    <row r="272" customFormat="false" ht="15" hidden="false" customHeight="false" outlineLevel="0" collapsed="false">
      <c r="A272" s="29"/>
      <c r="B272" s="29"/>
      <c r="C272" s="20" t="str">
        <f aca="false">IF(A272="","",IFERROR(INDEX(Metrics!$C:$C,MATCH(A272,Metrics!$A:$A,0)),"ID not found"))</f>
        <v/>
      </c>
      <c r="D272" s="20" t="str">
        <f aca="false">IF(B272="","",IFERROR(INDEX(Fields!$B:$B,MATCH(B272,Fields!$A:$A,0)),"ID not found"))</f>
        <v/>
      </c>
      <c r="E272" s="30"/>
      <c r="F272" s="20" t="n">
        <f aca="false">IF(A272="",0,COUNTIF('Metric to Product'!$A:$A,A272))</f>
        <v>0</v>
      </c>
      <c r="G272" s="30"/>
      <c r="H272" s="30"/>
      <c r="I272" s="30"/>
    </row>
    <row r="273" customFormat="false" ht="15" hidden="false" customHeight="false" outlineLevel="0" collapsed="false">
      <c r="A273" s="29"/>
      <c r="B273" s="29"/>
      <c r="C273" s="20" t="str">
        <f aca="false">IF(A273="","",IFERROR(INDEX(Metrics!$C:$C,MATCH(A273,Metrics!$A:$A,0)),"ID not found"))</f>
        <v/>
      </c>
      <c r="D273" s="20" t="str">
        <f aca="false">IF(B273="","",IFERROR(INDEX(Fields!$B:$B,MATCH(B273,Fields!$A:$A,0)),"ID not found"))</f>
        <v/>
      </c>
      <c r="E273" s="30"/>
      <c r="F273" s="20" t="n">
        <f aca="false">IF(A273="",0,COUNTIF('Metric to Product'!$A:$A,A273))</f>
        <v>0</v>
      </c>
      <c r="G273" s="30"/>
      <c r="H273" s="30"/>
      <c r="I273" s="30"/>
    </row>
    <row r="274" customFormat="false" ht="15" hidden="false" customHeight="false" outlineLevel="0" collapsed="false">
      <c r="A274" s="29"/>
      <c r="B274" s="29"/>
      <c r="C274" s="20" t="str">
        <f aca="false">IF(A274="","",IFERROR(INDEX(Metrics!$C:$C,MATCH(A274,Metrics!$A:$A,0)),"ID not found"))</f>
        <v/>
      </c>
      <c r="D274" s="20" t="str">
        <f aca="false">IF(B274="","",IFERROR(INDEX(Fields!$B:$B,MATCH(B274,Fields!$A:$A,0)),"ID not found"))</f>
        <v/>
      </c>
      <c r="E274" s="30"/>
      <c r="F274" s="20" t="n">
        <f aca="false">IF(A274="",0,COUNTIF('Metric to Product'!$A:$A,A274))</f>
        <v>0</v>
      </c>
      <c r="G274" s="30"/>
      <c r="H274" s="30"/>
      <c r="I274" s="30"/>
    </row>
    <row r="275" customFormat="false" ht="15" hidden="false" customHeight="false" outlineLevel="0" collapsed="false">
      <c r="A275" s="29"/>
      <c r="B275" s="29"/>
      <c r="C275" s="20" t="str">
        <f aca="false">IF(A275="","",IFERROR(INDEX(Metrics!$C:$C,MATCH(A275,Metrics!$A:$A,0)),"ID not found"))</f>
        <v/>
      </c>
      <c r="D275" s="20" t="str">
        <f aca="false">IF(B275="","",IFERROR(INDEX(Fields!$B:$B,MATCH(B275,Fields!$A:$A,0)),"ID not found"))</f>
        <v/>
      </c>
      <c r="E275" s="30"/>
      <c r="F275" s="20" t="n">
        <f aca="false">IF(A275="",0,COUNTIF('Metric to Product'!$A:$A,A275))</f>
        <v>0</v>
      </c>
      <c r="G275" s="30"/>
      <c r="H275" s="30"/>
      <c r="I275" s="30"/>
    </row>
    <row r="276" customFormat="false" ht="15" hidden="false" customHeight="false" outlineLevel="0" collapsed="false">
      <c r="A276" s="29"/>
      <c r="B276" s="29"/>
      <c r="C276" s="20" t="str">
        <f aca="false">IF(A276="","",IFERROR(INDEX(Metrics!$C:$C,MATCH(A276,Metrics!$A:$A,0)),"ID not found"))</f>
        <v/>
      </c>
      <c r="D276" s="20" t="str">
        <f aca="false">IF(B276="","",IFERROR(INDEX(Fields!$B:$B,MATCH(B276,Fields!$A:$A,0)),"ID not found"))</f>
        <v/>
      </c>
      <c r="E276" s="30"/>
      <c r="F276" s="20" t="n">
        <f aca="false">IF(A276="",0,COUNTIF('Metric to Product'!$A:$A,A276))</f>
        <v>0</v>
      </c>
      <c r="G276" s="30"/>
      <c r="H276" s="30"/>
      <c r="I276" s="30"/>
    </row>
    <row r="277" customFormat="false" ht="15" hidden="false" customHeight="false" outlineLevel="0" collapsed="false">
      <c r="A277" s="29"/>
      <c r="B277" s="29"/>
      <c r="C277" s="20" t="str">
        <f aca="false">IF(A277="","",IFERROR(INDEX(Metrics!$C:$C,MATCH(A277,Metrics!$A:$A,0)),"ID not found"))</f>
        <v/>
      </c>
      <c r="D277" s="20" t="str">
        <f aca="false">IF(B277="","",IFERROR(INDEX(Fields!$B:$B,MATCH(B277,Fields!$A:$A,0)),"ID not found"))</f>
        <v/>
      </c>
      <c r="E277" s="30"/>
      <c r="F277" s="20" t="n">
        <f aca="false">IF(A277="",0,COUNTIF('Metric to Product'!$A:$A,A277))</f>
        <v>0</v>
      </c>
      <c r="G277" s="30"/>
      <c r="H277" s="30"/>
      <c r="I277" s="30"/>
    </row>
    <row r="278" customFormat="false" ht="15" hidden="false" customHeight="false" outlineLevel="0" collapsed="false">
      <c r="A278" s="29"/>
      <c r="B278" s="29"/>
      <c r="C278" s="20" t="str">
        <f aca="false">IF(A278="","",IFERROR(INDEX(Metrics!$C:$C,MATCH(A278,Metrics!$A:$A,0)),"ID not found"))</f>
        <v/>
      </c>
      <c r="D278" s="20" t="str">
        <f aca="false">IF(B278="","",IFERROR(INDEX(Fields!$B:$B,MATCH(B278,Fields!$A:$A,0)),"ID not found"))</f>
        <v/>
      </c>
      <c r="E278" s="30"/>
      <c r="F278" s="20" t="n">
        <f aca="false">IF(A278="",0,COUNTIF('Metric to Product'!$A:$A,A278))</f>
        <v>0</v>
      </c>
      <c r="G278" s="30"/>
      <c r="H278" s="30"/>
      <c r="I278" s="30"/>
    </row>
    <row r="279" customFormat="false" ht="15" hidden="false" customHeight="false" outlineLevel="0" collapsed="false">
      <c r="A279" s="29"/>
      <c r="B279" s="29"/>
      <c r="C279" s="20" t="str">
        <f aca="false">IF(A279="","",IFERROR(INDEX(Metrics!$C:$C,MATCH(A279,Metrics!$A:$A,0)),"ID not found"))</f>
        <v/>
      </c>
      <c r="D279" s="20" t="str">
        <f aca="false">IF(B279="","",IFERROR(INDEX(Fields!$B:$B,MATCH(B279,Fields!$A:$A,0)),"ID not found"))</f>
        <v/>
      </c>
      <c r="E279" s="30"/>
      <c r="F279" s="20" t="n">
        <f aca="false">IF(A279="",0,COUNTIF('Metric to Product'!$A:$A,A279))</f>
        <v>0</v>
      </c>
      <c r="G279" s="30"/>
      <c r="H279" s="30"/>
      <c r="I279" s="30"/>
    </row>
    <row r="280" customFormat="false" ht="15" hidden="false" customHeight="false" outlineLevel="0" collapsed="false">
      <c r="A280" s="29"/>
      <c r="B280" s="29"/>
      <c r="C280" s="20" t="str">
        <f aca="false">IF(A280="","",IFERROR(INDEX(Metrics!$C:$C,MATCH(A280,Metrics!$A:$A,0)),"ID not found"))</f>
        <v/>
      </c>
      <c r="D280" s="20" t="str">
        <f aca="false">IF(B280="","",IFERROR(INDEX(Fields!$B:$B,MATCH(B280,Fields!$A:$A,0)),"ID not found"))</f>
        <v/>
      </c>
      <c r="E280" s="30"/>
      <c r="F280" s="20" t="n">
        <f aca="false">IF(A280="",0,COUNTIF('Metric to Product'!$A:$A,A280))</f>
        <v>0</v>
      </c>
      <c r="G280" s="30"/>
      <c r="H280" s="30"/>
      <c r="I280" s="30"/>
    </row>
    <row r="281" customFormat="false" ht="15" hidden="false" customHeight="false" outlineLevel="0" collapsed="false">
      <c r="A281" s="29"/>
      <c r="B281" s="29"/>
      <c r="C281" s="20" t="str">
        <f aca="false">IF(A281="","",IFERROR(INDEX(Metrics!$C:$C,MATCH(A281,Metrics!$A:$A,0)),"ID not found"))</f>
        <v/>
      </c>
      <c r="D281" s="20" t="str">
        <f aca="false">IF(B281="","",IFERROR(INDEX(Fields!$B:$B,MATCH(B281,Fields!$A:$A,0)),"ID not found"))</f>
        <v/>
      </c>
      <c r="E281" s="30"/>
      <c r="F281" s="20" t="n">
        <f aca="false">IF(A281="",0,COUNTIF('Metric to Product'!$A:$A,A281))</f>
        <v>0</v>
      </c>
      <c r="G281" s="30"/>
      <c r="H281" s="30"/>
      <c r="I281" s="30"/>
    </row>
    <row r="282" customFormat="false" ht="15" hidden="false" customHeight="false" outlineLevel="0" collapsed="false">
      <c r="A282" s="29"/>
      <c r="B282" s="29"/>
      <c r="C282" s="20" t="str">
        <f aca="false">IF(A282="","",IFERROR(INDEX(Metrics!$C:$C,MATCH(A282,Metrics!$A:$A,0)),"ID not found"))</f>
        <v/>
      </c>
      <c r="D282" s="20" t="str">
        <f aca="false">IF(B282="","",IFERROR(INDEX(Fields!$B:$B,MATCH(B282,Fields!$A:$A,0)),"ID not found"))</f>
        <v/>
      </c>
      <c r="E282" s="30"/>
      <c r="F282" s="20" t="n">
        <f aca="false">IF(A282="",0,COUNTIF('Metric to Product'!$A:$A,A282))</f>
        <v>0</v>
      </c>
      <c r="G282" s="30"/>
      <c r="H282" s="30"/>
      <c r="I282" s="30"/>
    </row>
    <row r="283" customFormat="false" ht="15" hidden="false" customHeight="false" outlineLevel="0" collapsed="false">
      <c r="A283" s="29"/>
      <c r="B283" s="29"/>
      <c r="C283" s="20" t="str">
        <f aca="false">IF(A283="","",IFERROR(INDEX(Metrics!$C:$C,MATCH(A283,Metrics!$A:$A,0)),"ID not found"))</f>
        <v/>
      </c>
      <c r="D283" s="20" t="str">
        <f aca="false">IF(B283="","",IFERROR(INDEX(Fields!$B:$B,MATCH(B283,Fields!$A:$A,0)),"ID not found"))</f>
        <v/>
      </c>
      <c r="E283" s="30"/>
      <c r="F283" s="20" t="n">
        <f aca="false">IF(A283="",0,COUNTIF('Metric to Product'!$A:$A,A283))</f>
        <v>0</v>
      </c>
      <c r="G283" s="30"/>
      <c r="H283" s="30"/>
      <c r="I283" s="30"/>
    </row>
    <row r="284" customFormat="false" ht="15" hidden="false" customHeight="false" outlineLevel="0" collapsed="false">
      <c r="A284" s="29"/>
      <c r="B284" s="29"/>
      <c r="C284" s="20" t="str">
        <f aca="false">IF(A284="","",IFERROR(INDEX(Metrics!$C:$C,MATCH(A284,Metrics!$A:$A,0)),"ID not found"))</f>
        <v/>
      </c>
      <c r="D284" s="20" t="str">
        <f aca="false">IF(B284="","",IFERROR(INDEX(Fields!$B:$B,MATCH(B284,Fields!$A:$A,0)),"ID not found"))</f>
        <v/>
      </c>
      <c r="E284" s="30"/>
      <c r="F284" s="20" t="n">
        <f aca="false">IF(A284="",0,COUNTIF('Metric to Product'!$A:$A,A284))</f>
        <v>0</v>
      </c>
      <c r="G284" s="30"/>
      <c r="H284" s="30"/>
      <c r="I284" s="30"/>
    </row>
    <row r="285" customFormat="false" ht="15" hidden="false" customHeight="false" outlineLevel="0" collapsed="false">
      <c r="A285" s="29"/>
      <c r="B285" s="29"/>
      <c r="C285" s="20" t="str">
        <f aca="false">IF(A285="","",IFERROR(INDEX(Metrics!$C:$C,MATCH(A285,Metrics!$A:$A,0)),"ID not found"))</f>
        <v/>
      </c>
      <c r="D285" s="20" t="str">
        <f aca="false">IF(B285="","",IFERROR(INDEX(Fields!$B:$B,MATCH(B285,Fields!$A:$A,0)),"ID not found"))</f>
        <v/>
      </c>
      <c r="E285" s="30"/>
      <c r="F285" s="20" t="n">
        <f aca="false">IF(A285="",0,COUNTIF('Metric to Product'!$A:$A,A285))</f>
        <v>0</v>
      </c>
      <c r="G285" s="30"/>
      <c r="H285" s="30"/>
      <c r="I285" s="30"/>
    </row>
    <row r="286" customFormat="false" ht="15" hidden="false" customHeight="false" outlineLevel="0" collapsed="false">
      <c r="A286" s="29"/>
      <c r="B286" s="29"/>
      <c r="C286" s="20" t="str">
        <f aca="false">IF(A286="","",IFERROR(INDEX(Metrics!$C:$C,MATCH(A286,Metrics!$A:$A,0)),"ID not found"))</f>
        <v/>
      </c>
      <c r="D286" s="20" t="str">
        <f aca="false">IF(B286="","",IFERROR(INDEX(Fields!$B:$B,MATCH(B286,Fields!$A:$A,0)),"ID not found"))</f>
        <v/>
      </c>
      <c r="E286" s="30"/>
      <c r="F286" s="20" t="n">
        <f aca="false">IF(A286="",0,COUNTIF('Metric to Product'!$A:$A,A286))</f>
        <v>0</v>
      </c>
      <c r="G286" s="30"/>
      <c r="H286" s="30"/>
      <c r="I286" s="30"/>
    </row>
    <row r="287" customFormat="false" ht="15" hidden="false" customHeight="false" outlineLevel="0" collapsed="false">
      <c r="A287" s="29"/>
      <c r="B287" s="29"/>
      <c r="C287" s="20" t="str">
        <f aca="false">IF(A287="","",IFERROR(INDEX(Metrics!$C:$C,MATCH(A287,Metrics!$A:$A,0)),"ID not found"))</f>
        <v/>
      </c>
      <c r="D287" s="20" t="str">
        <f aca="false">IF(B287="","",IFERROR(INDEX(Fields!$B:$B,MATCH(B287,Fields!$A:$A,0)),"ID not found"))</f>
        <v/>
      </c>
      <c r="E287" s="30"/>
      <c r="F287" s="20" t="n">
        <f aca="false">IF(A287="",0,COUNTIF('Metric to Product'!$A:$A,A287))</f>
        <v>0</v>
      </c>
      <c r="G287" s="30"/>
      <c r="H287" s="30"/>
      <c r="I287" s="30"/>
    </row>
    <row r="288" customFormat="false" ht="15" hidden="false" customHeight="false" outlineLevel="0" collapsed="false">
      <c r="A288" s="29"/>
      <c r="B288" s="29"/>
      <c r="C288" s="20" t="str">
        <f aca="false">IF(A288="","",IFERROR(INDEX(Metrics!$C:$C,MATCH(A288,Metrics!$A:$A,0)),"ID not found"))</f>
        <v/>
      </c>
      <c r="D288" s="20" t="str">
        <f aca="false">IF(B288="","",IFERROR(INDEX(Fields!$B:$B,MATCH(B288,Fields!$A:$A,0)),"ID not found"))</f>
        <v/>
      </c>
      <c r="E288" s="30"/>
      <c r="F288" s="20" t="n">
        <f aca="false">IF(A288="",0,COUNTIF('Metric to Product'!$A:$A,A288))</f>
        <v>0</v>
      </c>
      <c r="G288" s="30"/>
      <c r="H288" s="30"/>
      <c r="I288" s="30"/>
    </row>
    <row r="289" customFormat="false" ht="15" hidden="false" customHeight="false" outlineLevel="0" collapsed="false">
      <c r="A289" s="29"/>
      <c r="B289" s="29"/>
      <c r="C289" s="20" t="str">
        <f aca="false">IF(A289="","",IFERROR(INDEX(Metrics!$C:$C,MATCH(A289,Metrics!$A:$A,0)),"ID not found"))</f>
        <v/>
      </c>
      <c r="D289" s="20" t="str">
        <f aca="false">IF(B289="","",IFERROR(INDEX(Fields!$B:$B,MATCH(B289,Fields!$A:$A,0)),"ID not found"))</f>
        <v/>
      </c>
      <c r="E289" s="30"/>
      <c r="F289" s="20" t="n">
        <f aca="false">IF(A289="",0,COUNTIF('Metric to Product'!$A:$A,A289))</f>
        <v>0</v>
      </c>
      <c r="G289" s="30"/>
      <c r="H289" s="30"/>
      <c r="I289" s="30"/>
    </row>
    <row r="290" customFormat="false" ht="15" hidden="false" customHeight="false" outlineLevel="0" collapsed="false">
      <c r="A290" s="29"/>
      <c r="B290" s="29"/>
      <c r="C290" s="20" t="str">
        <f aca="false">IF(A290="","",IFERROR(INDEX(Metrics!$C:$C,MATCH(A290,Metrics!$A:$A,0)),"ID not found"))</f>
        <v/>
      </c>
      <c r="D290" s="20" t="str">
        <f aca="false">IF(B290="","",IFERROR(INDEX(Fields!$B:$B,MATCH(B290,Fields!$A:$A,0)),"ID not found"))</f>
        <v/>
      </c>
      <c r="E290" s="30"/>
      <c r="F290" s="20" t="n">
        <f aca="false">IF(A290="",0,COUNTIF('Metric to Product'!$A:$A,A290))</f>
        <v>0</v>
      </c>
      <c r="G290" s="30"/>
      <c r="H290" s="30"/>
      <c r="I290" s="30"/>
    </row>
    <row r="291" customFormat="false" ht="15" hidden="false" customHeight="false" outlineLevel="0" collapsed="false">
      <c r="A291" s="29"/>
      <c r="B291" s="29"/>
      <c r="C291" s="20" t="str">
        <f aca="false">IF(A291="","",IFERROR(INDEX(Metrics!$C:$C,MATCH(A291,Metrics!$A:$A,0)),"ID not found"))</f>
        <v/>
      </c>
      <c r="D291" s="20" t="str">
        <f aca="false">IF(B291="","",IFERROR(INDEX(Fields!$B:$B,MATCH(B291,Fields!$A:$A,0)),"ID not found"))</f>
        <v/>
      </c>
      <c r="E291" s="30"/>
      <c r="F291" s="20" t="n">
        <f aca="false">IF(A291="",0,COUNTIF('Metric to Product'!$A:$A,A291))</f>
        <v>0</v>
      </c>
      <c r="G291" s="30"/>
      <c r="H291" s="30"/>
      <c r="I291" s="30"/>
    </row>
    <row r="292" customFormat="false" ht="15" hidden="false" customHeight="false" outlineLevel="0" collapsed="false">
      <c r="A292" s="29"/>
      <c r="B292" s="29"/>
      <c r="C292" s="20" t="str">
        <f aca="false">IF(A292="","",IFERROR(INDEX(Metrics!$C:$C,MATCH(A292,Metrics!$A:$A,0)),"ID not found"))</f>
        <v/>
      </c>
      <c r="D292" s="20" t="str">
        <f aca="false">IF(B292="","",IFERROR(INDEX(Fields!$B:$B,MATCH(B292,Fields!$A:$A,0)),"ID not found"))</f>
        <v/>
      </c>
      <c r="E292" s="30"/>
      <c r="F292" s="20" t="n">
        <f aca="false">IF(A292="",0,COUNTIF('Metric to Product'!$A:$A,A292))</f>
        <v>0</v>
      </c>
      <c r="G292" s="30"/>
      <c r="H292" s="30"/>
      <c r="I292" s="30"/>
    </row>
    <row r="293" customFormat="false" ht="15" hidden="false" customHeight="false" outlineLevel="0" collapsed="false">
      <c r="A293" s="29"/>
      <c r="B293" s="29"/>
      <c r="C293" s="20" t="str">
        <f aca="false">IF(A293="","",IFERROR(INDEX(Metrics!$C:$C,MATCH(A293,Metrics!$A:$A,0)),"ID not found"))</f>
        <v/>
      </c>
      <c r="D293" s="20" t="str">
        <f aca="false">IF(B293="","",IFERROR(INDEX(Fields!$B:$B,MATCH(B293,Fields!$A:$A,0)),"ID not found"))</f>
        <v/>
      </c>
      <c r="E293" s="30"/>
      <c r="F293" s="20" t="n">
        <f aca="false">IF(A293="",0,COUNTIF('Metric to Product'!$A:$A,A293))</f>
        <v>0</v>
      </c>
      <c r="G293" s="30"/>
      <c r="H293" s="30"/>
      <c r="I293" s="30"/>
    </row>
    <row r="294" customFormat="false" ht="15" hidden="false" customHeight="false" outlineLevel="0" collapsed="false">
      <c r="A294" s="29"/>
      <c r="B294" s="29"/>
      <c r="C294" s="20" t="str">
        <f aca="false">IF(A294="","",IFERROR(INDEX(Metrics!$C:$C,MATCH(A294,Metrics!$A:$A,0)),"ID not found"))</f>
        <v/>
      </c>
      <c r="D294" s="20" t="str">
        <f aca="false">IF(B294="","",IFERROR(INDEX(Fields!$B:$B,MATCH(B294,Fields!$A:$A,0)),"ID not found"))</f>
        <v/>
      </c>
      <c r="E294" s="30"/>
      <c r="F294" s="20" t="n">
        <f aca="false">IF(A294="",0,COUNTIF('Metric to Product'!$A:$A,A294))</f>
        <v>0</v>
      </c>
      <c r="G294" s="30"/>
      <c r="H294" s="30"/>
      <c r="I294" s="30"/>
    </row>
    <row r="295" customFormat="false" ht="15" hidden="false" customHeight="false" outlineLevel="0" collapsed="false">
      <c r="A295" s="29"/>
      <c r="B295" s="29"/>
      <c r="C295" s="20" t="str">
        <f aca="false">IF(A295="","",IFERROR(INDEX(Metrics!$C:$C,MATCH(A295,Metrics!$A:$A,0)),"ID not found"))</f>
        <v/>
      </c>
      <c r="D295" s="20" t="str">
        <f aca="false">IF(B295="","",IFERROR(INDEX(Fields!$B:$B,MATCH(B295,Fields!$A:$A,0)),"ID not found"))</f>
        <v/>
      </c>
      <c r="E295" s="30"/>
      <c r="F295" s="20" t="n">
        <f aca="false">IF(A295="",0,COUNTIF('Metric to Product'!$A:$A,A295))</f>
        <v>0</v>
      </c>
      <c r="G295" s="30"/>
      <c r="H295" s="30"/>
      <c r="I295" s="30"/>
    </row>
    <row r="296" customFormat="false" ht="15" hidden="false" customHeight="false" outlineLevel="0" collapsed="false">
      <c r="A296" s="29"/>
      <c r="B296" s="29"/>
      <c r="C296" s="20" t="str">
        <f aca="false">IF(A296="","",IFERROR(INDEX(Metrics!$C:$C,MATCH(A296,Metrics!$A:$A,0)),"ID not found"))</f>
        <v/>
      </c>
      <c r="D296" s="20" t="str">
        <f aca="false">IF(B296="","",IFERROR(INDEX(Fields!$B:$B,MATCH(B296,Fields!$A:$A,0)),"ID not found"))</f>
        <v/>
      </c>
      <c r="E296" s="30"/>
      <c r="F296" s="20" t="n">
        <f aca="false">IF(A296="",0,COUNTIF('Metric to Product'!$A:$A,A296))</f>
        <v>0</v>
      </c>
      <c r="G296" s="30"/>
      <c r="H296" s="30"/>
      <c r="I296" s="30"/>
    </row>
    <row r="297" customFormat="false" ht="15" hidden="false" customHeight="false" outlineLevel="0" collapsed="false">
      <c r="A297" s="29"/>
      <c r="B297" s="29"/>
      <c r="C297" s="20" t="str">
        <f aca="false">IF(A297="","",IFERROR(INDEX(Metrics!$C:$C,MATCH(A297,Metrics!$A:$A,0)),"ID not found"))</f>
        <v/>
      </c>
      <c r="D297" s="20" t="str">
        <f aca="false">IF(B297="","",IFERROR(INDEX(Fields!$B:$B,MATCH(B297,Fields!$A:$A,0)),"ID not found"))</f>
        <v/>
      </c>
      <c r="E297" s="30"/>
      <c r="F297" s="20" t="n">
        <f aca="false">IF(A297="",0,COUNTIF('Metric to Product'!$A:$A,A297))</f>
        <v>0</v>
      </c>
      <c r="G297" s="30"/>
      <c r="H297" s="30"/>
      <c r="I297" s="30"/>
    </row>
    <row r="298" customFormat="false" ht="15" hidden="false" customHeight="false" outlineLevel="0" collapsed="false">
      <c r="A298" s="29"/>
      <c r="B298" s="29"/>
      <c r="C298" s="20" t="str">
        <f aca="false">IF(A298="","",IFERROR(INDEX(Metrics!$C:$C,MATCH(A298,Metrics!$A:$A,0)),"ID not found"))</f>
        <v/>
      </c>
      <c r="D298" s="20" t="str">
        <f aca="false">IF(B298="","",IFERROR(INDEX(Fields!$B:$B,MATCH(B298,Fields!$A:$A,0)),"ID not found"))</f>
        <v/>
      </c>
      <c r="E298" s="30"/>
      <c r="F298" s="20" t="n">
        <f aca="false">IF(A298="",0,COUNTIF('Metric to Product'!$A:$A,A298))</f>
        <v>0</v>
      </c>
      <c r="G298" s="30"/>
      <c r="H298" s="30"/>
      <c r="I298" s="30"/>
    </row>
    <row r="299" customFormat="false" ht="15" hidden="false" customHeight="false" outlineLevel="0" collapsed="false">
      <c r="A299" s="29"/>
      <c r="B299" s="29"/>
      <c r="C299" s="20" t="str">
        <f aca="false">IF(A299="","",IFERROR(INDEX(Metrics!$C:$C,MATCH(A299,Metrics!$A:$A,0)),"ID not found"))</f>
        <v/>
      </c>
      <c r="D299" s="20" t="str">
        <f aca="false">IF(B299="","",IFERROR(INDEX(Fields!$B:$B,MATCH(B299,Fields!$A:$A,0)),"ID not found"))</f>
        <v/>
      </c>
      <c r="E299" s="30"/>
      <c r="F299" s="20" t="n">
        <f aca="false">IF(A299="",0,COUNTIF('Metric to Product'!$A:$A,A299))</f>
        <v>0</v>
      </c>
      <c r="G299" s="30"/>
      <c r="H299" s="30"/>
      <c r="I299" s="30"/>
    </row>
    <row r="300" customFormat="false" ht="15" hidden="false" customHeight="false" outlineLevel="0" collapsed="false">
      <c r="A300" s="29"/>
      <c r="B300" s="29"/>
      <c r="C300" s="20" t="str">
        <f aca="false">IF(A300="","",IFERROR(INDEX(Metrics!$C:$C,MATCH(A300,Metrics!$A:$A,0)),"ID not found"))</f>
        <v/>
      </c>
      <c r="D300" s="20" t="str">
        <f aca="false">IF(B300="","",IFERROR(INDEX(Fields!$B:$B,MATCH(B300,Fields!$A:$A,0)),"ID not found"))</f>
        <v/>
      </c>
      <c r="E300" s="30"/>
      <c r="F300" s="20" t="n">
        <f aca="false">IF(A300="",0,COUNTIF('Metric to Product'!$A:$A,A300))</f>
        <v>0</v>
      </c>
      <c r="G300" s="30"/>
      <c r="H300" s="30"/>
      <c r="I300" s="30"/>
    </row>
    <row r="301" customFormat="false" ht="15" hidden="false" customHeight="false" outlineLevel="0" collapsed="false">
      <c r="A301" s="29"/>
      <c r="B301" s="29"/>
      <c r="C301" s="20" t="str">
        <f aca="false">IF(A301="","",IFERROR(INDEX(Metrics!$C:$C,MATCH(A301,Metrics!$A:$A,0)),"ID not found"))</f>
        <v/>
      </c>
      <c r="D301" s="20" t="str">
        <f aca="false">IF(B301="","",IFERROR(INDEX(Fields!$B:$B,MATCH(B301,Fields!$A:$A,0)),"ID not found"))</f>
        <v/>
      </c>
      <c r="E301" s="30"/>
      <c r="F301" s="20" t="n">
        <f aca="false">IF(A301="",0,COUNTIF('Metric to Product'!$A:$A,A301))</f>
        <v>0</v>
      </c>
      <c r="G301" s="30"/>
      <c r="H301" s="30"/>
      <c r="I301" s="30"/>
    </row>
    <row r="302" customFormat="false" ht="15" hidden="false" customHeight="false" outlineLevel="0" collapsed="false">
      <c r="A302" s="29"/>
      <c r="B302" s="29"/>
      <c r="C302" s="20" t="str">
        <f aca="false">IF(A302="","",IFERROR(INDEX(Metrics!$C:$C,MATCH(A302,Metrics!$A:$A,0)),"ID not found"))</f>
        <v/>
      </c>
      <c r="D302" s="20" t="str">
        <f aca="false">IF(B302="","",IFERROR(INDEX(Fields!$B:$B,MATCH(B302,Fields!$A:$A,0)),"ID not found"))</f>
        <v/>
      </c>
      <c r="E302" s="30"/>
      <c r="F302" s="20" t="n">
        <f aca="false">IF(A302="",0,COUNTIF('Metric to Product'!$A:$A,A302))</f>
        <v>0</v>
      </c>
      <c r="G302" s="30"/>
      <c r="H302" s="30"/>
      <c r="I302" s="30"/>
    </row>
    <row r="303" customFormat="false" ht="15" hidden="false" customHeight="false" outlineLevel="0" collapsed="false">
      <c r="A303" s="29"/>
      <c r="B303" s="29"/>
      <c r="C303" s="20" t="str">
        <f aca="false">IF(A303="","",IFERROR(INDEX(Metrics!$C:$C,MATCH(A303,Metrics!$A:$A,0)),"ID not found"))</f>
        <v/>
      </c>
      <c r="D303" s="20" t="str">
        <f aca="false">IF(B303="","",IFERROR(INDEX(Fields!$B:$B,MATCH(B303,Fields!$A:$A,0)),"ID not found"))</f>
        <v/>
      </c>
      <c r="E303" s="30"/>
      <c r="F303" s="20" t="n">
        <f aca="false">IF(A303="",0,COUNTIF('Metric to Product'!$A:$A,A303))</f>
        <v>0</v>
      </c>
      <c r="G303" s="30"/>
      <c r="H303" s="30"/>
      <c r="I303" s="30"/>
    </row>
    <row r="304" customFormat="false" ht="15" hidden="false" customHeight="false" outlineLevel="0" collapsed="false">
      <c r="A304" s="29"/>
      <c r="B304" s="29"/>
      <c r="C304" s="20" t="str">
        <f aca="false">IF(A304="","",IFERROR(INDEX(Metrics!$C:$C,MATCH(A304,Metrics!$A:$A,0)),"ID not found"))</f>
        <v/>
      </c>
      <c r="D304" s="20" t="str">
        <f aca="false">IF(B304="","",IFERROR(INDEX(Fields!$B:$B,MATCH(B304,Fields!$A:$A,0)),"ID not found"))</f>
        <v/>
      </c>
      <c r="E304" s="30"/>
      <c r="F304" s="20" t="n">
        <f aca="false">IF(A304="",0,COUNTIF('Metric to Product'!$A:$A,A304))</f>
        <v>0</v>
      </c>
      <c r="G304" s="30"/>
      <c r="H304" s="30"/>
      <c r="I304" s="30"/>
    </row>
    <row r="305" customFormat="false" ht="15" hidden="false" customHeight="false" outlineLevel="0" collapsed="false">
      <c r="A305" s="29"/>
      <c r="B305" s="29"/>
      <c r="C305" s="20" t="str">
        <f aca="false">IF(A305="","",IFERROR(INDEX(Metrics!$C:$C,MATCH(A305,Metrics!$A:$A,0)),"ID not found"))</f>
        <v/>
      </c>
      <c r="D305" s="20" t="str">
        <f aca="false">IF(B305="","",IFERROR(INDEX(Fields!$B:$B,MATCH(B305,Fields!$A:$A,0)),"ID not found"))</f>
        <v/>
      </c>
      <c r="E305" s="30"/>
      <c r="F305" s="20" t="n">
        <f aca="false">IF(A305="",0,COUNTIF('Metric to Product'!$A:$A,A305))</f>
        <v>0</v>
      </c>
      <c r="G305" s="30"/>
      <c r="H305" s="30"/>
      <c r="I305" s="30"/>
    </row>
    <row r="306" customFormat="false" ht="15" hidden="false" customHeight="false" outlineLevel="0" collapsed="false">
      <c r="A306" s="29"/>
      <c r="B306" s="29"/>
      <c r="C306" s="20" t="str">
        <f aca="false">IF(A306="","",IFERROR(INDEX(Metrics!$C:$C,MATCH(A306,Metrics!$A:$A,0)),"ID not found"))</f>
        <v/>
      </c>
      <c r="D306" s="20" t="str">
        <f aca="false">IF(B306="","",IFERROR(INDEX(Fields!$B:$B,MATCH(B306,Fields!$A:$A,0)),"ID not found"))</f>
        <v/>
      </c>
      <c r="E306" s="30"/>
      <c r="F306" s="20" t="n">
        <f aca="false">IF(A306="",0,COUNTIF('Metric to Product'!$A:$A,A306))</f>
        <v>0</v>
      </c>
      <c r="G306" s="30"/>
      <c r="H306" s="30"/>
      <c r="I306" s="30"/>
    </row>
    <row r="307" customFormat="false" ht="15" hidden="false" customHeight="false" outlineLevel="0" collapsed="false">
      <c r="A307" s="29"/>
      <c r="B307" s="29"/>
      <c r="C307" s="20" t="str">
        <f aca="false">IF(A307="","",IFERROR(INDEX(Metrics!$C:$C,MATCH(A307,Metrics!$A:$A,0)),"ID not found"))</f>
        <v/>
      </c>
      <c r="D307" s="20" t="str">
        <f aca="false">IF(B307="","",IFERROR(INDEX(Fields!$B:$B,MATCH(B307,Fields!$A:$A,0)),"ID not found"))</f>
        <v/>
      </c>
      <c r="E307" s="30"/>
      <c r="F307" s="20" t="n">
        <f aca="false">IF(A307="",0,COUNTIF('Metric to Product'!$A:$A,A307))</f>
        <v>0</v>
      </c>
      <c r="G307" s="30"/>
      <c r="H307" s="30"/>
      <c r="I307" s="30"/>
    </row>
    <row r="308" customFormat="false" ht="15" hidden="false" customHeight="false" outlineLevel="0" collapsed="false">
      <c r="A308" s="29"/>
      <c r="B308" s="29"/>
      <c r="C308" s="20" t="str">
        <f aca="false">IF(A308="","",IFERROR(INDEX(Metrics!$C:$C,MATCH(A308,Metrics!$A:$A,0)),"ID not found"))</f>
        <v/>
      </c>
      <c r="D308" s="20" t="str">
        <f aca="false">IF(B308="","",IFERROR(INDEX(Fields!$B:$B,MATCH(B308,Fields!$A:$A,0)),"ID not found"))</f>
        <v/>
      </c>
      <c r="E308" s="30"/>
      <c r="F308" s="20" t="n">
        <f aca="false">IF(A308="",0,COUNTIF('Metric to Product'!$A:$A,A308))</f>
        <v>0</v>
      </c>
      <c r="G308" s="30"/>
      <c r="H308" s="30"/>
      <c r="I308" s="30"/>
    </row>
    <row r="309" customFormat="false" ht="15" hidden="false" customHeight="false" outlineLevel="0" collapsed="false">
      <c r="A309" s="29"/>
      <c r="B309" s="29"/>
      <c r="C309" s="20" t="str">
        <f aca="false">IF(A309="","",IFERROR(INDEX(Metrics!$C:$C,MATCH(A309,Metrics!$A:$A,0)),"ID not found"))</f>
        <v/>
      </c>
      <c r="D309" s="20" t="str">
        <f aca="false">IF(B309="","",IFERROR(INDEX(Fields!$B:$B,MATCH(B309,Fields!$A:$A,0)),"ID not found"))</f>
        <v/>
      </c>
      <c r="E309" s="30"/>
      <c r="F309" s="20" t="n">
        <f aca="false">IF(A309="",0,COUNTIF('Metric to Product'!$A:$A,A309))</f>
        <v>0</v>
      </c>
      <c r="G309" s="30"/>
      <c r="H309" s="30"/>
      <c r="I309" s="30"/>
    </row>
    <row r="310" customFormat="false" ht="15" hidden="false" customHeight="false" outlineLevel="0" collapsed="false">
      <c r="A310" s="29"/>
      <c r="B310" s="29"/>
      <c r="C310" s="20" t="str">
        <f aca="false">IF(A310="","",IFERROR(INDEX(Metrics!$C:$C,MATCH(A310,Metrics!$A:$A,0)),"ID not found"))</f>
        <v/>
      </c>
      <c r="D310" s="20" t="str">
        <f aca="false">IF(B310="","",IFERROR(INDEX(Fields!$B:$B,MATCH(B310,Fields!$A:$A,0)),"ID not found"))</f>
        <v/>
      </c>
      <c r="E310" s="30"/>
      <c r="F310" s="20" t="n">
        <f aca="false">IF(A310="",0,COUNTIF('Metric to Product'!$A:$A,A310))</f>
        <v>0</v>
      </c>
      <c r="G310" s="30"/>
      <c r="H310" s="30"/>
      <c r="I310" s="30"/>
    </row>
    <row r="311" customFormat="false" ht="15" hidden="false" customHeight="false" outlineLevel="0" collapsed="false">
      <c r="A311" s="29"/>
      <c r="B311" s="29"/>
      <c r="C311" s="20" t="str">
        <f aca="false">IF(A311="","",IFERROR(INDEX(Metrics!$C:$C,MATCH(A311,Metrics!$A:$A,0)),"ID not found"))</f>
        <v/>
      </c>
      <c r="D311" s="20" t="str">
        <f aca="false">IF(B311="","",IFERROR(INDEX(Fields!$B:$B,MATCH(B311,Fields!$A:$A,0)),"ID not found"))</f>
        <v/>
      </c>
      <c r="E311" s="30"/>
      <c r="F311" s="20" t="n">
        <f aca="false">IF(A311="",0,COUNTIF('Metric to Product'!$A:$A,A311))</f>
        <v>0</v>
      </c>
      <c r="G311" s="30"/>
      <c r="H311" s="30"/>
      <c r="I311" s="30"/>
    </row>
    <row r="312" customFormat="false" ht="15" hidden="false" customHeight="false" outlineLevel="0" collapsed="false">
      <c r="A312" s="29"/>
      <c r="B312" s="29"/>
      <c r="C312" s="20" t="str">
        <f aca="false">IF(A312="","",IFERROR(INDEX(Metrics!$C:$C,MATCH(A312,Metrics!$A:$A,0)),"ID not found"))</f>
        <v/>
      </c>
      <c r="D312" s="20" t="str">
        <f aca="false">IF(B312="","",IFERROR(INDEX(Fields!$B:$B,MATCH(B312,Fields!$A:$A,0)),"ID not found"))</f>
        <v/>
      </c>
      <c r="E312" s="30"/>
      <c r="F312" s="20" t="n">
        <f aca="false">IF(A312="",0,COUNTIF('Metric to Product'!$A:$A,A312))</f>
        <v>0</v>
      </c>
      <c r="G312" s="30"/>
      <c r="H312" s="30"/>
      <c r="I312" s="30"/>
    </row>
    <row r="313" customFormat="false" ht="15" hidden="false" customHeight="false" outlineLevel="0" collapsed="false">
      <c r="A313" s="29"/>
      <c r="B313" s="29"/>
      <c r="C313" s="20" t="str">
        <f aca="false">IF(A313="","",IFERROR(INDEX(Metrics!$C:$C,MATCH(A313,Metrics!$A:$A,0)),"ID not found"))</f>
        <v/>
      </c>
      <c r="D313" s="20" t="str">
        <f aca="false">IF(B313="","",IFERROR(INDEX(Fields!$B:$B,MATCH(B313,Fields!$A:$A,0)),"ID not found"))</f>
        <v/>
      </c>
      <c r="E313" s="30"/>
      <c r="F313" s="20" t="n">
        <f aca="false">IF(A313="",0,COUNTIF('Metric to Product'!$A:$A,A313))</f>
        <v>0</v>
      </c>
      <c r="G313" s="30"/>
      <c r="H313" s="30"/>
      <c r="I313" s="30"/>
    </row>
    <row r="314" customFormat="false" ht="15" hidden="false" customHeight="false" outlineLevel="0" collapsed="false">
      <c r="A314" s="29"/>
      <c r="B314" s="29"/>
      <c r="C314" s="20" t="str">
        <f aca="false">IF(A314="","",IFERROR(INDEX(Metrics!$C:$C,MATCH(A314,Metrics!$A:$A,0)),"ID not found"))</f>
        <v/>
      </c>
      <c r="D314" s="20" t="str">
        <f aca="false">IF(B314="","",IFERROR(INDEX(Fields!$B:$B,MATCH(B314,Fields!$A:$A,0)),"ID not found"))</f>
        <v/>
      </c>
      <c r="E314" s="30"/>
      <c r="F314" s="20" t="n">
        <f aca="false">IF(A314="",0,COUNTIF('Metric to Product'!$A:$A,A314))</f>
        <v>0</v>
      </c>
      <c r="G314" s="30"/>
      <c r="H314" s="30"/>
      <c r="I314" s="30"/>
    </row>
    <row r="315" customFormat="false" ht="15" hidden="false" customHeight="false" outlineLevel="0" collapsed="false">
      <c r="A315" s="29"/>
      <c r="B315" s="29"/>
      <c r="C315" s="20" t="str">
        <f aca="false">IF(A315="","",IFERROR(INDEX(Metrics!$C:$C,MATCH(A315,Metrics!$A:$A,0)),"ID not found"))</f>
        <v/>
      </c>
      <c r="D315" s="20" t="str">
        <f aca="false">IF(B315="","",IFERROR(INDEX(Fields!$B:$B,MATCH(B315,Fields!$A:$A,0)),"ID not found"))</f>
        <v/>
      </c>
      <c r="E315" s="30"/>
      <c r="F315" s="20" t="n">
        <f aca="false">IF(A315="",0,COUNTIF('Metric to Product'!$A:$A,A315))</f>
        <v>0</v>
      </c>
      <c r="G315" s="30"/>
      <c r="H315" s="30"/>
      <c r="I315" s="30"/>
    </row>
    <row r="316" customFormat="false" ht="15" hidden="false" customHeight="false" outlineLevel="0" collapsed="false">
      <c r="A316" s="29"/>
      <c r="B316" s="29"/>
      <c r="C316" s="20" t="str">
        <f aca="false">IF(A316="","",IFERROR(INDEX(Metrics!$C:$C,MATCH(A316,Metrics!$A:$A,0)),"ID not found"))</f>
        <v/>
      </c>
      <c r="D316" s="20" t="str">
        <f aca="false">IF(B316="","",IFERROR(INDEX(Fields!$B:$B,MATCH(B316,Fields!$A:$A,0)),"ID not found"))</f>
        <v/>
      </c>
      <c r="E316" s="30"/>
      <c r="F316" s="20" t="n">
        <f aca="false">IF(A316="",0,COUNTIF('Metric to Product'!$A:$A,A316))</f>
        <v>0</v>
      </c>
      <c r="G316" s="30"/>
      <c r="H316" s="30"/>
      <c r="I316" s="30"/>
    </row>
    <row r="317" customFormat="false" ht="15" hidden="false" customHeight="false" outlineLevel="0" collapsed="false">
      <c r="A317" s="29"/>
      <c r="B317" s="29"/>
      <c r="C317" s="20" t="str">
        <f aca="false">IF(A317="","",IFERROR(INDEX(Metrics!$C:$C,MATCH(A317,Metrics!$A:$A,0)),"ID not found"))</f>
        <v/>
      </c>
      <c r="D317" s="20" t="str">
        <f aca="false">IF(B317="","",IFERROR(INDEX(Fields!$B:$B,MATCH(B317,Fields!$A:$A,0)),"ID not found"))</f>
        <v/>
      </c>
      <c r="E317" s="30"/>
      <c r="F317" s="20" t="n">
        <f aca="false">IF(A317="",0,COUNTIF('Metric to Product'!$A:$A,A317))</f>
        <v>0</v>
      </c>
      <c r="G317" s="30"/>
      <c r="H317" s="30"/>
      <c r="I317" s="30"/>
    </row>
    <row r="318" customFormat="false" ht="15" hidden="false" customHeight="false" outlineLevel="0" collapsed="false">
      <c r="A318" s="29"/>
      <c r="B318" s="29"/>
      <c r="C318" s="20" t="str">
        <f aca="false">IF(A318="","",IFERROR(INDEX(Metrics!$C:$C,MATCH(A318,Metrics!$A:$A,0)),"ID not found"))</f>
        <v/>
      </c>
      <c r="D318" s="20" t="str">
        <f aca="false">IF(B318="","",IFERROR(INDEX(Fields!$B:$B,MATCH(B318,Fields!$A:$A,0)),"ID not found"))</f>
        <v/>
      </c>
      <c r="E318" s="30"/>
      <c r="F318" s="20" t="n">
        <f aca="false">IF(A318="",0,COUNTIF('Metric to Product'!$A:$A,A318))</f>
        <v>0</v>
      </c>
      <c r="G318" s="30"/>
      <c r="H318" s="30"/>
      <c r="I318" s="30"/>
    </row>
    <row r="319" customFormat="false" ht="15" hidden="false" customHeight="false" outlineLevel="0" collapsed="false">
      <c r="A319" s="29"/>
      <c r="B319" s="29"/>
      <c r="C319" s="20" t="str">
        <f aca="false">IF(A319="","",IFERROR(INDEX(Metrics!$C:$C,MATCH(A319,Metrics!$A:$A,0)),"ID not found"))</f>
        <v/>
      </c>
      <c r="D319" s="20" t="str">
        <f aca="false">IF(B319="","",IFERROR(INDEX(Fields!$B:$B,MATCH(B319,Fields!$A:$A,0)),"ID not found"))</f>
        <v/>
      </c>
      <c r="E319" s="30"/>
      <c r="F319" s="20" t="n">
        <f aca="false">IF(A319="",0,COUNTIF('Metric to Product'!$A:$A,A319))</f>
        <v>0</v>
      </c>
      <c r="G319" s="30"/>
      <c r="H319" s="30"/>
      <c r="I319" s="30"/>
    </row>
    <row r="320" customFormat="false" ht="15" hidden="false" customHeight="false" outlineLevel="0" collapsed="false">
      <c r="A320" s="29"/>
      <c r="B320" s="29"/>
      <c r="C320" s="20" t="str">
        <f aca="false">IF(A320="","",IFERROR(INDEX(Metrics!$C:$C,MATCH(A320,Metrics!$A:$A,0)),"ID not found"))</f>
        <v/>
      </c>
      <c r="D320" s="20" t="str">
        <f aca="false">IF(B320="","",IFERROR(INDEX(Fields!$B:$B,MATCH(B320,Fields!$A:$A,0)),"ID not found"))</f>
        <v/>
      </c>
      <c r="E320" s="30"/>
      <c r="F320" s="20" t="n">
        <f aca="false">IF(A320="",0,COUNTIF('Metric to Product'!$A:$A,A320))</f>
        <v>0</v>
      </c>
      <c r="G320" s="30"/>
      <c r="H320" s="30"/>
      <c r="I320" s="30"/>
    </row>
    <row r="321" customFormat="false" ht="15" hidden="false" customHeight="false" outlineLevel="0" collapsed="false">
      <c r="A321" s="29"/>
      <c r="B321" s="29"/>
      <c r="C321" s="20" t="str">
        <f aca="false">IF(A321="","",IFERROR(INDEX(Metrics!$C:$C,MATCH(A321,Metrics!$A:$A,0)),"ID not found"))</f>
        <v/>
      </c>
      <c r="D321" s="20" t="str">
        <f aca="false">IF(B321="","",IFERROR(INDEX(Fields!$B:$B,MATCH(B321,Fields!$A:$A,0)),"ID not found"))</f>
        <v/>
      </c>
      <c r="E321" s="30"/>
      <c r="F321" s="20" t="n">
        <f aca="false">IF(A321="",0,COUNTIF('Metric to Product'!$A:$A,A321))</f>
        <v>0</v>
      </c>
      <c r="G321" s="30"/>
      <c r="H321" s="30"/>
      <c r="I321" s="30"/>
    </row>
    <row r="322" customFormat="false" ht="15" hidden="false" customHeight="false" outlineLevel="0" collapsed="false">
      <c r="A322" s="29"/>
      <c r="B322" s="29"/>
      <c r="C322" s="20" t="str">
        <f aca="false">IF(A322="","",IFERROR(INDEX(Metrics!$C:$C,MATCH(A322,Metrics!$A:$A,0)),"ID not found"))</f>
        <v/>
      </c>
      <c r="D322" s="20" t="str">
        <f aca="false">IF(B322="","",IFERROR(INDEX(Fields!$B:$B,MATCH(B322,Fields!$A:$A,0)),"ID not found"))</f>
        <v/>
      </c>
      <c r="E322" s="30"/>
      <c r="F322" s="20" t="n">
        <f aca="false">IF(A322="",0,COUNTIF('Metric to Product'!$A:$A,A322))</f>
        <v>0</v>
      </c>
      <c r="G322" s="30"/>
      <c r="H322" s="30"/>
      <c r="I322" s="30"/>
    </row>
    <row r="323" customFormat="false" ht="15" hidden="false" customHeight="false" outlineLevel="0" collapsed="false">
      <c r="A323" s="29"/>
      <c r="B323" s="29"/>
      <c r="C323" s="20" t="str">
        <f aca="false">IF(A323="","",IFERROR(INDEX(Metrics!$C:$C,MATCH(A323,Metrics!$A:$A,0)),"ID not found"))</f>
        <v/>
      </c>
      <c r="D323" s="20" t="str">
        <f aca="false">IF(B323="","",IFERROR(INDEX(Fields!$B:$B,MATCH(B323,Fields!$A:$A,0)),"ID not found"))</f>
        <v/>
      </c>
      <c r="E323" s="30"/>
      <c r="F323" s="20" t="n">
        <f aca="false">IF(A323="",0,COUNTIF('Metric to Product'!$A:$A,A323))</f>
        <v>0</v>
      </c>
      <c r="G323" s="30"/>
      <c r="H323" s="30"/>
      <c r="I323" s="30"/>
    </row>
    <row r="324" customFormat="false" ht="15" hidden="false" customHeight="false" outlineLevel="0" collapsed="false">
      <c r="A324" s="29"/>
      <c r="B324" s="29"/>
      <c r="C324" s="20" t="str">
        <f aca="false">IF(A324="","",IFERROR(INDEX(Metrics!$C:$C,MATCH(A324,Metrics!$A:$A,0)),"ID not found"))</f>
        <v/>
      </c>
      <c r="D324" s="20" t="str">
        <f aca="false">IF(B324="","",IFERROR(INDEX(Fields!$B:$B,MATCH(B324,Fields!$A:$A,0)),"ID not found"))</f>
        <v/>
      </c>
      <c r="E324" s="30"/>
      <c r="F324" s="20" t="n">
        <f aca="false">IF(A324="",0,COUNTIF('Metric to Product'!$A:$A,A324))</f>
        <v>0</v>
      </c>
      <c r="G324" s="30"/>
      <c r="H324" s="30"/>
      <c r="I324" s="30"/>
    </row>
    <row r="325" customFormat="false" ht="15" hidden="false" customHeight="false" outlineLevel="0" collapsed="false">
      <c r="A325" s="29"/>
      <c r="B325" s="29"/>
      <c r="C325" s="20" t="str">
        <f aca="false">IF(A325="","",IFERROR(INDEX(Metrics!$C:$C,MATCH(A325,Metrics!$A:$A,0)),"ID not found"))</f>
        <v/>
      </c>
      <c r="D325" s="20" t="str">
        <f aca="false">IF(B325="","",IFERROR(INDEX(Fields!$B:$B,MATCH(B325,Fields!$A:$A,0)),"ID not found"))</f>
        <v/>
      </c>
      <c r="E325" s="30"/>
      <c r="F325" s="20" t="n">
        <f aca="false">IF(A325="",0,COUNTIF('Metric to Product'!$A:$A,A325))</f>
        <v>0</v>
      </c>
      <c r="G325" s="30"/>
      <c r="H325" s="30"/>
      <c r="I325" s="30"/>
    </row>
    <row r="326" customFormat="false" ht="15" hidden="false" customHeight="false" outlineLevel="0" collapsed="false">
      <c r="A326" s="29"/>
      <c r="B326" s="29"/>
      <c r="C326" s="20" t="str">
        <f aca="false">IF(A326="","",IFERROR(INDEX(Metrics!$C:$C,MATCH(A326,Metrics!$A:$A,0)),"ID not found"))</f>
        <v/>
      </c>
      <c r="D326" s="20" t="str">
        <f aca="false">IF(B326="","",IFERROR(INDEX(Fields!$B:$B,MATCH(B326,Fields!$A:$A,0)),"ID not found"))</f>
        <v/>
      </c>
      <c r="E326" s="30"/>
      <c r="F326" s="20" t="n">
        <f aca="false">IF(A326="",0,COUNTIF('Metric to Product'!$A:$A,A326))</f>
        <v>0</v>
      </c>
      <c r="G326" s="30"/>
      <c r="H326" s="30"/>
      <c r="I326" s="30"/>
    </row>
    <row r="327" customFormat="false" ht="15" hidden="false" customHeight="false" outlineLevel="0" collapsed="false">
      <c r="A327" s="29"/>
      <c r="B327" s="29"/>
      <c r="C327" s="20" t="str">
        <f aca="false">IF(A327="","",IFERROR(INDEX(Metrics!$C:$C,MATCH(A327,Metrics!$A:$A,0)),"ID not found"))</f>
        <v/>
      </c>
      <c r="D327" s="20" t="str">
        <f aca="false">IF(B327="","",IFERROR(INDEX(Fields!$B:$B,MATCH(B327,Fields!$A:$A,0)),"ID not found"))</f>
        <v/>
      </c>
      <c r="E327" s="30"/>
      <c r="F327" s="20" t="n">
        <f aca="false">IF(A327="",0,COUNTIF('Metric to Product'!$A:$A,A327))</f>
        <v>0</v>
      </c>
      <c r="G327" s="30"/>
      <c r="H327" s="30"/>
      <c r="I327" s="30"/>
    </row>
    <row r="328" customFormat="false" ht="15" hidden="false" customHeight="false" outlineLevel="0" collapsed="false">
      <c r="A328" s="29"/>
      <c r="B328" s="29"/>
      <c r="C328" s="20" t="str">
        <f aca="false">IF(A328="","",IFERROR(INDEX(Metrics!$C:$C,MATCH(A328,Metrics!$A:$A,0)),"ID not found"))</f>
        <v/>
      </c>
      <c r="D328" s="20" t="str">
        <f aca="false">IF(B328="","",IFERROR(INDEX(Fields!$B:$B,MATCH(B328,Fields!$A:$A,0)),"ID not found"))</f>
        <v/>
      </c>
      <c r="E328" s="30"/>
      <c r="F328" s="20" t="n">
        <f aca="false">IF(A328="",0,COUNTIF('Metric to Product'!$A:$A,A328))</f>
        <v>0</v>
      </c>
      <c r="G328" s="30"/>
      <c r="H328" s="30"/>
      <c r="I328" s="30"/>
    </row>
    <row r="329" customFormat="false" ht="15" hidden="false" customHeight="false" outlineLevel="0" collapsed="false">
      <c r="A329" s="29"/>
      <c r="B329" s="29"/>
      <c r="C329" s="20" t="str">
        <f aca="false">IF(A329="","",IFERROR(INDEX(Metrics!$C:$C,MATCH(A329,Metrics!$A:$A,0)),"ID not found"))</f>
        <v/>
      </c>
      <c r="D329" s="20" t="str">
        <f aca="false">IF(B329="","",IFERROR(INDEX(Fields!$B:$B,MATCH(B329,Fields!$A:$A,0)),"ID not found"))</f>
        <v/>
      </c>
      <c r="E329" s="30"/>
      <c r="F329" s="20" t="n">
        <f aca="false">IF(A329="",0,COUNTIF('Metric to Product'!$A:$A,A329))</f>
        <v>0</v>
      </c>
      <c r="G329" s="30"/>
      <c r="H329" s="30"/>
      <c r="I329" s="30"/>
    </row>
    <row r="330" customFormat="false" ht="15" hidden="false" customHeight="false" outlineLevel="0" collapsed="false">
      <c r="A330" s="29"/>
      <c r="B330" s="29"/>
      <c r="C330" s="20" t="str">
        <f aca="false">IF(A330="","",IFERROR(INDEX(Metrics!$C:$C,MATCH(A330,Metrics!$A:$A,0)),"ID not found"))</f>
        <v/>
      </c>
      <c r="D330" s="20" t="str">
        <f aca="false">IF(B330="","",IFERROR(INDEX(Fields!$B:$B,MATCH(B330,Fields!$A:$A,0)),"ID not found"))</f>
        <v/>
      </c>
      <c r="E330" s="30"/>
      <c r="F330" s="20" t="n">
        <f aca="false">IF(A330="",0,COUNTIF('Metric to Product'!$A:$A,A330))</f>
        <v>0</v>
      </c>
      <c r="G330" s="30"/>
      <c r="H330" s="30"/>
      <c r="I330" s="30"/>
    </row>
    <row r="331" customFormat="false" ht="15" hidden="false" customHeight="false" outlineLevel="0" collapsed="false">
      <c r="A331" s="29"/>
      <c r="B331" s="29"/>
      <c r="C331" s="20" t="str">
        <f aca="false">IF(A331="","",IFERROR(INDEX(Metrics!$C:$C,MATCH(A331,Metrics!$A:$A,0)),"ID not found"))</f>
        <v/>
      </c>
      <c r="D331" s="20" t="str">
        <f aca="false">IF(B331="","",IFERROR(INDEX(Fields!$B:$B,MATCH(B331,Fields!$A:$A,0)),"ID not found"))</f>
        <v/>
      </c>
      <c r="E331" s="30"/>
      <c r="F331" s="20" t="n">
        <f aca="false">IF(A331="",0,COUNTIF('Metric to Product'!$A:$A,A331))</f>
        <v>0</v>
      </c>
      <c r="G331" s="30"/>
      <c r="H331" s="30"/>
      <c r="I331" s="30"/>
    </row>
    <row r="332" customFormat="false" ht="15" hidden="false" customHeight="false" outlineLevel="0" collapsed="false">
      <c r="A332" s="29"/>
      <c r="B332" s="29"/>
      <c r="C332" s="20" t="str">
        <f aca="false">IF(A332="","",IFERROR(INDEX(Metrics!$C:$C,MATCH(A332,Metrics!$A:$A,0)),"ID not found"))</f>
        <v/>
      </c>
      <c r="D332" s="20" t="str">
        <f aca="false">IF(B332="","",IFERROR(INDEX(Fields!$B:$B,MATCH(B332,Fields!$A:$A,0)),"ID not found"))</f>
        <v/>
      </c>
      <c r="E332" s="30"/>
      <c r="F332" s="20" t="n">
        <f aca="false">IF(A332="",0,COUNTIF('Metric to Product'!$A:$A,A332))</f>
        <v>0</v>
      </c>
      <c r="G332" s="30"/>
      <c r="H332" s="30"/>
      <c r="I332" s="30"/>
    </row>
    <row r="333" customFormat="false" ht="15" hidden="false" customHeight="false" outlineLevel="0" collapsed="false">
      <c r="A333" s="29"/>
      <c r="B333" s="29"/>
      <c r="C333" s="20" t="str">
        <f aca="false">IF(A333="","",IFERROR(INDEX(Metrics!$C:$C,MATCH(A333,Metrics!$A:$A,0)),"ID not found"))</f>
        <v/>
      </c>
      <c r="D333" s="20" t="str">
        <f aca="false">IF(B333="","",IFERROR(INDEX(Fields!$B:$B,MATCH(B333,Fields!$A:$A,0)),"ID not found"))</f>
        <v/>
      </c>
      <c r="E333" s="30"/>
      <c r="F333" s="20" t="n">
        <f aca="false">IF(A333="",0,COUNTIF('Metric to Product'!$A:$A,A333))</f>
        <v>0</v>
      </c>
      <c r="G333" s="30"/>
      <c r="H333" s="30"/>
      <c r="I333" s="30"/>
    </row>
    <row r="334" customFormat="false" ht="15" hidden="false" customHeight="false" outlineLevel="0" collapsed="false">
      <c r="A334" s="29"/>
      <c r="B334" s="29"/>
      <c r="C334" s="20" t="str">
        <f aca="false">IF(A334="","",IFERROR(INDEX(Metrics!$C:$C,MATCH(A334,Metrics!$A:$A,0)),"ID not found"))</f>
        <v/>
      </c>
      <c r="D334" s="20" t="str">
        <f aca="false">IF(B334="","",IFERROR(INDEX(Fields!$B:$B,MATCH(B334,Fields!$A:$A,0)),"ID not found"))</f>
        <v/>
      </c>
      <c r="E334" s="30"/>
      <c r="F334" s="20" t="n">
        <f aca="false">IF(A334="",0,COUNTIF('Metric to Product'!$A:$A,A334))</f>
        <v>0</v>
      </c>
      <c r="G334" s="30"/>
      <c r="H334" s="30"/>
      <c r="I334" s="30"/>
    </row>
    <row r="335" customFormat="false" ht="15" hidden="false" customHeight="false" outlineLevel="0" collapsed="false">
      <c r="A335" s="29"/>
      <c r="B335" s="29"/>
      <c r="C335" s="20" t="str">
        <f aca="false">IF(A335="","",IFERROR(INDEX(Metrics!$C:$C,MATCH(A335,Metrics!$A:$A,0)),"ID not found"))</f>
        <v/>
      </c>
      <c r="D335" s="20" t="str">
        <f aca="false">IF(B335="","",IFERROR(INDEX(Fields!$B:$B,MATCH(B335,Fields!$A:$A,0)),"ID not found"))</f>
        <v/>
      </c>
      <c r="E335" s="30"/>
      <c r="F335" s="20" t="n">
        <f aca="false">IF(A335="",0,COUNTIF('Metric to Product'!$A:$A,A335))</f>
        <v>0</v>
      </c>
      <c r="G335" s="30"/>
      <c r="H335" s="30"/>
      <c r="I335" s="30"/>
    </row>
    <row r="336" customFormat="false" ht="15" hidden="false" customHeight="false" outlineLevel="0" collapsed="false">
      <c r="A336" s="29"/>
      <c r="B336" s="29"/>
      <c r="C336" s="20" t="str">
        <f aca="false">IF(A336="","",IFERROR(INDEX(Metrics!$C:$C,MATCH(A336,Metrics!$A:$A,0)),"ID not found"))</f>
        <v/>
      </c>
      <c r="D336" s="20" t="str">
        <f aca="false">IF(B336="","",IFERROR(INDEX(Fields!$B:$B,MATCH(B336,Fields!$A:$A,0)),"ID not found"))</f>
        <v/>
      </c>
      <c r="E336" s="30"/>
      <c r="F336" s="20" t="n">
        <f aca="false">IF(A336="",0,COUNTIF('Metric to Product'!$A:$A,A336))</f>
        <v>0</v>
      </c>
      <c r="G336" s="30"/>
      <c r="H336" s="30"/>
      <c r="I336" s="30"/>
    </row>
    <row r="337" customFormat="false" ht="15" hidden="false" customHeight="false" outlineLevel="0" collapsed="false">
      <c r="A337" s="29"/>
      <c r="B337" s="29"/>
      <c r="C337" s="20" t="str">
        <f aca="false">IF(A337="","",IFERROR(INDEX(Metrics!$C:$C,MATCH(A337,Metrics!$A:$A,0)),"ID not found"))</f>
        <v/>
      </c>
      <c r="D337" s="20" t="str">
        <f aca="false">IF(B337="","",IFERROR(INDEX(Fields!$B:$B,MATCH(B337,Fields!$A:$A,0)),"ID not found"))</f>
        <v/>
      </c>
      <c r="E337" s="30"/>
      <c r="F337" s="20" t="n">
        <f aca="false">IF(A337="",0,COUNTIF('Metric to Product'!$A:$A,A337))</f>
        <v>0</v>
      </c>
      <c r="G337" s="30"/>
      <c r="H337" s="30"/>
      <c r="I337" s="30"/>
    </row>
    <row r="338" customFormat="false" ht="15" hidden="false" customHeight="false" outlineLevel="0" collapsed="false">
      <c r="A338" s="29"/>
      <c r="B338" s="29"/>
      <c r="C338" s="20" t="str">
        <f aca="false">IF(A338="","",IFERROR(INDEX(Metrics!$C:$C,MATCH(A338,Metrics!$A:$A,0)),"ID not found"))</f>
        <v/>
      </c>
      <c r="D338" s="20" t="str">
        <f aca="false">IF(B338="","",IFERROR(INDEX(Fields!$B:$B,MATCH(B338,Fields!$A:$A,0)),"ID not found"))</f>
        <v/>
      </c>
      <c r="E338" s="30"/>
      <c r="F338" s="20" t="n">
        <f aca="false">IF(A338="",0,COUNTIF('Metric to Product'!$A:$A,A338))</f>
        <v>0</v>
      </c>
      <c r="G338" s="30"/>
      <c r="H338" s="30"/>
      <c r="I338" s="30"/>
    </row>
    <row r="339" customFormat="false" ht="15" hidden="false" customHeight="false" outlineLevel="0" collapsed="false">
      <c r="A339" s="29"/>
      <c r="B339" s="29"/>
      <c r="C339" s="20" t="str">
        <f aca="false">IF(A339="","",IFERROR(INDEX(Metrics!$C:$C,MATCH(A339,Metrics!$A:$A,0)),"ID not found"))</f>
        <v/>
      </c>
      <c r="D339" s="20" t="str">
        <f aca="false">IF(B339="","",IFERROR(INDEX(Fields!$B:$B,MATCH(B339,Fields!$A:$A,0)),"ID not found"))</f>
        <v/>
      </c>
      <c r="E339" s="30"/>
      <c r="F339" s="20" t="n">
        <f aca="false">IF(A339="",0,COUNTIF('Metric to Product'!$A:$A,A339))</f>
        <v>0</v>
      </c>
      <c r="G339" s="30"/>
      <c r="H339" s="30"/>
      <c r="I339" s="30"/>
    </row>
    <row r="340" customFormat="false" ht="15" hidden="false" customHeight="false" outlineLevel="0" collapsed="false">
      <c r="A340" s="29"/>
      <c r="B340" s="29"/>
      <c r="C340" s="20" t="str">
        <f aca="false">IF(A340="","",IFERROR(INDEX(Metrics!$C:$C,MATCH(A340,Metrics!$A:$A,0)),"ID not found"))</f>
        <v/>
      </c>
      <c r="D340" s="20" t="str">
        <f aca="false">IF(B340="","",IFERROR(INDEX(Fields!$B:$B,MATCH(B340,Fields!$A:$A,0)),"ID not found"))</f>
        <v/>
      </c>
      <c r="E340" s="30"/>
      <c r="F340" s="20" t="n">
        <f aca="false">IF(A340="",0,COUNTIF('Metric to Product'!$A:$A,A340))</f>
        <v>0</v>
      </c>
      <c r="G340" s="30"/>
      <c r="H340" s="30"/>
      <c r="I340" s="30"/>
    </row>
    <row r="341" customFormat="false" ht="15" hidden="false" customHeight="false" outlineLevel="0" collapsed="false">
      <c r="A341" s="29"/>
      <c r="B341" s="29"/>
      <c r="C341" s="20" t="str">
        <f aca="false">IF(A341="","",IFERROR(INDEX(Metrics!$C:$C,MATCH(A341,Metrics!$A:$A,0)),"ID not found"))</f>
        <v/>
      </c>
      <c r="D341" s="20" t="str">
        <f aca="false">IF(B341="","",IFERROR(INDEX(Fields!$B:$B,MATCH(B341,Fields!$A:$A,0)),"ID not found"))</f>
        <v/>
      </c>
      <c r="E341" s="30"/>
      <c r="F341" s="20" t="n">
        <f aca="false">IF(A341="",0,COUNTIF('Metric to Product'!$A:$A,A341))</f>
        <v>0</v>
      </c>
      <c r="G341" s="30"/>
      <c r="H341" s="30"/>
      <c r="I341" s="30"/>
    </row>
    <row r="342" customFormat="false" ht="15" hidden="false" customHeight="false" outlineLevel="0" collapsed="false">
      <c r="A342" s="29"/>
      <c r="B342" s="29"/>
      <c r="C342" s="20" t="str">
        <f aca="false">IF(A342="","",IFERROR(INDEX(Metrics!$C:$C,MATCH(A342,Metrics!$A:$A,0)),"ID not found"))</f>
        <v/>
      </c>
      <c r="D342" s="20" t="str">
        <f aca="false">IF(B342="","",IFERROR(INDEX(Fields!$B:$B,MATCH(B342,Fields!$A:$A,0)),"ID not found"))</f>
        <v/>
      </c>
      <c r="E342" s="30"/>
      <c r="F342" s="20" t="n">
        <f aca="false">IF(A342="",0,COUNTIF('Metric to Product'!$A:$A,A342))</f>
        <v>0</v>
      </c>
      <c r="G342" s="30"/>
      <c r="H342" s="30"/>
      <c r="I342" s="30"/>
    </row>
    <row r="343" customFormat="false" ht="15" hidden="false" customHeight="false" outlineLevel="0" collapsed="false">
      <c r="A343" s="29"/>
      <c r="B343" s="29"/>
      <c r="C343" s="20" t="str">
        <f aca="false">IF(A343="","",IFERROR(INDEX(Metrics!$C:$C,MATCH(A343,Metrics!$A:$A,0)),"ID not found"))</f>
        <v/>
      </c>
      <c r="D343" s="20" t="str">
        <f aca="false">IF(B343="","",IFERROR(INDEX(Fields!$B:$B,MATCH(B343,Fields!$A:$A,0)),"ID not found"))</f>
        <v/>
      </c>
      <c r="E343" s="30"/>
      <c r="F343" s="20" t="n">
        <f aca="false">IF(A343="",0,COUNTIF('Metric to Product'!$A:$A,A343))</f>
        <v>0</v>
      </c>
      <c r="G343" s="30"/>
      <c r="H343" s="30"/>
      <c r="I343" s="30"/>
    </row>
    <row r="344" customFormat="false" ht="15" hidden="false" customHeight="false" outlineLevel="0" collapsed="false">
      <c r="A344" s="29"/>
      <c r="B344" s="29"/>
      <c r="C344" s="20" t="str">
        <f aca="false">IF(A344="","",IFERROR(INDEX(Metrics!$C:$C,MATCH(A344,Metrics!$A:$A,0)),"ID not found"))</f>
        <v/>
      </c>
      <c r="D344" s="20" t="str">
        <f aca="false">IF(B344="","",IFERROR(INDEX(Fields!$B:$B,MATCH(B344,Fields!$A:$A,0)),"ID not found"))</f>
        <v/>
      </c>
      <c r="E344" s="30"/>
      <c r="F344" s="20" t="n">
        <f aca="false">IF(A344="",0,COUNTIF('Metric to Product'!$A:$A,A344))</f>
        <v>0</v>
      </c>
      <c r="G344" s="30"/>
      <c r="H344" s="30"/>
      <c r="I344" s="30"/>
    </row>
    <row r="345" customFormat="false" ht="15" hidden="false" customHeight="false" outlineLevel="0" collapsed="false">
      <c r="A345" s="29"/>
      <c r="B345" s="29"/>
      <c r="C345" s="20" t="str">
        <f aca="false">IF(A345="","",IFERROR(INDEX(Metrics!$C:$C,MATCH(A345,Metrics!$A:$A,0)),"ID not found"))</f>
        <v/>
      </c>
      <c r="D345" s="20" t="str">
        <f aca="false">IF(B345="","",IFERROR(INDEX(Fields!$B:$B,MATCH(B345,Fields!$A:$A,0)),"ID not found"))</f>
        <v/>
      </c>
      <c r="E345" s="30"/>
      <c r="F345" s="20" t="n">
        <f aca="false">IF(A345="",0,COUNTIF('Metric to Product'!$A:$A,A345))</f>
        <v>0</v>
      </c>
      <c r="G345" s="30"/>
      <c r="H345" s="30"/>
      <c r="I345" s="30"/>
    </row>
    <row r="346" customFormat="false" ht="15" hidden="false" customHeight="false" outlineLevel="0" collapsed="false">
      <c r="A346" s="29"/>
      <c r="B346" s="29"/>
      <c r="C346" s="20" t="str">
        <f aca="false">IF(A346="","",IFERROR(INDEX(Metrics!$C:$C,MATCH(A346,Metrics!$A:$A,0)),"ID not found"))</f>
        <v/>
      </c>
      <c r="D346" s="20" t="str">
        <f aca="false">IF(B346="","",IFERROR(INDEX(Fields!$B:$B,MATCH(B346,Fields!$A:$A,0)),"ID not found"))</f>
        <v/>
      </c>
      <c r="E346" s="30"/>
      <c r="F346" s="20" t="n">
        <f aca="false">IF(A346="",0,COUNTIF('Metric to Product'!$A:$A,A346))</f>
        <v>0</v>
      </c>
      <c r="G346" s="30"/>
      <c r="H346" s="30"/>
      <c r="I346" s="30"/>
    </row>
    <row r="347" customFormat="false" ht="15" hidden="false" customHeight="false" outlineLevel="0" collapsed="false">
      <c r="A347" s="29"/>
      <c r="B347" s="29"/>
      <c r="C347" s="20" t="str">
        <f aca="false">IF(A347="","",IFERROR(INDEX(Metrics!$C:$C,MATCH(A347,Metrics!$A:$A,0)),"ID not found"))</f>
        <v/>
      </c>
      <c r="D347" s="20" t="str">
        <f aca="false">IF(B347="","",IFERROR(INDEX(Fields!$B:$B,MATCH(B347,Fields!$A:$A,0)),"ID not found"))</f>
        <v/>
      </c>
      <c r="E347" s="30"/>
      <c r="F347" s="20" t="n">
        <f aca="false">IF(A347="",0,COUNTIF('Metric to Product'!$A:$A,A347))</f>
        <v>0</v>
      </c>
      <c r="G347" s="30"/>
      <c r="H347" s="30"/>
      <c r="I347" s="30"/>
    </row>
    <row r="348" customFormat="false" ht="15" hidden="false" customHeight="false" outlineLevel="0" collapsed="false">
      <c r="A348" s="29"/>
      <c r="B348" s="29"/>
      <c r="C348" s="20" t="str">
        <f aca="false">IF(A348="","",IFERROR(INDEX(Metrics!$C:$C,MATCH(A348,Metrics!$A:$A,0)),"ID not found"))</f>
        <v/>
      </c>
      <c r="D348" s="20" t="str">
        <f aca="false">IF(B348="","",IFERROR(INDEX(Fields!$B:$B,MATCH(B348,Fields!$A:$A,0)),"ID not found"))</f>
        <v/>
      </c>
      <c r="E348" s="30"/>
      <c r="F348" s="20" t="n">
        <f aca="false">IF(A348="",0,COUNTIF('Metric to Product'!$A:$A,A348))</f>
        <v>0</v>
      </c>
      <c r="G348" s="30"/>
      <c r="H348" s="30"/>
      <c r="I348" s="30"/>
    </row>
    <row r="349" customFormat="false" ht="15" hidden="false" customHeight="false" outlineLevel="0" collapsed="false">
      <c r="A349" s="29"/>
      <c r="B349" s="29"/>
      <c r="C349" s="20" t="str">
        <f aca="false">IF(A349="","",IFERROR(INDEX(Metrics!$C:$C,MATCH(A349,Metrics!$A:$A,0)),"ID not found"))</f>
        <v/>
      </c>
      <c r="D349" s="20" t="str">
        <f aca="false">IF(B349="","",IFERROR(INDEX(Fields!$B:$B,MATCH(B349,Fields!$A:$A,0)),"ID not found"))</f>
        <v/>
      </c>
      <c r="E349" s="30"/>
      <c r="F349" s="20" t="n">
        <f aca="false">IF(A349="",0,COUNTIF('Metric to Product'!$A:$A,A349))</f>
        <v>0</v>
      </c>
      <c r="G349" s="30"/>
      <c r="H349" s="30"/>
      <c r="I349" s="30"/>
    </row>
    <row r="350" customFormat="false" ht="15" hidden="false" customHeight="false" outlineLevel="0" collapsed="false">
      <c r="A350" s="29"/>
      <c r="B350" s="29"/>
      <c r="C350" s="20" t="str">
        <f aca="false">IF(A350="","",IFERROR(INDEX(Metrics!$C:$C,MATCH(A350,Metrics!$A:$A,0)),"ID not found"))</f>
        <v/>
      </c>
      <c r="D350" s="20" t="str">
        <f aca="false">IF(B350="","",IFERROR(INDEX(Fields!$B:$B,MATCH(B350,Fields!$A:$A,0)),"ID not found"))</f>
        <v/>
      </c>
      <c r="E350" s="30"/>
      <c r="F350" s="20" t="n">
        <f aca="false">IF(A350="",0,COUNTIF('Metric to Product'!$A:$A,A350))</f>
        <v>0</v>
      </c>
      <c r="G350" s="30"/>
      <c r="H350" s="30"/>
      <c r="I350" s="30"/>
    </row>
    <row r="351" customFormat="false" ht="15" hidden="false" customHeight="false" outlineLevel="0" collapsed="false">
      <c r="A351" s="29"/>
      <c r="B351" s="29"/>
      <c r="C351" s="20" t="str">
        <f aca="false">IF(A351="","",IFERROR(INDEX(Metrics!$C:$C,MATCH(A351,Metrics!$A:$A,0)),"ID not found"))</f>
        <v/>
      </c>
      <c r="D351" s="20" t="str">
        <f aca="false">IF(B351="","",IFERROR(INDEX(Fields!$B:$B,MATCH(B351,Fields!$A:$A,0)),"ID not found"))</f>
        <v/>
      </c>
      <c r="E351" s="30"/>
      <c r="F351" s="20" t="n">
        <f aca="false">IF(A351="",0,COUNTIF('Metric to Product'!$A:$A,A351))</f>
        <v>0</v>
      </c>
      <c r="G351" s="30"/>
      <c r="H351" s="30"/>
      <c r="I351" s="30"/>
    </row>
    <row r="352" customFormat="false" ht="15" hidden="false" customHeight="false" outlineLevel="0" collapsed="false">
      <c r="A352" s="29"/>
      <c r="B352" s="29"/>
      <c r="C352" s="20" t="str">
        <f aca="false">IF(A352="","",IFERROR(INDEX(Metrics!$C:$C,MATCH(A352,Metrics!$A:$A,0)),"ID not found"))</f>
        <v/>
      </c>
      <c r="D352" s="20" t="str">
        <f aca="false">IF(B352="","",IFERROR(INDEX(Fields!$B:$B,MATCH(B352,Fields!$A:$A,0)),"ID not found"))</f>
        <v/>
      </c>
      <c r="E352" s="30"/>
      <c r="F352" s="20" t="n">
        <f aca="false">IF(A352="",0,COUNTIF('Metric to Product'!$A:$A,A352))</f>
        <v>0</v>
      </c>
      <c r="G352" s="30"/>
      <c r="H352" s="30"/>
      <c r="I352" s="30"/>
    </row>
    <row r="353" customFormat="false" ht="15" hidden="false" customHeight="false" outlineLevel="0" collapsed="false">
      <c r="A353" s="29"/>
      <c r="B353" s="29"/>
      <c r="C353" s="20" t="str">
        <f aca="false">IF(A353="","",IFERROR(INDEX(Metrics!$C:$C,MATCH(A353,Metrics!$A:$A,0)),"ID not found"))</f>
        <v/>
      </c>
      <c r="D353" s="20" t="str">
        <f aca="false">IF(B353="","",IFERROR(INDEX(Fields!$B:$B,MATCH(B353,Fields!$A:$A,0)),"ID not found"))</f>
        <v/>
      </c>
      <c r="E353" s="30"/>
      <c r="F353" s="20" t="n">
        <f aca="false">IF(A353="",0,COUNTIF('Metric to Product'!$A:$A,A353))</f>
        <v>0</v>
      </c>
      <c r="G353" s="30"/>
      <c r="H353" s="30"/>
      <c r="I353" s="30"/>
    </row>
    <row r="354" customFormat="false" ht="15" hidden="false" customHeight="false" outlineLevel="0" collapsed="false">
      <c r="A354" s="29"/>
      <c r="B354" s="29"/>
      <c r="C354" s="20" t="str">
        <f aca="false">IF(A354="","",IFERROR(INDEX(Metrics!$C:$C,MATCH(A354,Metrics!$A:$A,0)),"ID not found"))</f>
        <v/>
      </c>
      <c r="D354" s="20" t="str">
        <f aca="false">IF(B354="","",IFERROR(INDEX(Fields!$B:$B,MATCH(B354,Fields!$A:$A,0)),"ID not found"))</f>
        <v/>
      </c>
      <c r="E354" s="30"/>
      <c r="F354" s="20" t="n">
        <f aca="false">IF(A354="",0,COUNTIF('Metric to Product'!$A:$A,A354))</f>
        <v>0</v>
      </c>
      <c r="G354" s="30"/>
      <c r="H354" s="30"/>
      <c r="I354" s="30"/>
    </row>
    <row r="355" customFormat="false" ht="15" hidden="false" customHeight="false" outlineLevel="0" collapsed="false">
      <c r="A355" s="29"/>
      <c r="B355" s="29"/>
      <c r="C355" s="20" t="str">
        <f aca="false">IF(A355="","",IFERROR(INDEX(Metrics!$C:$C,MATCH(A355,Metrics!$A:$A,0)),"ID not found"))</f>
        <v/>
      </c>
      <c r="D355" s="20" t="str">
        <f aca="false">IF(B355="","",IFERROR(INDEX(Fields!$B:$B,MATCH(B355,Fields!$A:$A,0)),"ID not found"))</f>
        <v/>
      </c>
      <c r="E355" s="30"/>
      <c r="F355" s="20" t="n">
        <f aca="false">IF(A355="",0,COUNTIF('Metric to Product'!$A:$A,A355))</f>
        <v>0</v>
      </c>
      <c r="G355" s="30"/>
      <c r="H355" s="30"/>
      <c r="I355" s="30"/>
    </row>
    <row r="356" customFormat="false" ht="15" hidden="false" customHeight="false" outlineLevel="0" collapsed="false">
      <c r="A356" s="29"/>
      <c r="B356" s="29"/>
      <c r="C356" s="20" t="str">
        <f aca="false">IF(A356="","",IFERROR(INDEX(Metrics!$C:$C,MATCH(A356,Metrics!$A:$A,0)),"ID not found"))</f>
        <v/>
      </c>
      <c r="D356" s="20" t="str">
        <f aca="false">IF(B356="","",IFERROR(INDEX(Fields!$B:$B,MATCH(B356,Fields!$A:$A,0)),"ID not found"))</f>
        <v/>
      </c>
      <c r="E356" s="30"/>
      <c r="F356" s="20" t="n">
        <f aca="false">IF(A356="",0,COUNTIF('Metric to Product'!$A:$A,A356))</f>
        <v>0</v>
      </c>
      <c r="G356" s="30"/>
      <c r="H356" s="30"/>
      <c r="I356" s="30"/>
    </row>
    <row r="357" customFormat="false" ht="15" hidden="false" customHeight="false" outlineLevel="0" collapsed="false">
      <c r="A357" s="29"/>
      <c r="B357" s="29"/>
      <c r="C357" s="20" t="str">
        <f aca="false">IF(A357="","",IFERROR(INDEX(Metrics!$C:$C,MATCH(A357,Metrics!$A:$A,0)),"ID not found"))</f>
        <v/>
      </c>
      <c r="D357" s="20" t="str">
        <f aca="false">IF(B357="","",IFERROR(INDEX(Fields!$B:$B,MATCH(B357,Fields!$A:$A,0)),"ID not found"))</f>
        <v/>
      </c>
      <c r="E357" s="30"/>
      <c r="F357" s="20" t="n">
        <f aca="false">IF(A357="",0,COUNTIF('Metric to Product'!$A:$A,A357))</f>
        <v>0</v>
      </c>
      <c r="G357" s="30"/>
      <c r="H357" s="30"/>
      <c r="I357" s="30"/>
    </row>
    <row r="358" customFormat="false" ht="15" hidden="false" customHeight="false" outlineLevel="0" collapsed="false">
      <c r="A358" s="29"/>
      <c r="B358" s="29"/>
      <c r="C358" s="20" t="str">
        <f aca="false">IF(A358="","",IFERROR(INDEX(Metrics!$C:$C,MATCH(A358,Metrics!$A:$A,0)),"ID not found"))</f>
        <v/>
      </c>
      <c r="D358" s="20" t="str">
        <f aca="false">IF(B358="","",IFERROR(INDEX(Fields!$B:$B,MATCH(B358,Fields!$A:$A,0)),"ID not found"))</f>
        <v/>
      </c>
      <c r="E358" s="30"/>
      <c r="F358" s="20" t="n">
        <f aca="false">IF(A358="",0,COUNTIF('Metric to Product'!$A:$A,A358))</f>
        <v>0</v>
      </c>
      <c r="G358" s="30"/>
      <c r="H358" s="30"/>
      <c r="I358" s="30"/>
    </row>
    <row r="359" customFormat="false" ht="15" hidden="false" customHeight="false" outlineLevel="0" collapsed="false">
      <c r="A359" s="29"/>
      <c r="B359" s="29"/>
      <c r="C359" s="20" t="str">
        <f aca="false">IF(A359="","",IFERROR(INDEX(Metrics!$C:$C,MATCH(A359,Metrics!$A:$A,0)),"ID not found"))</f>
        <v/>
      </c>
      <c r="D359" s="20" t="str">
        <f aca="false">IF(B359="","",IFERROR(INDEX(Fields!$B:$B,MATCH(B359,Fields!$A:$A,0)),"ID not found"))</f>
        <v/>
      </c>
      <c r="E359" s="30"/>
      <c r="F359" s="20" t="n">
        <f aca="false">IF(A359="",0,COUNTIF('Metric to Product'!$A:$A,A359))</f>
        <v>0</v>
      </c>
      <c r="G359" s="30"/>
      <c r="H359" s="30"/>
      <c r="I359" s="30"/>
    </row>
    <row r="360" customFormat="false" ht="15" hidden="false" customHeight="false" outlineLevel="0" collapsed="false">
      <c r="A360" s="29"/>
      <c r="B360" s="29"/>
      <c r="C360" s="20" t="str">
        <f aca="false">IF(A360="","",IFERROR(INDEX(Metrics!$C:$C,MATCH(A360,Metrics!$A:$A,0)),"ID not found"))</f>
        <v/>
      </c>
      <c r="D360" s="20" t="str">
        <f aca="false">IF(B360="","",IFERROR(INDEX(Fields!$B:$B,MATCH(B360,Fields!$A:$A,0)),"ID not found"))</f>
        <v/>
      </c>
      <c r="E360" s="30"/>
      <c r="F360" s="20" t="n">
        <f aca="false">IF(A360="",0,COUNTIF('Metric to Product'!$A:$A,A360))</f>
        <v>0</v>
      </c>
      <c r="G360" s="30"/>
      <c r="H360" s="30"/>
      <c r="I360" s="30"/>
    </row>
    <row r="361" customFormat="false" ht="15" hidden="false" customHeight="false" outlineLevel="0" collapsed="false">
      <c r="A361" s="29"/>
      <c r="B361" s="29"/>
      <c r="C361" s="20" t="str">
        <f aca="false">IF(A361="","",IFERROR(INDEX(Metrics!$C:$C,MATCH(A361,Metrics!$A:$A,0)),"ID not found"))</f>
        <v/>
      </c>
      <c r="D361" s="20" t="str">
        <f aca="false">IF(B361="","",IFERROR(INDEX(Fields!$B:$B,MATCH(B361,Fields!$A:$A,0)),"ID not found"))</f>
        <v/>
      </c>
      <c r="E361" s="30"/>
      <c r="F361" s="20" t="n">
        <f aca="false">IF(A361="",0,COUNTIF('Metric to Product'!$A:$A,A361))</f>
        <v>0</v>
      </c>
      <c r="G361" s="30"/>
      <c r="H361" s="30"/>
      <c r="I361" s="30"/>
    </row>
    <row r="362" customFormat="false" ht="15" hidden="false" customHeight="false" outlineLevel="0" collapsed="false">
      <c r="A362" s="29"/>
      <c r="B362" s="29"/>
      <c r="C362" s="20" t="str">
        <f aca="false">IF(A362="","",IFERROR(INDEX(Metrics!$C:$C,MATCH(A362,Metrics!$A:$A,0)),"ID not found"))</f>
        <v/>
      </c>
      <c r="D362" s="20" t="str">
        <f aca="false">IF(B362="","",IFERROR(INDEX(Fields!$B:$B,MATCH(B362,Fields!$A:$A,0)),"ID not found"))</f>
        <v/>
      </c>
      <c r="E362" s="30"/>
      <c r="F362" s="20" t="n">
        <f aca="false">IF(A362="",0,COUNTIF('Metric to Product'!$A:$A,A362))</f>
        <v>0</v>
      </c>
      <c r="G362" s="30"/>
      <c r="H362" s="30"/>
      <c r="I362" s="30"/>
    </row>
    <row r="363" customFormat="false" ht="15" hidden="false" customHeight="false" outlineLevel="0" collapsed="false">
      <c r="A363" s="29"/>
      <c r="B363" s="29"/>
      <c r="C363" s="20" t="str">
        <f aca="false">IF(A363="","",IFERROR(INDEX(Metrics!$C:$C,MATCH(A363,Metrics!$A:$A,0)),"ID not found"))</f>
        <v/>
      </c>
      <c r="D363" s="20" t="str">
        <f aca="false">IF(B363="","",IFERROR(INDEX(Fields!$B:$B,MATCH(B363,Fields!$A:$A,0)),"ID not found"))</f>
        <v/>
      </c>
      <c r="E363" s="30"/>
      <c r="F363" s="20" t="n">
        <f aca="false">IF(A363="",0,COUNTIF('Metric to Product'!$A:$A,A363))</f>
        <v>0</v>
      </c>
      <c r="G363" s="30"/>
      <c r="H363" s="30"/>
      <c r="I363" s="30"/>
    </row>
    <row r="364" customFormat="false" ht="15" hidden="false" customHeight="false" outlineLevel="0" collapsed="false">
      <c r="A364" s="29"/>
      <c r="B364" s="29"/>
      <c r="C364" s="20" t="str">
        <f aca="false">IF(A364="","",IFERROR(INDEX(Metrics!$C:$C,MATCH(A364,Metrics!$A:$A,0)),"ID not found"))</f>
        <v/>
      </c>
      <c r="D364" s="20" t="str">
        <f aca="false">IF(B364="","",IFERROR(INDEX(Fields!$B:$B,MATCH(B364,Fields!$A:$A,0)),"ID not found"))</f>
        <v/>
      </c>
      <c r="E364" s="30"/>
      <c r="F364" s="20" t="n">
        <f aca="false">IF(A364="",0,COUNTIF('Metric to Product'!$A:$A,A364))</f>
        <v>0</v>
      </c>
      <c r="G364" s="30"/>
      <c r="H364" s="30"/>
      <c r="I364" s="30"/>
    </row>
    <row r="365" customFormat="false" ht="15" hidden="false" customHeight="false" outlineLevel="0" collapsed="false">
      <c r="A365" s="29"/>
      <c r="B365" s="29"/>
      <c r="C365" s="20" t="str">
        <f aca="false">IF(A365="","",IFERROR(INDEX(Metrics!$C:$C,MATCH(A365,Metrics!$A:$A,0)),"ID not found"))</f>
        <v/>
      </c>
      <c r="D365" s="20" t="str">
        <f aca="false">IF(B365="","",IFERROR(INDEX(Fields!$B:$B,MATCH(B365,Fields!$A:$A,0)),"ID not found"))</f>
        <v/>
      </c>
      <c r="E365" s="30"/>
      <c r="F365" s="20" t="n">
        <f aca="false">IF(A365="",0,COUNTIF('Metric to Product'!$A:$A,A365))</f>
        <v>0</v>
      </c>
      <c r="G365" s="30"/>
      <c r="H365" s="30"/>
      <c r="I365" s="30"/>
    </row>
    <row r="366" customFormat="false" ht="15" hidden="false" customHeight="false" outlineLevel="0" collapsed="false">
      <c r="A366" s="29"/>
      <c r="B366" s="29"/>
      <c r="C366" s="20" t="str">
        <f aca="false">IF(A366="","",IFERROR(INDEX(Metrics!$C:$C,MATCH(A366,Metrics!$A:$A,0)),"ID not found"))</f>
        <v/>
      </c>
      <c r="D366" s="20" t="str">
        <f aca="false">IF(B366="","",IFERROR(INDEX(Fields!$B:$B,MATCH(B366,Fields!$A:$A,0)),"ID not found"))</f>
        <v/>
      </c>
      <c r="E366" s="30"/>
      <c r="F366" s="20" t="n">
        <f aca="false">IF(A366="",0,COUNTIF('Metric to Product'!$A:$A,A366))</f>
        <v>0</v>
      </c>
      <c r="G366" s="30"/>
      <c r="H366" s="30"/>
      <c r="I366" s="30"/>
    </row>
    <row r="367" customFormat="false" ht="15" hidden="false" customHeight="false" outlineLevel="0" collapsed="false">
      <c r="A367" s="29"/>
      <c r="B367" s="29"/>
      <c r="C367" s="20" t="str">
        <f aca="false">IF(A367="","",IFERROR(INDEX(Metrics!$C:$C,MATCH(A367,Metrics!$A:$A,0)),"ID not found"))</f>
        <v/>
      </c>
      <c r="D367" s="20" t="str">
        <f aca="false">IF(B367="","",IFERROR(INDEX(Fields!$B:$B,MATCH(B367,Fields!$A:$A,0)),"ID not found"))</f>
        <v/>
      </c>
      <c r="E367" s="30"/>
      <c r="F367" s="20" t="n">
        <f aca="false">IF(A367="",0,COUNTIF('Metric to Product'!$A:$A,A367))</f>
        <v>0</v>
      </c>
      <c r="G367" s="30"/>
      <c r="H367" s="30"/>
      <c r="I367" s="30"/>
    </row>
    <row r="368" customFormat="false" ht="15" hidden="false" customHeight="false" outlineLevel="0" collapsed="false">
      <c r="A368" s="29"/>
      <c r="B368" s="29"/>
      <c r="C368" s="20" t="str">
        <f aca="false">IF(A368="","",IFERROR(INDEX(Metrics!$C:$C,MATCH(A368,Metrics!$A:$A,0)),"ID not found"))</f>
        <v/>
      </c>
      <c r="D368" s="20" t="str">
        <f aca="false">IF(B368="","",IFERROR(INDEX(Fields!$B:$B,MATCH(B368,Fields!$A:$A,0)),"ID not found"))</f>
        <v/>
      </c>
      <c r="E368" s="30"/>
      <c r="F368" s="20" t="n">
        <f aca="false">IF(A368="",0,COUNTIF('Metric to Product'!$A:$A,A368))</f>
        <v>0</v>
      </c>
      <c r="G368" s="30"/>
      <c r="H368" s="30"/>
      <c r="I368" s="30"/>
    </row>
    <row r="369" customFormat="false" ht="15" hidden="false" customHeight="false" outlineLevel="0" collapsed="false">
      <c r="A369" s="29"/>
      <c r="B369" s="29"/>
      <c r="C369" s="20" t="str">
        <f aca="false">IF(A369="","",IFERROR(INDEX(Metrics!$C:$C,MATCH(A369,Metrics!$A:$A,0)),"ID not found"))</f>
        <v/>
      </c>
      <c r="D369" s="20" t="str">
        <f aca="false">IF(B369="","",IFERROR(INDEX(Fields!$B:$B,MATCH(B369,Fields!$A:$A,0)),"ID not found"))</f>
        <v/>
      </c>
      <c r="E369" s="30"/>
      <c r="F369" s="20" t="n">
        <f aca="false">IF(A369="",0,COUNTIF('Metric to Product'!$A:$A,A369))</f>
        <v>0</v>
      </c>
      <c r="G369" s="30"/>
      <c r="H369" s="30"/>
      <c r="I369" s="30"/>
    </row>
    <row r="370" customFormat="false" ht="15" hidden="false" customHeight="false" outlineLevel="0" collapsed="false">
      <c r="A370" s="29"/>
      <c r="B370" s="29"/>
      <c r="C370" s="20" t="str">
        <f aca="false">IF(A370="","",IFERROR(INDEX(Metrics!$C:$C,MATCH(A370,Metrics!$A:$A,0)),"ID not found"))</f>
        <v/>
      </c>
      <c r="D370" s="20" t="str">
        <f aca="false">IF(B370="","",IFERROR(INDEX(Fields!$B:$B,MATCH(B370,Fields!$A:$A,0)),"ID not found"))</f>
        <v/>
      </c>
      <c r="E370" s="30"/>
      <c r="F370" s="20" t="n">
        <f aca="false">IF(A370="",0,COUNTIF('Metric to Product'!$A:$A,A370))</f>
        <v>0</v>
      </c>
      <c r="G370" s="30"/>
      <c r="H370" s="30"/>
      <c r="I370" s="30"/>
    </row>
    <row r="371" customFormat="false" ht="15" hidden="false" customHeight="false" outlineLevel="0" collapsed="false">
      <c r="A371" s="29"/>
      <c r="B371" s="29"/>
      <c r="C371" s="20" t="str">
        <f aca="false">IF(A371="","",IFERROR(INDEX(Metrics!$C:$C,MATCH(A371,Metrics!$A:$A,0)),"ID not found"))</f>
        <v/>
      </c>
      <c r="D371" s="20" t="str">
        <f aca="false">IF(B371="","",IFERROR(INDEX(Fields!$B:$B,MATCH(B371,Fields!$A:$A,0)),"ID not found"))</f>
        <v/>
      </c>
      <c r="E371" s="30"/>
      <c r="F371" s="20" t="n">
        <f aca="false">IF(A371="",0,COUNTIF('Metric to Product'!$A:$A,A371))</f>
        <v>0</v>
      </c>
      <c r="G371" s="30"/>
      <c r="H371" s="30"/>
      <c r="I371" s="30"/>
    </row>
    <row r="372" customFormat="false" ht="15" hidden="false" customHeight="false" outlineLevel="0" collapsed="false">
      <c r="A372" s="29"/>
      <c r="B372" s="29"/>
      <c r="C372" s="20" t="str">
        <f aca="false">IF(A372="","",IFERROR(INDEX(Metrics!$C:$C,MATCH(A372,Metrics!$A:$A,0)),"ID not found"))</f>
        <v/>
      </c>
      <c r="D372" s="20" t="str">
        <f aca="false">IF(B372="","",IFERROR(INDEX(Fields!$B:$B,MATCH(B372,Fields!$A:$A,0)),"ID not found"))</f>
        <v/>
      </c>
      <c r="E372" s="30"/>
      <c r="F372" s="20" t="n">
        <f aca="false">IF(A372="",0,COUNTIF('Metric to Product'!$A:$A,A372))</f>
        <v>0</v>
      </c>
      <c r="G372" s="30"/>
      <c r="H372" s="30"/>
      <c r="I372" s="30"/>
    </row>
    <row r="373" customFormat="false" ht="15" hidden="false" customHeight="false" outlineLevel="0" collapsed="false">
      <c r="A373" s="29"/>
      <c r="B373" s="29"/>
      <c r="C373" s="20" t="str">
        <f aca="false">IF(A373="","",IFERROR(INDEX(Metrics!$C:$C,MATCH(A373,Metrics!$A:$A,0)),"ID not found"))</f>
        <v/>
      </c>
      <c r="D373" s="20" t="str">
        <f aca="false">IF(B373="","",IFERROR(INDEX(Fields!$B:$B,MATCH(B373,Fields!$A:$A,0)),"ID not found"))</f>
        <v/>
      </c>
      <c r="E373" s="30"/>
      <c r="F373" s="20" t="n">
        <f aca="false">IF(A373="",0,COUNTIF('Metric to Product'!$A:$A,A373))</f>
        <v>0</v>
      </c>
      <c r="G373" s="30"/>
      <c r="H373" s="30"/>
      <c r="I373" s="30"/>
    </row>
    <row r="374" customFormat="false" ht="15" hidden="false" customHeight="false" outlineLevel="0" collapsed="false">
      <c r="A374" s="29"/>
      <c r="B374" s="29"/>
      <c r="C374" s="20" t="str">
        <f aca="false">IF(A374="","",IFERROR(INDEX(Metrics!$C:$C,MATCH(A374,Metrics!$A:$A,0)),"ID not found"))</f>
        <v/>
      </c>
      <c r="D374" s="20" t="str">
        <f aca="false">IF(B374="","",IFERROR(INDEX(Fields!$B:$B,MATCH(B374,Fields!$A:$A,0)),"ID not found"))</f>
        <v/>
      </c>
      <c r="E374" s="30"/>
      <c r="F374" s="20" t="n">
        <f aca="false">IF(A374="",0,COUNTIF('Metric to Product'!$A:$A,A374))</f>
        <v>0</v>
      </c>
      <c r="G374" s="30"/>
      <c r="H374" s="30"/>
      <c r="I374" s="30"/>
    </row>
    <row r="375" customFormat="false" ht="15" hidden="false" customHeight="false" outlineLevel="0" collapsed="false">
      <c r="A375" s="29"/>
      <c r="B375" s="29"/>
      <c r="C375" s="20" t="str">
        <f aca="false">IF(A375="","",IFERROR(INDEX(Metrics!$C:$C,MATCH(A375,Metrics!$A:$A,0)),"ID not found"))</f>
        <v/>
      </c>
      <c r="D375" s="20" t="str">
        <f aca="false">IF(B375="","",IFERROR(INDEX(Fields!$B:$B,MATCH(B375,Fields!$A:$A,0)),"ID not found"))</f>
        <v/>
      </c>
      <c r="E375" s="30"/>
      <c r="F375" s="20" t="n">
        <f aca="false">IF(A375="",0,COUNTIF('Metric to Product'!$A:$A,A375))</f>
        <v>0</v>
      </c>
      <c r="G375" s="30"/>
      <c r="H375" s="30"/>
      <c r="I375" s="30"/>
    </row>
    <row r="376" customFormat="false" ht="15" hidden="false" customHeight="false" outlineLevel="0" collapsed="false">
      <c r="A376" s="29"/>
      <c r="B376" s="29"/>
      <c r="C376" s="20" t="str">
        <f aca="false">IF(A376="","",IFERROR(INDEX(Metrics!$C:$C,MATCH(A376,Metrics!$A:$A,0)),"ID not found"))</f>
        <v/>
      </c>
      <c r="D376" s="20" t="str">
        <f aca="false">IF(B376="","",IFERROR(INDEX(Fields!$B:$B,MATCH(B376,Fields!$A:$A,0)),"ID not found"))</f>
        <v/>
      </c>
      <c r="E376" s="30"/>
      <c r="F376" s="20" t="n">
        <f aca="false">IF(A376="",0,COUNTIF('Metric to Product'!$A:$A,A376))</f>
        <v>0</v>
      </c>
      <c r="G376" s="30"/>
      <c r="H376" s="30"/>
      <c r="I376" s="30"/>
    </row>
    <row r="377" customFormat="false" ht="15" hidden="false" customHeight="false" outlineLevel="0" collapsed="false">
      <c r="A377" s="29"/>
      <c r="B377" s="29"/>
      <c r="C377" s="20" t="str">
        <f aca="false">IF(A377="","",IFERROR(INDEX(Metrics!$C:$C,MATCH(A377,Metrics!$A:$A,0)),"ID not found"))</f>
        <v/>
      </c>
      <c r="D377" s="20" t="str">
        <f aca="false">IF(B377="","",IFERROR(INDEX(Fields!$B:$B,MATCH(B377,Fields!$A:$A,0)),"ID not found"))</f>
        <v/>
      </c>
      <c r="E377" s="30"/>
      <c r="F377" s="20" t="n">
        <f aca="false">IF(A377="",0,COUNTIF('Metric to Product'!$A:$A,A377))</f>
        <v>0</v>
      </c>
      <c r="G377" s="30"/>
      <c r="H377" s="30"/>
      <c r="I377" s="30"/>
    </row>
    <row r="378" customFormat="false" ht="15" hidden="false" customHeight="false" outlineLevel="0" collapsed="false">
      <c r="A378" s="29"/>
      <c r="B378" s="29"/>
      <c r="C378" s="20" t="str">
        <f aca="false">IF(A378="","",IFERROR(INDEX(Metrics!$C:$C,MATCH(A378,Metrics!$A:$A,0)),"ID not found"))</f>
        <v/>
      </c>
      <c r="D378" s="20" t="str">
        <f aca="false">IF(B378="","",IFERROR(INDEX(Fields!$B:$B,MATCH(B378,Fields!$A:$A,0)),"ID not found"))</f>
        <v/>
      </c>
      <c r="E378" s="30"/>
      <c r="F378" s="20" t="n">
        <f aca="false">IF(A378="",0,COUNTIF('Metric to Product'!$A:$A,A378))</f>
        <v>0</v>
      </c>
      <c r="G378" s="30"/>
      <c r="H378" s="30"/>
      <c r="I378" s="30"/>
    </row>
    <row r="379" customFormat="false" ht="15" hidden="false" customHeight="false" outlineLevel="0" collapsed="false">
      <c r="A379" s="29"/>
      <c r="B379" s="29"/>
      <c r="C379" s="20" t="str">
        <f aca="false">IF(A379="","",IFERROR(INDEX(Metrics!$C:$C,MATCH(A379,Metrics!$A:$A,0)),"ID not found"))</f>
        <v/>
      </c>
      <c r="D379" s="20" t="str">
        <f aca="false">IF(B379="","",IFERROR(INDEX(Fields!$B:$B,MATCH(B379,Fields!$A:$A,0)),"ID not found"))</f>
        <v/>
      </c>
      <c r="E379" s="30"/>
      <c r="F379" s="20" t="n">
        <f aca="false">IF(A379="",0,COUNTIF('Metric to Product'!$A:$A,A379))</f>
        <v>0</v>
      </c>
      <c r="G379" s="30"/>
      <c r="H379" s="30"/>
      <c r="I379" s="30"/>
    </row>
    <row r="380" customFormat="false" ht="15" hidden="false" customHeight="false" outlineLevel="0" collapsed="false">
      <c r="A380" s="29"/>
      <c r="B380" s="29"/>
      <c r="C380" s="20" t="str">
        <f aca="false">IF(A380="","",IFERROR(INDEX(Metrics!$C:$C,MATCH(A380,Metrics!$A:$A,0)),"ID not found"))</f>
        <v/>
      </c>
      <c r="D380" s="20" t="str">
        <f aca="false">IF(B380="","",IFERROR(INDEX(Fields!$B:$B,MATCH(B380,Fields!$A:$A,0)),"ID not found"))</f>
        <v/>
      </c>
      <c r="E380" s="30"/>
      <c r="F380" s="20" t="n">
        <f aca="false">IF(A380="",0,COUNTIF('Metric to Product'!$A:$A,A380))</f>
        <v>0</v>
      </c>
      <c r="G380" s="30"/>
      <c r="H380" s="30"/>
      <c r="I380" s="30"/>
    </row>
    <row r="381" customFormat="false" ht="15" hidden="false" customHeight="false" outlineLevel="0" collapsed="false">
      <c r="A381" s="29"/>
      <c r="B381" s="29"/>
      <c r="C381" s="20" t="str">
        <f aca="false">IF(A381="","",IFERROR(INDEX(Metrics!$C:$C,MATCH(A381,Metrics!$A:$A,0)),"ID not found"))</f>
        <v/>
      </c>
      <c r="D381" s="20" t="str">
        <f aca="false">IF(B381="","",IFERROR(INDEX(Fields!$B:$B,MATCH(B381,Fields!$A:$A,0)),"ID not found"))</f>
        <v/>
      </c>
      <c r="E381" s="30"/>
      <c r="F381" s="20" t="n">
        <f aca="false">IF(A381="",0,COUNTIF('Metric to Product'!$A:$A,A381))</f>
        <v>0</v>
      </c>
      <c r="G381" s="30"/>
      <c r="H381" s="30"/>
      <c r="I381" s="30"/>
    </row>
    <row r="382" customFormat="false" ht="15" hidden="false" customHeight="false" outlineLevel="0" collapsed="false">
      <c r="A382" s="29"/>
      <c r="B382" s="29"/>
      <c r="C382" s="20" t="str">
        <f aca="false">IF(A382="","",IFERROR(INDEX(Metrics!$C:$C,MATCH(A382,Metrics!$A:$A,0)),"ID not found"))</f>
        <v/>
      </c>
      <c r="D382" s="20" t="str">
        <f aca="false">IF(B382="","",IFERROR(INDEX(Fields!$B:$B,MATCH(B382,Fields!$A:$A,0)),"ID not found"))</f>
        <v/>
      </c>
      <c r="E382" s="30"/>
      <c r="F382" s="20" t="n">
        <f aca="false">IF(A382="",0,COUNTIF('Metric to Product'!$A:$A,A382))</f>
        <v>0</v>
      </c>
      <c r="G382" s="30"/>
      <c r="H382" s="30"/>
      <c r="I382" s="30"/>
    </row>
    <row r="383" customFormat="false" ht="15" hidden="false" customHeight="false" outlineLevel="0" collapsed="false">
      <c r="A383" s="29"/>
      <c r="B383" s="29"/>
      <c r="C383" s="20" t="str">
        <f aca="false">IF(A383="","",IFERROR(INDEX(Metrics!$C:$C,MATCH(A383,Metrics!$A:$A,0)),"ID not found"))</f>
        <v/>
      </c>
      <c r="D383" s="20" t="str">
        <f aca="false">IF(B383="","",IFERROR(INDEX(Fields!$B:$B,MATCH(B383,Fields!$A:$A,0)),"ID not found"))</f>
        <v/>
      </c>
      <c r="E383" s="30"/>
      <c r="F383" s="20" t="n">
        <f aca="false">IF(A383="",0,COUNTIF('Metric to Product'!$A:$A,A383))</f>
        <v>0</v>
      </c>
      <c r="G383" s="30"/>
      <c r="H383" s="30"/>
      <c r="I383" s="30"/>
    </row>
    <row r="384" customFormat="false" ht="15" hidden="false" customHeight="false" outlineLevel="0" collapsed="false">
      <c r="A384" s="29"/>
      <c r="B384" s="29"/>
      <c r="C384" s="20" t="str">
        <f aca="false">IF(A384="","",IFERROR(INDEX(Metrics!$C:$C,MATCH(A384,Metrics!$A:$A,0)),"ID not found"))</f>
        <v/>
      </c>
      <c r="D384" s="20" t="str">
        <f aca="false">IF(B384="","",IFERROR(INDEX(Fields!$B:$B,MATCH(B384,Fields!$A:$A,0)),"ID not found"))</f>
        <v/>
      </c>
      <c r="E384" s="30"/>
      <c r="F384" s="20" t="n">
        <f aca="false">IF(A384="",0,COUNTIF('Metric to Product'!$A:$A,A384))</f>
        <v>0</v>
      </c>
      <c r="G384" s="30"/>
      <c r="H384" s="30"/>
      <c r="I384" s="30"/>
    </row>
    <row r="385" customFormat="false" ht="15" hidden="false" customHeight="false" outlineLevel="0" collapsed="false">
      <c r="A385" s="29"/>
      <c r="B385" s="29"/>
      <c r="C385" s="20" t="str">
        <f aca="false">IF(A385="","",IFERROR(INDEX(Metrics!$C:$C,MATCH(A385,Metrics!$A:$A,0)),"ID not found"))</f>
        <v/>
      </c>
      <c r="D385" s="20" t="str">
        <f aca="false">IF(B385="","",IFERROR(INDEX(Fields!$B:$B,MATCH(B385,Fields!$A:$A,0)),"ID not found"))</f>
        <v/>
      </c>
      <c r="E385" s="30"/>
      <c r="F385" s="20" t="n">
        <f aca="false">IF(A385="",0,COUNTIF('Metric to Product'!$A:$A,A385))</f>
        <v>0</v>
      </c>
      <c r="G385" s="30"/>
      <c r="H385" s="30"/>
      <c r="I385" s="30"/>
    </row>
    <row r="386" customFormat="false" ht="15" hidden="false" customHeight="false" outlineLevel="0" collapsed="false">
      <c r="A386" s="29"/>
      <c r="B386" s="29"/>
      <c r="C386" s="20" t="str">
        <f aca="false">IF(A386="","",IFERROR(INDEX(Metrics!$C:$C,MATCH(A386,Metrics!$A:$A,0)),"ID not found"))</f>
        <v/>
      </c>
      <c r="D386" s="20" t="str">
        <f aca="false">IF(B386="","",IFERROR(INDEX(Fields!$B:$B,MATCH(B386,Fields!$A:$A,0)),"ID not found"))</f>
        <v/>
      </c>
      <c r="E386" s="30"/>
      <c r="F386" s="20" t="n">
        <f aca="false">IF(A386="",0,COUNTIF('Metric to Product'!$A:$A,A386))</f>
        <v>0</v>
      </c>
      <c r="G386" s="30"/>
      <c r="H386" s="30"/>
      <c r="I386" s="30"/>
    </row>
    <row r="387" customFormat="false" ht="15" hidden="false" customHeight="false" outlineLevel="0" collapsed="false">
      <c r="A387" s="29"/>
      <c r="B387" s="29"/>
      <c r="C387" s="20" t="str">
        <f aca="false">IF(A387="","",IFERROR(INDEX(Metrics!$C:$C,MATCH(A387,Metrics!$A:$A,0)),"ID not found"))</f>
        <v/>
      </c>
      <c r="D387" s="20" t="str">
        <f aca="false">IF(B387="","",IFERROR(INDEX(Fields!$B:$B,MATCH(B387,Fields!$A:$A,0)),"ID not found"))</f>
        <v/>
      </c>
      <c r="E387" s="30"/>
      <c r="F387" s="20" t="n">
        <f aca="false">IF(A387="",0,COUNTIF('Metric to Product'!$A:$A,A387))</f>
        <v>0</v>
      </c>
      <c r="G387" s="30"/>
      <c r="H387" s="30"/>
      <c r="I387" s="30"/>
    </row>
    <row r="388" customFormat="false" ht="15" hidden="false" customHeight="false" outlineLevel="0" collapsed="false">
      <c r="A388" s="29"/>
      <c r="B388" s="29"/>
      <c r="C388" s="20" t="str">
        <f aca="false">IF(A388="","",IFERROR(INDEX(Metrics!$C:$C,MATCH(A388,Metrics!$A:$A,0)),"ID not found"))</f>
        <v/>
      </c>
      <c r="D388" s="20" t="str">
        <f aca="false">IF(B388="","",IFERROR(INDEX(Fields!$B:$B,MATCH(B388,Fields!$A:$A,0)),"ID not found"))</f>
        <v/>
      </c>
      <c r="E388" s="30"/>
      <c r="F388" s="20" t="n">
        <f aca="false">IF(A388="",0,COUNTIF('Metric to Product'!$A:$A,A388))</f>
        <v>0</v>
      </c>
      <c r="G388" s="30"/>
      <c r="H388" s="30"/>
      <c r="I388" s="30"/>
    </row>
    <row r="389" customFormat="false" ht="15" hidden="false" customHeight="false" outlineLevel="0" collapsed="false">
      <c r="A389" s="29"/>
      <c r="B389" s="29"/>
      <c r="C389" s="20" t="str">
        <f aca="false">IF(A389="","",IFERROR(INDEX(Metrics!$C:$C,MATCH(A389,Metrics!$A:$A,0)),"ID not found"))</f>
        <v/>
      </c>
      <c r="D389" s="20" t="str">
        <f aca="false">IF(B389="","",IFERROR(INDEX(Fields!$B:$B,MATCH(B389,Fields!$A:$A,0)),"ID not found"))</f>
        <v/>
      </c>
      <c r="E389" s="30"/>
      <c r="F389" s="20" t="n">
        <f aca="false">IF(A389="",0,COUNTIF('Metric to Product'!$A:$A,A389))</f>
        <v>0</v>
      </c>
      <c r="G389" s="30"/>
      <c r="H389" s="30"/>
      <c r="I389" s="30"/>
    </row>
    <row r="390" customFormat="false" ht="15" hidden="false" customHeight="false" outlineLevel="0" collapsed="false">
      <c r="A390" s="29"/>
      <c r="B390" s="29"/>
      <c r="C390" s="20" t="str">
        <f aca="false">IF(A390="","",IFERROR(INDEX(Metrics!$C:$C,MATCH(A390,Metrics!$A:$A,0)),"ID not found"))</f>
        <v/>
      </c>
      <c r="D390" s="20" t="str">
        <f aca="false">IF(B390="","",IFERROR(INDEX(Fields!$B:$B,MATCH(B390,Fields!$A:$A,0)),"ID not found"))</f>
        <v/>
      </c>
      <c r="E390" s="30"/>
      <c r="F390" s="20" t="n">
        <f aca="false">IF(A390="",0,COUNTIF('Metric to Product'!$A:$A,A390))</f>
        <v>0</v>
      </c>
      <c r="G390" s="30"/>
      <c r="H390" s="30"/>
      <c r="I390" s="30"/>
    </row>
    <row r="391" customFormat="false" ht="15" hidden="false" customHeight="false" outlineLevel="0" collapsed="false">
      <c r="A391" s="29"/>
      <c r="B391" s="29"/>
      <c r="C391" s="20" t="str">
        <f aca="false">IF(A391="","",IFERROR(INDEX(Metrics!$C:$C,MATCH(A391,Metrics!$A:$A,0)),"ID not found"))</f>
        <v/>
      </c>
      <c r="D391" s="20" t="str">
        <f aca="false">IF(B391="","",IFERROR(INDEX(Fields!$B:$B,MATCH(B391,Fields!$A:$A,0)),"ID not found"))</f>
        <v/>
      </c>
      <c r="E391" s="30"/>
      <c r="F391" s="20" t="n">
        <f aca="false">IF(A391="",0,COUNTIF('Metric to Product'!$A:$A,A391))</f>
        <v>0</v>
      </c>
      <c r="G391" s="30"/>
      <c r="H391" s="30"/>
      <c r="I391" s="30"/>
    </row>
    <row r="392" customFormat="false" ht="15" hidden="false" customHeight="false" outlineLevel="0" collapsed="false">
      <c r="A392" s="29"/>
      <c r="B392" s="29"/>
      <c r="C392" s="20" t="str">
        <f aca="false">IF(A392="","",IFERROR(INDEX(Metrics!$C:$C,MATCH(A392,Metrics!$A:$A,0)),"ID not found"))</f>
        <v/>
      </c>
      <c r="D392" s="20" t="str">
        <f aca="false">IF(B392="","",IFERROR(INDEX(Fields!$B:$B,MATCH(B392,Fields!$A:$A,0)),"ID not found"))</f>
        <v/>
      </c>
      <c r="E392" s="30"/>
      <c r="F392" s="20" t="n">
        <f aca="false">IF(A392="",0,COUNTIF('Metric to Product'!$A:$A,A392))</f>
        <v>0</v>
      </c>
      <c r="G392" s="30"/>
      <c r="H392" s="30"/>
      <c r="I392" s="30"/>
    </row>
    <row r="393" customFormat="false" ht="15" hidden="false" customHeight="false" outlineLevel="0" collapsed="false">
      <c r="A393" s="29"/>
      <c r="B393" s="29"/>
      <c r="C393" s="20" t="str">
        <f aca="false">IF(A393="","",IFERROR(INDEX(Metrics!$C:$C,MATCH(A393,Metrics!$A:$A,0)),"ID not found"))</f>
        <v/>
      </c>
      <c r="D393" s="20" t="str">
        <f aca="false">IF(B393="","",IFERROR(INDEX(Fields!$B:$B,MATCH(B393,Fields!$A:$A,0)),"ID not found"))</f>
        <v/>
      </c>
      <c r="E393" s="30"/>
      <c r="F393" s="20" t="n">
        <f aca="false">IF(A393="",0,COUNTIF('Metric to Product'!$A:$A,A393))</f>
        <v>0</v>
      </c>
      <c r="G393" s="30"/>
      <c r="H393" s="30"/>
      <c r="I393" s="30"/>
    </row>
    <row r="394" customFormat="false" ht="15" hidden="false" customHeight="false" outlineLevel="0" collapsed="false">
      <c r="A394" s="29"/>
      <c r="B394" s="29"/>
      <c r="C394" s="20" t="str">
        <f aca="false">IF(A394="","",IFERROR(INDEX(Metrics!$C:$C,MATCH(A394,Metrics!$A:$A,0)),"ID not found"))</f>
        <v/>
      </c>
      <c r="D394" s="20" t="str">
        <f aca="false">IF(B394="","",IFERROR(INDEX(Fields!$B:$B,MATCH(B394,Fields!$A:$A,0)),"ID not found"))</f>
        <v/>
      </c>
      <c r="E394" s="30"/>
      <c r="F394" s="20" t="n">
        <f aca="false">IF(A394="",0,COUNTIF('Metric to Product'!$A:$A,A394))</f>
        <v>0</v>
      </c>
      <c r="G394" s="30"/>
      <c r="H394" s="30"/>
      <c r="I394" s="30"/>
    </row>
    <row r="395" customFormat="false" ht="15" hidden="false" customHeight="false" outlineLevel="0" collapsed="false">
      <c r="A395" s="29"/>
      <c r="B395" s="29"/>
      <c r="C395" s="20" t="str">
        <f aca="false">IF(A395="","",IFERROR(INDEX(Metrics!$C:$C,MATCH(A395,Metrics!$A:$A,0)),"ID not found"))</f>
        <v/>
      </c>
      <c r="D395" s="20" t="str">
        <f aca="false">IF(B395="","",IFERROR(INDEX(Fields!$B:$B,MATCH(B395,Fields!$A:$A,0)),"ID not found"))</f>
        <v/>
      </c>
      <c r="E395" s="30"/>
      <c r="F395" s="20" t="n">
        <f aca="false">IF(A395="",0,COUNTIF('Metric to Product'!$A:$A,A395))</f>
        <v>0</v>
      </c>
      <c r="G395" s="30"/>
      <c r="H395" s="30"/>
      <c r="I395" s="30"/>
    </row>
    <row r="396" customFormat="false" ht="15" hidden="false" customHeight="false" outlineLevel="0" collapsed="false">
      <c r="A396" s="29"/>
      <c r="B396" s="29"/>
      <c r="C396" s="20" t="str">
        <f aca="false">IF(A396="","",IFERROR(INDEX(Metrics!$C:$C,MATCH(A396,Metrics!$A:$A,0)),"ID not found"))</f>
        <v/>
      </c>
      <c r="D396" s="20" t="str">
        <f aca="false">IF(B396="","",IFERROR(INDEX(Fields!$B:$B,MATCH(B396,Fields!$A:$A,0)),"ID not found"))</f>
        <v/>
      </c>
      <c r="E396" s="30"/>
      <c r="F396" s="20" t="n">
        <f aca="false">IF(A396="",0,COUNTIF('Metric to Product'!$A:$A,A396))</f>
        <v>0</v>
      </c>
      <c r="G396" s="30"/>
      <c r="H396" s="30"/>
      <c r="I396" s="30"/>
    </row>
    <row r="397" customFormat="false" ht="15" hidden="false" customHeight="false" outlineLevel="0" collapsed="false">
      <c r="A397" s="29"/>
      <c r="B397" s="29"/>
      <c r="C397" s="20" t="str">
        <f aca="false">IF(A397="","",IFERROR(INDEX(Metrics!$C:$C,MATCH(A397,Metrics!$A:$A,0)),"ID not found"))</f>
        <v/>
      </c>
      <c r="D397" s="20" t="str">
        <f aca="false">IF(B397="","",IFERROR(INDEX(Fields!$B:$B,MATCH(B397,Fields!$A:$A,0)),"ID not found"))</f>
        <v/>
      </c>
      <c r="E397" s="30"/>
      <c r="F397" s="20" t="n">
        <f aca="false">IF(A397="",0,COUNTIF('Metric to Product'!$A:$A,A397))</f>
        <v>0</v>
      </c>
      <c r="G397" s="30"/>
      <c r="H397" s="30"/>
      <c r="I397" s="30"/>
    </row>
    <row r="398" customFormat="false" ht="15" hidden="false" customHeight="false" outlineLevel="0" collapsed="false">
      <c r="A398" s="29"/>
      <c r="B398" s="29"/>
      <c r="C398" s="20" t="str">
        <f aca="false">IF(A398="","",IFERROR(INDEX(Metrics!$C:$C,MATCH(A398,Metrics!$A:$A,0)),"ID not found"))</f>
        <v/>
      </c>
      <c r="D398" s="20" t="str">
        <f aca="false">IF(B398="","",IFERROR(INDEX(Fields!$B:$B,MATCH(B398,Fields!$A:$A,0)),"ID not found"))</f>
        <v/>
      </c>
      <c r="E398" s="30"/>
      <c r="F398" s="20" t="n">
        <f aca="false">IF(A398="",0,COUNTIF('Metric to Product'!$A:$A,A398))</f>
        <v>0</v>
      </c>
      <c r="G398" s="30"/>
      <c r="H398" s="30"/>
      <c r="I398" s="30"/>
    </row>
    <row r="399" customFormat="false" ht="15" hidden="false" customHeight="false" outlineLevel="0" collapsed="false">
      <c r="A399" s="29"/>
      <c r="B399" s="29"/>
      <c r="C399" s="20" t="str">
        <f aca="false">IF(A399="","",IFERROR(INDEX(Metrics!$C:$C,MATCH(A399,Metrics!$A:$A,0)),"ID not found"))</f>
        <v/>
      </c>
      <c r="D399" s="20" t="str">
        <f aca="false">IF(B399="","",IFERROR(INDEX(Fields!$B:$B,MATCH(B399,Fields!$A:$A,0)),"ID not found"))</f>
        <v/>
      </c>
      <c r="E399" s="30"/>
      <c r="F399" s="20" t="n">
        <f aca="false">IF(A399="",0,COUNTIF('Metric to Product'!$A:$A,A399))</f>
        <v>0</v>
      </c>
      <c r="G399" s="30"/>
      <c r="H399" s="30"/>
      <c r="I399" s="30"/>
    </row>
    <row r="400" customFormat="false" ht="15" hidden="false" customHeight="false" outlineLevel="0" collapsed="false">
      <c r="A400" s="29"/>
      <c r="B400" s="29"/>
      <c r="C400" s="20" t="str">
        <f aca="false">IF(A400="","",IFERROR(INDEX(Metrics!$C:$C,MATCH(A400,Metrics!$A:$A,0)),"ID not found"))</f>
        <v/>
      </c>
      <c r="D400" s="20" t="str">
        <f aca="false">IF(B400="","",IFERROR(INDEX(Fields!$B:$B,MATCH(B400,Fields!$A:$A,0)),"ID not found"))</f>
        <v/>
      </c>
      <c r="E400" s="30"/>
      <c r="F400" s="20" t="n">
        <f aca="false">IF(A400="",0,COUNTIF('Metric to Product'!$A:$A,A400))</f>
        <v>0</v>
      </c>
      <c r="G400" s="30"/>
      <c r="H400" s="30"/>
      <c r="I400" s="30"/>
    </row>
    <row r="401" customFormat="false" ht="15" hidden="false" customHeight="false" outlineLevel="0" collapsed="false">
      <c r="A401" s="29"/>
      <c r="B401" s="29"/>
      <c r="C401" s="20" t="str">
        <f aca="false">IF(A401="","",IFERROR(INDEX(Metrics!$C:$C,MATCH(A401,Metrics!$A:$A,0)),"ID not found"))</f>
        <v/>
      </c>
      <c r="D401" s="20" t="str">
        <f aca="false">IF(B401="","",IFERROR(INDEX(Fields!$B:$B,MATCH(B401,Fields!$A:$A,0)),"ID not found"))</f>
        <v/>
      </c>
      <c r="E401" s="30"/>
      <c r="F401" s="20" t="n">
        <f aca="false">IF(A401="",0,COUNTIF('Metric to Product'!$A:$A,A401))</f>
        <v>0</v>
      </c>
      <c r="G401" s="30"/>
      <c r="H401" s="30"/>
      <c r="I401" s="30"/>
    </row>
    <row r="402" customFormat="false" ht="15" hidden="false" customHeight="false" outlineLevel="0" collapsed="false">
      <c r="A402" s="29"/>
      <c r="B402" s="29"/>
      <c r="C402" s="20" t="str">
        <f aca="false">IF(A402="","",IFERROR(INDEX(Metrics!$C:$C,MATCH(A402,Metrics!$A:$A,0)),"ID not found"))</f>
        <v/>
      </c>
      <c r="D402" s="20" t="str">
        <f aca="false">IF(B402="","",IFERROR(INDEX(Fields!$B:$B,MATCH(B402,Fields!$A:$A,0)),"ID not found"))</f>
        <v/>
      </c>
      <c r="E402" s="30"/>
      <c r="F402" s="20" t="n">
        <f aca="false">IF(A402="",0,COUNTIF('Metric to Product'!$A:$A,A402))</f>
        <v>0</v>
      </c>
      <c r="G402" s="30"/>
      <c r="H402" s="30"/>
      <c r="I402" s="30"/>
    </row>
    <row r="403" customFormat="false" ht="15" hidden="false" customHeight="false" outlineLevel="0" collapsed="false">
      <c r="A403" s="29"/>
      <c r="B403" s="29"/>
      <c r="C403" s="20" t="str">
        <f aca="false">IF(A403="","",IFERROR(INDEX(Metrics!$C:$C,MATCH(A403,Metrics!$A:$A,0)),"ID not found"))</f>
        <v/>
      </c>
      <c r="D403" s="20" t="str">
        <f aca="false">IF(B403="","",IFERROR(INDEX(Fields!$B:$B,MATCH(B403,Fields!$A:$A,0)),"ID not found"))</f>
        <v/>
      </c>
      <c r="E403" s="30"/>
      <c r="F403" s="20" t="n">
        <f aca="false">IF(A403="",0,COUNTIF('Metric to Product'!$A:$A,A403))</f>
        <v>0</v>
      </c>
      <c r="G403" s="30"/>
      <c r="H403" s="30"/>
      <c r="I403" s="30"/>
    </row>
    <row r="404" customFormat="false" ht="15" hidden="false" customHeight="false" outlineLevel="0" collapsed="false">
      <c r="A404" s="29"/>
      <c r="B404" s="29"/>
      <c r="C404" s="20" t="str">
        <f aca="false">IF(A404="","",IFERROR(INDEX(Metrics!$C:$C,MATCH(A404,Metrics!$A:$A,0)),"ID not found"))</f>
        <v/>
      </c>
      <c r="D404" s="20" t="str">
        <f aca="false">IF(B404="","",IFERROR(INDEX(Fields!$B:$B,MATCH(B404,Fields!$A:$A,0)),"ID not found"))</f>
        <v/>
      </c>
      <c r="E404" s="30"/>
      <c r="F404" s="20" t="n">
        <f aca="false">IF(A404="",0,COUNTIF('Metric to Product'!$A:$A,A404))</f>
        <v>0</v>
      </c>
      <c r="G404" s="30"/>
      <c r="H404" s="30"/>
      <c r="I404" s="30"/>
    </row>
    <row r="405" customFormat="false" ht="15" hidden="false" customHeight="false" outlineLevel="0" collapsed="false">
      <c r="A405" s="29"/>
      <c r="B405" s="29"/>
      <c r="C405" s="20" t="str">
        <f aca="false">IF(A405="","",IFERROR(INDEX(Metrics!$C:$C,MATCH(A405,Metrics!$A:$A,0)),"ID not found"))</f>
        <v/>
      </c>
      <c r="D405" s="20" t="str">
        <f aca="false">IF(B405="","",IFERROR(INDEX(Fields!$B:$B,MATCH(B405,Fields!$A:$A,0)),"ID not found"))</f>
        <v/>
      </c>
      <c r="E405" s="30"/>
      <c r="F405" s="20" t="n">
        <f aca="false">IF(A405="",0,COUNTIF('Metric to Product'!$A:$A,A405))</f>
        <v>0</v>
      </c>
      <c r="G405" s="30"/>
      <c r="H405" s="30"/>
      <c r="I405" s="30"/>
    </row>
    <row r="406" customFormat="false" ht="15" hidden="false" customHeight="false" outlineLevel="0" collapsed="false">
      <c r="A406" s="29"/>
      <c r="B406" s="29"/>
      <c r="C406" s="20" t="str">
        <f aca="false">IF(A406="","",IFERROR(INDEX(Metrics!$C:$C,MATCH(A406,Metrics!$A:$A,0)),"ID not found"))</f>
        <v/>
      </c>
      <c r="D406" s="20" t="str">
        <f aca="false">IF(B406="","",IFERROR(INDEX(Fields!$B:$B,MATCH(B406,Fields!$A:$A,0)),"ID not found"))</f>
        <v/>
      </c>
      <c r="E406" s="30"/>
      <c r="F406" s="20" t="n">
        <f aca="false">IF(A406="",0,COUNTIF('Metric to Product'!$A:$A,A406))</f>
        <v>0</v>
      </c>
      <c r="G406" s="30"/>
      <c r="H406" s="30"/>
      <c r="I406" s="30"/>
    </row>
    <row r="407" customFormat="false" ht="15" hidden="false" customHeight="false" outlineLevel="0" collapsed="false">
      <c r="A407" s="29"/>
      <c r="B407" s="29"/>
      <c r="C407" s="20" t="str">
        <f aca="false">IF(A407="","",IFERROR(INDEX(Metrics!$C:$C,MATCH(A407,Metrics!$A:$A,0)),"ID not found"))</f>
        <v/>
      </c>
      <c r="D407" s="20" t="str">
        <f aca="false">IF(B407="","",IFERROR(INDEX(Fields!$B:$B,MATCH(B407,Fields!$A:$A,0)),"ID not found"))</f>
        <v/>
      </c>
      <c r="E407" s="30"/>
      <c r="F407" s="20" t="n">
        <f aca="false">IF(A407="",0,COUNTIF('Metric to Product'!$A:$A,A407))</f>
        <v>0</v>
      </c>
      <c r="G407" s="30"/>
      <c r="H407" s="30"/>
      <c r="I407" s="30"/>
    </row>
    <row r="408" customFormat="false" ht="15" hidden="false" customHeight="false" outlineLevel="0" collapsed="false">
      <c r="A408" s="29"/>
      <c r="B408" s="29"/>
      <c r="C408" s="20" t="str">
        <f aca="false">IF(A408="","",IFERROR(INDEX(Metrics!$C:$C,MATCH(A408,Metrics!$A:$A,0)),"ID not found"))</f>
        <v/>
      </c>
      <c r="D408" s="20" t="str">
        <f aca="false">IF(B408="","",IFERROR(INDEX(Fields!$B:$B,MATCH(B408,Fields!$A:$A,0)),"ID not found"))</f>
        <v/>
      </c>
      <c r="E408" s="30"/>
      <c r="F408" s="20" t="n">
        <f aca="false">IF(A408="",0,COUNTIF('Metric to Product'!$A:$A,A408))</f>
        <v>0</v>
      </c>
      <c r="G408" s="30"/>
      <c r="H408" s="30"/>
      <c r="I408" s="30"/>
    </row>
    <row r="409" customFormat="false" ht="15" hidden="false" customHeight="false" outlineLevel="0" collapsed="false">
      <c r="A409" s="29"/>
      <c r="B409" s="29"/>
      <c r="C409" s="20" t="str">
        <f aca="false">IF(A409="","",IFERROR(INDEX(Metrics!$C:$C,MATCH(A409,Metrics!$A:$A,0)),"ID not found"))</f>
        <v/>
      </c>
      <c r="D409" s="20" t="str">
        <f aca="false">IF(B409="","",IFERROR(INDEX(Fields!$B:$B,MATCH(B409,Fields!$A:$A,0)),"ID not found"))</f>
        <v/>
      </c>
      <c r="E409" s="30"/>
      <c r="F409" s="20" t="n">
        <f aca="false">IF(A409="",0,COUNTIF('Metric to Product'!$A:$A,A409))</f>
        <v>0</v>
      </c>
      <c r="G409" s="30"/>
      <c r="H409" s="30"/>
      <c r="I409" s="30"/>
    </row>
    <row r="410" customFormat="false" ht="15" hidden="false" customHeight="false" outlineLevel="0" collapsed="false">
      <c r="A410" s="29"/>
      <c r="B410" s="29"/>
      <c r="C410" s="20" t="str">
        <f aca="false">IF(A410="","",IFERROR(INDEX(Metrics!$C:$C,MATCH(A410,Metrics!$A:$A,0)),"ID not found"))</f>
        <v/>
      </c>
      <c r="D410" s="20" t="str">
        <f aca="false">IF(B410="","",IFERROR(INDEX(Fields!$B:$B,MATCH(B410,Fields!$A:$A,0)),"ID not found"))</f>
        <v/>
      </c>
      <c r="E410" s="30"/>
      <c r="F410" s="20" t="n">
        <f aca="false">IF(A410="",0,COUNTIF('Metric to Product'!$A:$A,A410))</f>
        <v>0</v>
      </c>
      <c r="G410" s="30"/>
      <c r="H410" s="30"/>
      <c r="I410" s="30"/>
    </row>
    <row r="411" customFormat="false" ht="15" hidden="false" customHeight="false" outlineLevel="0" collapsed="false">
      <c r="A411" s="29"/>
      <c r="B411" s="29"/>
      <c r="C411" s="20" t="str">
        <f aca="false">IF(A411="","",IFERROR(INDEX(Metrics!$C:$C,MATCH(A411,Metrics!$A:$A,0)),"ID not found"))</f>
        <v/>
      </c>
      <c r="D411" s="20" t="str">
        <f aca="false">IF(B411="","",IFERROR(INDEX(Fields!$B:$B,MATCH(B411,Fields!$A:$A,0)),"ID not found"))</f>
        <v/>
      </c>
      <c r="E411" s="30"/>
      <c r="F411" s="20" t="n">
        <f aca="false">IF(A411="",0,COUNTIF('Metric to Product'!$A:$A,A411))</f>
        <v>0</v>
      </c>
      <c r="G411" s="30"/>
      <c r="H411" s="30"/>
      <c r="I411" s="30"/>
    </row>
    <row r="412" customFormat="false" ht="15" hidden="false" customHeight="false" outlineLevel="0" collapsed="false">
      <c r="A412" s="29"/>
      <c r="B412" s="29"/>
      <c r="C412" s="20" t="str">
        <f aca="false">IF(A412="","",IFERROR(INDEX(Metrics!$C:$C,MATCH(A412,Metrics!$A:$A,0)),"ID not found"))</f>
        <v/>
      </c>
      <c r="D412" s="20" t="str">
        <f aca="false">IF(B412="","",IFERROR(INDEX(Fields!$B:$B,MATCH(B412,Fields!$A:$A,0)),"ID not found"))</f>
        <v/>
      </c>
      <c r="E412" s="30"/>
      <c r="F412" s="20" t="n">
        <f aca="false">IF(A412="",0,COUNTIF('Metric to Product'!$A:$A,A412))</f>
        <v>0</v>
      </c>
      <c r="G412" s="30"/>
      <c r="H412" s="30"/>
      <c r="I412" s="30"/>
    </row>
    <row r="413" customFormat="false" ht="15" hidden="false" customHeight="false" outlineLevel="0" collapsed="false">
      <c r="A413" s="29"/>
      <c r="B413" s="29"/>
      <c r="C413" s="20" t="str">
        <f aca="false">IF(A413="","",IFERROR(INDEX(Metrics!$C:$C,MATCH(A413,Metrics!$A:$A,0)),"ID not found"))</f>
        <v/>
      </c>
      <c r="D413" s="20" t="str">
        <f aca="false">IF(B413="","",IFERROR(INDEX(Fields!$B:$B,MATCH(B413,Fields!$A:$A,0)),"ID not found"))</f>
        <v/>
      </c>
      <c r="E413" s="30"/>
      <c r="F413" s="20" t="n">
        <f aca="false">IF(A413="",0,COUNTIF('Metric to Product'!$A:$A,A413))</f>
        <v>0</v>
      </c>
      <c r="G413" s="30"/>
      <c r="H413" s="30"/>
      <c r="I413" s="30"/>
    </row>
    <row r="414" customFormat="false" ht="15" hidden="false" customHeight="false" outlineLevel="0" collapsed="false">
      <c r="A414" s="29"/>
      <c r="B414" s="29"/>
      <c r="C414" s="20" t="str">
        <f aca="false">IF(A414="","",IFERROR(INDEX(Metrics!$C:$C,MATCH(A414,Metrics!$A:$A,0)),"ID not found"))</f>
        <v/>
      </c>
      <c r="D414" s="20" t="str">
        <f aca="false">IF(B414="","",IFERROR(INDEX(Fields!$B:$B,MATCH(B414,Fields!$A:$A,0)),"ID not found"))</f>
        <v/>
      </c>
      <c r="E414" s="30"/>
      <c r="F414" s="20" t="n">
        <f aca="false">IF(A414="",0,COUNTIF('Metric to Product'!$A:$A,A414))</f>
        <v>0</v>
      </c>
      <c r="G414" s="30"/>
      <c r="H414" s="30"/>
      <c r="I414" s="30"/>
    </row>
    <row r="415" customFormat="false" ht="15" hidden="false" customHeight="false" outlineLevel="0" collapsed="false">
      <c r="A415" s="29"/>
      <c r="B415" s="29"/>
      <c r="C415" s="20" t="str">
        <f aca="false">IF(A415="","",IFERROR(INDEX(Metrics!$C:$C,MATCH(A415,Metrics!$A:$A,0)),"ID not found"))</f>
        <v/>
      </c>
      <c r="D415" s="20" t="str">
        <f aca="false">IF(B415="","",IFERROR(INDEX(Fields!$B:$B,MATCH(B415,Fields!$A:$A,0)),"ID not found"))</f>
        <v/>
      </c>
      <c r="E415" s="30"/>
      <c r="F415" s="20" t="n">
        <f aca="false">IF(A415="",0,COUNTIF('Metric to Product'!$A:$A,A415))</f>
        <v>0</v>
      </c>
      <c r="G415" s="30"/>
      <c r="H415" s="30"/>
      <c r="I415" s="30"/>
    </row>
    <row r="416" customFormat="false" ht="15" hidden="false" customHeight="false" outlineLevel="0" collapsed="false">
      <c r="A416" s="29"/>
      <c r="B416" s="29"/>
      <c r="C416" s="20" t="str">
        <f aca="false">IF(A416="","",IFERROR(INDEX(Metrics!$C:$C,MATCH(A416,Metrics!$A:$A,0)),"ID not found"))</f>
        <v/>
      </c>
      <c r="D416" s="20" t="str">
        <f aca="false">IF(B416="","",IFERROR(INDEX(Fields!$B:$B,MATCH(B416,Fields!$A:$A,0)),"ID not found"))</f>
        <v/>
      </c>
      <c r="E416" s="30"/>
      <c r="F416" s="20" t="n">
        <f aca="false">IF(A416="",0,COUNTIF('Metric to Product'!$A:$A,A416))</f>
        <v>0</v>
      </c>
      <c r="G416" s="30"/>
      <c r="H416" s="30"/>
      <c r="I416" s="30"/>
    </row>
    <row r="417" customFormat="false" ht="15" hidden="false" customHeight="false" outlineLevel="0" collapsed="false">
      <c r="A417" s="29"/>
      <c r="B417" s="29"/>
      <c r="C417" s="20" t="str">
        <f aca="false">IF(A417="","",IFERROR(INDEX(Metrics!$C:$C,MATCH(A417,Metrics!$A:$A,0)),"ID not found"))</f>
        <v/>
      </c>
      <c r="D417" s="20" t="str">
        <f aca="false">IF(B417="","",IFERROR(INDEX(Fields!$B:$B,MATCH(B417,Fields!$A:$A,0)),"ID not found"))</f>
        <v/>
      </c>
      <c r="E417" s="30"/>
      <c r="F417" s="20" t="n">
        <f aca="false">IF(A417="",0,COUNTIF('Metric to Product'!$A:$A,A417))</f>
        <v>0</v>
      </c>
      <c r="G417" s="30"/>
      <c r="H417" s="30"/>
      <c r="I417" s="30"/>
    </row>
    <row r="418" customFormat="false" ht="15" hidden="false" customHeight="false" outlineLevel="0" collapsed="false">
      <c r="A418" s="29"/>
      <c r="B418" s="29"/>
      <c r="C418" s="20" t="str">
        <f aca="false">IF(A418="","",IFERROR(INDEX(Metrics!$C:$C,MATCH(A418,Metrics!$A:$A,0)),"ID not found"))</f>
        <v/>
      </c>
      <c r="D418" s="20" t="str">
        <f aca="false">IF(B418="","",IFERROR(INDEX(Fields!$B:$B,MATCH(B418,Fields!$A:$A,0)),"ID not found"))</f>
        <v/>
      </c>
      <c r="E418" s="30"/>
      <c r="F418" s="20" t="n">
        <f aca="false">IF(A418="",0,COUNTIF('Metric to Product'!$A:$A,A418))</f>
        <v>0</v>
      </c>
      <c r="G418" s="30"/>
      <c r="H418" s="30"/>
      <c r="I418" s="30"/>
    </row>
    <row r="419" customFormat="false" ht="15" hidden="false" customHeight="false" outlineLevel="0" collapsed="false">
      <c r="A419" s="29"/>
      <c r="B419" s="29"/>
      <c r="C419" s="20" t="str">
        <f aca="false">IF(A419="","",IFERROR(INDEX(Metrics!$C:$C,MATCH(A419,Metrics!$A:$A,0)),"ID not found"))</f>
        <v/>
      </c>
      <c r="D419" s="20" t="str">
        <f aca="false">IF(B419="","",IFERROR(INDEX(Fields!$B:$B,MATCH(B419,Fields!$A:$A,0)),"ID not found"))</f>
        <v/>
      </c>
      <c r="E419" s="30"/>
      <c r="F419" s="20" t="n">
        <f aca="false">IF(A419="",0,COUNTIF('Metric to Product'!$A:$A,A419))</f>
        <v>0</v>
      </c>
      <c r="G419" s="30"/>
      <c r="H419" s="30"/>
      <c r="I419" s="30"/>
    </row>
    <row r="420" customFormat="false" ht="15" hidden="false" customHeight="false" outlineLevel="0" collapsed="false">
      <c r="A420" s="29"/>
      <c r="B420" s="29"/>
      <c r="C420" s="20" t="str">
        <f aca="false">IF(A420="","",IFERROR(INDEX(Metrics!$C:$C,MATCH(A420,Metrics!$A:$A,0)),"ID not found"))</f>
        <v/>
      </c>
      <c r="D420" s="20" t="str">
        <f aca="false">IF(B420="","",IFERROR(INDEX(Fields!$B:$B,MATCH(B420,Fields!$A:$A,0)),"ID not found"))</f>
        <v/>
      </c>
      <c r="E420" s="30"/>
      <c r="F420" s="20" t="n">
        <f aca="false">IF(A420="",0,COUNTIF('Metric to Product'!$A:$A,A420))</f>
        <v>0</v>
      </c>
      <c r="G420" s="30"/>
      <c r="H420" s="30"/>
      <c r="I420" s="30"/>
    </row>
    <row r="421" customFormat="false" ht="15" hidden="false" customHeight="false" outlineLevel="0" collapsed="false">
      <c r="A421" s="29"/>
      <c r="B421" s="29"/>
      <c r="C421" s="20" t="str">
        <f aca="false">IF(A421="","",IFERROR(INDEX(Metrics!$C:$C,MATCH(A421,Metrics!$A:$A,0)),"ID not found"))</f>
        <v/>
      </c>
      <c r="D421" s="20" t="str">
        <f aca="false">IF(B421="","",IFERROR(INDEX(Fields!$B:$B,MATCH(B421,Fields!$A:$A,0)),"ID not found"))</f>
        <v/>
      </c>
      <c r="E421" s="30"/>
      <c r="F421" s="20" t="n">
        <f aca="false">IF(A421="",0,COUNTIF('Metric to Product'!$A:$A,A421))</f>
        <v>0</v>
      </c>
      <c r="G421" s="30"/>
      <c r="H421" s="30"/>
      <c r="I421" s="30"/>
    </row>
    <row r="422" customFormat="false" ht="15" hidden="false" customHeight="false" outlineLevel="0" collapsed="false">
      <c r="A422" s="29"/>
      <c r="B422" s="29"/>
      <c r="C422" s="20" t="str">
        <f aca="false">IF(A422="","",IFERROR(INDEX(Metrics!$C:$C,MATCH(A422,Metrics!$A:$A,0)),"ID not found"))</f>
        <v/>
      </c>
      <c r="D422" s="20" t="str">
        <f aca="false">IF(B422="","",IFERROR(INDEX(Fields!$B:$B,MATCH(B422,Fields!$A:$A,0)),"ID not found"))</f>
        <v/>
      </c>
      <c r="E422" s="30"/>
      <c r="F422" s="20" t="n">
        <f aca="false">IF(A422="",0,COUNTIF('Metric to Product'!$A:$A,A422))</f>
        <v>0</v>
      </c>
      <c r="G422" s="30"/>
      <c r="H422" s="30"/>
      <c r="I422" s="30"/>
    </row>
    <row r="423" customFormat="false" ht="15" hidden="false" customHeight="false" outlineLevel="0" collapsed="false">
      <c r="A423" s="29"/>
      <c r="B423" s="29"/>
      <c r="C423" s="20" t="str">
        <f aca="false">IF(A423="","",IFERROR(INDEX(Metrics!$C:$C,MATCH(A423,Metrics!$A:$A,0)),"ID not found"))</f>
        <v/>
      </c>
      <c r="D423" s="20" t="str">
        <f aca="false">IF(B423="","",IFERROR(INDEX(Fields!$B:$B,MATCH(B423,Fields!$A:$A,0)),"ID not found"))</f>
        <v/>
      </c>
      <c r="E423" s="30"/>
      <c r="F423" s="20" t="n">
        <f aca="false">IF(A423="",0,COUNTIF('Metric to Product'!$A:$A,A423))</f>
        <v>0</v>
      </c>
      <c r="G423" s="30"/>
      <c r="H423" s="30"/>
      <c r="I423" s="30"/>
    </row>
    <row r="424" customFormat="false" ht="15" hidden="false" customHeight="false" outlineLevel="0" collapsed="false">
      <c r="A424" s="29"/>
      <c r="B424" s="29"/>
      <c r="C424" s="20" t="str">
        <f aca="false">IF(A424="","",IFERROR(INDEX(Metrics!$C:$C,MATCH(A424,Metrics!$A:$A,0)),"ID not found"))</f>
        <v/>
      </c>
      <c r="D424" s="20" t="str">
        <f aca="false">IF(B424="","",IFERROR(INDEX(Fields!$B:$B,MATCH(B424,Fields!$A:$A,0)),"ID not found"))</f>
        <v/>
      </c>
      <c r="E424" s="30"/>
      <c r="F424" s="20" t="n">
        <f aca="false">IF(A424="",0,COUNTIF('Metric to Product'!$A:$A,A424))</f>
        <v>0</v>
      </c>
      <c r="G424" s="30"/>
      <c r="H424" s="30"/>
      <c r="I424" s="30"/>
    </row>
    <row r="425" customFormat="false" ht="15" hidden="false" customHeight="false" outlineLevel="0" collapsed="false">
      <c r="A425" s="29"/>
      <c r="B425" s="29"/>
      <c r="C425" s="20" t="str">
        <f aca="false">IF(A425="","",IFERROR(INDEX(Metrics!$C:$C,MATCH(A425,Metrics!$A:$A,0)),"ID not found"))</f>
        <v/>
      </c>
      <c r="D425" s="20" t="str">
        <f aca="false">IF(B425="","",IFERROR(INDEX(Fields!$B:$B,MATCH(B425,Fields!$A:$A,0)),"ID not found"))</f>
        <v/>
      </c>
      <c r="E425" s="30"/>
      <c r="F425" s="20" t="n">
        <f aca="false">IF(A425="",0,COUNTIF('Metric to Product'!$A:$A,A425))</f>
        <v>0</v>
      </c>
      <c r="G425" s="30"/>
      <c r="H425" s="30"/>
      <c r="I425" s="30"/>
    </row>
    <row r="426" customFormat="false" ht="15" hidden="false" customHeight="false" outlineLevel="0" collapsed="false">
      <c r="A426" s="29"/>
      <c r="B426" s="29"/>
      <c r="C426" s="20" t="str">
        <f aca="false">IF(A426="","",IFERROR(INDEX(Metrics!$C:$C,MATCH(A426,Metrics!$A:$A,0)),"ID not found"))</f>
        <v/>
      </c>
      <c r="D426" s="20" t="str">
        <f aca="false">IF(B426="","",IFERROR(INDEX(Fields!$B:$B,MATCH(B426,Fields!$A:$A,0)),"ID not found"))</f>
        <v/>
      </c>
      <c r="E426" s="30"/>
      <c r="F426" s="20" t="n">
        <f aca="false">IF(A426="",0,COUNTIF('Metric to Product'!$A:$A,A426))</f>
        <v>0</v>
      </c>
      <c r="G426" s="30"/>
      <c r="H426" s="30"/>
      <c r="I426" s="30"/>
    </row>
    <row r="427" customFormat="false" ht="15" hidden="false" customHeight="false" outlineLevel="0" collapsed="false">
      <c r="A427" s="29"/>
      <c r="B427" s="29"/>
      <c r="C427" s="20" t="str">
        <f aca="false">IF(A427="","",IFERROR(INDEX(Metrics!$C:$C,MATCH(A427,Metrics!$A:$A,0)),"ID not found"))</f>
        <v/>
      </c>
      <c r="D427" s="20" t="str">
        <f aca="false">IF(B427="","",IFERROR(INDEX(Fields!$B:$B,MATCH(B427,Fields!$A:$A,0)),"ID not found"))</f>
        <v/>
      </c>
      <c r="E427" s="30"/>
      <c r="F427" s="20" t="n">
        <f aca="false">IF(A427="",0,COUNTIF('Metric to Product'!$A:$A,A427))</f>
        <v>0</v>
      </c>
      <c r="G427" s="30"/>
      <c r="H427" s="30"/>
      <c r="I427" s="30"/>
    </row>
    <row r="428" customFormat="false" ht="15" hidden="false" customHeight="false" outlineLevel="0" collapsed="false">
      <c r="A428" s="29"/>
      <c r="B428" s="29"/>
      <c r="C428" s="20" t="str">
        <f aca="false">IF(A428="","",IFERROR(INDEX(Metrics!$C:$C,MATCH(A428,Metrics!$A:$A,0)),"ID not found"))</f>
        <v/>
      </c>
      <c r="D428" s="20" t="str">
        <f aca="false">IF(B428="","",IFERROR(INDEX(Fields!$B:$B,MATCH(B428,Fields!$A:$A,0)),"ID not found"))</f>
        <v/>
      </c>
      <c r="E428" s="30"/>
      <c r="F428" s="20" t="n">
        <f aca="false">IF(A428="",0,COUNTIF('Metric to Product'!$A:$A,A428))</f>
        <v>0</v>
      </c>
      <c r="G428" s="30"/>
      <c r="H428" s="30"/>
      <c r="I428" s="30"/>
    </row>
    <row r="429" customFormat="false" ht="15" hidden="false" customHeight="false" outlineLevel="0" collapsed="false">
      <c r="A429" s="29"/>
      <c r="B429" s="29"/>
      <c r="C429" s="20" t="str">
        <f aca="false">IF(A429="","",IFERROR(INDEX(Metrics!$C:$C,MATCH(A429,Metrics!$A:$A,0)),"ID not found"))</f>
        <v/>
      </c>
      <c r="D429" s="20" t="str">
        <f aca="false">IF(B429="","",IFERROR(INDEX(Fields!$B:$B,MATCH(B429,Fields!$A:$A,0)),"ID not found"))</f>
        <v/>
      </c>
      <c r="E429" s="30"/>
      <c r="F429" s="20" t="n">
        <f aca="false">IF(A429="",0,COUNTIF('Metric to Product'!$A:$A,A429))</f>
        <v>0</v>
      </c>
      <c r="G429" s="30"/>
      <c r="H429" s="30"/>
      <c r="I429" s="30"/>
    </row>
    <row r="430" customFormat="false" ht="15" hidden="false" customHeight="false" outlineLevel="0" collapsed="false">
      <c r="A430" s="29"/>
      <c r="B430" s="29"/>
      <c r="C430" s="20" t="str">
        <f aca="false">IF(A430="","",IFERROR(INDEX(Metrics!$C:$C,MATCH(A430,Metrics!$A:$A,0)),"ID not found"))</f>
        <v/>
      </c>
      <c r="D430" s="20" t="str">
        <f aca="false">IF(B430="","",IFERROR(INDEX(Fields!$B:$B,MATCH(B430,Fields!$A:$A,0)),"ID not found"))</f>
        <v/>
      </c>
      <c r="E430" s="30"/>
      <c r="F430" s="20" t="n">
        <f aca="false">IF(A430="",0,COUNTIF('Metric to Product'!$A:$A,A430))</f>
        <v>0</v>
      </c>
      <c r="G430" s="30"/>
      <c r="H430" s="30"/>
      <c r="I430" s="30"/>
    </row>
    <row r="431" customFormat="false" ht="15" hidden="false" customHeight="false" outlineLevel="0" collapsed="false">
      <c r="A431" s="29"/>
      <c r="B431" s="29"/>
      <c r="C431" s="20" t="str">
        <f aca="false">IF(A431="","",IFERROR(INDEX(Metrics!$C:$C,MATCH(A431,Metrics!$A:$A,0)),"ID not found"))</f>
        <v/>
      </c>
      <c r="D431" s="20" t="str">
        <f aca="false">IF(B431="","",IFERROR(INDEX(Fields!$B:$B,MATCH(B431,Fields!$A:$A,0)),"ID not found"))</f>
        <v/>
      </c>
      <c r="E431" s="30"/>
      <c r="F431" s="20" t="n">
        <f aca="false">IF(A431="",0,COUNTIF('Metric to Product'!$A:$A,A431))</f>
        <v>0</v>
      </c>
      <c r="G431" s="30"/>
      <c r="H431" s="30"/>
      <c r="I431" s="30"/>
    </row>
    <row r="432" customFormat="false" ht="15" hidden="false" customHeight="false" outlineLevel="0" collapsed="false">
      <c r="A432" s="29"/>
      <c r="B432" s="29"/>
      <c r="C432" s="20" t="str">
        <f aca="false">IF(A432="","",IFERROR(INDEX(Metrics!$C:$C,MATCH(A432,Metrics!$A:$A,0)),"ID not found"))</f>
        <v/>
      </c>
      <c r="D432" s="20" t="str">
        <f aca="false">IF(B432="","",IFERROR(INDEX(Fields!$B:$B,MATCH(B432,Fields!$A:$A,0)),"ID not found"))</f>
        <v/>
      </c>
      <c r="E432" s="30"/>
      <c r="F432" s="20" t="n">
        <f aca="false">IF(A432="",0,COUNTIF('Metric to Product'!$A:$A,A432))</f>
        <v>0</v>
      </c>
      <c r="G432" s="30"/>
      <c r="H432" s="30"/>
      <c r="I432" s="30"/>
    </row>
    <row r="433" customFormat="false" ht="15" hidden="false" customHeight="false" outlineLevel="0" collapsed="false">
      <c r="A433" s="29"/>
      <c r="B433" s="29"/>
      <c r="C433" s="20" t="str">
        <f aca="false">IF(A433="","",IFERROR(INDEX(Metrics!$C:$C,MATCH(A433,Metrics!$A:$A,0)),"ID not found"))</f>
        <v/>
      </c>
      <c r="D433" s="20" t="str">
        <f aca="false">IF(B433="","",IFERROR(INDEX(Fields!$B:$B,MATCH(B433,Fields!$A:$A,0)),"ID not found"))</f>
        <v/>
      </c>
      <c r="E433" s="30"/>
      <c r="F433" s="20" t="n">
        <f aca="false">IF(A433="",0,COUNTIF('Metric to Product'!$A:$A,A433))</f>
        <v>0</v>
      </c>
      <c r="G433" s="30"/>
      <c r="H433" s="30"/>
      <c r="I433" s="30"/>
    </row>
    <row r="434" customFormat="false" ht="15" hidden="false" customHeight="false" outlineLevel="0" collapsed="false">
      <c r="A434" s="29"/>
      <c r="B434" s="29"/>
      <c r="C434" s="20" t="str">
        <f aca="false">IF(A434="","",IFERROR(INDEX(Metrics!$C:$C,MATCH(A434,Metrics!$A:$A,0)),"ID not found"))</f>
        <v/>
      </c>
      <c r="D434" s="20" t="str">
        <f aca="false">IF(B434="","",IFERROR(INDEX(Fields!$B:$B,MATCH(B434,Fields!$A:$A,0)),"ID not found"))</f>
        <v/>
      </c>
      <c r="E434" s="30"/>
      <c r="F434" s="20" t="n">
        <f aca="false">IF(A434="",0,COUNTIF('Metric to Product'!$A:$A,A434))</f>
        <v>0</v>
      </c>
      <c r="G434" s="30"/>
      <c r="H434" s="30"/>
      <c r="I434" s="30"/>
    </row>
    <row r="435" customFormat="false" ht="15" hidden="false" customHeight="false" outlineLevel="0" collapsed="false">
      <c r="A435" s="29"/>
      <c r="B435" s="29"/>
      <c r="C435" s="20" t="str">
        <f aca="false">IF(A435="","",IFERROR(INDEX(Metrics!$C:$C,MATCH(A435,Metrics!$A:$A,0)),"ID not found"))</f>
        <v/>
      </c>
      <c r="D435" s="20" t="str">
        <f aca="false">IF(B435="","",IFERROR(INDEX(Fields!$B:$B,MATCH(B435,Fields!$A:$A,0)),"ID not found"))</f>
        <v/>
      </c>
      <c r="E435" s="30"/>
      <c r="F435" s="20" t="n">
        <f aca="false">IF(A435="",0,COUNTIF('Metric to Product'!$A:$A,A435))</f>
        <v>0</v>
      </c>
      <c r="G435" s="30"/>
      <c r="H435" s="30"/>
      <c r="I435" s="30"/>
    </row>
    <row r="436" customFormat="false" ht="15" hidden="false" customHeight="false" outlineLevel="0" collapsed="false">
      <c r="A436" s="29"/>
      <c r="B436" s="29"/>
      <c r="C436" s="20" t="str">
        <f aca="false">IF(A436="","",IFERROR(INDEX(Metrics!$C:$C,MATCH(A436,Metrics!$A:$A,0)),"ID not found"))</f>
        <v/>
      </c>
      <c r="D436" s="20" t="str">
        <f aca="false">IF(B436="","",IFERROR(INDEX(Fields!$B:$B,MATCH(B436,Fields!$A:$A,0)),"ID not found"))</f>
        <v/>
      </c>
      <c r="E436" s="30"/>
      <c r="F436" s="20" t="n">
        <f aca="false">IF(A436="",0,COUNTIF('Metric to Product'!$A:$A,A436))</f>
        <v>0</v>
      </c>
      <c r="G436" s="30"/>
      <c r="H436" s="30"/>
      <c r="I436" s="30"/>
    </row>
    <row r="437" customFormat="false" ht="15" hidden="false" customHeight="false" outlineLevel="0" collapsed="false">
      <c r="A437" s="29"/>
      <c r="B437" s="29"/>
      <c r="C437" s="20" t="str">
        <f aca="false">IF(A437="","",IFERROR(INDEX(Metrics!$C:$C,MATCH(A437,Metrics!$A:$A,0)),"ID not found"))</f>
        <v/>
      </c>
      <c r="D437" s="20" t="str">
        <f aca="false">IF(B437="","",IFERROR(INDEX(Fields!$B:$B,MATCH(B437,Fields!$A:$A,0)),"ID not found"))</f>
        <v/>
      </c>
      <c r="E437" s="30"/>
      <c r="F437" s="20" t="n">
        <f aca="false">IF(A437="",0,COUNTIF('Metric to Product'!$A:$A,A437))</f>
        <v>0</v>
      </c>
      <c r="G437" s="30"/>
      <c r="H437" s="30"/>
      <c r="I437" s="30"/>
    </row>
    <row r="438" customFormat="false" ht="15" hidden="false" customHeight="false" outlineLevel="0" collapsed="false">
      <c r="A438" s="29"/>
      <c r="B438" s="29"/>
      <c r="C438" s="20" t="str">
        <f aca="false">IF(A438="","",IFERROR(INDEX(Metrics!$C:$C,MATCH(A438,Metrics!$A:$A,0)),"ID not found"))</f>
        <v/>
      </c>
      <c r="D438" s="20" t="str">
        <f aca="false">IF(B438="","",IFERROR(INDEX(Fields!$B:$B,MATCH(B438,Fields!$A:$A,0)),"ID not found"))</f>
        <v/>
      </c>
      <c r="E438" s="30"/>
      <c r="F438" s="20" t="n">
        <f aca="false">IF(A438="",0,COUNTIF('Metric to Product'!$A:$A,A438))</f>
        <v>0</v>
      </c>
      <c r="G438" s="30"/>
      <c r="H438" s="30"/>
      <c r="I438" s="30"/>
    </row>
    <row r="439" customFormat="false" ht="15" hidden="false" customHeight="false" outlineLevel="0" collapsed="false">
      <c r="A439" s="29"/>
      <c r="B439" s="29"/>
      <c r="C439" s="20" t="str">
        <f aca="false">IF(A439="","",IFERROR(INDEX(Metrics!$C:$C,MATCH(A439,Metrics!$A:$A,0)),"ID not found"))</f>
        <v/>
      </c>
      <c r="D439" s="20" t="str">
        <f aca="false">IF(B439="","",IFERROR(INDEX(Fields!$B:$B,MATCH(B439,Fields!$A:$A,0)),"ID not found"))</f>
        <v/>
      </c>
      <c r="E439" s="30"/>
      <c r="F439" s="20" t="n">
        <f aca="false">IF(A439="",0,COUNTIF('Metric to Product'!$A:$A,A439))</f>
        <v>0</v>
      </c>
      <c r="G439" s="30"/>
      <c r="H439" s="30"/>
      <c r="I439" s="30"/>
    </row>
    <row r="440" customFormat="false" ht="15" hidden="false" customHeight="false" outlineLevel="0" collapsed="false">
      <c r="A440" s="29"/>
      <c r="B440" s="29"/>
      <c r="C440" s="20" t="str">
        <f aca="false">IF(A440="","",IFERROR(INDEX(Metrics!$C:$C,MATCH(A440,Metrics!$A:$A,0)),"ID not found"))</f>
        <v/>
      </c>
      <c r="D440" s="20" t="str">
        <f aca="false">IF(B440="","",IFERROR(INDEX(Fields!$B:$B,MATCH(B440,Fields!$A:$A,0)),"ID not found"))</f>
        <v/>
      </c>
      <c r="E440" s="30"/>
      <c r="F440" s="20" t="n">
        <f aca="false">IF(A440="",0,COUNTIF('Metric to Product'!$A:$A,A440))</f>
        <v>0</v>
      </c>
      <c r="G440" s="30"/>
      <c r="H440" s="30"/>
      <c r="I440" s="30"/>
    </row>
    <row r="441" customFormat="false" ht="15" hidden="false" customHeight="false" outlineLevel="0" collapsed="false">
      <c r="A441" s="29"/>
      <c r="B441" s="29"/>
      <c r="C441" s="20" t="str">
        <f aca="false">IF(A441="","",IFERROR(INDEX(Metrics!$C:$C,MATCH(A441,Metrics!$A:$A,0)),"ID not found"))</f>
        <v/>
      </c>
      <c r="D441" s="20" t="str">
        <f aca="false">IF(B441="","",IFERROR(INDEX(Fields!$B:$B,MATCH(B441,Fields!$A:$A,0)),"ID not found"))</f>
        <v/>
      </c>
      <c r="E441" s="30"/>
      <c r="F441" s="20" t="n">
        <f aca="false">IF(A441="",0,COUNTIF('Metric to Product'!$A:$A,A441))</f>
        <v>0</v>
      </c>
      <c r="G441" s="30"/>
      <c r="H441" s="30"/>
      <c r="I441" s="30"/>
    </row>
    <row r="442" customFormat="false" ht="15" hidden="false" customHeight="false" outlineLevel="0" collapsed="false">
      <c r="A442" s="29"/>
      <c r="B442" s="29"/>
      <c r="C442" s="20" t="str">
        <f aca="false">IF(A442="","",IFERROR(INDEX(Metrics!$C:$C,MATCH(A442,Metrics!$A:$A,0)),"ID not found"))</f>
        <v/>
      </c>
      <c r="D442" s="20" t="str">
        <f aca="false">IF(B442="","",IFERROR(INDEX(Fields!$B:$B,MATCH(B442,Fields!$A:$A,0)),"ID not found"))</f>
        <v/>
      </c>
      <c r="E442" s="30"/>
      <c r="F442" s="20" t="n">
        <f aca="false">IF(A442="",0,COUNTIF('Metric to Product'!$A:$A,A442))</f>
        <v>0</v>
      </c>
      <c r="G442" s="30"/>
      <c r="H442" s="30"/>
      <c r="I442" s="30"/>
    </row>
    <row r="443" customFormat="false" ht="15" hidden="false" customHeight="false" outlineLevel="0" collapsed="false">
      <c r="A443" s="29"/>
      <c r="B443" s="29"/>
      <c r="C443" s="20" t="str">
        <f aca="false">IF(A443="","",IFERROR(INDEX(Metrics!$C:$C,MATCH(A443,Metrics!$A:$A,0)),"ID not found"))</f>
        <v/>
      </c>
      <c r="D443" s="20" t="str">
        <f aca="false">IF(B443="","",IFERROR(INDEX(Fields!$B:$B,MATCH(B443,Fields!$A:$A,0)),"ID not found"))</f>
        <v/>
      </c>
      <c r="E443" s="30"/>
      <c r="F443" s="20" t="n">
        <f aca="false">IF(A443="",0,COUNTIF('Metric to Product'!$A:$A,A443))</f>
        <v>0</v>
      </c>
      <c r="G443" s="30"/>
      <c r="H443" s="30"/>
      <c r="I443" s="30"/>
    </row>
    <row r="444" customFormat="false" ht="15" hidden="false" customHeight="false" outlineLevel="0" collapsed="false">
      <c r="A444" s="29"/>
      <c r="B444" s="29"/>
      <c r="C444" s="20" t="str">
        <f aca="false">IF(A444="","",IFERROR(INDEX(Metrics!$C:$C,MATCH(A444,Metrics!$A:$A,0)),"ID not found"))</f>
        <v/>
      </c>
      <c r="D444" s="20" t="str">
        <f aca="false">IF(B444="","",IFERROR(INDEX(Fields!$B:$B,MATCH(B444,Fields!$A:$A,0)),"ID not found"))</f>
        <v/>
      </c>
      <c r="E444" s="30"/>
      <c r="F444" s="20" t="n">
        <f aca="false">IF(A444="",0,COUNTIF('Metric to Product'!$A:$A,A444))</f>
        <v>0</v>
      </c>
      <c r="G444" s="30"/>
      <c r="H444" s="30"/>
      <c r="I444" s="30"/>
    </row>
    <row r="445" customFormat="false" ht="15" hidden="false" customHeight="false" outlineLevel="0" collapsed="false">
      <c r="A445" s="29"/>
      <c r="B445" s="29"/>
      <c r="C445" s="20" t="str">
        <f aca="false">IF(A445="","",IFERROR(INDEX(Metrics!$C:$C,MATCH(A445,Metrics!$A:$A,0)),"ID not found"))</f>
        <v/>
      </c>
      <c r="D445" s="20" t="str">
        <f aca="false">IF(B445="","",IFERROR(INDEX(Fields!$B:$B,MATCH(B445,Fields!$A:$A,0)),"ID not found"))</f>
        <v/>
      </c>
      <c r="E445" s="30"/>
      <c r="F445" s="20" t="n">
        <f aca="false">IF(A445="",0,COUNTIF('Metric to Product'!$A:$A,A445))</f>
        <v>0</v>
      </c>
      <c r="G445" s="30"/>
      <c r="H445" s="30"/>
      <c r="I445" s="30"/>
    </row>
    <row r="446" customFormat="false" ht="15" hidden="false" customHeight="false" outlineLevel="0" collapsed="false">
      <c r="A446" s="29"/>
      <c r="B446" s="29"/>
      <c r="C446" s="20" t="str">
        <f aca="false">IF(A446="","",IFERROR(INDEX(Metrics!$C:$C,MATCH(A446,Metrics!$A:$A,0)),"ID not found"))</f>
        <v/>
      </c>
      <c r="D446" s="20" t="str">
        <f aca="false">IF(B446="","",IFERROR(INDEX(Fields!$B:$B,MATCH(B446,Fields!$A:$A,0)),"ID not found"))</f>
        <v/>
      </c>
      <c r="E446" s="30"/>
      <c r="F446" s="20" t="n">
        <f aca="false">IF(A446="",0,COUNTIF('Metric to Product'!$A:$A,A446))</f>
        <v>0</v>
      </c>
      <c r="G446" s="30"/>
      <c r="H446" s="30"/>
      <c r="I446" s="30"/>
    </row>
    <row r="447" customFormat="false" ht="15" hidden="false" customHeight="false" outlineLevel="0" collapsed="false">
      <c r="A447" s="29"/>
      <c r="B447" s="29"/>
      <c r="C447" s="20" t="str">
        <f aca="false">IF(A447="","",IFERROR(INDEX(Metrics!$C:$C,MATCH(A447,Metrics!$A:$A,0)),"ID not found"))</f>
        <v/>
      </c>
      <c r="D447" s="20" t="str">
        <f aca="false">IF(B447="","",IFERROR(INDEX(Fields!$B:$B,MATCH(B447,Fields!$A:$A,0)),"ID not found"))</f>
        <v/>
      </c>
      <c r="E447" s="30"/>
      <c r="F447" s="20" t="n">
        <f aca="false">IF(A447="",0,COUNTIF('Metric to Product'!$A:$A,A447))</f>
        <v>0</v>
      </c>
      <c r="G447" s="30"/>
      <c r="H447" s="30"/>
      <c r="I447" s="30"/>
    </row>
    <row r="448" customFormat="false" ht="15" hidden="false" customHeight="false" outlineLevel="0" collapsed="false">
      <c r="A448" s="29"/>
      <c r="B448" s="29"/>
      <c r="C448" s="20" t="str">
        <f aca="false">IF(A448="","",IFERROR(INDEX(Metrics!$C:$C,MATCH(A448,Metrics!$A:$A,0)),"ID not found"))</f>
        <v/>
      </c>
      <c r="D448" s="20" t="str">
        <f aca="false">IF(B448="","",IFERROR(INDEX(Fields!$B:$B,MATCH(B448,Fields!$A:$A,0)),"ID not found"))</f>
        <v/>
      </c>
      <c r="E448" s="30"/>
      <c r="F448" s="20" t="n">
        <f aca="false">IF(A448="",0,COUNTIF('Metric to Product'!$A:$A,A448))</f>
        <v>0</v>
      </c>
      <c r="G448" s="30"/>
      <c r="H448" s="30"/>
      <c r="I448" s="30"/>
    </row>
    <row r="449" customFormat="false" ht="15" hidden="false" customHeight="false" outlineLevel="0" collapsed="false">
      <c r="A449" s="29"/>
      <c r="B449" s="29"/>
      <c r="C449" s="20" t="str">
        <f aca="false">IF(A449="","",IFERROR(INDEX(Metrics!$C:$C,MATCH(A449,Metrics!$A:$A,0)),"ID not found"))</f>
        <v/>
      </c>
      <c r="D449" s="20" t="str">
        <f aca="false">IF(B449="","",IFERROR(INDEX(Fields!$B:$B,MATCH(B449,Fields!$A:$A,0)),"ID not found"))</f>
        <v/>
      </c>
      <c r="E449" s="30"/>
      <c r="F449" s="20" t="n">
        <f aca="false">IF(A449="",0,COUNTIF('Metric to Product'!$A:$A,A449))</f>
        <v>0</v>
      </c>
      <c r="G449" s="30"/>
      <c r="H449" s="30"/>
      <c r="I449" s="30"/>
    </row>
    <row r="450" customFormat="false" ht="15" hidden="false" customHeight="false" outlineLevel="0" collapsed="false">
      <c r="A450" s="29"/>
      <c r="B450" s="29"/>
      <c r="C450" s="20" t="str">
        <f aca="false">IF(A450="","",IFERROR(INDEX(Metrics!$C:$C,MATCH(A450,Metrics!$A:$A,0)),"ID not found"))</f>
        <v/>
      </c>
      <c r="D450" s="20" t="str">
        <f aca="false">IF(B450="","",IFERROR(INDEX(Fields!$B:$B,MATCH(B450,Fields!$A:$A,0)),"ID not found"))</f>
        <v/>
      </c>
      <c r="E450" s="30"/>
      <c r="F450" s="20" t="n">
        <f aca="false">IF(A450="",0,COUNTIF('Metric to Product'!$A:$A,A450))</f>
        <v>0</v>
      </c>
      <c r="G450" s="30"/>
      <c r="H450" s="30"/>
      <c r="I450" s="30"/>
    </row>
    <row r="451" customFormat="false" ht="15" hidden="false" customHeight="false" outlineLevel="0" collapsed="false">
      <c r="A451" s="29"/>
      <c r="B451" s="29"/>
      <c r="C451" s="20" t="str">
        <f aca="false">IF(A451="","",IFERROR(INDEX(Metrics!$C:$C,MATCH(A451,Metrics!$A:$A,0)),"ID not found"))</f>
        <v/>
      </c>
      <c r="D451" s="20" t="str">
        <f aca="false">IF(B451="","",IFERROR(INDEX(Fields!$B:$B,MATCH(B451,Fields!$A:$A,0)),"ID not found"))</f>
        <v/>
      </c>
      <c r="E451" s="30"/>
      <c r="F451" s="20" t="n">
        <f aca="false">IF(A451="",0,COUNTIF('Metric to Product'!$A:$A,A451))</f>
        <v>0</v>
      </c>
      <c r="G451" s="30"/>
      <c r="H451" s="30"/>
      <c r="I451" s="30"/>
    </row>
    <row r="452" customFormat="false" ht="15" hidden="false" customHeight="false" outlineLevel="0" collapsed="false">
      <c r="A452" s="29"/>
      <c r="B452" s="29"/>
      <c r="C452" s="20" t="str">
        <f aca="false">IF(A452="","",IFERROR(INDEX(Metrics!$C:$C,MATCH(A452,Metrics!$A:$A,0)),"ID not found"))</f>
        <v/>
      </c>
      <c r="D452" s="20" t="str">
        <f aca="false">IF(B452="","",IFERROR(INDEX(Fields!$B:$B,MATCH(B452,Fields!$A:$A,0)),"ID not found"))</f>
        <v/>
      </c>
      <c r="E452" s="30"/>
      <c r="F452" s="20" t="n">
        <f aca="false">IF(A452="",0,COUNTIF('Metric to Product'!$A:$A,A452))</f>
        <v>0</v>
      </c>
      <c r="G452" s="30"/>
      <c r="H452" s="30"/>
      <c r="I452" s="30"/>
    </row>
    <row r="453" customFormat="false" ht="15" hidden="false" customHeight="false" outlineLevel="0" collapsed="false">
      <c r="A453" s="29"/>
      <c r="B453" s="29"/>
      <c r="C453" s="20" t="str">
        <f aca="false">IF(A453="","",IFERROR(INDEX(Metrics!$C:$C,MATCH(A453,Metrics!$A:$A,0)),"ID not found"))</f>
        <v/>
      </c>
      <c r="D453" s="20" t="str">
        <f aca="false">IF(B453="","",IFERROR(INDEX(Fields!$B:$B,MATCH(B453,Fields!$A:$A,0)),"ID not found"))</f>
        <v/>
      </c>
      <c r="E453" s="30"/>
      <c r="F453" s="20" t="n">
        <f aca="false">IF(A453="",0,COUNTIF('Metric to Product'!$A:$A,A453))</f>
        <v>0</v>
      </c>
      <c r="G453" s="30"/>
      <c r="H453" s="30"/>
      <c r="I453" s="30"/>
    </row>
    <row r="454" customFormat="false" ht="15" hidden="false" customHeight="false" outlineLevel="0" collapsed="false">
      <c r="A454" s="29"/>
      <c r="B454" s="29"/>
      <c r="C454" s="20" t="str">
        <f aca="false">IF(A454="","",IFERROR(INDEX(Metrics!$C:$C,MATCH(A454,Metrics!$A:$A,0)),"ID not found"))</f>
        <v/>
      </c>
      <c r="D454" s="20" t="str">
        <f aca="false">IF(B454="","",IFERROR(INDEX(Fields!$B:$B,MATCH(B454,Fields!$A:$A,0)),"ID not found"))</f>
        <v/>
      </c>
      <c r="E454" s="30"/>
      <c r="F454" s="20" t="n">
        <f aca="false">IF(A454="",0,COUNTIF('Metric to Product'!$A:$A,A454))</f>
        <v>0</v>
      </c>
      <c r="G454" s="30"/>
      <c r="H454" s="30"/>
      <c r="I454" s="30"/>
    </row>
    <row r="455" customFormat="false" ht="15" hidden="false" customHeight="false" outlineLevel="0" collapsed="false">
      <c r="A455" s="29"/>
      <c r="B455" s="29"/>
      <c r="C455" s="20" t="str">
        <f aca="false">IF(A455="","",IFERROR(INDEX(Metrics!$C:$C,MATCH(A455,Metrics!$A:$A,0)),"ID not found"))</f>
        <v/>
      </c>
      <c r="D455" s="20" t="str">
        <f aca="false">IF(B455="","",IFERROR(INDEX(Fields!$B:$B,MATCH(B455,Fields!$A:$A,0)),"ID not found"))</f>
        <v/>
      </c>
      <c r="E455" s="30"/>
      <c r="F455" s="20" t="n">
        <f aca="false">IF(A455="",0,COUNTIF('Metric to Product'!$A:$A,A455))</f>
        <v>0</v>
      </c>
      <c r="G455" s="30"/>
      <c r="H455" s="30"/>
      <c r="I455" s="30"/>
    </row>
    <row r="456" customFormat="false" ht="15" hidden="false" customHeight="false" outlineLevel="0" collapsed="false">
      <c r="A456" s="29"/>
      <c r="B456" s="29"/>
      <c r="C456" s="20" t="str">
        <f aca="false">IF(A456="","",IFERROR(INDEX(Metrics!$C:$C,MATCH(A456,Metrics!$A:$A,0)),"ID not found"))</f>
        <v/>
      </c>
      <c r="D456" s="20" t="str">
        <f aca="false">IF(B456="","",IFERROR(INDEX(Fields!$B:$B,MATCH(B456,Fields!$A:$A,0)),"ID not found"))</f>
        <v/>
      </c>
      <c r="E456" s="30"/>
      <c r="F456" s="20" t="n">
        <f aca="false">IF(A456="",0,COUNTIF('Metric to Product'!$A:$A,A456))</f>
        <v>0</v>
      </c>
      <c r="G456" s="30"/>
      <c r="H456" s="30"/>
      <c r="I456" s="30"/>
    </row>
    <row r="457" customFormat="false" ht="15" hidden="false" customHeight="false" outlineLevel="0" collapsed="false">
      <c r="A457" s="29"/>
      <c r="B457" s="29"/>
      <c r="C457" s="20" t="str">
        <f aca="false">IF(A457="","",IFERROR(INDEX(Metrics!$C:$C,MATCH(A457,Metrics!$A:$A,0)),"ID not found"))</f>
        <v/>
      </c>
      <c r="D457" s="20" t="str">
        <f aca="false">IF(B457="","",IFERROR(INDEX(Fields!$B:$B,MATCH(B457,Fields!$A:$A,0)),"ID not found"))</f>
        <v/>
      </c>
      <c r="E457" s="30"/>
      <c r="F457" s="20" t="n">
        <f aca="false">IF(A457="",0,COUNTIF('Metric to Product'!$A:$A,A457))</f>
        <v>0</v>
      </c>
      <c r="G457" s="30"/>
      <c r="H457" s="30"/>
      <c r="I457" s="30"/>
    </row>
    <row r="458" customFormat="false" ht="15" hidden="false" customHeight="false" outlineLevel="0" collapsed="false">
      <c r="A458" s="29"/>
      <c r="B458" s="29"/>
      <c r="C458" s="20" t="str">
        <f aca="false">IF(A458="","",IFERROR(INDEX(Metrics!$C:$C,MATCH(A458,Metrics!$A:$A,0)),"ID not found"))</f>
        <v/>
      </c>
      <c r="D458" s="20" t="str">
        <f aca="false">IF(B458="","",IFERROR(INDEX(Fields!$B:$B,MATCH(B458,Fields!$A:$A,0)),"ID not found"))</f>
        <v/>
      </c>
      <c r="E458" s="30"/>
      <c r="F458" s="20" t="n">
        <f aca="false">IF(A458="",0,COUNTIF('Metric to Product'!$A:$A,A458))</f>
        <v>0</v>
      </c>
      <c r="G458" s="30"/>
      <c r="H458" s="30"/>
      <c r="I458" s="30"/>
    </row>
    <row r="459" customFormat="false" ht="15" hidden="false" customHeight="false" outlineLevel="0" collapsed="false">
      <c r="A459" s="29"/>
      <c r="B459" s="29"/>
      <c r="C459" s="20" t="str">
        <f aca="false">IF(A459="","",IFERROR(INDEX(Metrics!$C:$C,MATCH(A459,Metrics!$A:$A,0)),"ID not found"))</f>
        <v/>
      </c>
      <c r="D459" s="20" t="str">
        <f aca="false">IF(B459="","",IFERROR(INDEX(Fields!$B:$B,MATCH(B459,Fields!$A:$A,0)),"ID not found"))</f>
        <v/>
      </c>
      <c r="E459" s="30"/>
      <c r="F459" s="20" t="n">
        <f aca="false">IF(A459="",0,COUNTIF('Metric to Product'!$A:$A,A459))</f>
        <v>0</v>
      </c>
      <c r="G459" s="30"/>
      <c r="H459" s="30"/>
      <c r="I459" s="30"/>
    </row>
    <row r="460" customFormat="false" ht="15" hidden="false" customHeight="false" outlineLevel="0" collapsed="false">
      <c r="A460" s="29"/>
      <c r="B460" s="29"/>
      <c r="C460" s="20" t="str">
        <f aca="false">IF(A460="","",IFERROR(INDEX(Metrics!$C:$C,MATCH(A460,Metrics!$A:$A,0)),"ID not found"))</f>
        <v/>
      </c>
      <c r="D460" s="20" t="str">
        <f aca="false">IF(B460="","",IFERROR(INDEX(Fields!$B:$B,MATCH(B460,Fields!$A:$A,0)),"ID not found"))</f>
        <v/>
      </c>
      <c r="E460" s="30"/>
      <c r="F460" s="20" t="n">
        <f aca="false">IF(A460="",0,COUNTIF('Metric to Product'!$A:$A,A460))</f>
        <v>0</v>
      </c>
      <c r="G460" s="30"/>
      <c r="H460" s="30"/>
      <c r="I460" s="30"/>
    </row>
    <row r="461" customFormat="false" ht="15" hidden="false" customHeight="false" outlineLevel="0" collapsed="false">
      <c r="A461" s="29"/>
      <c r="B461" s="29"/>
      <c r="C461" s="20" t="str">
        <f aca="false">IF(A461="","",IFERROR(INDEX(Metrics!$C:$C,MATCH(A461,Metrics!$A:$A,0)),"ID not found"))</f>
        <v/>
      </c>
      <c r="D461" s="20" t="str">
        <f aca="false">IF(B461="","",IFERROR(INDEX(Fields!$B:$B,MATCH(B461,Fields!$A:$A,0)),"ID not found"))</f>
        <v/>
      </c>
      <c r="E461" s="30"/>
      <c r="F461" s="20" t="n">
        <f aca="false">IF(A461="",0,COUNTIF('Metric to Product'!$A:$A,A461))</f>
        <v>0</v>
      </c>
      <c r="G461" s="30"/>
      <c r="H461" s="30"/>
      <c r="I461" s="30"/>
    </row>
    <row r="462" customFormat="false" ht="15" hidden="false" customHeight="false" outlineLevel="0" collapsed="false">
      <c r="A462" s="29"/>
      <c r="B462" s="29"/>
      <c r="C462" s="20" t="str">
        <f aca="false">IF(A462="","",IFERROR(INDEX(Metrics!$C:$C,MATCH(A462,Metrics!$A:$A,0)),"ID not found"))</f>
        <v/>
      </c>
      <c r="D462" s="20" t="str">
        <f aca="false">IF(B462="","",IFERROR(INDEX(Fields!$B:$B,MATCH(B462,Fields!$A:$A,0)),"ID not found"))</f>
        <v/>
      </c>
      <c r="E462" s="30"/>
      <c r="F462" s="20" t="n">
        <f aca="false">IF(A462="",0,COUNTIF('Metric to Product'!$A:$A,A462))</f>
        <v>0</v>
      </c>
      <c r="G462" s="30"/>
      <c r="H462" s="30"/>
      <c r="I462" s="30"/>
    </row>
    <row r="463" customFormat="false" ht="15" hidden="false" customHeight="false" outlineLevel="0" collapsed="false">
      <c r="A463" s="29"/>
      <c r="B463" s="29"/>
      <c r="C463" s="20" t="str">
        <f aca="false">IF(A463="","",IFERROR(INDEX(Metrics!$C:$C,MATCH(A463,Metrics!$A:$A,0)),"ID not found"))</f>
        <v/>
      </c>
      <c r="D463" s="20" t="str">
        <f aca="false">IF(B463="","",IFERROR(INDEX(Fields!$B:$B,MATCH(B463,Fields!$A:$A,0)),"ID not found"))</f>
        <v/>
      </c>
      <c r="E463" s="30"/>
      <c r="F463" s="20" t="n">
        <f aca="false">IF(A463="",0,COUNTIF('Metric to Product'!$A:$A,A463))</f>
        <v>0</v>
      </c>
      <c r="G463" s="30"/>
      <c r="H463" s="30"/>
      <c r="I463" s="30"/>
    </row>
    <row r="464" customFormat="false" ht="15" hidden="false" customHeight="false" outlineLevel="0" collapsed="false">
      <c r="A464" s="29"/>
      <c r="B464" s="29"/>
      <c r="C464" s="20" t="str">
        <f aca="false">IF(A464="","",IFERROR(INDEX(Metrics!$C:$C,MATCH(A464,Metrics!$A:$A,0)),"ID not found"))</f>
        <v/>
      </c>
      <c r="D464" s="20" t="str">
        <f aca="false">IF(B464="","",IFERROR(INDEX(Fields!$B:$B,MATCH(B464,Fields!$A:$A,0)),"ID not found"))</f>
        <v/>
      </c>
      <c r="E464" s="30"/>
      <c r="F464" s="20" t="n">
        <f aca="false">IF(A464="",0,COUNTIF('Metric to Product'!$A:$A,A464))</f>
        <v>0</v>
      </c>
      <c r="G464" s="30"/>
      <c r="H464" s="30"/>
      <c r="I464" s="30"/>
    </row>
    <row r="465" customFormat="false" ht="15" hidden="false" customHeight="false" outlineLevel="0" collapsed="false">
      <c r="A465" s="29"/>
      <c r="B465" s="29"/>
      <c r="C465" s="20" t="str">
        <f aca="false">IF(A465="","",IFERROR(INDEX(Metrics!$C:$C,MATCH(A465,Metrics!$A:$A,0)),"ID not found"))</f>
        <v/>
      </c>
      <c r="D465" s="20" t="str">
        <f aca="false">IF(B465="","",IFERROR(INDEX(Fields!$B:$B,MATCH(B465,Fields!$A:$A,0)),"ID not found"))</f>
        <v/>
      </c>
      <c r="E465" s="30"/>
      <c r="F465" s="20" t="n">
        <f aca="false">IF(A465="",0,COUNTIF('Metric to Product'!$A:$A,A465))</f>
        <v>0</v>
      </c>
      <c r="G465" s="30"/>
      <c r="H465" s="30"/>
      <c r="I465" s="30"/>
    </row>
    <row r="466" customFormat="false" ht="15" hidden="false" customHeight="false" outlineLevel="0" collapsed="false">
      <c r="A466" s="29"/>
      <c r="B466" s="29"/>
      <c r="C466" s="20" t="str">
        <f aca="false">IF(A466="","",IFERROR(INDEX(Metrics!$C:$C,MATCH(A466,Metrics!$A:$A,0)),"ID not found"))</f>
        <v/>
      </c>
      <c r="D466" s="20" t="str">
        <f aca="false">IF(B466="","",IFERROR(INDEX(Fields!$B:$B,MATCH(B466,Fields!$A:$A,0)),"ID not found"))</f>
        <v/>
      </c>
      <c r="E466" s="30"/>
      <c r="F466" s="20" t="n">
        <f aca="false">IF(A466="",0,COUNTIF('Metric to Product'!$A:$A,A466))</f>
        <v>0</v>
      </c>
      <c r="G466" s="30"/>
      <c r="H466" s="30"/>
      <c r="I466" s="30"/>
    </row>
    <row r="467" customFormat="false" ht="15" hidden="false" customHeight="false" outlineLevel="0" collapsed="false">
      <c r="A467" s="29"/>
      <c r="B467" s="29"/>
      <c r="C467" s="20" t="str">
        <f aca="false">IF(A467="","",IFERROR(INDEX(Metrics!$C:$C,MATCH(A467,Metrics!$A:$A,0)),"ID not found"))</f>
        <v/>
      </c>
      <c r="D467" s="20" t="str">
        <f aca="false">IF(B467="","",IFERROR(INDEX(Fields!$B:$B,MATCH(B467,Fields!$A:$A,0)),"ID not found"))</f>
        <v/>
      </c>
      <c r="E467" s="30"/>
      <c r="F467" s="20" t="n">
        <f aca="false">IF(A467="",0,COUNTIF('Metric to Product'!$A:$A,A467))</f>
        <v>0</v>
      </c>
      <c r="G467" s="30"/>
      <c r="H467" s="30"/>
      <c r="I467" s="30"/>
    </row>
    <row r="468" customFormat="false" ht="15" hidden="false" customHeight="false" outlineLevel="0" collapsed="false">
      <c r="A468" s="29"/>
      <c r="B468" s="29"/>
      <c r="C468" s="20" t="str">
        <f aca="false">IF(A468="","",IFERROR(INDEX(Metrics!$C:$C,MATCH(A468,Metrics!$A:$A,0)),"ID not found"))</f>
        <v/>
      </c>
      <c r="D468" s="20" t="str">
        <f aca="false">IF(B468="","",IFERROR(INDEX(Fields!$B:$B,MATCH(B468,Fields!$A:$A,0)),"ID not found"))</f>
        <v/>
      </c>
      <c r="E468" s="30"/>
      <c r="F468" s="20" t="n">
        <f aca="false">IF(A468="",0,COUNTIF('Metric to Product'!$A:$A,A468))</f>
        <v>0</v>
      </c>
      <c r="G468" s="30"/>
      <c r="H468" s="30"/>
      <c r="I468" s="30"/>
    </row>
    <row r="469" customFormat="false" ht="15" hidden="false" customHeight="false" outlineLevel="0" collapsed="false">
      <c r="A469" s="29"/>
      <c r="B469" s="29"/>
      <c r="C469" s="20" t="str">
        <f aca="false">IF(A469="","",IFERROR(INDEX(Metrics!$C:$C,MATCH(A469,Metrics!$A:$A,0)),"ID not found"))</f>
        <v/>
      </c>
      <c r="D469" s="20" t="str">
        <f aca="false">IF(B469="","",IFERROR(INDEX(Fields!$B:$B,MATCH(B469,Fields!$A:$A,0)),"ID not found"))</f>
        <v/>
      </c>
      <c r="E469" s="30"/>
      <c r="F469" s="20" t="n">
        <f aca="false">IF(A469="",0,COUNTIF('Metric to Product'!$A:$A,A469))</f>
        <v>0</v>
      </c>
      <c r="G469" s="30"/>
      <c r="H469" s="30"/>
      <c r="I469" s="30"/>
    </row>
    <row r="470" customFormat="false" ht="15" hidden="false" customHeight="false" outlineLevel="0" collapsed="false">
      <c r="A470" s="29"/>
      <c r="B470" s="29"/>
      <c r="C470" s="20" t="str">
        <f aca="false">IF(A470="","",IFERROR(INDEX(Metrics!$C:$C,MATCH(A470,Metrics!$A:$A,0)),"ID not found"))</f>
        <v/>
      </c>
      <c r="D470" s="20" t="str">
        <f aca="false">IF(B470="","",IFERROR(INDEX(Fields!$B:$B,MATCH(B470,Fields!$A:$A,0)),"ID not found"))</f>
        <v/>
      </c>
      <c r="E470" s="30"/>
      <c r="F470" s="20" t="n">
        <f aca="false">IF(A470="",0,COUNTIF('Metric to Product'!$A:$A,A470))</f>
        <v>0</v>
      </c>
      <c r="G470" s="30"/>
      <c r="H470" s="30"/>
      <c r="I470" s="30"/>
    </row>
    <row r="471" customFormat="false" ht="15" hidden="false" customHeight="false" outlineLevel="0" collapsed="false">
      <c r="A471" s="29"/>
      <c r="B471" s="29"/>
      <c r="C471" s="20" t="str">
        <f aca="false">IF(A471="","",IFERROR(INDEX(Metrics!$C:$C,MATCH(A471,Metrics!$A:$A,0)),"ID not found"))</f>
        <v/>
      </c>
      <c r="D471" s="20" t="str">
        <f aca="false">IF(B471="","",IFERROR(INDEX(Fields!$B:$B,MATCH(B471,Fields!$A:$A,0)),"ID not found"))</f>
        <v/>
      </c>
      <c r="E471" s="30"/>
      <c r="F471" s="20" t="n">
        <f aca="false">IF(A471="",0,COUNTIF('Metric to Product'!$A:$A,A471))</f>
        <v>0</v>
      </c>
      <c r="G471" s="30"/>
      <c r="H471" s="30"/>
      <c r="I471" s="30"/>
    </row>
    <row r="472" customFormat="false" ht="15" hidden="false" customHeight="false" outlineLevel="0" collapsed="false">
      <c r="A472" s="29"/>
      <c r="B472" s="29"/>
      <c r="C472" s="20" t="str">
        <f aca="false">IF(A472="","",IFERROR(INDEX(Metrics!$C:$C,MATCH(A472,Metrics!$A:$A,0)),"ID not found"))</f>
        <v/>
      </c>
      <c r="D472" s="20" t="str">
        <f aca="false">IF(B472="","",IFERROR(INDEX(Fields!$B:$B,MATCH(B472,Fields!$A:$A,0)),"ID not found"))</f>
        <v/>
      </c>
      <c r="E472" s="30"/>
      <c r="F472" s="20" t="n">
        <f aca="false">IF(A472="",0,COUNTIF('Metric to Product'!$A:$A,A472))</f>
        <v>0</v>
      </c>
      <c r="G472" s="30"/>
      <c r="H472" s="30"/>
      <c r="I472" s="30"/>
    </row>
    <row r="473" customFormat="false" ht="15" hidden="false" customHeight="false" outlineLevel="0" collapsed="false">
      <c r="A473" s="29"/>
      <c r="B473" s="29"/>
      <c r="C473" s="20" t="str">
        <f aca="false">IF(A473="","",IFERROR(INDEX(Metrics!$C:$C,MATCH(A473,Metrics!$A:$A,0)),"ID not found"))</f>
        <v/>
      </c>
      <c r="D473" s="20" t="str">
        <f aca="false">IF(B473="","",IFERROR(INDEX(Fields!$B:$B,MATCH(B473,Fields!$A:$A,0)),"ID not found"))</f>
        <v/>
      </c>
      <c r="E473" s="30"/>
      <c r="F473" s="20" t="n">
        <f aca="false">IF(A473="",0,COUNTIF('Metric to Product'!$A:$A,A473))</f>
        <v>0</v>
      </c>
      <c r="G473" s="30"/>
      <c r="H473" s="30"/>
      <c r="I473" s="30"/>
    </row>
    <row r="474" customFormat="false" ht="15" hidden="false" customHeight="false" outlineLevel="0" collapsed="false">
      <c r="A474" s="29"/>
      <c r="B474" s="29"/>
      <c r="C474" s="20" t="str">
        <f aca="false">IF(A474="","",IFERROR(INDEX(Metrics!$C:$C,MATCH(A474,Metrics!$A:$A,0)),"ID not found"))</f>
        <v/>
      </c>
      <c r="D474" s="20" t="str">
        <f aca="false">IF(B474="","",IFERROR(INDEX(Fields!$B:$B,MATCH(B474,Fields!$A:$A,0)),"ID not found"))</f>
        <v/>
      </c>
      <c r="E474" s="30"/>
      <c r="F474" s="20" t="n">
        <f aca="false">IF(A474="",0,COUNTIF('Metric to Product'!$A:$A,A474))</f>
        <v>0</v>
      </c>
      <c r="G474" s="30"/>
      <c r="H474" s="30"/>
      <c r="I474" s="30"/>
    </row>
    <row r="475" customFormat="false" ht="15" hidden="false" customHeight="false" outlineLevel="0" collapsed="false">
      <c r="A475" s="29"/>
      <c r="B475" s="29"/>
      <c r="C475" s="20" t="str">
        <f aca="false">IF(A475="","",IFERROR(INDEX(Metrics!$C:$C,MATCH(A475,Metrics!$A:$A,0)),"ID not found"))</f>
        <v/>
      </c>
      <c r="D475" s="20" t="str">
        <f aca="false">IF(B475="","",IFERROR(INDEX(Fields!$B:$B,MATCH(B475,Fields!$A:$A,0)),"ID not found"))</f>
        <v/>
      </c>
      <c r="E475" s="30"/>
      <c r="F475" s="20" t="n">
        <f aca="false">IF(A475="",0,COUNTIF('Metric to Product'!$A:$A,A475))</f>
        <v>0</v>
      </c>
      <c r="G475" s="30"/>
      <c r="H475" s="30"/>
      <c r="I475" s="30"/>
    </row>
    <row r="476" customFormat="false" ht="15" hidden="false" customHeight="false" outlineLevel="0" collapsed="false">
      <c r="A476" s="29"/>
      <c r="B476" s="29"/>
      <c r="C476" s="20" t="str">
        <f aca="false">IF(A476="","",IFERROR(INDEX(Metrics!$C:$C,MATCH(A476,Metrics!$A:$A,0)),"ID not found"))</f>
        <v/>
      </c>
      <c r="D476" s="20" t="str">
        <f aca="false">IF(B476="","",IFERROR(INDEX(Fields!$B:$B,MATCH(B476,Fields!$A:$A,0)),"ID not found"))</f>
        <v/>
      </c>
      <c r="E476" s="30"/>
      <c r="F476" s="20" t="n">
        <f aca="false">IF(A476="",0,COUNTIF('Metric to Product'!$A:$A,A476))</f>
        <v>0</v>
      </c>
      <c r="G476" s="30"/>
      <c r="H476" s="30"/>
      <c r="I476" s="30"/>
    </row>
    <row r="477" customFormat="false" ht="15" hidden="false" customHeight="false" outlineLevel="0" collapsed="false">
      <c r="A477" s="29"/>
      <c r="B477" s="29"/>
      <c r="C477" s="20" t="str">
        <f aca="false">IF(A477="","",IFERROR(INDEX(Metrics!$C:$C,MATCH(A477,Metrics!$A:$A,0)),"ID not found"))</f>
        <v/>
      </c>
      <c r="D477" s="20" t="str">
        <f aca="false">IF(B477="","",IFERROR(INDEX(Fields!$B:$B,MATCH(B477,Fields!$A:$A,0)),"ID not found"))</f>
        <v/>
      </c>
      <c r="E477" s="30"/>
      <c r="F477" s="20" t="n">
        <f aca="false">IF(A477="",0,COUNTIF('Metric to Product'!$A:$A,A477))</f>
        <v>0</v>
      </c>
      <c r="G477" s="30"/>
      <c r="H477" s="30"/>
      <c r="I477" s="30"/>
    </row>
    <row r="478" customFormat="false" ht="15" hidden="false" customHeight="false" outlineLevel="0" collapsed="false">
      <c r="A478" s="29"/>
      <c r="B478" s="29"/>
      <c r="C478" s="20" t="str">
        <f aca="false">IF(A478="","",IFERROR(INDEX(Metrics!$C:$C,MATCH(A478,Metrics!$A:$A,0)),"ID not found"))</f>
        <v/>
      </c>
      <c r="D478" s="20" t="str">
        <f aca="false">IF(B478="","",IFERROR(INDEX(Fields!$B:$B,MATCH(B478,Fields!$A:$A,0)),"ID not found"))</f>
        <v/>
      </c>
      <c r="E478" s="30"/>
      <c r="F478" s="20" t="n">
        <f aca="false">IF(A478="",0,COUNTIF('Metric to Product'!$A:$A,A478))</f>
        <v>0</v>
      </c>
      <c r="G478" s="30"/>
      <c r="H478" s="30"/>
      <c r="I478" s="30"/>
    </row>
    <row r="479" customFormat="false" ht="15" hidden="false" customHeight="false" outlineLevel="0" collapsed="false">
      <c r="A479" s="29"/>
      <c r="B479" s="29"/>
      <c r="C479" s="20" t="str">
        <f aca="false">IF(A479="","",IFERROR(INDEX(Metrics!$C:$C,MATCH(A479,Metrics!$A:$A,0)),"ID not found"))</f>
        <v/>
      </c>
      <c r="D479" s="20" t="str">
        <f aca="false">IF(B479="","",IFERROR(INDEX(Fields!$B:$B,MATCH(B479,Fields!$A:$A,0)),"ID not found"))</f>
        <v/>
      </c>
      <c r="E479" s="30"/>
      <c r="F479" s="20" t="n">
        <f aca="false">IF(A479="",0,COUNTIF('Metric to Product'!$A:$A,A479))</f>
        <v>0</v>
      </c>
      <c r="G479" s="30"/>
      <c r="H479" s="30"/>
      <c r="I479" s="30"/>
    </row>
    <row r="480" customFormat="false" ht="15" hidden="false" customHeight="false" outlineLevel="0" collapsed="false">
      <c r="A480" s="29"/>
      <c r="B480" s="29"/>
      <c r="C480" s="20" t="str">
        <f aca="false">IF(A480="","",IFERROR(INDEX(Metrics!$C:$C,MATCH(A480,Metrics!$A:$A,0)),"ID not found"))</f>
        <v/>
      </c>
      <c r="D480" s="20" t="str">
        <f aca="false">IF(B480="","",IFERROR(INDEX(Fields!$B:$B,MATCH(B480,Fields!$A:$A,0)),"ID not found"))</f>
        <v/>
      </c>
      <c r="E480" s="30"/>
      <c r="F480" s="20" t="n">
        <f aca="false">IF(A480="",0,COUNTIF('Metric to Product'!$A:$A,A480))</f>
        <v>0</v>
      </c>
      <c r="G480" s="30"/>
      <c r="H480" s="30"/>
      <c r="I480" s="30"/>
    </row>
    <row r="481" customFormat="false" ht="15" hidden="false" customHeight="false" outlineLevel="0" collapsed="false">
      <c r="A481" s="29"/>
      <c r="B481" s="29"/>
      <c r="C481" s="20" t="str">
        <f aca="false">IF(A481="","",IFERROR(INDEX(Metrics!$C:$C,MATCH(A481,Metrics!$A:$A,0)),"ID not found"))</f>
        <v/>
      </c>
      <c r="D481" s="20" t="str">
        <f aca="false">IF(B481="","",IFERROR(INDEX(Fields!$B:$B,MATCH(B481,Fields!$A:$A,0)),"ID not found"))</f>
        <v/>
      </c>
      <c r="E481" s="30"/>
      <c r="F481" s="20" t="n">
        <f aca="false">IF(A481="",0,COUNTIF('Metric to Product'!$A:$A,A481))</f>
        <v>0</v>
      </c>
      <c r="G481" s="30"/>
      <c r="H481" s="30"/>
      <c r="I481" s="30"/>
    </row>
    <row r="482" customFormat="false" ht="15" hidden="false" customHeight="false" outlineLevel="0" collapsed="false">
      <c r="A482" s="29"/>
      <c r="B482" s="29"/>
      <c r="C482" s="20" t="str">
        <f aca="false">IF(A482="","",IFERROR(INDEX(Metrics!$C:$C,MATCH(A482,Metrics!$A:$A,0)),"ID not found"))</f>
        <v/>
      </c>
      <c r="D482" s="20" t="str">
        <f aca="false">IF(B482="","",IFERROR(INDEX(Fields!$B:$B,MATCH(B482,Fields!$A:$A,0)),"ID not found"))</f>
        <v/>
      </c>
      <c r="E482" s="30"/>
      <c r="F482" s="20" t="n">
        <f aca="false">IF(A482="",0,COUNTIF('Metric to Product'!$A:$A,A482))</f>
        <v>0</v>
      </c>
      <c r="G482" s="30"/>
      <c r="H482" s="30"/>
      <c r="I482" s="30"/>
    </row>
    <row r="483" customFormat="false" ht="15" hidden="false" customHeight="false" outlineLevel="0" collapsed="false">
      <c r="A483" s="29"/>
      <c r="B483" s="29"/>
      <c r="C483" s="20" t="str">
        <f aca="false">IF(A483="","",IFERROR(INDEX(Metrics!$C:$C,MATCH(A483,Metrics!$A:$A,0)),"ID not found"))</f>
        <v/>
      </c>
      <c r="D483" s="20" t="str">
        <f aca="false">IF(B483="","",IFERROR(INDEX(Fields!$B:$B,MATCH(B483,Fields!$A:$A,0)),"ID not found"))</f>
        <v/>
      </c>
      <c r="E483" s="30"/>
      <c r="F483" s="20" t="n">
        <f aca="false">IF(A483="",0,COUNTIF('Metric to Product'!$A:$A,A483))</f>
        <v>0</v>
      </c>
      <c r="G483" s="30"/>
      <c r="H483" s="30"/>
      <c r="I483" s="30"/>
    </row>
    <row r="484" customFormat="false" ht="15" hidden="false" customHeight="false" outlineLevel="0" collapsed="false">
      <c r="A484" s="29"/>
      <c r="B484" s="29"/>
      <c r="C484" s="20" t="str">
        <f aca="false">IF(A484="","",IFERROR(INDEX(Metrics!$C:$C,MATCH(A484,Metrics!$A:$A,0)),"ID not found"))</f>
        <v/>
      </c>
      <c r="D484" s="20" t="str">
        <f aca="false">IF(B484="","",IFERROR(INDEX(Fields!$B:$B,MATCH(B484,Fields!$A:$A,0)),"ID not found"))</f>
        <v/>
      </c>
      <c r="E484" s="30"/>
      <c r="F484" s="20" t="n">
        <f aca="false">IF(A484="",0,COUNTIF('Metric to Product'!$A:$A,A484))</f>
        <v>0</v>
      </c>
      <c r="G484" s="30"/>
      <c r="H484" s="30"/>
      <c r="I484" s="30"/>
    </row>
    <row r="485" customFormat="false" ht="15" hidden="false" customHeight="false" outlineLevel="0" collapsed="false">
      <c r="A485" s="29"/>
      <c r="B485" s="29"/>
      <c r="C485" s="20" t="str">
        <f aca="false">IF(A485="","",IFERROR(INDEX(Metrics!$C:$C,MATCH(A485,Metrics!$A:$A,0)),"ID not found"))</f>
        <v/>
      </c>
      <c r="D485" s="20" t="str">
        <f aca="false">IF(B485="","",IFERROR(INDEX(Fields!$B:$B,MATCH(B485,Fields!$A:$A,0)),"ID not found"))</f>
        <v/>
      </c>
      <c r="E485" s="30"/>
      <c r="F485" s="20" t="n">
        <f aca="false">IF(A485="",0,COUNTIF('Metric to Product'!$A:$A,A485))</f>
        <v>0</v>
      </c>
      <c r="G485" s="30"/>
      <c r="H485" s="30"/>
      <c r="I485" s="30"/>
    </row>
    <row r="486" customFormat="false" ht="15" hidden="false" customHeight="false" outlineLevel="0" collapsed="false">
      <c r="A486" s="29"/>
      <c r="B486" s="29"/>
      <c r="C486" s="20" t="str">
        <f aca="false">IF(A486="","",IFERROR(INDEX(Metrics!$C:$C,MATCH(A486,Metrics!$A:$A,0)),"ID not found"))</f>
        <v/>
      </c>
      <c r="D486" s="20" t="str">
        <f aca="false">IF(B486="","",IFERROR(INDEX(Fields!$B:$B,MATCH(B486,Fields!$A:$A,0)),"ID not found"))</f>
        <v/>
      </c>
      <c r="E486" s="30"/>
      <c r="F486" s="20" t="n">
        <f aca="false">IF(A486="",0,COUNTIF('Metric to Product'!$A:$A,A486))</f>
        <v>0</v>
      </c>
      <c r="G486" s="30"/>
      <c r="H486" s="30"/>
      <c r="I486" s="30"/>
    </row>
    <row r="487" customFormat="false" ht="15" hidden="false" customHeight="false" outlineLevel="0" collapsed="false">
      <c r="A487" s="29"/>
      <c r="B487" s="29"/>
      <c r="C487" s="20" t="str">
        <f aca="false">IF(A487="","",IFERROR(INDEX(Metrics!$C:$C,MATCH(A487,Metrics!$A:$A,0)),"ID not found"))</f>
        <v/>
      </c>
      <c r="D487" s="20" t="str">
        <f aca="false">IF(B487="","",IFERROR(INDEX(Fields!$B:$B,MATCH(B487,Fields!$A:$A,0)),"ID not found"))</f>
        <v/>
      </c>
      <c r="E487" s="30"/>
      <c r="F487" s="20" t="n">
        <f aca="false">IF(A487="",0,COUNTIF('Metric to Product'!$A:$A,A487))</f>
        <v>0</v>
      </c>
      <c r="G487" s="30"/>
      <c r="H487" s="30"/>
      <c r="I487" s="30"/>
    </row>
    <row r="488" customFormat="false" ht="15" hidden="false" customHeight="false" outlineLevel="0" collapsed="false">
      <c r="A488" s="29"/>
      <c r="B488" s="29"/>
      <c r="C488" s="20" t="str">
        <f aca="false">IF(A488="","",IFERROR(INDEX(Metrics!$C:$C,MATCH(A488,Metrics!$A:$A,0)),"ID not found"))</f>
        <v/>
      </c>
      <c r="D488" s="20" t="str">
        <f aca="false">IF(B488="","",IFERROR(INDEX(Fields!$B:$B,MATCH(B488,Fields!$A:$A,0)),"ID not found"))</f>
        <v/>
      </c>
      <c r="E488" s="30"/>
      <c r="F488" s="20" t="n">
        <f aca="false">IF(A488="",0,COUNTIF('Metric to Product'!$A:$A,A488))</f>
        <v>0</v>
      </c>
      <c r="G488" s="30"/>
      <c r="H488" s="30"/>
      <c r="I488" s="30"/>
    </row>
    <row r="489" customFormat="false" ht="15" hidden="false" customHeight="false" outlineLevel="0" collapsed="false">
      <c r="A489" s="29"/>
      <c r="B489" s="29"/>
      <c r="C489" s="20" t="str">
        <f aca="false">IF(A489="","",IFERROR(INDEX(Metrics!$C:$C,MATCH(A489,Metrics!$A:$A,0)),"ID not found"))</f>
        <v/>
      </c>
      <c r="D489" s="20" t="str">
        <f aca="false">IF(B489="","",IFERROR(INDEX(Fields!$B:$B,MATCH(B489,Fields!$A:$A,0)),"ID not found"))</f>
        <v/>
      </c>
      <c r="E489" s="30"/>
      <c r="F489" s="20" t="n">
        <f aca="false">IF(A489="",0,COUNTIF('Metric to Product'!$A:$A,A489))</f>
        <v>0</v>
      </c>
      <c r="G489" s="30"/>
      <c r="H489" s="30"/>
      <c r="I489" s="30"/>
    </row>
    <row r="490" customFormat="false" ht="15" hidden="false" customHeight="false" outlineLevel="0" collapsed="false">
      <c r="A490" s="29"/>
      <c r="B490" s="29"/>
      <c r="C490" s="20" t="str">
        <f aca="false">IF(A490="","",IFERROR(INDEX(Metrics!$C:$C,MATCH(A490,Metrics!$A:$A,0)),"ID not found"))</f>
        <v/>
      </c>
      <c r="D490" s="20" t="str">
        <f aca="false">IF(B490="","",IFERROR(INDEX(Fields!$B:$B,MATCH(B490,Fields!$A:$A,0)),"ID not found"))</f>
        <v/>
      </c>
      <c r="E490" s="30"/>
      <c r="F490" s="20" t="n">
        <f aca="false">IF(A490="",0,COUNTIF('Metric to Product'!$A:$A,A490))</f>
        <v>0</v>
      </c>
      <c r="G490" s="30"/>
      <c r="H490" s="30"/>
      <c r="I490" s="30"/>
    </row>
    <row r="491" customFormat="false" ht="15" hidden="false" customHeight="false" outlineLevel="0" collapsed="false">
      <c r="A491" s="29"/>
      <c r="B491" s="29"/>
      <c r="C491" s="20" t="str">
        <f aca="false">IF(A491="","",IFERROR(INDEX(Metrics!$C:$C,MATCH(A491,Metrics!$A:$A,0)),"ID not found"))</f>
        <v/>
      </c>
      <c r="D491" s="20" t="str">
        <f aca="false">IF(B491="","",IFERROR(INDEX(Fields!$B:$B,MATCH(B491,Fields!$A:$A,0)),"ID not found"))</f>
        <v/>
      </c>
      <c r="E491" s="30"/>
      <c r="F491" s="20" t="n">
        <f aca="false">IF(A491="",0,COUNTIF('Metric to Product'!$A:$A,A491))</f>
        <v>0</v>
      </c>
      <c r="G491" s="30"/>
      <c r="H491" s="30"/>
      <c r="I491" s="30"/>
    </row>
    <row r="492" customFormat="false" ht="15" hidden="false" customHeight="false" outlineLevel="0" collapsed="false">
      <c r="A492" s="29"/>
      <c r="B492" s="29"/>
      <c r="C492" s="20" t="str">
        <f aca="false">IF(A492="","",IFERROR(INDEX(Metrics!$C:$C,MATCH(A492,Metrics!$A:$A,0)),"ID not found"))</f>
        <v/>
      </c>
      <c r="D492" s="20" t="str">
        <f aca="false">IF(B492="","",IFERROR(INDEX(Fields!$B:$B,MATCH(B492,Fields!$A:$A,0)),"ID not found"))</f>
        <v/>
      </c>
      <c r="E492" s="30"/>
      <c r="F492" s="20" t="n">
        <f aca="false">IF(A492="",0,COUNTIF('Metric to Product'!$A:$A,A492))</f>
        <v>0</v>
      </c>
      <c r="G492" s="30"/>
      <c r="H492" s="30"/>
      <c r="I492" s="30"/>
    </row>
    <row r="493" customFormat="false" ht="15" hidden="false" customHeight="false" outlineLevel="0" collapsed="false">
      <c r="A493" s="29"/>
      <c r="B493" s="29"/>
      <c r="C493" s="20" t="str">
        <f aca="false">IF(A493="","",IFERROR(INDEX(Metrics!$C:$C,MATCH(A493,Metrics!$A:$A,0)),"ID not found"))</f>
        <v/>
      </c>
      <c r="D493" s="20" t="str">
        <f aca="false">IF(B493="","",IFERROR(INDEX(Fields!$B:$B,MATCH(B493,Fields!$A:$A,0)),"ID not found"))</f>
        <v/>
      </c>
      <c r="E493" s="30"/>
      <c r="F493" s="20" t="n">
        <f aca="false">IF(A493="",0,COUNTIF('Metric to Product'!$A:$A,A493))</f>
        <v>0</v>
      </c>
      <c r="G493" s="30"/>
      <c r="H493" s="30"/>
      <c r="I493" s="30"/>
    </row>
    <row r="494" customFormat="false" ht="15" hidden="false" customHeight="false" outlineLevel="0" collapsed="false">
      <c r="A494" s="29"/>
      <c r="B494" s="29"/>
      <c r="C494" s="20" t="str">
        <f aca="false">IF(A494="","",IFERROR(INDEX(Metrics!$C:$C,MATCH(A494,Metrics!$A:$A,0)),"ID not found"))</f>
        <v/>
      </c>
      <c r="D494" s="20" t="str">
        <f aca="false">IF(B494="","",IFERROR(INDEX(Fields!$B:$B,MATCH(B494,Fields!$A:$A,0)),"ID not found"))</f>
        <v/>
      </c>
      <c r="E494" s="30"/>
      <c r="F494" s="20" t="n">
        <f aca="false">IF(A494="",0,COUNTIF('Metric to Product'!$A:$A,A494))</f>
        <v>0</v>
      </c>
      <c r="G494" s="30"/>
      <c r="H494" s="30"/>
      <c r="I494" s="30"/>
    </row>
    <row r="495" customFormat="false" ht="15" hidden="false" customHeight="false" outlineLevel="0" collapsed="false">
      <c r="A495" s="29"/>
      <c r="B495" s="29"/>
      <c r="C495" s="20" t="str">
        <f aca="false">IF(A495="","",IFERROR(INDEX(Metrics!$C:$C,MATCH(A495,Metrics!$A:$A,0)),"ID not found"))</f>
        <v/>
      </c>
      <c r="D495" s="20" t="str">
        <f aca="false">IF(B495="","",IFERROR(INDEX(Fields!$B:$B,MATCH(B495,Fields!$A:$A,0)),"ID not found"))</f>
        <v/>
      </c>
      <c r="E495" s="30"/>
      <c r="F495" s="20" t="n">
        <f aca="false">IF(A495="",0,COUNTIF('Metric to Product'!$A:$A,A495))</f>
        <v>0</v>
      </c>
      <c r="G495" s="30"/>
      <c r="H495" s="30"/>
      <c r="I495" s="30"/>
    </row>
    <row r="496" customFormat="false" ht="15" hidden="false" customHeight="false" outlineLevel="0" collapsed="false">
      <c r="A496" s="29"/>
      <c r="B496" s="29"/>
      <c r="C496" s="20" t="str">
        <f aca="false">IF(A496="","",IFERROR(INDEX(Metrics!$C:$C,MATCH(A496,Metrics!$A:$A,0)),"ID not found"))</f>
        <v/>
      </c>
      <c r="D496" s="20" t="str">
        <f aca="false">IF(B496="","",IFERROR(INDEX(Fields!$B:$B,MATCH(B496,Fields!$A:$A,0)),"ID not found"))</f>
        <v/>
      </c>
      <c r="E496" s="30"/>
      <c r="F496" s="20" t="n">
        <f aca="false">IF(A496="",0,COUNTIF('Metric to Product'!$A:$A,A496))</f>
        <v>0</v>
      </c>
      <c r="G496" s="30"/>
      <c r="H496" s="30"/>
      <c r="I496" s="30"/>
    </row>
    <row r="497" customFormat="false" ht="15" hidden="false" customHeight="false" outlineLevel="0" collapsed="false">
      <c r="A497" s="29"/>
      <c r="B497" s="29"/>
      <c r="C497" s="20" t="str">
        <f aca="false">IF(A497="","",IFERROR(INDEX(Metrics!$C:$C,MATCH(A497,Metrics!$A:$A,0)),"ID not found"))</f>
        <v/>
      </c>
      <c r="D497" s="20" t="str">
        <f aca="false">IF(B497="","",IFERROR(INDEX(Fields!$B:$B,MATCH(B497,Fields!$A:$A,0)),"ID not found"))</f>
        <v/>
      </c>
      <c r="E497" s="30"/>
      <c r="F497" s="20" t="n">
        <f aca="false">IF(A497="",0,COUNTIF('Metric to Product'!$A:$A,A497))</f>
        <v>0</v>
      </c>
      <c r="G497" s="30"/>
      <c r="H497" s="30"/>
      <c r="I497" s="30"/>
    </row>
    <row r="498" customFormat="false" ht="15" hidden="false" customHeight="false" outlineLevel="0" collapsed="false">
      <c r="A498" s="29"/>
      <c r="B498" s="29"/>
      <c r="C498" s="20" t="str">
        <f aca="false">IF(A498="","",IFERROR(INDEX(Metrics!$C:$C,MATCH(A498,Metrics!$A:$A,0)),"ID not found"))</f>
        <v/>
      </c>
      <c r="D498" s="20" t="str">
        <f aca="false">IF(B498="","",IFERROR(INDEX(Fields!$B:$B,MATCH(B498,Fields!$A:$A,0)),"ID not found"))</f>
        <v/>
      </c>
      <c r="E498" s="30"/>
      <c r="F498" s="20" t="n">
        <f aca="false">IF(A498="",0,COUNTIF('Metric to Product'!$A:$A,A498))</f>
        <v>0</v>
      </c>
      <c r="G498" s="30"/>
      <c r="H498" s="30"/>
      <c r="I498" s="30"/>
    </row>
    <row r="499" customFormat="false" ht="15" hidden="false" customHeight="false" outlineLevel="0" collapsed="false">
      <c r="A499" s="29"/>
      <c r="B499" s="29"/>
      <c r="C499" s="20" t="str">
        <f aca="false">IF(A499="","",IFERROR(INDEX(Metrics!$C:$C,MATCH(A499,Metrics!$A:$A,0)),"ID not found"))</f>
        <v/>
      </c>
      <c r="D499" s="20" t="str">
        <f aca="false">IF(B499="","",IFERROR(INDEX(Fields!$B:$B,MATCH(B499,Fields!$A:$A,0)),"ID not found"))</f>
        <v/>
      </c>
      <c r="E499" s="30"/>
      <c r="F499" s="20" t="n">
        <f aca="false">IF(A499="",0,COUNTIF('Metric to Product'!$A:$A,A499))</f>
        <v>0</v>
      </c>
      <c r="G499" s="30"/>
      <c r="H499" s="30"/>
      <c r="I499" s="30"/>
    </row>
    <row r="500" customFormat="false" ht="15" hidden="false" customHeight="false" outlineLevel="0" collapsed="false">
      <c r="A500" s="29"/>
      <c r="B500" s="29"/>
      <c r="C500" s="20" t="str">
        <f aca="false">IF(A500="","",IFERROR(INDEX(Metrics!$C:$C,MATCH(A500,Metrics!$A:$A,0)),"ID not found"))</f>
        <v/>
      </c>
      <c r="D500" s="20" t="str">
        <f aca="false">IF(B500="","",IFERROR(INDEX(Fields!$B:$B,MATCH(B500,Fields!$A:$A,0)),"ID not found"))</f>
        <v/>
      </c>
      <c r="E500" s="30"/>
      <c r="F500" s="20" t="n">
        <f aca="false">IF(A500="",0,COUNTIF('Metric to Product'!$A:$A,A500))</f>
        <v>0</v>
      </c>
      <c r="G500" s="30"/>
      <c r="H500" s="30"/>
      <c r="I500" s="30"/>
    </row>
    <row r="501" customFormat="false" ht="15" hidden="false" customHeight="false" outlineLevel="0" collapsed="false">
      <c r="A501" s="29"/>
      <c r="B501" s="29"/>
      <c r="C501" s="20" t="str">
        <f aca="false">IF(A501="","",IFERROR(INDEX(Metrics!$C:$C,MATCH(A501,Metrics!$A:$A,0)),"ID not found"))</f>
        <v/>
      </c>
      <c r="D501" s="20" t="str">
        <f aca="false">IF(B501="","",IFERROR(INDEX(Fields!$B:$B,MATCH(B501,Fields!$A:$A,0)),"ID not found"))</f>
        <v/>
      </c>
      <c r="E501" s="30"/>
      <c r="F501" s="20" t="n">
        <f aca="false">IF(A501="",0,COUNTIF('Metric to Product'!$A:$A,A501))</f>
        <v>0</v>
      </c>
      <c r="G501" s="30"/>
      <c r="H501" s="30"/>
      <c r="I501" s="30"/>
    </row>
    <row r="502" customFormat="false" ht="15" hidden="false" customHeight="false" outlineLevel="0" collapsed="false">
      <c r="A502" s="29"/>
      <c r="B502" s="29"/>
      <c r="C502" s="20" t="str">
        <f aca="false">IF(A502="","",IFERROR(INDEX(Metrics!$C:$C,MATCH(A502,Metrics!$A:$A,0)),"ID not found"))</f>
        <v/>
      </c>
      <c r="D502" s="20" t="str">
        <f aca="false">IF(B502="","",IFERROR(INDEX(Fields!$B:$B,MATCH(B502,Fields!$A:$A,0)),"ID not found"))</f>
        <v/>
      </c>
      <c r="E502" s="30"/>
      <c r="F502" s="20" t="n">
        <f aca="false">IF(A502="",0,COUNTIF('Metric to Product'!$A:$A,A502))</f>
        <v>0</v>
      </c>
      <c r="G502" s="30"/>
      <c r="H502" s="30"/>
      <c r="I502" s="30"/>
    </row>
    <row r="503" customFormat="false" ht="15" hidden="false" customHeight="false" outlineLevel="0" collapsed="false">
      <c r="A503" s="29"/>
      <c r="B503" s="29"/>
      <c r="C503" s="20" t="str">
        <f aca="false">IF(A503="","",IFERROR(INDEX(Metrics!$C:$C,MATCH(A503,Metrics!$A:$A,0)),"ID not found"))</f>
        <v/>
      </c>
      <c r="D503" s="20" t="str">
        <f aca="false">IF(B503="","",IFERROR(INDEX(Fields!$B:$B,MATCH(B503,Fields!$A:$A,0)),"ID not found"))</f>
        <v/>
      </c>
      <c r="E503" s="30"/>
      <c r="F503" s="20" t="n">
        <f aca="false">IF(A503="",0,COUNTIF('Metric to Product'!$A:$A,A503))</f>
        <v>0</v>
      </c>
      <c r="G503" s="30"/>
      <c r="H503" s="30"/>
      <c r="I503" s="30"/>
    </row>
    <row r="504" customFormat="false" ht="15" hidden="false" customHeight="false" outlineLevel="0" collapsed="false">
      <c r="A504" s="29"/>
      <c r="B504" s="29"/>
      <c r="C504" s="20" t="str">
        <f aca="false">IF(A504="","",IFERROR(INDEX(Metrics!$C:$C,MATCH(A504,Metrics!$A:$A,0)),"ID not found"))</f>
        <v/>
      </c>
      <c r="D504" s="20" t="str">
        <f aca="false">IF(B504="","",IFERROR(INDEX(Fields!$B:$B,MATCH(B504,Fields!$A:$A,0)),"ID not found"))</f>
        <v/>
      </c>
      <c r="E504" s="30"/>
      <c r="F504" s="20" t="n">
        <f aca="false">IF(A504="",0,COUNTIF('Metric to Product'!$A:$A,A504))</f>
        <v>0</v>
      </c>
      <c r="G504" s="30"/>
      <c r="H504" s="30"/>
      <c r="I504" s="30"/>
    </row>
    <row r="505" customFormat="false" ht="15" hidden="false" customHeight="false" outlineLevel="0" collapsed="false">
      <c r="A505" s="29"/>
      <c r="B505" s="29"/>
      <c r="C505" s="20" t="str">
        <f aca="false">IF(A505="","",IFERROR(INDEX(Metrics!$C:$C,MATCH(A505,Metrics!$A:$A,0)),"ID not found"))</f>
        <v/>
      </c>
      <c r="D505" s="20" t="str">
        <f aca="false">IF(B505="","",IFERROR(INDEX(Fields!$B:$B,MATCH(B505,Fields!$A:$A,0)),"ID not found"))</f>
        <v/>
      </c>
      <c r="E505" s="30"/>
      <c r="F505" s="20" t="n">
        <f aca="false">IF(A505="",0,COUNTIF('Metric to Product'!$A:$A,A505))</f>
        <v>0</v>
      </c>
      <c r="G505" s="30"/>
      <c r="H505" s="30"/>
      <c r="I505" s="30"/>
    </row>
    <row r="506" customFormat="false" ht="15" hidden="false" customHeight="false" outlineLevel="0" collapsed="false">
      <c r="A506" s="29"/>
      <c r="B506" s="29"/>
      <c r="C506" s="20" t="str">
        <f aca="false">IF(A506="","",IFERROR(INDEX(Metrics!$C:$C,MATCH(A506,Metrics!$A:$A,0)),"ID not found"))</f>
        <v/>
      </c>
      <c r="D506" s="20" t="str">
        <f aca="false">IF(B506="","",IFERROR(INDEX(Fields!$B:$B,MATCH(B506,Fields!$A:$A,0)),"ID not found"))</f>
        <v/>
      </c>
      <c r="E506" s="30"/>
      <c r="F506" s="20" t="n">
        <f aca="false">IF(A506="",0,COUNTIF('Metric to Product'!$A:$A,A506))</f>
        <v>0</v>
      </c>
      <c r="G506" s="30"/>
      <c r="H506" s="30"/>
      <c r="I506" s="30"/>
    </row>
    <row r="507" customFormat="false" ht="15" hidden="false" customHeight="false" outlineLevel="0" collapsed="false">
      <c r="A507" s="29"/>
      <c r="B507" s="29"/>
      <c r="C507" s="20" t="str">
        <f aca="false">IF(A507="","",IFERROR(INDEX(Metrics!$C:$C,MATCH(A507,Metrics!$A:$A,0)),"ID not found"))</f>
        <v/>
      </c>
      <c r="D507" s="20" t="str">
        <f aca="false">IF(B507="","",IFERROR(INDEX(Fields!$B:$B,MATCH(B507,Fields!$A:$A,0)),"ID not found"))</f>
        <v/>
      </c>
      <c r="E507" s="30"/>
      <c r="F507" s="20" t="n">
        <f aca="false">IF(A507="",0,COUNTIF('Metric to Product'!$A:$A,A507))</f>
        <v>0</v>
      </c>
      <c r="G507" s="30"/>
      <c r="H507" s="30"/>
      <c r="I507" s="30"/>
    </row>
    <row r="508" customFormat="false" ht="15" hidden="false" customHeight="false" outlineLevel="0" collapsed="false">
      <c r="A508" s="29"/>
      <c r="B508" s="29"/>
      <c r="C508" s="20" t="str">
        <f aca="false">IF(A508="","",IFERROR(INDEX(Metrics!$C:$C,MATCH(A508,Metrics!$A:$A,0)),"ID not found"))</f>
        <v/>
      </c>
      <c r="D508" s="20" t="str">
        <f aca="false">IF(B508="","",IFERROR(INDEX(Fields!$B:$B,MATCH(B508,Fields!$A:$A,0)),"ID not found"))</f>
        <v/>
      </c>
      <c r="E508" s="30"/>
      <c r="F508" s="20" t="n">
        <f aca="false">IF(A508="",0,COUNTIF('Metric to Product'!$A:$A,A508))</f>
        <v>0</v>
      </c>
      <c r="G508" s="30"/>
      <c r="H508" s="30"/>
      <c r="I508" s="30"/>
    </row>
    <row r="509" customFormat="false" ht="15" hidden="false" customHeight="false" outlineLevel="0" collapsed="false">
      <c r="A509" s="29"/>
      <c r="B509" s="29"/>
      <c r="C509" s="20" t="str">
        <f aca="false">IF(A509="","",IFERROR(INDEX(Metrics!$C:$C,MATCH(A509,Metrics!$A:$A,0)),"ID not found"))</f>
        <v/>
      </c>
      <c r="D509" s="20" t="str">
        <f aca="false">IF(B509="","",IFERROR(INDEX(Fields!$B:$B,MATCH(B509,Fields!$A:$A,0)),"ID not found"))</f>
        <v/>
      </c>
      <c r="E509" s="30"/>
      <c r="F509" s="20" t="n">
        <f aca="false">IF(A509="",0,COUNTIF('Metric to Product'!$A:$A,A509))</f>
        <v>0</v>
      </c>
      <c r="G509" s="30"/>
      <c r="H509" s="30"/>
      <c r="I509" s="30"/>
    </row>
    <row r="510" customFormat="false" ht="15" hidden="false" customHeight="false" outlineLevel="0" collapsed="false">
      <c r="A510" s="29"/>
      <c r="B510" s="29"/>
      <c r="C510" s="20" t="str">
        <f aca="false">IF(A510="","",IFERROR(INDEX(Metrics!$C:$C,MATCH(A510,Metrics!$A:$A,0)),"ID not found"))</f>
        <v/>
      </c>
      <c r="D510" s="20" t="str">
        <f aca="false">IF(B510="","",IFERROR(INDEX(Fields!$B:$B,MATCH(B510,Fields!$A:$A,0)),"ID not found"))</f>
        <v/>
      </c>
      <c r="E510" s="30"/>
      <c r="F510" s="20" t="n">
        <f aca="false">IF(A510="",0,COUNTIF('Metric to Product'!$A:$A,A510))</f>
        <v>0</v>
      </c>
      <c r="G510" s="30"/>
      <c r="H510" s="30"/>
      <c r="I510" s="30"/>
    </row>
    <row r="511" customFormat="false" ht="15" hidden="false" customHeight="false" outlineLevel="0" collapsed="false">
      <c r="A511" s="29"/>
      <c r="B511" s="29"/>
      <c r="C511" s="20" t="str">
        <f aca="false">IF(A511="","",IFERROR(INDEX(Metrics!$C:$C,MATCH(A511,Metrics!$A:$A,0)),"ID not found"))</f>
        <v/>
      </c>
      <c r="D511" s="20" t="str">
        <f aca="false">IF(B511="","",IFERROR(INDEX(Fields!$B:$B,MATCH(B511,Fields!$A:$A,0)),"ID not found"))</f>
        <v/>
      </c>
      <c r="E511" s="30"/>
      <c r="F511" s="20" t="n">
        <f aca="false">IF(A511="",0,COUNTIF('Metric to Product'!$A:$A,A511))</f>
        <v>0</v>
      </c>
      <c r="G511" s="30"/>
      <c r="H511" s="30"/>
      <c r="I511" s="30"/>
    </row>
    <row r="512" customFormat="false" ht="15" hidden="false" customHeight="false" outlineLevel="0" collapsed="false">
      <c r="A512" s="29"/>
      <c r="B512" s="29"/>
      <c r="C512" s="20" t="str">
        <f aca="false">IF(A512="","",IFERROR(INDEX(Metrics!$C:$C,MATCH(A512,Metrics!$A:$A,0)),"ID not found"))</f>
        <v/>
      </c>
      <c r="D512" s="20" t="str">
        <f aca="false">IF(B512="","",IFERROR(INDEX(Fields!$B:$B,MATCH(B512,Fields!$A:$A,0)),"ID not found"))</f>
        <v/>
      </c>
      <c r="E512" s="30"/>
      <c r="F512" s="20" t="n">
        <f aca="false">IF(A512="",0,COUNTIF('Metric to Product'!$A:$A,A512))</f>
        <v>0</v>
      </c>
      <c r="G512" s="30"/>
      <c r="H512" s="30"/>
      <c r="I512" s="30"/>
    </row>
    <row r="513" customFormat="false" ht="15" hidden="false" customHeight="false" outlineLevel="0" collapsed="false">
      <c r="A513" s="29"/>
      <c r="B513" s="29"/>
      <c r="C513" s="20" t="str">
        <f aca="false">IF(A513="","",IFERROR(INDEX(Metrics!$C:$C,MATCH(A513,Metrics!$A:$A,0)),"ID not found"))</f>
        <v/>
      </c>
      <c r="D513" s="20" t="str">
        <f aca="false">IF(B513="","",IFERROR(INDEX(Fields!$B:$B,MATCH(B513,Fields!$A:$A,0)),"ID not found"))</f>
        <v/>
      </c>
      <c r="E513" s="30"/>
      <c r="F513" s="20" t="n">
        <f aca="false">IF(A513="",0,COUNTIF('Metric to Product'!$A:$A,A513))</f>
        <v>0</v>
      </c>
      <c r="G513" s="30"/>
      <c r="H513" s="30"/>
      <c r="I513" s="30"/>
    </row>
    <row r="514" customFormat="false" ht="15" hidden="false" customHeight="false" outlineLevel="0" collapsed="false">
      <c r="A514" s="29"/>
      <c r="B514" s="29"/>
      <c r="C514" s="20" t="str">
        <f aca="false">IF(A514="","",IFERROR(INDEX(Metrics!$C:$C,MATCH(A514,Metrics!$A:$A,0)),"ID not found"))</f>
        <v/>
      </c>
      <c r="D514" s="20" t="str">
        <f aca="false">IF(B514="","",IFERROR(INDEX(Fields!$B:$B,MATCH(B514,Fields!$A:$A,0)),"ID not found"))</f>
        <v/>
      </c>
      <c r="E514" s="30"/>
      <c r="F514" s="20" t="n">
        <f aca="false">IF(A514="",0,COUNTIF('Metric to Product'!$A:$A,A514))</f>
        <v>0</v>
      </c>
      <c r="G514" s="30"/>
      <c r="H514" s="30"/>
      <c r="I514" s="30"/>
    </row>
    <row r="515" customFormat="false" ht="15" hidden="false" customHeight="false" outlineLevel="0" collapsed="false">
      <c r="A515" s="29"/>
      <c r="B515" s="29"/>
      <c r="C515" s="20" t="str">
        <f aca="false">IF(A515="","",IFERROR(INDEX(Metrics!$C:$C,MATCH(A515,Metrics!$A:$A,0)),"ID not found"))</f>
        <v/>
      </c>
      <c r="D515" s="20" t="str">
        <f aca="false">IF(B515="","",IFERROR(INDEX(Fields!$B:$B,MATCH(B515,Fields!$A:$A,0)),"ID not found"))</f>
        <v/>
      </c>
      <c r="E515" s="30"/>
      <c r="F515" s="20" t="n">
        <f aca="false">IF(A515="",0,COUNTIF('Metric to Product'!$A:$A,A515))</f>
        <v>0</v>
      </c>
      <c r="G515" s="30"/>
      <c r="H515" s="30"/>
      <c r="I515" s="30"/>
    </row>
    <row r="516" customFormat="false" ht="15" hidden="false" customHeight="false" outlineLevel="0" collapsed="false">
      <c r="A516" s="29"/>
      <c r="B516" s="29"/>
      <c r="C516" s="20" t="str">
        <f aca="false">IF(A516="","",IFERROR(INDEX(Metrics!$C:$C,MATCH(A516,Metrics!$A:$A,0)),"ID not found"))</f>
        <v/>
      </c>
      <c r="D516" s="20" t="str">
        <f aca="false">IF(B516="","",IFERROR(INDEX(Fields!$B:$B,MATCH(B516,Fields!$A:$A,0)),"ID not found"))</f>
        <v/>
      </c>
      <c r="E516" s="30"/>
      <c r="F516" s="20" t="n">
        <f aca="false">IF(A516="",0,COUNTIF('Metric to Product'!$A:$A,A516))</f>
        <v>0</v>
      </c>
      <c r="G516" s="30"/>
      <c r="H516" s="30"/>
      <c r="I516" s="30"/>
    </row>
    <row r="517" customFormat="false" ht="15" hidden="false" customHeight="false" outlineLevel="0" collapsed="false">
      <c r="A517" s="29"/>
      <c r="B517" s="29"/>
      <c r="C517" s="20" t="str">
        <f aca="false">IF(A517="","",IFERROR(INDEX(Metrics!$C:$C,MATCH(A517,Metrics!$A:$A,0)),"ID not found"))</f>
        <v/>
      </c>
      <c r="D517" s="20" t="str">
        <f aca="false">IF(B517="","",IFERROR(INDEX(Fields!$B:$B,MATCH(B517,Fields!$A:$A,0)),"ID not found"))</f>
        <v/>
      </c>
      <c r="E517" s="30"/>
      <c r="F517" s="20" t="n">
        <f aca="false">IF(A517="",0,COUNTIF('Metric to Product'!$A:$A,A517))</f>
        <v>0</v>
      </c>
      <c r="G517" s="30"/>
      <c r="H517" s="30"/>
      <c r="I517" s="30"/>
    </row>
    <row r="518" customFormat="false" ht="15" hidden="false" customHeight="false" outlineLevel="0" collapsed="false">
      <c r="A518" s="29"/>
      <c r="B518" s="29"/>
      <c r="C518" s="20" t="str">
        <f aca="false">IF(A518="","",IFERROR(INDEX(Metrics!$C:$C,MATCH(A518,Metrics!$A:$A,0)),"ID not found"))</f>
        <v/>
      </c>
      <c r="D518" s="20" t="str">
        <f aca="false">IF(B518="","",IFERROR(INDEX(Fields!$B:$B,MATCH(B518,Fields!$A:$A,0)),"ID not found"))</f>
        <v/>
      </c>
      <c r="E518" s="30"/>
      <c r="F518" s="20" t="n">
        <f aca="false">IF(A518="",0,COUNTIF('Metric to Product'!$A:$A,A518))</f>
        <v>0</v>
      </c>
      <c r="G518" s="30"/>
      <c r="H518" s="30"/>
      <c r="I518" s="30"/>
    </row>
    <row r="519" customFormat="false" ht="15" hidden="false" customHeight="false" outlineLevel="0" collapsed="false">
      <c r="A519" s="29"/>
      <c r="B519" s="29"/>
      <c r="C519" s="20" t="str">
        <f aca="false">IF(A519="","",IFERROR(INDEX(Metrics!$C:$C,MATCH(A519,Metrics!$A:$A,0)),"ID not found"))</f>
        <v/>
      </c>
      <c r="D519" s="20" t="str">
        <f aca="false">IF(B519="","",IFERROR(INDEX(Fields!$B:$B,MATCH(B519,Fields!$A:$A,0)),"ID not found"))</f>
        <v/>
      </c>
      <c r="E519" s="30"/>
      <c r="F519" s="20" t="n">
        <f aca="false">IF(A519="",0,COUNTIF('Metric to Product'!$A:$A,A519))</f>
        <v>0</v>
      </c>
      <c r="G519" s="30"/>
      <c r="H519" s="30"/>
      <c r="I519" s="30"/>
    </row>
    <row r="520" customFormat="false" ht="15" hidden="false" customHeight="false" outlineLevel="0" collapsed="false">
      <c r="A520" s="29"/>
      <c r="B520" s="29"/>
      <c r="C520" s="20" t="str">
        <f aca="false">IF(A520="","",IFERROR(INDEX(Metrics!$C:$C,MATCH(A520,Metrics!$A:$A,0)),"ID not found"))</f>
        <v/>
      </c>
      <c r="D520" s="20" t="str">
        <f aca="false">IF(B520="","",IFERROR(INDEX(Fields!$B:$B,MATCH(B520,Fields!$A:$A,0)),"ID not found"))</f>
        <v/>
      </c>
      <c r="E520" s="30"/>
      <c r="F520" s="20" t="n">
        <f aca="false">IF(A520="",0,COUNTIF('Metric to Product'!$A:$A,A520))</f>
        <v>0</v>
      </c>
      <c r="G520" s="30"/>
      <c r="H520" s="30"/>
      <c r="I520" s="30"/>
    </row>
    <row r="521" customFormat="false" ht="15" hidden="false" customHeight="false" outlineLevel="0" collapsed="false">
      <c r="A521" s="29"/>
      <c r="B521" s="29"/>
      <c r="C521" s="20" t="str">
        <f aca="false">IF(A521="","",IFERROR(INDEX(Metrics!$C:$C,MATCH(A521,Metrics!$A:$A,0)),"ID not found"))</f>
        <v/>
      </c>
      <c r="D521" s="20" t="str">
        <f aca="false">IF(B521="","",IFERROR(INDEX(Fields!$B:$B,MATCH(B521,Fields!$A:$A,0)),"ID not found"))</f>
        <v/>
      </c>
      <c r="E521" s="30"/>
      <c r="F521" s="20" t="n">
        <f aca="false">IF(A521="",0,COUNTIF('Metric to Product'!$A:$A,A521))</f>
        <v>0</v>
      </c>
      <c r="G521" s="30"/>
      <c r="H521" s="30"/>
      <c r="I521" s="30"/>
    </row>
    <row r="522" customFormat="false" ht="15" hidden="false" customHeight="false" outlineLevel="0" collapsed="false">
      <c r="A522" s="29"/>
      <c r="B522" s="29"/>
      <c r="C522" s="20" t="str">
        <f aca="false">IF(A522="","",IFERROR(INDEX(Metrics!$C:$C,MATCH(A522,Metrics!$A:$A,0)),"ID not found"))</f>
        <v/>
      </c>
      <c r="D522" s="20" t="str">
        <f aca="false">IF(B522="","",IFERROR(INDEX(Fields!$B:$B,MATCH(B522,Fields!$A:$A,0)),"ID not found"))</f>
        <v/>
      </c>
      <c r="E522" s="30"/>
      <c r="F522" s="20" t="n">
        <f aca="false">IF(A522="",0,COUNTIF('Metric to Product'!$A:$A,A522))</f>
        <v>0</v>
      </c>
      <c r="G522" s="30"/>
      <c r="H522" s="30"/>
      <c r="I522" s="30"/>
    </row>
    <row r="523" customFormat="false" ht="15" hidden="false" customHeight="false" outlineLevel="0" collapsed="false">
      <c r="A523" s="29"/>
      <c r="B523" s="29"/>
      <c r="C523" s="20" t="str">
        <f aca="false">IF(A523="","",IFERROR(INDEX(Metrics!$C:$C,MATCH(A523,Metrics!$A:$A,0)),"ID not found"))</f>
        <v/>
      </c>
      <c r="D523" s="20" t="str">
        <f aca="false">IF(B523="","",IFERROR(INDEX(Fields!$B:$B,MATCH(B523,Fields!$A:$A,0)),"ID not found"))</f>
        <v/>
      </c>
      <c r="E523" s="30"/>
      <c r="F523" s="20" t="n">
        <f aca="false">IF(A523="",0,COUNTIF('Metric to Product'!$A:$A,A523))</f>
        <v>0</v>
      </c>
      <c r="G523" s="30"/>
      <c r="H523" s="30"/>
      <c r="I523" s="30"/>
    </row>
    <row r="524" customFormat="false" ht="15" hidden="false" customHeight="false" outlineLevel="0" collapsed="false">
      <c r="A524" s="29"/>
      <c r="B524" s="29"/>
      <c r="C524" s="20" t="str">
        <f aca="false">IF(A524="","",IFERROR(INDEX(Metrics!$C:$C,MATCH(A524,Metrics!$A:$A,0)),"ID not found"))</f>
        <v/>
      </c>
      <c r="D524" s="20" t="str">
        <f aca="false">IF(B524="","",IFERROR(INDEX(Fields!$B:$B,MATCH(B524,Fields!$A:$A,0)),"ID not found"))</f>
        <v/>
      </c>
      <c r="E524" s="30"/>
      <c r="F524" s="20" t="n">
        <f aca="false">IF(A524="",0,COUNTIF('Metric to Product'!$A:$A,A524))</f>
        <v>0</v>
      </c>
      <c r="G524" s="30"/>
      <c r="H524" s="30"/>
      <c r="I524" s="30"/>
    </row>
    <row r="525" customFormat="false" ht="15" hidden="false" customHeight="false" outlineLevel="0" collapsed="false">
      <c r="A525" s="29"/>
      <c r="B525" s="29"/>
      <c r="C525" s="20" t="str">
        <f aca="false">IF(A525="","",IFERROR(INDEX(Metrics!$C:$C,MATCH(A525,Metrics!$A:$A,0)),"ID not found"))</f>
        <v/>
      </c>
      <c r="D525" s="20" t="str">
        <f aca="false">IF(B525="","",IFERROR(INDEX(Fields!$B:$B,MATCH(B525,Fields!$A:$A,0)),"ID not found"))</f>
        <v/>
      </c>
      <c r="E525" s="30"/>
      <c r="F525" s="20" t="n">
        <f aca="false">IF(A525="",0,COUNTIF('Metric to Product'!$A:$A,A525))</f>
        <v>0</v>
      </c>
      <c r="G525" s="30"/>
      <c r="H525" s="30"/>
      <c r="I525" s="30"/>
    </row>
    <row r="526" customFormat="false" ht="15" hidden="false" customHeight="false" outlineLevel="0" collapsed="false">
      <c r="A526" s="29"/>
      <c r="B526" s="29"/>
      <c r="C526" s="20" t="str">
        <f aca="false">IF(A526="","",IFERROR(INDEX(Metrics!$C:$C,MATCH(A526,Metrics!$A:$A,0)),"ID not found"))</f>
        <v/>
      </c>
      <c r="D526" s="20" t="str">
        <f aca="false">IF(B526="","",IFERROR(INDEX(Fields!$B:$B,MATCH(B526,Fields!$A:$A,0)),"ID not found"))</f>
        <v/>
      </c>
      <c r="E526" s="30"/>
      <c r="F526" s="20" t="n">
        <f aca="false">IF(A526="",0,COUNTIF('Metric to Product'!$A:$A,A526))</f>
        <v>0</v>
      </c>
      <c r="G526" s="30"/>
      <c r="H526" s="30"/>
      <c r="I526" s="30"/>
    </row>
    <row r="527" customFormat="false" ht="15" hidden="false" customHeight="false" outlineLevel="0" collapsed="false">
      <c r="A527" s="29"/>
      <c r="B527" s="29"/>
      <c r="C527" s="20" t="str">
        <f aca="false">IF(A527="","",IFERROR(INDEX(Metrics!$C:$C,MATCH(A527,Metrics!$A:$A,0)),"ID not found"))</f>
        <v/>
      </c>
      <c r="D527" s="20" t="str">
        <f aca="false">IF(B527="","",IFERROR(INDEX(Fields!$B:$B,MATCH(B527,Fields!$A:$A,0)),"ID not found"))</f>
        <v/>
      </c>
      <c r="E527" s="30"/>
      <c r="F527" s="20" t="n">
        <f aca="false">IF(A527="",0,COUNTIF('Metric to Product'!$A:$A,A527))</f>
        <v>0</v>
      </c>
      <c r="G527" s="30"/>
      <c r="H527" s="30"/>
      <c r="I527" s="30"/>
    </row>
    <row r="528" customFormat="false" ht="15" hidden="false" customHeight="false" outlineLevel="0" collapsed="false">
      <c r="A528" s="29"/>
      <c r="B528" s="29"/>
      <c r="C528" s="20" t="str">
        <f aca="false">IF(A528="","",IFERROR(INDEX(Metrics!$C:$C,MATCH(A528,Metrics!$A:$A,0)),"ID not found"))</f>
        <v/>
      </c>
      <c r="D528" s="20" t="str">
        <f aca="false">IF(B528="","",IFERROR(INDEX(Fields!$B:$B,MATCH(B528,Fields!$A:$A,0)),"ID not found"))</f>
        <v/>
      </c>
      <c r="E528" s="30"/>
      <c r="F528" s="20" t="n">
        <f aca="false">IF(A528="",0,COUNTIF('Metric to Product'!$A:$A,A528))</f>
        <v>0</v>
      </c>
      <c r="G528" s="30"/>
      <c r="H528" s="30"/>
      <c r="I528" s="30"/>
    </row>
    <row r="529" customFormat="false" ht="15" hidden="false" customHeight="false" outlineLevel="0" collapsed="false">
      <c r="A529" s="29"/>
      <c r="B529" s="29"/>
      <c r="C529" s="20" t="str">
        <f aca="false">IF(A529="","",IFERROR(INDEX(Metrics!$C:$C,MATCH(A529,Metrics!$A:$A,0)),"ID not found"))</f>
        <v/>
      </c>
      <c r="D529" s="20" t="str">
        <f aca="false">IF(B529="","",IFERROR(INDEX(Fields!$B:$B,MATCH(B529,Fields!$A:$A,0)),"ID not found"))</f>
        <v/>
      </c>
      <c r="E529" s="30"/>
      <c r="F529" s="20" t="n">
        <f aca="false">IF(A529="",0,COUNTIF('Metric to Product'!$A:$A,A529))</f>
        <v>0</v>
      </c>
      <c r="G529" s="30"/>
      <c r="H529" s="30"/>
      <c r="I529" s="30"/>
    </row>
    <row r="530" customFormat="false" ht="15" hidden="false" customHeight="false" outlineLevel="0" collapsed="false">
      <c r="A530" s="29"/>
      <c r="B530" s="29"/>
      <c r="C530" s="20" t="str">
        <f aca="false">IF(A530="","",IFERROR(INDEX(Metrics!$C:$C,MATCH(A530,Metrics!$A:$A,0)),"ID not found"))</f>
        <v/>
      </c>
      <c r="D530" s="20" t="str">
        <f aca="false">IF(B530="","",IFERROR(INDEX(Fields!$B:$B,MATCH(B530,Fields!$A:$A,0)),"ID not found"))</f>
        <v/>
      </c>
      <c r="E530" s="30"/>
      <c r="F530" s="20" t="n">
        <f aca="false">IF(A530="",0,COUNTIF('Metric to Product'!$A:$A,A530))</f>
        <v>0</v>
      </c>
      <c r="G530" s="30"/>
      <c r="H530" s="30"/>
      <c r="I530" s="30"/>
    </row>
    <row r="531" customFormat="false" ht="15" hidden="false" customHeight="false" outlineLevel="0" collapsed="false">
      <c r="A531" s="29"/>
      <c r="B531" s="29"/>
      <c r="C531" s="20" t="str">
        <f aca="false">IF(A531="","",IFERROR(INDEX(Metrics!$C:$C,MATCH(A531,Metrics!$A:$A,0)),"ID not found"))</f>
        <v/>
      </c>
      <c r="D531" s="20" t="str">
        <f aca="false">IF(B531="","",IFERROR(INDEX(Fields!$B:$B,MATCH(B531,Fields!$A:$A,0)),"ID not found"))</f>
        <v/>
      </c>
      <c r="E531" s="30"/>
      <c r="F531" s="20" t="n">
        <f aca="false">IF(A531="",0,COUNTIF('Metric to Product'!$A:$A,A531))</f>
        <v>0</v>
      </c>
      <c r="G531" s="30"/>
      <c r="H531" s="30"/>
      <c r="I531" s="30"/>
    </row>
    <row r="532" customFormat="false" ht="15" hidden="false" customHeight="false" outlineLevel="0" collapsed="false">
      <c r="A532" s="29"/>
      <c r="B532" s="29"/>
      <c r="C532" s="20" t="str">
        <f aca="false">IF(A532="","",IFERROR(INDEX(Metrics!$C:$C,MATCH(A532,Metrics!$A:$A,0)),"ID not found"))</f>
        <v/>
      </c>
      <c r="D532" s="20" t="str">
        <f aca="false">IF(B532="","",IFERROR(INDEX(Fields!$B:$B,MATCH(B532,Fields!$A:$A,0)),"ID not found"))</f>
        <v/>
      </c>
      <c r="E532" s="30"/>
      <c r="F532" s="20" t="n">
        <f aca="false">IF(A532="",0,COUNTIF('Metric to Product'!$A:$A,A532))</f>
        <v>0</v>
      </c>
      <c r="G532" s="30"/>
      <c r="H532" s="30"/>
      <c r="I532" s="30"/>
    </row>
    <row r="533" customFormat="false" ht="15" hidden="false" customHeight="false" outlineLevel="0" collapsed="false">
      <c r="A533" s="29"/>
      <c r="B533" s="29"/>
      <c r="C533" s="20" t="str">
        <f aca="false">IF(A533="","",IFERROR(INDEX(Metrics!$C:$C,MATCH(A533,Metrics!$A:$A,0)),"ID not found"))</f>
        <v/>
      </c>
      <c r="D533" s="20" t="str">
        <f aca="false">IF(B533="","",IFERROR(INDEX(Fields!$B:$B,MATCH(B533,Fields!$A:$A,0)),"ID not found"))</f>
        <v/>
      </c>
      <c r="E533" s="30"/>
      <c r="F533" s="20" t="n">
        <f aca="false">IF(A533="",0,COUNTIF('Metric to Product'!$A:$A,A533))</f>
        <v>0</v>
      </c>
      <c r="G533" s="30"/>
      <c r="H533" s="30"/>
      <c r="I533" s="30"/>
    </row>
    <row r="534" customFormat="false" ht="15" hidden="false" customHeight="false" outlineLevel="0" collapsed="false">
      <c r="A534" s="29"/>
      <c r="B534" s="29"/>
      <c r="C534" s="20" t="str">
        <f aca="false">IF(A534="","",IFERROR(INDEX(Metrics!$C:$C,MATCH(A534,Metrics!$A:$A,0)),"ID not found"))</f>
        <v/>
      </c>
      <c r="D534" s="20" t="str">
        <f aca="false">IF(B534="","",IFERROR(INDEX(Fields!$B:$B,MATCH(B534,Fields!$A:$A,0)),"ID not found"))</f>
        <v/>
      </c>
      <c r="E534" s="30"/>
      <c r="F534" s="20" t="n">
        <f aca="false">IF(A534="",0,COUNTIF('Metric to Product'!$A:$A,A534))</f>
        <v>0</v>
      </c>
      <c r="G534" s="30"/>
      <c r="H534" s="30"/>
      <c r="I534" s="30"/>
    </row>
    <row r="535" customFormat="false" ht="15" hidden="false" customHeight="false" outlineLevel="0" collapsed="false">
      <c r="A535" s="29"/>
      <c r="B535" s="29"/>
      <c r="C535" s="20" t="str">
        <f aca="false">IF(A535="","",IFERROR(INDEX(Metrics!$C:$C,MATCH(A535,Metrics!$A:$A,0)),"ID not found"))</f>
        <v/>
      </c>
      <c r="D535" s="20" t="str">
        <f aca="false">IF(B535="","",IFERROR(INDEX(Fields!$B:$B,MATCH(B535,Fields!$A:$A,0)),"ID not found"))</f>
        <v/>
      </c>
      <c r="E535" s="30"/>
      <c r="F535" s="20" t="n">
        <f aca="false">IF(A535="",0,COUNTIF('Metric to Product'!$A:$A,A535))</f>
        <v>0</v>
      </c>
      <c r="G535" s="30"/>
      <c r="H535" s="30"/>
      <c r="I535" s="30"/>
    </row>
    <row r="536" customFormat="false" ht="15" hidden="false" customHeight="false" outlineLevel="0" collapsed="false">
      <c r="A536" s="29"/>
      <c r="B536" s="29"/>
      <c r="C536" s="20" t="str">
        <f aca="false">IF(A536="","",IFERROR(INDEX(Metrics!$C:$C,MATCH(A536,Metrics!$A:$A,0)),"ID not found"))</f>
        <v/>
      </c>
      <c r="D536" s="20" t="str">
        <f aca="false">IF(B536="","",IFERROR(INDEX(Fields!$B:$B,MATCH(B536,Fields!$A:$A,0)),"ID not found"))</f>
        <v/>
      </c>
      <c r="E536" s="30"/>
      <c r="F536" s="20" t="n">
        <f aca="false">IF(A536="",0,COUNTIF('Metric to Product'!$A:$A,A536))</f>
        <v>0</v>
      </c>
      <c r="G536" s="30"/>
      <c r="H536" s="30"/>
      <c r="I536" s="30"/>
    </row>
    <row r="537" customFormat="false" ht="15" hidden="false" customHeight="false" outlineLevel="0" collapsed="false">
      <c r="A537" s="29"/>
      <c r="B537" s="29"/>
      <c r="C537" s="20" t="str">
        <f aca="false">IF(A537="","",IFERROR(INDEX(Metrics!$C:$C,MATCH(A537,Metrics!$A:$A,0)),"ID not found"))</f>
        <v/>
      </c>
      <c r="D537" s="20" t="str">
        <f aca="false">IF(B537="","",IFERROR(INDEX(Fields!$B:$B,MATCH(B537,Fields!$A:$A,0)),"ID not found"))</f>
        <v/>
      </c>
      <c r="E537" s="30"/>
      <c r="F537" s="20" t="n">
        <f aca="false">IF(A537="",0,COUNTIF('Metric to Product'!$A:$A,A537))</f>
        <v>0</v>
      </c>
      <c r="G537" s="30"/>
      <c r="H537" s="30"/>
      <c r="I537" s="30"/>
    </row>
    <row r="538" customFormat="false" ht="15" hidden="false" customHeight="false" outlineLevel="0" collapsed="false">
      <c r="A538" s="29"/>
      <c r="B538" s="29"/>
      <c r="C538" s="20" t="str">
        <f aca="false">IF(A538="","",IFERROR(INDEX(Metrics!$C:$C,MATCH(A538,Metrics!$A:$A,0)),"ID not found"))</f>
        <v/>
      </c>
      <c r="D538" s="20" t="str">
        <f aca="false">IF(B538="","",IFERROR(INDEX(Fields!$B:$B,MATCH(B538,Fields!$A:$A,0)),"ID not found"))</f>
        <v/>
      </c>
      <c r="E538" s="30"/>
      <c r="F538" s="20" t="n">
        <f aca="false">IF(A538="",0,COUNTIF('Metric to Product'!$A:$A,A538))</f>
        <v>0</v>
      </c>
      <c r="G538" s="30"/>
      <c r="H538" s="30"/>
      <c r="I538" s="30"/>
    </row>
    <row r="539" customFormat="false" ht="15" hidden="false" customHeight="false" outlineLevel="0" collapsed="false">
      <c r="A539" s="29"/>
      <c r="B539" s="29"/>
      <c r="C539" s="20" t="str">
        <f aca="false">IF(A539="","",IFERROR(INDEX(Metrics!$C:$C,MATCH(A539,Metrics!$A:$A,0)),"ID not found"))</f>
        <v/>
      </c>
      <c r="D539" s="20" t="str">
        <f aca="false">IF(B539="","",IFERROR(INDEX(Fields!$B:$B,MATCH(B539,Fields!$A:$A,0)),"ID not found"))</f>
        <v/>
      </c>
      <c r="E539" s="30"/>
      <c r="F539" s="20" t="n">
        <f aca="false">IF(A539="",0,COUNTIF('Metric to Product'!$A:$A,A539))</f>
        <v>0</v>
      </c>
      <c r="G539" s="30"/>
      <c r="H539" s="30"/>
      <c r="I539" s="30"/>
    </row>
    <row r="540" customFormat="false" ht="15" hidden="false" customHeight="false" outlineLevel="0" collapsed="false">
      <c r="A540" s="29"/>
      <c r="B540" s="29"/>
      <c r="C540" s="20" t="str">
        <f aca="false">IF(A540="","",IFERROR(INDEX(Metrics!$C:$C,MATCH(A540,Metrics!$A:$A,0)),"ID not found"))</f>
        <v/>
      </c>
      <c r="D540" s="20" t="str">
        <f aca="false">IF(B540="","",IFERROR(INDEX(Fields!$B:$B,MATCH(B540,Fields!$A:$A,0)),"ID not found"))</f>
        <v/>
      </c>
      <c r="E540" s="30"/>
      <c r="F540" s="20" t="n">
        <f aca="false">IF(A540="",0,COUNTIF('Metric to Product'!$A:$A,A540))</f>
        <v>0</v>
      </c>
      <c r="G540" s="30"/>
      <c r="H540" s="30"/>
      <c r="I540" s="30"/>
    </row>
    <row r="541" customFormat="false" ht="15" hidden="false" customHeight="false" outlineLevel="0" collapsed="false">
      <c r="A541" s="29"/>
      <c r="B541" s="29"/>
      <c r="C541" s="20" t="str">
        <f aca="false">IF(A541="","",IFERROR(INDEX(Metrics!$C:$C,MATCH(A541,Metrics!$A:$A,0)),"ID not found"))</f>
        <v/>
      </c>
      <c r="D541" s="20" t="str">
        <f aca="false">IF(B541="","",IFERROR(INDEX(Fields!$B:$B,MATCH(B541,Fields!$A:$A,0)),"ID not found"))</f>
        <v/>
      </c>
      <c r="E541" s="30"/>
      <c r="F541" s="20" t="n">
        <f aca="false">IF(A541="",0,COUNTIF('Metric to Product'!$A:$A,A541))</f>
        <v>0</v>
      </c>
      <c r="G541" s="30"/>
      <c r="H541" s="30"/>
      <c r="I541" s="30"/>
    </row>
    <row r="542" customFormat="false" ht="15" hidden="false" customHeight="false" outlineLevel="0" collapsed="false">
      <c r="A542" s="29"/>
      <c r="B542" s="29"/>
      <c r="C542" s="20" t="str">
        <f aca="false">IF(A542="","",IFERROR(INDEX(Metrics!$C:$C,MATCH(A542,Metrics!$A:$A,0)),"ID not found"))</f>
        <v/>
      </c>
      <c r="D542" s="20" t="str">
        <f aca="false">IF(B542="","",IFERROR(INDEX(Fields!$B:$B,MATCH(B542,Fields!$A:$A,0)),"ID not found"))</f>
        <v/>
      </c>
      <c r="E542" s="30"/>
      <c r="F542" s="20" t="n">
        <f aca="false">IF(A542="",0,COUNTIF('Metric to Product'!$A:$A,A542))</f>
        <v>0</v>
      </c>
      <c r="G542" s="30"/>
      <c r="H542" s="30"/>
      <c r="I542" s="30"/>
    </row>
    <row r="543" customFormat="false" ht="15" hidden="false" customHeight="false" outlineLevel="0" collapsed="false">
      <c r="A543" s="29"/>
      <c r="B543" s="29"/>
      <c r="C543" s="20" t="str">
        <f aca="false">IF(A543="","",IFERROR(INDEX(Metrics!$C:$C,MATCH(A543,Metrics!$A:$A,0)),"ID not found"))</f>
        <v/>
      </c>
      <c r="D543" s="20" t="str">
        <f aca="false">IF(B543="","",IFERROR(INDEX(Fields!$B:$B,MATCH(B543,Fields!$A:$A,0)),"ID not found"))</f>
        <v/>
      </c>
      <c r="E543" s="30"/>
      <c r="F543" s="20" t="n">
        <f aca="false">IF(A543="",0,COUNTIF('Metric to Product'!$A:$A,A543))</f>
        <v>0</v>
      </c>
      <c r="G543" s="30"/>
      <c r="H543" s="30"/>
      <c r="I543" s="30"/>
    </row>
    <row r="544" customFormat="false" ht="15" hidden="false" customHeight="false" outlineLevel="0" collapsed="false">
      <c r="A544" s="29"/>
      <c r="B544" s="29"/>
      <c r="C544" s="20" t="str">
        <f aca="false">IF(A544="","",IFERROR(INDEX(Metrics!$C:$C,MATCH(A544,Metrics!$A:$A,0)),"ID not found"))</f>
        <v/>
      </c>
      <c r="D544" s="20" t="str">
        <f aca="false">IF(B544="","",IFERROR(INDEX(Fields!$B:$B,MATCH(B544,Fields!$A:$A,0)),"ID not found"))</f>
        <v/>
      </c>
      <c r="E544" s="30"/>
      <c r="F544" s="20" t="n">
        <f aca="false">IF(A544="",0,COUNTIF('Metric to Product'!$A:$A,A544))</f>
        <v>0</v>
      </c>
      <c r="G544" s="30"/>
      <c r="H544" s="30"/>
      <c r="I544" s="30"/>
    </row>
    <row r="545" customFormat="false" ht="15" hidden="false" customHeight="false" outlineLevel="0" collapsed="false">
      <c r="A545" s="29"/>
      <c r="B545" s="29"/>
      <c r="C545" s="20" t="str">
        <f aca="false">IF(A545="","",IFERROR(INDEX(Metrics!$C:$C,MATCH(A545,Metrics!$A:$A,0)),"ID not found"))</f>
        <v/>
      </c>
      <c r="D545" s="20" t="str">
        <f aca="false">IF(B545="","",IFERROR(INDEX(Fields!$B:$B,MATCH(B545,Fields!$A:$A,0)),"ID not found"))</f>
        <v/>
      </c>
      <c r="E545" s="30"/>
      <c r="F545" s="20" t="n">
        <f aca="false">IF(A545="",0,COUNTIF('Metric to Product'!$A:$A,A545))</f>
        <v>0</v>
      </c>
      <c r="G545" s="30"/>
      <c r="H545" s="30"/>
      <c r="I545" s="30"/>
    </row>
    <row r="546" customFormat="false" ht="15" hidden="false" customHeight="false" outlineLevel="0" collapsed="false">
      <c r="A546" s="29"/>
      <c r="B546" s="29"/>
      <c r="C546" s="20" t="str">
        <f aca="false">IF(A546="","",IFERROR(INDEX(Metrics!$C:$C,MATCH(A546,Metrics!$A:$A,0)),"ID not found"))</f>
        <v/>
      </c>
      <c r="D546" s="20" t="str">
        <f aca="false">IF(B546="","",IFERROR(INDEX(Fields!$B:$B,MATCH(B546,Fields!$A:$A,0)),"ID not found"))</f>
        <v/>
      </c>
      <c r="E546" s="30"/>
      <c r="F546" s="20" t="n">
        <f aca="false">IF(A546="",0,COUNTIF('Metric to Product'!$A:$A,A546))</f>
        <v>0</v>
      </c>
      <c r="G546" s="30"/>
      <c r="H546" s="30"/>
      <c r="I546" s="30"/>
    </row>
    <row r="547" customFormat="false" ht="15" hidden="false" customHeight="false" outlineLevel="0" collapsed="false">
      <c r="A547" s="29"/>
      <c r="B547" s="29"/>
      <c r="C547" s="20" t="str">
        <f aca="false">IF(A547="","",IFERROR(INDEX(Metrics!$C:$C,MATCH(A547,Metrics!$A:$A,0)),"ID not found"))</f>
        <v/>
      </c>
      <c r="D547" s="20" t="str">
        <f aca="false">IF(B547="","",IFERROR(INDEX(Fields!$B:$B,MATCH(B547,Fields!$A:$A,0)),"ID not found"))</f>
        <v/>
      </c>
      <c r="E547" s="30"/>
      <c r="F547" s="20" t="n">
        <f aca="false">IF(A547="",0,COUNTIF('Metric to Product'!$A:$A,A547))</f>
        <v>0</v>
      </c>
      <c r="G547" s="30"/>
      <c r="H547" s="30"/>
      <c r="I547" s="30"/>
    </row>
    <row r="548" customFormat="false" ht="15" hidden="false" customHeight="false" outlineLevel="0" collapsed="false">
      <c r="A548" s="29"/>
      <c r="B548" s="29"/>
      <c r="C548" s="20" t="str">
        <f aca="false">IF(A548="","",IFERROR(INDEX(Metrics!$C:$C,MATCH(A548,Metrics!$A:$A,0)),"ID not found"))</f>
        <v/>
      </c>
      <c r="D548" s="20" t="str">
        <f aca="false">IF(B548="","",IFERROR(INDEX(Fields!$B:$B,MATCH(B548,Fields!$A:$A,0)),"ID not found"))</f>
        <v/>
      </c>
      <c r="E548" s="30"/>
      <c r="F548" s="20" t="n">
        <f aca="false">IF(A548="",0,COUNTIF('Metric to Product'!$A:$A,A548))</f>
        <v>0</v>
      </c>
      <c r="G548" s="30"/>
      <c r="H548" s="30"/>
      <c r="I548" s="30"/>
    </row>
    <row r="549" customFormat="false" ht="15" hidden="false" customHeight="false" outlineLevel="0" collapsed="false">
      <c r="A549" s="29"/>
      <c r="B549" s="29"/>
      <c r="C549" s="20" t="str">
        <f aca="false">IF(A549="","",IFERROR(INDEX(Metrics!$C:$C,MATCH(A549,Metrics!$A:$A,0)),"ID not found"))</f>
        <v/>
      </c>
      <c r="D549" s="20" t="str">
        <f aca="false">IF(B549="","",IFERROR(INDEX(Fields!$B:$B,MATCH(B549,Fields!$A:$A,0)),"ID not found"))</f>
        <v/>
      </c>
      <c r="E549" s="30"/>
      <c r="F549" s="20" t="n">
        <f aca="false">IF(A549="",0,COUNTIF('Metric to Product'!$A:$A,A549))</f>
        <v>0</v>
      </c>
      <c r="G549" s="30"/>
      <c r="H549" s="30"/>
      <c r="I549" s="30"/>
    </row>
    <row r="550" customFormat="false" ht="15" hidden="false" customHeight="false" outlineLevel="0" collapsed="false">
      <c r="A550" s="29"/>
      <c r="B550" s="29"/>
      <c r="C550" s="20" t="str">
        <f aca="false">IF(A550="","",IFERROR(INDEX(Metrics!$C:$C,MATCH(A550,Metrics!$A:$A,0)),"ID not found"))</f>
        <v/>
      </c>
      <c r="D550" s="20" t="str">
        <f aca="false">IF(B550="","",IFERROR(INDEX(Fields!$B:$B,MATCH(B550,Fields!$A:$A,0)),"ID not found"))</f>
        <v/>
      </c>
      <c r="E550" s="30"/>
      <c r="F550" s="20" t="n">
        <f aca="false">IF(A550="",0,COUNTIF('Metric to Product'!$A:$A,A550))</f>
        <v>0</v>
      </c>
      <c r="G550" s="30"/>
      <c r="H550" s="30"/>
      <c r="I550" s="30"/>
    </row>
    <row r="551" customFormat="false" ht="15" hidden="false" customHeight="false" outlineLevel="0" collapsed="false">
      <c r="A551" s="29"/>
      <c r="B551" s="29"/>
      <c r="C551" s="20" t="str">
        <f aca="false">IF(A551="","",IFERROR(INDEX(Metrics!$C:$C,MATCH(A551,Metrics!$A:$A,0)),"ID not found"))</f>
        <v/>
      </c>
      <c r="D551" s="20" t="str">
        <f aca="false">IF(B551="","",IFERROR(INDEX(Fields!$B:$B,MATCH(B551,Fields!$A:$A,0)),"ID not found"))</f>
        <v/>
      </c>
      <c r="E551" s="30"/>
      <c r="F551" s="20" t="n">
        <f aca="false">IF(A551="",0,COUNTIF('Metric to Product'!$A:$A,A551))</f>
        <v>0</v>
      </c>
      <c r="G551" s="30"/>
      <c r="H551" s="30"/>
      <c r="I551" s="30"/>
    </row>
    <row r="552" customFormat="false" ht="15" hidden="false" customHeight="false" outlineLevel="0" collapsed="false">
      <c r="A552" s="29"/>
      <c r="B552" s="29"/>
      <c r="C552" s="20" t="str">
        <f aca="false">IF(A552="","",IFERROR(INDEX(Metrics!$C:$C,MATCH(A552,Metrics!$A:$A,0)),"ID not found"))</f>
        <v/>
      </c>
      <c r="D552" s="20" t="str">
        <f aca="false">IF(B552="","",IFERROR(INDEX(Fields!$B:$B,MATCH(B552,Fields!$A:$A,0)),"ID not found"))</f>
        <v/>
      </c>
      <c r="E552" s="30"/>
      <c r="F552" s="20" t="n">
        <f aca="false">IF(A552="",0,COUNTIF('Metric to Product'!$A:$A,A552))</f>
        <v>0</v>
      </c>
      <c r="G552" s="30"/>
      <c r="H552" s="30"/>
      <c r="I552" s="30"/>
    </row>
    <row r="553" customFormat="false" ht="15" hidden="false" customHeight="false" outlineLevel="0" collapsed="false">
      <c r="A553" s="29"/>
      <c r="B553" s="29"/>
      <c r="C553" s="20" t="str">
        <f aca="false">IF(A553="","",IFERROR(INDEX(Metrics!$C:$C,MATCH(A553,Metrics!$A:$A,0)),"ID not found"))</f>
        <v/>
      </c>
      <c r="D553" s="20" t="str">
        <f aca="false">IF(B553="","",IFERROR(INDEX(Fields!$B:$B,MATCH(B553,Fields!$A:$A,0)),"ID not found"))</f>
        <v/>
      </c>
      <c r="E553" s="30"/>
      <c r="F553" s="20" t="n">
        <f aca="false">IF(A553="",0,COUNTIF('Metric to Product'!$A:$A,A553))</f>
        <v>0</v>
      </c>
      <c r="G553" s="30"/>
      <c r="H553" s="30"/>
      <c r="I553" s="30"/>
    </row>
    <row r="554" customFormat="false" ht="15" hidden="false" customHeight="false" outlineLevel="0" collapsed="false">
      <c r="A554" s="29"/>
      <c r="B554" s="29"/>
      <c r="C554" s="20" t="str">
        <f aca="false">IF(A554="","",IFERROR(INDEX(Metrics!$C:$C,MATCH(A554,Metrics!$A:$A,0)),"ID not found"))</f>
        <v/>
      </c>
      <c r="D554" s="20" t="str">
        <f aca="false">IF(B554="","",IFERROR(INDEX(Fields!$B:$B,MATCH(B554,Fields!$A:$A,0)),"ID not found"))</f>
        <v/>
      </c>
      <c r="E554" s="30"/>
      <c r="F554" s="20" t="n">
        <f aca="false">IF(A554="",0,COUNTIF('Metric to Product'!$A:$A,A554))</f>
        <v>0</v>
      </c>
      <c r="G554" s="30"/>
      <c r="H554" s="30"/>
      <c r="I554" s="30"/>
    </row>
    <row r="555" customFormat="false" ht="15" hidden="false" customHeight="false" outlineLevel="0" collapsed="false">
      <c r="A555" s="29"/>
      <c r="B555" s="29"/>
      <c r="C555" s="20" t="str">
        <f aca="false">IF(A555="","",IFERROR(INDEX(Metrics!$C:$C,MATCH(A555,Metrics!$A:$A,0)),"ID not found"))</f>
        <v/>
      </c>
      <c r="D555" s="20" t="str">
        <f aca="false">IF(B555="","",IFERROR(INDEX(Fields!$B:$B,MATCH(B555,Fields!$A:$A,0)),"ID not found"))</f>
        <v/>
      </c>
      <c r="E555" s="30"/>
      <c r="F555" s="20" t="n">
        <f aca="false">IF(A555="",0,COUNTIF('Metric to Product'!$A:$A,A555))</f>
        <v>0</v>
      </c>
      <c r="G555" s="30"/>
      <c r="H555" s="30"/>
      <c r="I555" s="30"/>
    </row>
    <row r="556" customFormat="false" ht="15" hidden="false" customHeight="false" outlineLevel="0" collapsed="false">
      <c r="A556" s="29"/>
      <c r="B556" s="29"/>
      <c r="C556" s="20" t="str">
        <f aca="false">IF(A556="","",IFERROR(INDEX(Metrics!$C:$C,MATCH(A556,Metrics!$A:$A,0)),"ID not found"))</f>
        <v/>
      </c>
      <c r="D556" s="20" t="str">
        <f aca="false">IF(B556="","",IFERROR(INDEX(Fields!$B:$B,MATCH(B556,Fields!$A:$A,0)),"ID not found"))</f>
        <v/>
      </c>
      <c r="E556" s="30"/>
      <c r="F556" s="20" t="n">
        <f aca="false">IF(A556="",0,COUNTIF('Metric to Product'!$A:$A,A556))</f>
        <v>0</v>
      </c>
      <c r="G556" s="30"/>
      <c r="H556" s="30"/>
      <c r="I556" s="30"/>
    </row>
    <row r="557" customFormat="false" ht="15" hidden="false" customHeight="false" outlineLevel="0" collapsed="false">
      <c r="A557" s="29"/>
      <c r="B557" s="29"/>
      <c r="C557" s="20" t="str">
        <f aca="false">IF(A557="","",IFERROR(INDEX(Metrics!$C:$C,MATCH(A557,Metrics!$A:$A,0)),"ID not found"))</f>
        <v/>
      </c>
      <c r="D557" s="20" t="str">
        <f aca="false">IF(B557="","",IFERROR(INDEX(Fields!$B:$B,MATCH(B557,Fields!$A:$A,0)),"ID not found"))</f>
        <v/>
      </c>
      <c r="E557" s="30"/>
      <c r="F557" s="20" t="n">
        <f aca="false">IF(A557="",0,COUNTIF('Metric to Product'!$A:$A,A557))</f>
        <v>0</v>
      </c>
      <c r="G557" s="30"/>
      <c r="H557" s="30"/>
      <c r="I557" s="30"/>
    </row>
    <row r="558" customFormat="false" ht="15" hidden="false" customHeight="false" outlineLevel="0" collapsed="false">
      <c r="A558" s="29"/>
      <c r="B558" s="29"/>
      <c r="C558" s="20" t="str">
        <f aca="false">IF(A558="","",IFERROR(INDEX(Metrics!$C:$C,MATCH(A558,Metrics!$A:$A,0)),"ID not found"))</f>
        <v/>
      </c>
      <c r="D558" s="20" t="str">
        <f aca="false">IF(B558="","",IFERROR(INDEX(Fields!$B:$B,MATCH(B558,Fields!$A:$A,0)),"ID not found"))</f>
        <v/>
      </c>
      <c r="E558" s="30"/>
      <c r="F558" s="20" t="n">
        <f aca="false">IF(A558="",0,COUNTIF('Metric to Product'!$A:$A,A558))</f>
        <v>0</v>
      </c>
      <c r="G558" s="30"/>
      <c r="H558" s="30"/>
      <c r="I558" s="30"/>
    </row>
    <row r="559" customFormat="false" ht="15" hidden="false" customHeight="false" outlineLevel="0" collapsed="false">
      <c r="A559" s="29"/>
      <c r="B559" s="29"/>
      <c r="C559" s="20" t="str">
        <f aca="false">IF(A559="","",IFERROR(INDEX(Metrics!$C:$C,MATCH(A559,Metrics!$A:$A,0)),"ID not found"))</f>
        <v/>
      </c>
      <c r="D559" s="20" t="str">
        <f aca="false">IF(B559="","",IFERROR(INDEX(Fields!$B:$B,MATCH(B559,Fields!$A:$A,0)),"ID not found"))</f>
        <v/>
      </c>
      <c r="E559" s="30"/>
      <c r="F559" s="20" t="n">
        <f aca="false">IF(A559="",0,COUNTIF('Metric to Product'!$A:$A,A559))</f>
        <v>0</v>
      </c>
      <c r="G559" s="30"/>
      <c r="H559" s="30"/>
      <c r="I559" s="30"/>
    </row>
    <row r="560" customFormat="false" ht="15" hidden="false" customHeight="false" outlineLevel="0" collapsed="false">
      <c r="A560" s="29"/>
      <c r="B560" s="29"/>
      <c r="C560" s="20" t="str">
        <f aca="false">IF(A560="","",IFERROR(INDEX(Metrics!$C:$C,MATCH(A560,Metrics!$A:$A,0)),"ID not found"))</f>
        <v/>
      </c>
      <c r="D560" s="20" t="str">
        <f aca="false">IF(B560="","",IFERROR(INDEX(Fields!$B:$B,MATCH(B560,Fields!$A:$A,0)),"ID not found"))</f>
        <v/>
      </c>
      <c r="E560" s="30"/>
      <c r="F560" s="20" t="n">
        <f aca="false">IF(A560="",0,COUNTIF('Metric to Product'!$A:$A,A560))</f>
        <v>0</v>
      </c>
      <c r="G560" s="30"/>
      <c r="H560" s="30"/>
      <c r="I560" s="30"/>
    </row>
    <row r="561" customFormat="false" ht="15" hidden="false" customHeight="false" outlineLevel="0" collapsed="false">
      <c r="A561" s="29"/>
      <c r="B561" s="29"/>
      <c r="C561" s="20" t="str">
        <f aca="false">IF(A561="","",IFERROR(INDEX(Metrics!$C:$C,MATCH(A561,Metrics!$A:$A,0)),"ID not found"))</f>
        <v/>
      </c>
      <c r="D561" s="20" t="str">
        <f aca="false">IF(B561="","",IFERROR(INDEX(Fields!$B:$B,MATCH(B561,Fields!$A:$A,0)),"ID not found"))</f>
        <v/>
      </c>
      <c r="E561" s="30"/>
      <c r="F561" s="20" t="n">
        <f aca="false">IF(A561="",0,COUNTIF('Metric to Product'!$A:$A,A561))</f>
        <v>0</v>
      </c>
      <c r="G561" s="30"/>
      <c r="H561" s="30"/>
      <c r="I561" s="30"/>
    </row>
    <row r="562" customFormat="false" ht="15" hidden="false" customHeight="false" outlineLevel="0" collapsed="false">
      <c r="A562" s="29"/>
      <c r="B562" s="29"/>
      <c r="C562" s="20" t="str">
        <f aca="false">IF(A562="","",IFERROR(INDEX(Metrics!$C:$C,MATCH(A562,Metrics!$A:$A,0)),"ID not found"))</f>
        <v/>
      </c>
      <c r="D562" s="20" t="str">
        <f aca="false">IF(B562="","",IFERROR(INDEX(Fields!$B:$B,MATCH(B562,Fields!$A:$A,0)),"ID not found"))</f>
        <v/>
      </c>
      <c r="E562" s="30"/>
      <c r="F562" s="20" t="n">
        <f aca="false">IF(A562="",0,COUNTIF('Metric to Product'!$A:$A,A562))</f>
        <v>0</v>
      </c>
      <c r="G562" s="30"/>
      <c r="H562" s="30"/>
      <c r="I562" s="30"/>
    </row>
    <row r="563" customFormat="false" ht="15" hidden="false" customHeight="false" outlineLevel="0" collapsed="false">
      <c r="A563" s="29"/>
      <c r="B563" s="29"/>
      <c r="C563" s="20" t="str">
        <f aca="false">IF(A563="","",IFERROR(INDEX(Metrics!$C:$C,MATCH(A563,Metrics!$A:$A,0)),"ID not found"))</f>
        <v/>
      </c>
      <c r="D563" s="20" t="str">
        <f aca="false">IF(B563="","",IFERROR(INDEX(Fields!$B:$B,MATCH(B563,Fields!$A:$A,0)),"ID not found"))</f>
        <v/>
      </c>
      <c r="E563" s="30"/>
      <c r="F563" s="20" t="n">
        <f aca="false">IF(A563="",0,COUNTIF('Metric to Product'!$A:$A,A563))</f>
        <v>0</v>
      </c>
      <c r="G563" s="30"/>
      <c r="H563" s="30"/>
      <c r="I563" s="30"/>
    </row>
    <row r="564" customFormat="false" ht="15" hidden="false" customHeight="false" outlineLevel="0" collapsed="false">
      <c r="A564" s="29"/>
      <c r="B564" s="29"/>
      <c r="C564" s="20" t="str">
        <f aca="false">IF(A564="","",IFERROR(INDEX(Metrics!$C:$C,MATCH(A564,Metrics!$A:$A,0)),"ID not found"))</f>
        <v/>
      </c>
      <c r="D564" s="20" t="str">
        <f aca="false">IF(B564="","",IFERROR(INDEX(Fields!$B:$B,MATCH(B564,Fields!$A:$A,0)),"ID not found"))</f>
        <v/>
      </c>
      <c r="E564" s="30"/>
      <c r="F564" s="20" t="n">
        <f aca="false">IF(A564="",0,COUNTIF('Metric to Product'!$A:$A,A564))</f>
        <v>0</v>
      </c>
      <c r="G564" s="30"/>
      <c r="H564" s="30"/>
      <c r="I564" s="30"/>
    </row>
    <row r="565" customFormat="false" ht="15" hidden="false" customHeight="false" outlineLevel="0" collapsed="false">
      <c r="A565" s="29"/>
      <c r="B565" s="29"/>
      <c r="C565" s="20" t="str">
        <f aca="false">IF(A565="","",IFERROR(INDEX(Metrics!$C:$C,MATCH(A565,Metrics!$A:$A,0)),"ID not found"))</f>
        <v/>
      </c>
      <c r="D565" s="20" t="str">
        <f aca="false">IF(B565="","",IFERROR(INDEX(Fields!$B:$B,MATCH(B565,Fields!$A:$A,0)),"ID not found"))</f>
        <v/>
      </c>
      <c r="E565" s="30"/>
      <c r="F565" s="20" t="n">
        <f aca="false">IF(A565="",0,COUNTIF('Metric to Product'!$A:$A,A565))</f>
        <v>0</v>
      </c>
      <c r="G565" s="30"/>
      <c r="H565" s="30"/>
      <c r="I565" s="30"/>
    </row>
    <row r="566" customFormat="false" ht="15" hidden="false" customHeight="false" outlineLevel="0" collapsed="false">
      <c r="A566" s="29"/>
      <c r="B566" s="29"/>
      <c r="C566" s="20" t="str">
        <f aca="false">IF(A566="","",IFERROR(INDEX(Metrics!$C:$C,MATCH(A566,Metrics!$A:$A,0)),"ID not found"))</f>
        <v/>
      </c>
      <c r="D566" s="20" t="str">
        <f aca="false">IF(B566="","",IFERROR(INDEX(Fields!$B:$B,MATCH(B566,Fields!$A:$A,0)),"ID not found"))</f>
        <v/>
      </c>
      <c r="E566" s="30"/>
      <c r="F566" s="20" t="n">
        <f aca="false">IF(A566="",0,COUNTIF('Metric to Product'!$A:$A,A566))</f>
        <v>0</v>
      </c>
      <c r="G566" s="30"/>
      <c r="H566" s="30"/>
      <c r="I566" s="30"/>
    </row>
    <row r="567" customFormat="false" ht="15" hidden="false" customHeight="false" outlineLevel="0" collapsed="false">
      <c r="A567" s="29"/>
      <c r="B567" s="29"/>
      <c r="C567" s="20" t="str">
        <f aca="false">IF(A567="","",IFERROR(INDEX(Metrics!$C:$C,MATCH(A567,Metrics!$A:$A,0)),"ID not found"))</f>
        <v/>
      </c>
      <c r="D567" s="20" t="str">
        <f aca="false">IF(B567="","",IFERROR(INDEX(Fields!$B:$B,MATCH(B567,Fields!$A:$A,0)),"ID not found"))</f>
        <v/>
      </c>
      <c r="E567" s="30"/>
      <c r="F567" s="20" t="n">
        <f aca="false">IF(A567="",0,COUNTIF('Metric to Product'!$A:$A,A567))</f>
        <v>0</v>
      </c>
      <c r="G567" s="30"/>
      <c r="H567" s="30"/>
      <c r="I567" s="30"/>
    </row>
    <row r="568" customFormat="false" ht="15" hidden="false" customHeight="false" outlineLevel="0" collapsed="false">
      <c r="A568" s="29"/>
      <c r="B568" s="29"/>
      <c r="C568" s="20" t="str">
        <f aca="false">IF(A568="","",IFERROR(INDEX(Metrics!$C:$C,MATCH(A568,Metrics!$A:$A,0)),"ID not found"))</f>
        <v/>
      </c>
      <c r="D568" s="20" t="str">
        <f aca="false">IF(B568="","",IFERROR(INDEX(Fields!$B:$B,MATCH(B568,Fields!$A:$A,0)),"ID not found"))</f>
        <v/>
      </c>
      <c r="E568" s="30"/>
      <c r="F568" s="20" t="n">
        <f aca="false">IF(A568="",0,COUNTIF('Metric to Product'!$A:$A,A568))</f>
        <v>0</v>
      </c>
      <c r="G568" s="30"/>
      <c r="H568" s="30"/>
      <c r="I568" s="30"/>
    </row>
    <row r="569" customFormat="false" ht="15" hidden="false" customHeight="false" outlineLevel="0" collapsed="false">
      <c r="A569" s="29"/>
      <c r="B569" s="29"/>
      <c r="C569" s="20" t="str">
        <f aca="false">IF(A569="","",IFERROR(INDEX(Metrics!$C:$C,MATCH(A569,Metrics!$A:$A,0)),"ID not found"))</f>
        <v/>
      </c>
      <c r="D569" s="20" t="str">
        <f aca="false">IF(B569="","",IFERROR(INDEX(Fields!$B:$B,MATCH(B569,Fields!$A:$A,0)),"ID not found"))</f>
        <v/>
      </c>
      <c r="E569" s="30"/>
      <c r="F569" s="20" t="n">
        <f aca="false">IF(A569="",0,COUNTIF('Metric to Product'!$A:$A,A569))</f>
        <v>0</v>
      </c>
      <c r="G569" s="30"/>
      <c r="H569" s="30"/>
      <c r="I569" s="30"/>
    </row>
    <row r="570" customFormat="false" ht="15" hidden="false" customHeight="false" outlineLevel="0" collapsed="false">
      <c r="A570" s="29"/>
      <c r="B570" s="29"/>
      <c r="C570" s="20" t="str">
        <f aca="false">IF(A570="","",IFERROR(INDEX(Metrics!$C:$C,MATCH(A570,Metrics!$A:$A,0)),"ID not found"))</f>
        <v/>
      </c>
      <c r="D570" s="20" t="str">
        <f aca="false">IF(B570="","",IFERROR(INDEX(Fields!$B:$B,MATCH(B570,Fields!$A:$A,0)),"ID not found"))</f>
        <v/>
      </c>
      <c r="E570" s="30"/>
      <c r="F570" s="20" t="n">
        <f aca="false">IF(A570="",0,COUNTIF('Metric to Product'!$A:$A,A570))</f>
        <v>0</v>
      </c>
      <c r="G570" s="30"/>
      <c r="H570" s="30"/>
      <c r="I570" s="30"/>
    </row>
    <row r="571" customFormat="false" ht="15" hidden="false" customHeight="false" outlineLevel="0" collapsed="false">
      <c r="A571" s="29"/>
      <c r="B571" s="29"/>
      <c r="C571" s="20" t="str">
        <f aca="false">IF(A571="","",IFERROR(INDEX(Metrics!$C:$C,MATCH(A571,Metrics!$A:$A,0)),"ID not found"))</f>
        <v/>
      </c>
      <c r="D571" s="20" t="str">
        <f aca="false">IF(B571="","",IFERROR(INDEX(Fields!$B:$B,MATCH(B571,Fields!$A:$A,0)),"ID not found"))</f>
        <v/>
      </c>
      <c r="E571" s="30"/>
      <c r="F571" s="20" t="n">
        <f aca="false">IF(A571="",0,COUNTIF('Metric to Product'!$A:$A,A571))</f>
        <v>0</v>
      </c>
      <c r="G571" s="30"/>
      <c r="H571" s="30"/>
      <c r="I571" s="30"/>
    </row>
    <row r="572" customFormat="false" ht="15" hidden="false" customHeight="false" outlineLevel="0" collapsed="false">
      <c r="A572" s="29"/>
      <c r="B572" s="29"/>
      <c r="C572" s="20" t="str">
        <f aca="false">IF(A572="","",IFERROR(INDEX(Metrics!$C:$C,MATCH(A572,Metrics!$A:$A,0)),"ID not found"))</f>
        <v/>
      </c>
      <c r="D572" s="20" t="str">
        <f aca="false">IF(B572="","",IFERROR(INDEX(Fields!$B:$B,MATCH(B572,Fields!$A:$A,0)),"ID not found"))</f>
        <v/>
      </c>
      <c r="E572" s="30"/>
      <c r="F572" s="20" t="n">
        <f aca="false">IF(A572="",0,COUNTIF('Metric to Product'!$A:$A,A572))</f>
        <v>0</v>
      </c>
      <c r="G572" s="30"/>
      <c r="H572" s="30"/>
      <c r="I572" s="30"/>
    </row>
    <row r="573" customFormat="false" ht="15" hidden="false" customHeight="false" outlineLevel="0" collapsed="false">
      <c r="A573" s="29"/>
      <c r="B573" s="29"/>
      <c r="C573" s="20" t="str">
        <f aca="false">IF(A573="","",IFERROR(INDEX(Metrics!$C:$C,MATCH(A573,Metrics!$A:$A,0)),"ID not found"))</f>
        <v/>
      </c>
      <c r="D573" s="20" t="str">
        <f aca="false">IF(B573="","",IFERROR(INDEX(Fields!$B:$B,MATCH(B573,Fields!$A:$A,0)),"ID not found"))</f>
        <v/>
      </c>
      <c r="E573" s="30"/>
      <c r="F573" s="20" t="n">
        <f aca="false">IF(A573="",0,COUNTIF('Metric to Product'!$A:$A,A573))</f>
        <v>0</v>
      </c>
      <c r="G573" s="30"/>
      <c r="H573" s="30"/>
      <c r="I573" s="30"/>
    </row>
    <row r="574" customFormat="false" ht="15" hidden="false" customHeight="false" outlineLevel="0" collapsed="false">
      <c r="A574" s="29"/>
      <c r="B574" s="29"/>
      <c r="C574" s="20" t="str">
        <f aca="false">IF(A574="","",IFERROR(INDEX(Metrics!$C:$C,MATCH(A574,Metrics!$A:$A,0)),"ID not found"))</f>
        <v/>
      </c>
      <c r="D574" s="20" t="str">
        <f aca="false">IF(B574="","",IFERROR(INDEX(Fields!$B:$B,MATCH(B574,Fields!$A:$A,0)),"ID not found"))</f>
        <v/>
      </c>
      <c r="E574" s="30"/>
      <c r="F574" s="20" t="n">
        <f aca="false">IF(A574="",0,COUNTIF('Metric to Product'!$A:$A,A574))</f>
        <v>0</v>
      </c>
      <c r="G574" s="30"/>
      <c r="H574" s="30"/>
      <c r="I574" s="30"/>
    </row>
    <row r="575" customFormat="false" ht="15" hidden="false" customHeight="false" outlineLevel="0" collapsed="false">
      <c r="A575" s="29"/>
      <c r="B575" s="29"/>
      <c r="C575" s="20" t="str">
        <f aca="false">IF(A575="","",IFERROR(INDEX(Metrics!$C:$C,MATCH(A575,Metrics!$A:$A,0)),"ID not found"))</f>
        <v/>
      </c>
      <c r="D575" s="20" t="str">
        <f aca="false">IF(B575="","",IFERROR(INDEX(Fields!$B:$B,MATCH(B575,Fields!$A:$A,0)),"ID not found"))</f>
        <v/>
      </c>
      <c r="E575" s="30"/>
      <c r="F575" s="20" t="n">
        <f aca="false">IF(A575="",0,COUNTIF('Metric to Product'!$A:$A,A575))</f>
        <v>0</v>
      </c>
      <c r="G575" s="30"/>
      <c r="H575" s="30"/>
      <c r="I575" s="30"/>
    </row>
    <row r="576" customFormat="false" ht="15" hidden="false" customHeight="false" outlineLevel="0" collapsed="false">
      <c r="A576" s="29"/>
      <c r="B576" s="29"/>
      <c r="C576" s="20" t="str">
        <f aca="false">IF(A576="","",IFERROR(INDEX(Metrics!$C:$C,MATCH(A576,Metrics!$A:$A,0)),"ID not found"))</f>
        <v/>
      </c>
      <c r="D576" s="20" t="str">
        <f aca="false">IF(B576="","",IFERROR(INDEX(Fields!$B:$B,MATCH(B576,Fields!$A:$A,0)),"ID not found"))</f>
        <v/>
      </c>
      <c r="E576" s="30"/>
      <c r="F576" s="20" t="n">
        <f aca="false">IF(A576="",0,COUNTIF('Metric to Product'!$A:$A,A576))</f>
        <v>0</v>
      </c>
      <c r="G576" s="30"/>
      <c r="H576" s="30"/>
      <c r="I576" s="30"/>
    </row>
    <row r="577" customFormat="false" ht="15" hidden="false" customHeight="false" outlineLevel="0" collapsed="false">
      <c r="A577" s="29"/>
      <c r="B577" s="29"/>
      <c r="C577" s="20" t="str">
        <f aca="false">IF(A577="","",IFERROR(INDEX(Metrics!$C:$C,MATCH(A577,Metrics!$A:$A,0)),"ID not found"))</f>
        <v/>
      </c>
      <c r="D577" s="20" t="str">
        <f aca="false">IF(B577="","",IFERROR(INDEX(Fields!$B:$B,MATCH(B577,Fields!$A:$A,0)),"ID not found"))</f>
        <v/>
      </c>
      <c r="E577" s="30"/>
      <c r="F577" s="20" t="n">
        <f aca="false">IF(A577="",0,COUNTIF('Metric to Product'!$A:$A,A577))</f>
        <v>0</v>
      </c>
      <c r="G577" s="30"/>
      <c r="H577" s="30"/>
      <c r="I577" s="30"/>
    </row>
    <row r="578" customFormat="false" ht="15" hidden="false" customHeight="false" outlineLevel="0" collapsed="false">
      <c r="A578" s="29"/>
      <c r="B578" s="29"/>
      <c r="C578" s="20" t="str">
        <f aca="false">IF(A578="","",IFERROR(INDEX(Metrics!$C:$C,MATCH(A578,Metrics!$A:$A,0)),"ID not found"))</f>
        <v/>
      </c>
      <c r="D578" s="20" t="str">
        <f aca="false">IF(B578="","",IFERROR(INDEX(Fields!$B:$B,MATCH(B578,Fields!$A:$A,0)),"ID not found"))</f>
        <v/>
      </c>
      <c r="E578" s="30"/>
      <c r="F578" s="20" t="n">
        <f aca="false">IF(A578="",0,COUNTIF('Metric to Product'!$A:$A,A578))</f>
        <v>0</v>
      </c>
      <c r="G578" s="30"/>
      <c r="H578" s="30"/>
      <c r="I578" s="30"/>
    </row>
    <row r="579" customFormat="false" ht="15" hidden="false" customHeight="false" outlineLevel="0" collapsed="false">
      <c r="A579" s="29"/>
      <c r="B579" s="29"/>
      <c r="C579" s="20" t="str">
        <f aca="false">IF(A579="","",IFERROR(INDEX(Metrics!$C:$C,MATCH(A579,Metrics!$A:$A,0)),"ID not found"))</f>
        <v/>
      </c>
      <c r="D579" s="20" t="str">
        <f aca="false">IF(B579="","",IFERROR(INDEX(Fields!$B:$B,MATCH(B579,Fields!$A:$A,0)),"ID not found"))</f>
        <v/>
      </c>
      <c r="E579" s="30"/>
      <c r="F579" s="20" t="n">
        <f aca="false">IF(A579="",0,COUNTIF('Metric to Product'!$A:$A,A579))</f>
        <v>0</v>
      </c>
      <c r="G579" s="30"/>
      <c r="H579" s="30"/>
      <c r="I579" s="30"/>
    </row>
    <row r="580" customFormat="false" ht="15" hidden="false" customHeight="false" outlineLevel="0" collapsed="false">
      <c r="A580" s="29"/>
      <c r="B580" s="29"/>
      <c r="C580" s="20" t="str">
        <f aca="false">IF(A580="","",IFERROR(INDEX(Metrics!$C:$C,MATCH(A580,Metrics!$A:$A,0)),"ID not found"))</f>
        <v/>
      </c>
      <c r="D580" s="20" t="str">
        <f aca="false">IF(B580="","",IFERROR(INDEX(Fields!$B:$B,MATCH(B580,Fields!$A:$A,0)),"ID not found"))</f>
        <v/>
      </c>
      <c r="E580" s="30"/>
      <c r="F580" s="20" t="n">
        <f aca="false">IF(A580="",0,COUNTIF('Metric to Product'!$A:$A,A580))</f>
        <v>0</v>
      </c>
      <c r="G580" s="30"/>
      <c r="H580" s="30"/>
      <c r="I580" s="30"/>
    </row>
    <row r="581" customFormat="false" ht="15" hidden="false" customHeight="false" outlineLevel="0" collapsed="false">
      <c r="A581" s="29"/>
      <c r="B581" s="29"/>
      <c r="C581" s="20" t="str">
        <f aca="false">IF(A581="","",IFERROR(INDEX(Metrics!$C:$C,MATCH(A581,Metrics!$A:$A,0)),"ID not found"))</f>
        <v/>
      </c>
      <c r="D581" s="20" t="str">
        <f aca="false">IF(B581="","",IFERROR(INDEX(Fields!$B:$B,MATCH(B581,Fields!$A:$A,0)),"ID not found"))</f>
        <v/>
      </c>
      <c r="E581" s="30"/>
      <c r="F581" s="20" t="n">
        <f aca="false">IF(A581="",0,COUNTIF('Metric to Product'!$A:$A,A581))</f>
        <v>0</v>
      </c>
      <c r="G581" s="30"/>
      <c r="H581" s="30"/>
      <c r="I581" s="30"/>
    </row>
    <row r="582" customFormat="false" ht="15" hidden="false" customHeight="false" outlineLevel="0" collapsed="false">
      <c r="A582" s="29"/>
      <c r="B582" s="29"/>
      <c r="C582" s="20" t="str">
        <f aca="false">IF(A582="","",IFERROR(INDEX(Metrics!$C:$C,MATCH(A582,Metrics!$A:$A,0)),"ID not found"))</f>
        <v/>
      </c>
      <c r="D582" s="20" t="str">
        <f aca="false">IF(B582="","",IFERROR(INDEX(Fields!$B:$B,MATCH(B582,Fields!$A:$A,0)),"ID not found"))</f>
        <v/>
      </c>
      <c r="E582" s="30"/>
      <c r="F582" s="20" t="n">
        <f aca="false">IF(A582="",0,COUNTIF('Metric to Product'!$A:$A,A582))</f>
        <v>0</v>
      </c>
      <c r="G582" s="30"/>
      <c r="H582" s="30"/>
      <c r="I582" s="30"/>
    </row>
    <row r="583" customFormat="false" ht="15" hidden="false" customHeight="false" outlineLevel="0" collapsed="false">
      <c r="A583" s="29"/>
      <c r="B583" s="29"/>
      <c r="C583" s="20" t="str">
        <f aca="false">IF(A583="","",IFERROR(INDEX(Metrics!$C:$C,MATCH(A583,Metrics!$A:$A,0)),"ID not found"))</f>
        <v/>
      </c>
      <c r="D583" s="20" t="str">
        <f aca="false">IF(B583="","",IFERROR(INDEX(Fields!$B:$B,MATCH(B583,Fields!$A:$A,0)),"ID not found"))</f>
        <v/>
      </c>
      <c r="E583" s="30"/>
      <c r="F583" s="20" t="n">
        <f aca="false">IF(A583="",0,COUNTIF('Metric to Product'!$A:$A,A583))</f>
        <v>0</v>
      </c>
      <c r="G583" s="30"/>
      <c r="H583" s="30"/>
      <c r="I583" s="30"/>
    </row>
    <row r="584" customFormat="false" ht="15" hidden="false" customHeight="false" outlineLevel="0" collapsed="false">
      <c r="A584" s="29"/>
      <c r="B584" s="29"/>
      <c r="C584" s="20" t="str">
        <f aca="false">IF(A584="","",IFERROR(INDEX(Metrics!$C:$C,MATCH(A584,Metrics!$A:$A,0)),"ID not found"))</f>
        <v/>
      </c>
      <c r="D584" s="20" t="str">
        <f aca="false">IF(B584="","",IFERROR(INDEX(Fields!$B:$B,MATCH(B584,Fields!$A:$A,0)),"ID not found"))</f>
        <v/>
      </c>
      <c r="E584" s="30"/>
      <c r="F584" s="20" t="n">
        <f aca="false">IF(A584="",0,COUNTIF('Metric to Product'!$A:$A,A584))</f>
        <v>0</v>
      </c>
      <c r="G584" s="30"/>
      <c r="H584" s="30"/>
      <c r="I584" s="30"/>
    </row>
    <row r="585" customFormat="false" ht="15" hidden="false" customHeight="false" outlineLevel="0" collapsed="false">
      <c r="A585" s="29"/>
      <c r="B585" s="29"/>
      <c r="C585" s="20" t="str">
        <f aca="false">IF(A585="","",IFERROR(INDEX(Metrics!$C:$C,MATCH(A585,Metrics!$A:$A,0)),"ID not found"))</f>
        <v/>
      </c>
      <c r="D585" s="20" t="str">
        <f aca="false">IF(B585="","",IFERROR(INDEX(Fields!$B:$B,MATCH(B585,Fields!$A:$A,0)),"ID not found"))</f>
        <v/>
      </c>
      <c r="E585" s="30"/>
      <c r="F585" s="20" t="n">
        <f aca="false">IF(A585="",0,COUNTIF('Metric to Product'!$A:$A,A585))</f>
        <v>0</v>
      </c>
      <c r="G585" s="30"/>
      <c r="H585" s="30"/>
      <c r="I585" s="30"/>
    </row>
    <row r="586" customFormat="false" ht="15" hidden="false" customHeight="false" outlineLevel="0" collapsed="false">
      <c r="A586" s="29"/>
      <c r="B586" s="29"/>
      <c r="C586" s="20" t="str">
        <f aca="false">IF(A586="","",IFERROR(INDEX(Metrics!$C:$C,MATCH(A586,Metrics!$A:$A,0)),"ID not found"))</f>
        <v/>
      </c>
      <c r="D586" s="20" t="str">
        <f aca="false">IF(B586="","",IFERROR(INDEX(Fields!$B:$B,MATCH(B586,Fields!$A:$A,0)),"ID not found"))</f>
        <v/>
      </c>
      <c r="E586" s="30"/>
      <c r="F586" s="20" t="n">
        <f aca="false">IF(A586="",0,COUNTIF('Metric to Product'!$A:$A,A586))</f>
        <v>0</v>
      </c>
      <c r="G586" s="30"/>
      <c r="H586" s="30"/>
      <c r="I586" s="30"/>
    </row>
    <row r="587" customFormat="false" ht="15" hidden="false" customHeight="false" outlineLevel="0" collapsed="false">
      <c r="A587" s="29"/>
      <c r="B587" s="29"/>
      <c r="C587" s="20" t="str">
        <f aca="false">IF(A587="","",IFERROR(INDEX(Metrics!$C:$C,MATCH(A587,Metrics!$A:$A,0)),"ID not found"))</f>
        <v/>
      </c>
      <c r="D587" s="20" t="str">
        <f aca="false">IF(B587="","",IFERROR(INDEX(Fields!$B:$B,MATCH(B587,Fields!$A:$A,0)),"ID not found"))</f>
        <v/>
      </c>
      <c r="E587" s="30"/>
      <c r="F587" s="20" t="n">
        <f aca="false">IF(A587="",0,COUNTIF('Metric to Product'!$A:$A,A587))</f>
        <v>0</v>
      </c>
      <c r="G587" s="30"/>
      <c r="H587" s="30"/>
      <c r="I587" s="30"/>
    </row>
    <row r="588" customFormat="false" ht="15" hidden="false" customHeight="false" outlineLevel="0" collapsed="false">
      <c r="A588" s="29"/>
      <c r="B588" s="29"/>
      <c r="C588" s="20" t="str">
        <f aca="false">IF(A588="","",IFERROR(INDEX(Metrics!$C:$C,MATCH(A588,Metrics!$A:$A,0)),"ID not found"))</f>
        <v/>
      </c>
      <c r="D588" s="20" t="str">
        <f aca="false">IF(B588="","",IFERROR(INDEX(Fields!$B:$B,MATCH(B588,Fields!$A:$A,0)),"ID not found"))</f>
        <v/>
      </c>
      <c r="E588" s="30"/>
      <c r="F588" s="20" t="n">
        <f aca="false">IF(A588="",0,COUNTIF('Metric to Product'!$A:$A,A588))</f>
        <v>0</v>
      </c>
      <c r="G588" s="30"/>
      <c r="H588" s="30"/>
      <c r="I588" s="30"/>
    </row>
    <row r="589" customFormat="false" ht="15" hidden="false" customHeight="false" outlineLevel="0" collapsed="false">
      <c r="A589" s="29"/>
      <c r="B589" s="29"/>
      <c r="C589" s="20" t="str">
        <f aca="false">IF(A589="","",IFERROR(INDEX(Metrics!$C:$C,MATCH(A589,Metrics!$A:$A,0)),"ID not found"))</f>
        <v/>
      </c>
      <c r="D589" s="20" t="str">
        <f aca="false">IF(B589="","",IFERROR(INDEX(Fields!$B:$B,MATCH(B589,Fields!$A:$A,0)),"ID not found"))</f>
        <v/>
      </c>
      <c r="E589" s="30"/>
      <c r="F589" s="20" t="n">
        <f aca="false">IF(A589="",0,COUNTIF('Metric to Product'!$A:$A,A589))</f>
        <v>0</v>
      </c>
      <c r="G589" s="30"/>
      <c r="H589" s="30"/>
      <c r="I589" s="30"/>
    </row>
    <row r="590" customFormat="false" ht="15" hidden="false" customHeight="false" outlineLevel="0" collapsed="false">
      <c r="A590" s="29"/>
      <c r="B590" s="29"/>
      <c r="C590" s="20" t="str">
        <f aca="false">IF(A590="","",IFERROR(INDEX(Metrics!$C:$C,MATCH(A590,Metrics!$A:$A,0)),"ID not found"))</f>
        <v/>
      </c>
      <c r="D590" s="20" t="str">
        <f aca="false">IF(B590="","",IFERROR(INDEX(Fields!$B:$B,MATCH(B590,Fields!$A:$A,0)),"ID not found"))</f>
        <v/>
      </c>
      <c r="E590" s="30"/>
      <c r="F590" s="20" t="n">
        <f aca="false">IF(A590="",0,COUNTIF('Metric to Product'!$A:$A,A590))</f>
        <v>0</v>
      </c>
      <c r="G590" s="30"/>
      <c r="H590" s="30"/>
      <c r="I590" s="30"/>
    </row>
    <row r="591" customFormat="false" ht="15" hidden="false" customHeight="false" outlineLevel="0" collapsed="false">
      <c r="A591" s="29"/>
      <c r="B591" s="29"/>
      <c r="C591" s="20" t="str">
        <f aca="false">IF(A591="","",IFERROR(INDEX(Metrics!$C:$C,MATCH(A591,Metrics!$A:$A,0)),"ID not found"))</f>
        <v/>
      </c>
      <c r="D591" s="20" t="str">
        <f aca="false">IF(B591="","",IFERROR(INDEX(Fields!$B:$B,MATCH(B591,Fields!$A:$A,0)),"ID not found"))</f>
        <v/>
      </c>
      <c r="E591" s="30"/>
      <c r="F591" s="20" t="n">
        <f aca="false">IF(A591="",0,COUNTIF('Metric to Product'!$A:$A,A591))</f>
        <v>0</v>
      </c>
      <c r="G591" s="30"/>
      <c r="H591" s="30"/>
      <c r="I591" s="30"/>
    </row>
    <row r="592" customFormat="false" ht="15" hidden="false" customHeight="false" outlineLevel="0" collapsed="false">
      <c r="A592" s="29"/>
      <c r="B592" s="29"/>
      <c r="C592" s="20" t="str">
        <f aca="false">IF(A592="","",IFERROR(INDEX(Metrics!$C:$C,MATCH(A592,Metrics!$A:$A,0)),"ID not found"))</f>
        <v/>
      </c>
      <c r="D592" s="20" t="str">
        <f aca="false">IF(B592="","",IFERROR(INDEX(Fields!$B:$B,MATCH(B592,Fields!$A:$A,0)),"ID not found"))</f>
        <v/>
      </c>
      <c r="E592" s="30"/>
      <c r="F592" s="20" t="n">
        <f aca="false">IF(A592="",0,COUNTIF('Metric to Product'!$A:$A,A592))</f>
        <v>0</v>
      </c>
      <c r="G592" s="30"/>
      <c r="H592" s="30"/>
      <c r="I592" s="30"/>
    </row>
    <row r="593" customFormat="false" ht="15" hidden="false" customHeight="false" outlineLevel="0" collapsed="false">
      <c r="A593" s="29"/>
      <c r="B593" s="29"/>
      <c r="C593" s="20" t="str">
        <f aca="false">IF(A593="","",IFERROR(INDEX(Metrics!$C:$C,MATCH(A593,Metrics!$A:$A,0)),"ID not found"))</f>
        <v/>
      </c>
      <c r="D593" s="20" t="str">
        <f aca="false">IF(B593="","",IFERROR(INDEX(Fields!$B:$B,MATCH(B593,Fields!$A:$A,0)),"ID not found"))</f>
        <v/>
      </c>
      <c r="E593" s="30"/>
      <c r="F593" s="20" t="n">
        <f aca="false">IF(A593="",0,COUNTIF('Metric to Product'!$A:$A,A593))</f>
        <v>0</v>
      </c>
      <c r="G593" s="30"/>
      <c r="H593" s="30"/>
      <c r="I593" s="30"/>
    </row>
    <row r="594" customFormat="false" ht="15" hidden="false" customHeight="false" outlineLevel="0" collapsed="false">
      <c r="A594" s="29"/>
      <c r="B594" s="29"/>
      <c r="C594" s="20" t="str">
        <f aca="false">IF(A594="","",IFERROR(INDEX(Metrics!$C:$C,MATCH(A594,Metrics!$A:$A,0)),"ID not found"))</f>
        <v/>
      </c>
      <c r="D594" s="20" t="str">
        <f aca="false">IF(B594="","",IFERROR(INDEX(Fields!$B:$B,MATCH(B594,Fields!$A:$A,0)),"ID not found"))</f>
        <v/>
      </c>
      <c r="E594" s="30"/>
      <c r="F594" s="20" t="n">
        <f aca="false">IF(A594="",0,COUNTIF('Metric to Product'!$A:$A,A594))</f>
        <v>0</v>
      </c>
      <c r="G594" s="30"/>
      <c r="H594" s="30"/>
      <c r="I594" s="30"/>
    </row>
    <row r="595" customFormat="false" ht="15" hidden="false" customHeight="false" outlineLevel="0" collapsed="false">
      <c r="A595" s="29"/>
      <c r="B595" s="29"/>
      <c r="C595" s="20" t="str">
        <f aca="false">IF(A595="","",IFERROR(INDEX(Metrics!$C:$C,MATCH(A595,Metrics!$A:$A,0)),"ID not found"))</f>
        <v/>
      </c>
      <c r="D595" s="20" t="str">
        <f aca="false">IF(B595="","",IFERROR(INDEX(Fields!$B:$B,MATCH(B595,Fields!$A:$A,0)),"ID not found"))</f>
        <v/>
      </c>
      <c r="E595" s="30"/>
      <c r="F595" s="20" t="n">
        <f aca="false">IF(A595="",0,COUNTIF('Metric to Product'!$A:$A,A595))</f>
        <v>0</v>
      </c>
      <c r="G595" s="30"/>
      <c r="H595" s="30"/>
      <c r="I595" s="30"/>
    </row>
    <row r="596" customFormat="false" ht="15" hidden="false" customHeight="false" outlineLevel="0" collapsed="false">
      <c r="A596" s="29"/>
      <c r="B596" s="29"/>
      <c r="C596" s="20" t="str">
        <f aca="false">IF(A596="","",IFERROR(INDEX(Metrics!$C:$C,MATCH(A596,Metrics!$A:$A,0)),"ID not found"))</f>
        <v/>
      </c>
      <c r="D596" s="20" t="str">
        <f aca="false">IF(B596="","",IFERROR(INDEX(Fields!$B:$B,MATCH(B596,Fields!$A:$A,0)),"ID not found"))</f>
        <v/>
      </c>
      <c r="E596" s="30"/>
      <c r="F596" s="20" t="n">
        <f aca="false">IF(A596="",0,COUNTIF('Metric to Product'!$A:$A,A596))</f>
        <v>0</v>
      </c>
      <c r="G596" s="30"/>
      <c r="H596" s="30"/>
      <c r="I596" s="30"/>
    </row>
    <row r="597" customFormat="false" ht="15" hidden="false" customHeight="false" outlineLevel="0" collapsed="false">
      <c r="A597" s="29"/>
      <c r="B597" s="29"/>
      <c r="C597" s="20" t="str">
        <f aca="false">IF(A597="","",IFERROR(INDEX(Metrics!$C:$C,MATCH(A597,Metrics!$A:$A,0)),"ID not found"))</f>
        <v/>
      </c>
      <c r="D597" s="20" t="str">
        <f aca="false">IF(B597="","",IFERROR(INDEX(Fields!$B:$B,MATCH(B597,Fields!$A:$A,0)),"ID not found"))</f>
        <v/>
      </c>
      <c r="E597" s="30"/>
      <c r="F597" s="20" t="n">
        <f aca="false">IF(A597="",0,COUNTIF('Metric to Product'!$A:$A,A597))</f>
        <v>0</v>
      </c>
      <c r="G597" s="30"/>
      <c r="H597" s="30"/>
      <c r="I597" s="30"/>
    </row>
    <row r="598" customFormat="false" ht="15" hidden="false" customHeight="false" outlineLevel="0" collapsed="false">
      <c r="A598" s="29"/>
      <c r="B598" s="29"/>
      <c r="C598" s="20" t="str">
        <f aca="false">IF(A598="","",IFERROR(INDEX(Metrics!$C:$C,MATCH(A598,Metrics!$A:$A,0)),"ID not found"))</f>
        <v/>
      </c>
      <c r="D598" s="20" t="str">
        <f aca="false">IF(B598="","",IFERROR(INDEX(Fields!$B:$B,MATCH(B598,Fields!$A:$A,0)),"ID not found"))</f>
        <v/>
      </c>
      <c r="E598" s="30"/>
      <c r="F598" s="20" t="n">
        <f aca="false">IF(A598="",0,COUNTIF('Metric to Product'!$A:$A,A598))</f>
        <v>0</v>
      </c>
      <c r="G598" s="30"/>
      <c r="H598" s="30"/>
      <c r="I598" s="30"/>
    </row>
    <row r="599" customFormat="false" ht="15" hidden="false" customHeight="false" outlineLevel="0" collapsed="false">
      <c r="A599" s="29"/>
      <c r="B599" s="29"/>
      <c r="C599" s="20" t="str">
        <f aca="false">IF(A599="","",IFERROR(INDEX(Metrics!$C:$C,MATCH(A599,Metrics!$A:$A,0)),"ID not found"))</f>
        <v/>
      </c>
      <c r="D599" s="20" t="str">
        <f aca="false">IF(B599="","",IFERROR(INDEX(Fields!$B:$B,MATCH(B599,Fields!$A:$A,0)),"ID not found"))</f>
        <v/>
      </c>
      <c r="E599" s="30"/>
      <c r="F599" s="20" t="n">
        <f aca="false">IF(A599="",0,COUNTIF('Metric to Product'!$A:$A,A599))</f>
        <v>0</v>
      </c>
      <c r="G599" s="30"/>
      <c r="H599" s="30"/>
      <c r="I599" s="30"/>
    </row>
    <row r="600" customFormat="false" ht="15" hidden="false" customHeight="false" outlineLevel="0" collapsed="false">
      <c r="A600" s="29"/>
      <c r="B600" s="29"/>
      <c r="C600" s="20" t="str">
        <f aca="false">IF(A600="","",IFERROR(INDEX(Metrics!$C:$C,MATCH(A600,Metrics!$A:$A,0)),"ID not found"))</f>
        <v/>
      </c>
      <c r="D600" s="20" t="str">
        <f aca="false">IF(B600="","",IFERROR(INDEX(Fields!$B:$B,MATCH(B600,Fields!$A:$A,0)),"ID not found"))</f>
        <v/>
      </c>
      <c r="E600" s="30"/>
      <c r="F600" s="20" t="n">
        <f aca="false">IF(A600="",0,COUNTIF('Metric to Product'!$A:$A,A600))</f>
        <v>0</v>
      </c>
      <c r="G600" s="30"/>
      <c r="H600" s="30"/>
      <c r="I600" s="30"/>
    </row>
    <row r="601" customFormat="false" ht="15" hidden="false" customHeight="false" outlineLevel="0" collapsed="false">
      <c r="A601" s="29"/>
      <c r="B601" s="29"/>
      <c r="C601" s="20" t="str">
        <f aca="false">IF(A601="","",IFERROR(INDEX(Metrics!$C:$C,MATCH(A601,Metrics!$A:$A,0)),"ID not found"))</f>
        <v/>
      </c>
      <c r="D601" s="20" t="str">
        <f aca="false">IF(B601="","",IFERROR(INDEX(Fields!$B:$B,MATCH(B601,Fields!$A:$A,0)),"ID not found"))</f>
        <v/>
      </c>
      <c r="E601" s="30"/>
      <c r="F601" s="20" t="n">
        <f aca="false">IF(A601="",0,COUNTIF('Metric to Product'!$A:$A,A601))</f>
        <v>0</v>
      </c>
      <c r="G601" s="30"/>
      <c r="H601" s="30"/>
      <c r="I601" s="30"/>
    </row>
    <row r="602" customFormat="false" ht="15" hidden="false" customHeight="false" outlineLevel="0" collapsed="false">
      <c r="A602" s="29"/>
      <c r="B602" s="29"/>
      <c r="C602" s="20" t="str">
        <f aca="false">IF(A602="","",IFERROR(INDEX(Metrics!$C:$C,MATCH(A602,Metrics!$A:$A,0)),"ID not found"))</f>
        <v/>
      </c>
      <c r="D602" s="20" t="str">
        <f aca="false">IF(B602="","",IFERROR(INDEX(Fields!$B:$B,MATCH(B602,Fields!$A:$A,0)),"ID not found"))</f>
        <v/>
      </c>
      <c r="E602" s="30"/>
      <c r="F602" s="20" t="n">
        <f aca="false">IF(A602="",0,COUNTIF('Metric to Product'!$A:$A,A602))</f>
        <v>0</v>
      </c>
      <c r="G602" s="30"/>
      <c r="H602" s="30"/>
      <c r="I602" s="30"/>
    </row>
    <row r="603" customFormat="false" ht="15" hidden="false" customHeight="false" outlineLevel="0" collapsed="false">
      <c r="A603" s="29"/>
      <c r="B603" s="29"/>
      <c r="C603" s="20" t="str">
        <f aca="false">IF(A603="","",IFERROR(INDEX(Metrics!$C:$C,MATCH(A603,Metrics!$A:$A,0)),"ID not found"))</f>
        <v/>
      </c>
      <c r="D603" s="20" t="str">
        <f aca="false">IF(B603="","",IFERROR(INDEX(Fields!$B:$B,MATCH(B603,Fields!$A:$A,0)),"ID not found"))</f>
        <v/>
      </c>
      <c r="E603" s="30"/>
      <c r="F603" s="20" t="n">
        <f aca="false">IF(A603="",0,COUNTIF('Metric to Product'!$A:$A,A603))</f>
        <v>0</v>
      </c>
      <c r="G603" s="30"/>
      <c r="H603" s="30"/>
      <c r="I603" s="30"/>
    </row>
    <row r="604" customFormat="false" ht="15" hidden="false" customHeight="false" outlineLevel="0" collapsed="false">
      <c r="A604" s="29"/>
      <c r="B604" s="29"/>
      <c r="C604" s="20" t="str">
        <f aca="false">IF(A604="","",IFERROR(INDEX(Metrics!$C:$C,MATCH(A604,Metrics!$A:$A,0)),"ID not found"))</f>
        <v/>
      </c>
      <c r="D604" s="20" t="str">
        <f aca="false">IF(B604="","",IFERROR(INDEX(Fields!$B:$B,MATCH(B604,Fields!$A:$A,0)),"ID not found"))</f>
        <v/>
      </c>
      <c r="E604" s="30"/>
      <c r="F604" s="20" t="n">
        <f aca="false">IF(A604="",0,COUNTIF('Metric to Product'!$A:$A,A604))</f>
        <v>0</v>
      </c>
      <c r="G604" s="30"/>
      <c r="H604" s="30"/>
      <c r="I604" s="30"/>
    </row>
    <row r="605" customFormat="false" ht="15" hidden="false" customHeight="false" outlineLevel="0" collapsed="false">
      <c r="A605" s="29"/>
      <c r="B605" s="29"/>
      <c r="C605" s="20" t="str">
        <f aca="false">IF(A605="","",IFERROR(INDEX(Metrics!$C:$C,MATCH(A605,Metrics!$A:$A,0)),"ID not found"))</f>
        <v/>
      </c>
      <c r="D605" s="20" t="str">
        <f aca="false">IF(B605="","",IFERROR(INDEX(Fields!$B:$B,MATCH(B605,Fields!$A:$A,0)),"ID not found"))</f>
        <v/>
      </c>
      <c r="E605" s="30"/>
      <c r="F605" s="20" t="n">
        <f aca="false">IF(A605="",0,COUNTIF('Metric to Product'!$A:$A,A605))</f>
        <v>0</v>
      </c>
      <c r="G605" s="30"/>
      <c r="H605" s="30"/>
      <c r="I605" s="30"/>
    </row>
    <row r="606" customFormat="false" ht="15" hidden="false" customHeight="false" outlineLevel="0" collapsed="false">
      <c r="A606" s="29"/>
      <c r="B606" s="29"/>
      <c r="C606" s="20" t="str">
        <f aca="false">IF(A606="","",IFERROR(INDEX(Metrics!$C:$C,MATCH(A606,Metrics!$A:$A,0)),"ID not found"))</f>
        <v/>
      </c>
      <c r="D606" s="20" t="str">
        <f aca="false">IF(B606="","",IFERROR(INDEX(Fields!$B:$B,MATCH(B606,Fields!$A:$A,0)),"ID not found"))</f>
        <v/>
      </c>
      <c r="E606" s="30"/>
      <c r="F606" s="20" t="n">
        <f aca="false">IF(A606="",0,COUNTIF('Metric to Product'!$A:$A,A606))</f>
        <v>0</v>
      </c>
      <c r="G606" s="30"/>
      <c r="H606" s="30"/>
      <c r="I606" s="30"/>
    </row>
    <row r="607" customFormat="false" ht="15" hidden="false" customHeight="false" outlineLevel="0" collapsed="false">
      <c r="A607" s="29"/>
      <c r="B607" s="29"/>
      <c r="C607" s="20" t="str">
        <f aca="false">IF(A607="","",IFERROR(INDEX(Metrics!$C:$C,MATCH(A607,Metrics!$A:$A,0)),"ID not found"))</f>
        <v/>
      </c>
      <c r="D607" s="20" t="str">
        <f aca="false">IF(B607="","",IFERROR(INDEX(Fields!$B:$B,MATCH(B607,Fields!$A:$A,0)),"ID not found"))</f>
        <v/>
      </c>
      <c r="E607" s="30"/>
      <c r="F607" s="20" t="n">
        <f aca="false">IF(A607="",0,COUNTIF('Metric to Product'!$A:$A,A607))</f>
        <v>0</v>
      </c>
      <c r="G607" s="30"/>
      <c r="H607" s="30"/>
      <c r="I607" s="30"/>
    </row>
    <row r="608" customFormat="false" ht="15" hidden="false" customHeight="false" outlineLevel="0" collapsed="false">
      <c r="A608" s="29"/>
      <c r="B608" s="29"/>
      <c r="C608" s="20" t="str">
        <f aca="false">IF(A608="","",IFERROR(INDEX(Metrics!$C:$C,MATCH(A608,Metrics!$A:$A,0)),"ID not found"))</f>
        <v/>
      </c>
      <c r="D608" s="20" t="str">
        <f aca="false">IF(B608="","",IFERROR(INDEX(Fields!$B:$B,MATCH(B608,Fields!$A:$A,0)),"ID not found"))</f>
        <v/>
      </c>
      <c r="E608" s="30"/>
      <c r="F608" s="20" t="n">
        <f aca="false">IF(A608="",0,COUNTIF('Metric to Product'!$A:$A,A608))</f>
        <v>0</v>
      </c>
      <c r="G608" s="30"/>
      <c r="H608" s="30"/>
      <c r="I608" s="30"/>
    </row>
    <row r="609" customFormat="false" ht="15" hidden="false" customHeight="false" outlineLevel="0" collapsed="false">
      <c r="A609" s="29"/>
      <c r="B609" s="29"/>
      <c r="C609" s="20" t="str">
        <f aca="false">IF(A609="","",IFERROR(INDEX(Metrics!$C:$C,MATCH(A609,Metrics!$A:$A,0)),"ID not found"))</f>
        <v/>
      </c>
      <c r="D609" s="20" t="str">
        <f aca="false">IF(B609="","",IFERROR(INDEX(Fields!$B:$B,MATCH(B609,Fields!$A:$A,0)),"ID not found"))</f>
        <v/>
      </c>
      <c r="E609" s="30"/>
      <c r="F609" s="20" t="n">
        <f aca="false">IF(A609="",0,COUNTIF('Metric to Product'!$A:$A,A609))</f>
        <v>0</v>
      </c>
      <c r="G609" s="30"/>
      <c r="H609" s="30"/>
      <c r="I609" s="30"/>
    </row>
    <row r="610" customFormat="false" ht="15" hidden="false" customHeight="false" outlineLevel="0" collapsed="false">
      <c r="A610" s="29"/>
      <c r="B610" s="29"/>
      <c r="C610" s="20" t="str">
        <f aca="false">IF(A610="","",IFERROR(INDEX(Metrics!$C:$C,MATCH(A610,Metrics!$A:$A,0)),"ID not found"))</f>
        <v/>
      </c>
      <c r="D610" s="20" t="str">
        <f aca="false">IF(B610="","",IFERROR(INDEX(Fields!$B:$B,MATCH(B610,Fields!$A:$A,0)),"ID not found"))</f>
        <v/>
      </c>
      <c r="E610" s="30"/>
      <c r="F610" s="20" t="n">
        <f aca="false">IF(A610="",0,COUNTIF('Metric to Product'!$A:$A,A610))</f>
        <v>0</v>
      </c>
      <c r="G610" s="30"/>
      <c r="H610" s="30"/>
      <c r="I610" s="30"/>
    </row>
    <row r="611" customFormat="false" ht="15" hidden="false" customHeight="false" outlineLevel="0" collapsed="false">
      <c r="A611" s="29"/>
      <c r="B611" s="29"/>
      <c r="C611" s="20" t="str">
        <f aca="false">IF(A611="","",IFERROR(INDEX(Metrics!$C:$C,MATCH(A611,Metrics!$A:$A,0)),"ID not found"))</f>
        <v/>
      </c>
      <c r="D611" s="20" t="str">
        <f aca="false">IF(B611="","",IFERROR(INDEX(Fields!$B:$B,MATCH(B611,Fields!$A:$A,0)),"ID not found"))</f>
        <v/>
      </c>
      <c r="E611" s="30"/>
      <c r="F611" s="20" t="n">
        <f aca="false">IF(A611="",0,COUNTIF('Metric to Product'!$A:$A,A611))</f>
        <v>0</v>
      </c>
      <c r="G611" s="30"/>
      <c r="H611" s="30"/>
      <c r="I611" s="30"/>
    </row>
    <row r="612" customFormat="false" ht="15" hidden="false" customHeight="false" outlineLevel="0" collapsed="false">
      <c r="A612" s="29"/>
      <c r="B612" s="29"/>
      <c r="C612" s="20" t="str">
        <f aca="false">IF(A612="","",IFERROR(INDEX(Metrics!$C:$C,MATCH(A612,Metrics!$A:$A,0)),"ID not found"))</f>
        <v/>
      </c>
      <c r="D612" s="20" t="str">
        <f aca="false">IF(B612="","",IFERROR(INDEX(Fields!$B:$B,MATCH(B612,Fields!$A:$A,0)),"ID not found"))</f>
        <v/>
      </c>
      <c r="E612" s="30"/>
      <c r="F612" s="20" t="n">
        <f aca="false">IF(A612="",0,COUNTIF('Metric to Product'!$A:$A,A612))</f>
        <v>0</v>
      </c>
      <c r="G612" s="30"/>
      <c r="H612" s="30"/>
      <c r="I612" s="30"/>
    </row>
    <row r="613" customFormat="false" ht="15" hidden="false" customHeight="false" outlineLevel="0" collapsed="false">
      <c r="A613" s="29"/>
      <c r="B613" s="29"/>
      <c r="C613" s="20" t="str">
        <f aca="false">IF(A613="","",IFERROR(INDEX(Metrics!$C:$C,MATCH(A613,Metrics!$A:$A,0)),"ID not found"))</f>
        <v/>
      </c>
      <c r="D613" s="20" t="str">
        <f aca="false">IF(B613="","",IFERROR(INDEX(Fields!$B:$B,MATCH(B613,Fields!$A:$A,0)),"ID not found"))</f>
        <v/>
      </c>
      <c r="E613" s="30"/>
      <c r="F613" s="20" t="n">
        <f aca="false">IF(A613="",0,COUNTIF('Metric to Product'!$A:$A,A613))</f>
        <v>0</v>
      </c>
      <c r="G613" s="30"/>
      <c r="H613" s="30"/>
      <c r="I613" s="30"/>
    </row>
    <row r="614" customFormat="false" ht="15" hidden="false" customHeight="false" outlineLevel="0" collapsed="false">
      <c r="A614" s="29"/>
      <c r="B614" s="29"/>
      <c r="C614" s="20" t="str">
        <f aca="false">IF(A614="","",IFERROR(INDEX(Metrics!$C:$C,MATCH(A614,Metrics!$A:$A,0)),"ID not found"))</f>
        <v/>
      </c>
      <c r="D614" s="20" t="str">
        <f aca="false">IF(B614="","",IFERROR(INDEX(Fields!$B:$B,MATCH(B614,Fields!$A:$A,0)),"ID not found"))</f>
        <v/>
      </c>
      <c r="E614" s="30"/>
      <c r="F614" s="20" t="n">
        <f aca="false">IF(A614="",0,COUNTIF('Metric to Product'!$A:$A,A614))</f>
        <v>0</v>
      </c>
      <c r="G614" s="30"/>
      <c r="H614" s="30"/>
      <c r="I614" s="30"/>
    </row>
    <row r="615" customFormat="false" ht="15" hidden="false" customHeight="false" outlineLevel="0" collapsed="false">
      <c r="A615" s="29"/>
      <c r="B615" s="29"/>
      <c r="C615" s="20" t="str">
        <f aca="false">IF(A615="","",IFERROR(INDEX(Metrics!$C:$C,MATCH(A615,Metrics!$A:$A,0)),"ID not found"))</f>
        <v/>
      </c>
      <c r="D615" s="20" t="str">
        <f aca="false">IF(B615="","",IFERROR(INDEX(Fields!$B:$B,MATCH(B615,Fields!$A:$A,0)),"ID not found"))</f>
        <v/>
      </c>
      <c r="E615" s="30"/>
      <c r="F615" s="20" t="n">
        <f aca="false">IF(A615="",0,COUNTIF('Metric to Product'!$A:$A,A615))</f>
        <v>0</v>
      </c>
      <c r="G615" s="30"/>
      <c r="H615" s="30"/>
      <c r="I615" s="30"/>
    </row>
    <row r="616" customFormat="false" ht="15" hidden="false" customHeight="false" outlineLevel="0" collapsed="false">
      <c r="A616" s="29"/>
      <c r="B616" s="29"/>
      <c r="C616" s="20" t="str">
        <f aca="false">IF(A616="","",IFERROR(INDEX(Metrics!$C:$C,MATCH(A616,Metrics!$A:$A,0)),"ID not found"))</f>
        <v/>
      </c>
      <c r="D616" s="20" t="str">
        <f aca="false">IF(B616="","",IFERROR(INDEX(Fields!$B:$B,MATCH(B616,Fields!$A:$A,0)),"ID not found"))</f>
        <v/>
      </c>
      <c r="E616" s="30"/>
      <c r="F616" s="20" t="n">
        <f aca="false">IF(A616="",0,COUNTIF('Metric to Product'!$A:$A,A616))</f>
        <v>0</v>
      </c>
      <c r="G616" s="30"/>
      <c r="H616" s="30"/>
      <c r="I616" s="30"/>
    </row>
    <row r="617" customFormat="false" ht="15" hidden="false" customHeight="false" outlineLevel="0" collapsed="false">
      <c r="A617" s="29"/>
      <c r="B617" s="29"/>
      <c r="C617" s="20" t="str">
        <f aca="false">IF(A617="","",IFERROR(INDEX(Metrics!$C:$C,MATCH(A617,Metrics!$A:$A,0)),"ID not found"))</f>
        <v/>
      </c>
      <c r="D617" s="20" t="str">
        <f aca="false">IF(B617="","",IFERROR(INDEX(Fields!$B:$B,MATCH(B617,Fields!$A:$A,0)),"ID not found"))</f>
        <v/>
      </c>
      <c r="E617" s="30"/>
      <c r="F617" s="20" t="n">
        <f aca="false">IF(A617="",0,COUNTIF('Metric to Product'!$A:$A,A617))</f>
        <v>0</v>
      </c>
      <c r="G617" s="30"/>
      <c r="H617" s="30"/>
      <c r="I617" s="30"/>
    </row>
    <row r="618" customFormat="false" ht="15" hidden="false" customHeight="false" outlineLevel="0" collapsed="false">
      <c r="A618" s="29"/>
      <c r="B618" s="29"/>
      <c r="C618" s="20" t="str">
        <f aca="false">IF(A618="","",IFERROR(INDEX(Metrics!$C:$C,MATCH(A618,Metrics!$A:$A,0)),"ID not found"))</f>
        <v/>
      </c>
      <c r="D618" s="20" t="str">
        <f aca="false">IF(B618="","",IFERROR(INDEX(Fields!$B:$B,MATCH(B618,Fields!$A:$A,0)),"ID not found"))</f>
        <v/>
      </c>
      <c r="E618" s="30"/>
      <c r="F618" s="20" t="n">
        <f aca="false">IF(A618="",0,COUNTIF('Metric to Product'!$A:$A,A618))</f>
        <v>0</v>
      </c>
      <c r="G618" s="30"/>
      <c r="H618" s="30"/>
      <c r="I618" s="30"/>
    </row>
    <row r="619" customFormat="false" ht="15" hidden="false" customHeight="false" outlineLevel="0" collapsed="false">
      <c r="A619" s="29"/>
      <c r="B619" s="29"/>
      <c r="C619" s="20" t="str">
        <f aca="false">IF(A619="","",IFERROR(INDEX(Metrics!$C:$C,MATCH(A619,Metrics!$A:$A,0)),"ID not found"))</f>
        <v/>
      </c>
      <c r="D619" s="20" t="str">
        <f aca="false">IF(B619="","",IFERROR(INDEX(Fields!$B:$B,MATCH(B619,Fields!$A:$A,0)),"ID not found"))</f>
        <v/>
      </c>
      <c r="E619" s="30"/>
      <c r="F619" s="20" t="n">
        <f aca="false">IF(A619="",0,COUNTIF('Metric to Product'!$A:$A,A619))</f>
        <v>0</v>
      </c>
      <c r="G619" s="30"/>
      <c r="H619" s="30"/>
      <c r="I619" s="30"/>
    </row>
    <row r="620" customFormat="false" ht="15" hidden="false" customHeight="false" outlineLevel="0" collapsed="false">
      <c r="A620" s="29"/>
      <c r="B620" s="29"/>
      <c r="C620" s="20" t="str">
        <f aca="false">IF(A620="","",IFERROR(INDEX(Metrics!$C:$C,MATCH(A620,Metrics!$A:$A,0)),"ID not found"))</f>
        <v/>
      </c>
      <c r="D620" s="20" t="str">
        <f aca="false">IF(B620="","",IFERROR(INDEX(Fields!$B:$B,MATCH(B620,Fields!$A:$A,0)),"ID not found"))</f>
        <v/>
      </c>
      <c r="E620" s="30"/>
      <c r="F620" s="20" t="n">
        <f aca="false">IF(A620="",0,COUNTIF('Metric to Product'!$A:$A,A620))</f>
        <v>0</v>
      </c>
      <c r="G620" s="30"/>
      <c r="H620" s="30"/>
      <c r="I620" s="30"/>
    </row>
    <row r="621" customFormat="false" ht="15" hidden="false" customHeight="false" outlineLevel="0" collapsed="false">
      <c r="A621" s="29"/>
      <c r="B621" s="29"/>
      <c r="C621" s="20" t="str">
        <f aca="false">IF(A621="","",IFERROR(INDEX(Metrics!$C:$C,MATCH(A621,Metrics!$A:$A,0)),"ID not found"))</f>
        <v/>
      </c>
      <c r="D621" s="20" t="str">
        <f aca="false">IF(B621="","",IFERROR(INDEX(Fields!$B:$B,MATCH(B621,Fields!$A:$A,0)),"ID not found"))</f>
        <v/>
      </c>
      <c r="E621" s="30"/>
      <c r="F621" s="20" t="n">
        <f aca="false">IF(A621="",0,COUNTIF('Metric to Product'!$A:$A,A621))</f>
        <v>0</v>
      </c>
      <c r="G621" s="30"/>
      <c r="H621" s="30"/>
      <c r="I621" s="30"/>
    </row>
    <row r="622" customFormat="false" ht="15" hidden="false" customHeight="false" outlineLevel="0" collapsed="false">
      <c r="A622" s="29"/>
      <c r="B622" s="29"/>
      <c r="C622" s="20" t="str">
        <f aca="false">IF(A622="","",IFERROR(INDEX(Metrics!$C:$C,MATCH(A622,Metrics!$A:$A,0)),"ID not found"))</f>
        <v/>
      </c>
      <c r="D622" s="20" t="str">
        <f aca="false">IF(B622="","",IFERROR(INDEX(Fields!$B:$B,MATCH(B622,Fields!$A:$A,0)),"ID not found"))</f>
        <v/>
      </c>
      <c r="E622" s="30"/>
      <c r="F622" s="20" t="n">
        <f aca="false">IF(A622="",0,COUNTIF('Metric to Product'!$A:$A,A622))</f>
        <v>0</v>
      </c>
      <c r="G622" s="30"/>
      <c r="H622" s="30"/>
      <c r="I622" s="30"/>
    </row>
    <row r="623" customFormat="false" ht="15" hidden="false" customHeight="false" outlineLevel="0" collapsed="false">
      <c r="A623" s="29"/>
      <c r="B623" s="29"/>
      <c r="C623" s="20" t="str">
        <f aca="false">IF(A623="","",IFERROR(INDEX(Metrics!$C:$C,MATCH(A623,Metrics!$A:$A,0)),"ID not found"))</f>
        <v/>
      </c>
      <c r="D623" s="20" t="str">
        <f aca="false">IF(B623="","",IFERROR(INDEX(Fields!$B:$B,MATCH(B623,Fields!$A:$A,0)),"ID not found"))</f>
        <v/>
      </c>
      <c r="E623" s="30"/>
      <c r="F623" s="20" t="n">
        <f aca="false">IF(A623="",0,COUNTIF('Metric to Product'!$A:$A,A623))</f>
        <v>0</v>
      </c>
      <c r="G623" s="30"/>
      <c r="H623" s="30"/>
      <c r="I623" s="30"/>
    </row>
    <row r="624" customFormat="false" ht="15" hidden="false" customHeight="false" outlineLevel="0" collapsed="false">
      <c r="A624" s="29"/>
      <c r="B624" s="29"/>
      <c r="C624" s="20" t="str">
        <f aca="false">IF(A624="","",IFERROR(INDEX(Metrics!$C:$C,MATCH(A624,Metrics!$A:$A,0)),"ID not found"))</f>
        <v/>
      </c>
      <c r="D624" s="20" t="str">
        <f aca="false">IF(B624="","",IFERROR(INDEX(Fields!$B:$B,MATCH(B624,Fields!$A:$A,0)),"ID not found"))</f>
        <v/>
      </c>
      <c r="E624" s="30"/>
      <c r="F624" s="20" t="n">
        <f aca="false">IF(A624="",0,COUNTIF('Metric to Product'!$A:$A,A624))</f>
        <v>0</v>
      </c>
      <c r="G624" s="30"/>
      <c r="H624" s="30"/>
      <c r="I624" s="30"/>
    </row>
    <row r="625" customFormat="false" ht="15" hidden="false" customHeight="false" outlineLevel="0" collapsed="false">
      <c r="A625" s="29"/>
      <c r="B625" s="29"/>
      <c r="C625" s="20" t="str">
        <f aca="false">IF(A625="","",IFERROR(INDEX(Metrics!$C:$C,MATCH(A625,Metrics!$A:$A,0)),"ID not found"))</f>
        <v/>
      </c>
      <c r="D625" s="20" t="str">
        <f aca="false">IF(B625="","",IFERROR(INDEX(Fields!$B:$B,MATCH(B625,Fields!$A:$A,0)),"ID not found"))</f>
        <v/>
      </c>
      <c r="E625" s="30"/>
      <c r="F625" s="20" t="n">
        <f aca="false">IF(A625="",0,COUNTIF('Metric to Product'!$A:$A,A625))</f>
        <v>0</v>
      </c>
      <c r="G625" s="30"/>
      <c r="H625" s="30"/>
      <c r="I625" s="30"/>
    </row>
    <row r="626" customFormat="false" ht="15" hidden="false" customHeight="false" outlineLevel="0" collapsed="false">
      <c r="A626" s="29"/>
      <c r="B626" s="29"/>
      <c r="C626" s="20" t="str">
        <f aca="false">IF(A626="","",IFERROR(INDEX(Metrics!$C:$C,MATCH(A626,Metrics!$A:$A,0)),"ID not found"))</f>
        <v/>
      </c>
      <c r="D626" s="20" t="str">
        <f aca="false">IF(B626="","",IFERROR(INDEX(Fields!$B:$B,MATCH(B626,Fields!$A:$A,0)),"ID not found"))</f>
        <v/>
      </c>
      <c r="E626" s="30"/>
      <c r="F626" s="20" t="n">
        <f aca="false">IF(A626="",0,COUNTIF('Metric to Product'!$A:$A,A626))</f>
        <v>0</v>
      </c>
      <c r="G626" s="30"/>
      <c r="H626" s="30"/>
      <c r="I626" s="30"/>
    </row>
    <row r="627" customFormat="false" ht="15" hidden="false" customHeight="false" outlineLevel="0" collapsed="false">
      <c r="A627" s="29"/>
      <c r="B627" s="29"/>
      <c r="C627" s="20" t="str">
        <f aca="false">IF(A627="","",IFERROR(INDEX(Metrics!$C:$C,MATCH(A627,Metrics!$A:$A,0)),"ID not found"))</f>
        <v/>
      </c>
      <c r="D627" s="20" t="str">
        <f aca="false">IF(B627="","",IFERROR(INDEX(Fields!$B:$B,MATCH(B627,Fields!$A:$A,0)),"ID not found"))</f>
        <v/>
      </c>
      <c r="E627" s="30"/>
      <c r="F627" s="20" t="n">
        <f aca="false">IF(A627="",0,COUNTIF('Metric to Product'!$A:$A,A627))</f>
        <v>0</v>
      </c>
      <c r="G627" s="30"/>
      <c r="H627" s="30"/>
      <c r="I627" s="30"/>
    </row>
    <row r="628" customFormat="false" ht="15" hidden="false" customHeight="false" outlineLevel="0" collapsed="false">
      <c r="A628" s="29"/>
      <c r="B628" s="29"/>
      <c r="C628" s="20" t="str">
        <f aca="false">IF(A628="","",IFERROR(INDEX(Metrics!$C:$C,MATCH(A628,Metrics!$A:$A,0)),"ID not found"))</f>
        <v/>
      </c>
      <c r="D628" s="20" t="str">
        <f aca="false">IF(B628="","",IFERROR(INDEX(Fields!$B:$B,MATCH(B628,Fields!$A:$A,0)),"ID not found"))</f>
        <v/>
      </c>
      <c r="E628" s="30"/>
      <c r="F628" s="20" t="n">
        <f aca="false">IF(A628="",0,COUNTIF('Metric to Product'!$A:$A,A628))</f>
        <v>0</v>
      </c>
      <c r="G628" s="30"/>
      <c r="H628" s="30"/>
      <c r="I628" s="30"/>
    </row>
    <row r="629" customFormat="false" ht="15" hidden="false" customHeight="false" outlineLevel="0" collapsed="false">
      <c r="A629" s="29"/>
      <c r="B629" s="29"/>
      <c r="C629" s="20" t="str">
        <f aca="false">IF(A629="","",IFERROR(INDEX(Metrics!$C:$C,MATCH(A629,Metrics!$A:$A,0)),"ID not found"))</f>
        <v/>
      </c>
      <c r="D629" s="20" t="str">
        <f aca="false">IF(B629="","",IFERROR(INDEX(Fields!$B:$B,MATCH(B629,Fields!$A:$A,0)),"ID not found"))</f>
        <v/>
      </c>
      <c r="E629" s="30"/>
      <c r="F629" s="20" t="n">
        <f aca="false">IF(A629="",0,COUNTIF('Metric to Product'!$A:$A,A629))</f>
        <v>0</v>
      </c>
      <c r="G629" s="30"/>
      <c r="H629" s="30"/>
      <c r="I629" s="30"/>
    </row>
    <row r="630" customFormat="false" ht="15" hidden="false" customHeight="false" outlineLevel="0" collapsed="false">
      <c r="A630" s="29"/>
      <c r="B630" s="29"/>
      <c r="C630" s="20" t="str">
        <f aca="false">IF(A630="","",IFERROR(INDEX(Metrics!$C:$C,MATCH(A630,Metrics!$A:$A,0)),"ID not found"))</f>
        <v/>
      </c>
      <c r="D630" s="20" t="str">
        <f aca="false">IF(B630="","",IFERROR(INDEX(Fields!$B:$B,MATCH(B630,Fields!$A:$A,0)),"ID not found"))</f>
        <v/>
      </c>
      <c r="E630" s="30"/>
      <c r="F630" s="20" t="n">
        <f aca="false">IF(A630="",0,COUNTIF('Metric to Product'!$A:$A,A630))</f>
        <v>0</v>
      </c>
      <c r="G630" s="30"/>
      <c r="H630" s="30"/>
      <c r="I630" s="30"/>
    </row>
    <row r="631" customFormat="false" ht="15" hidden="false" customHeight="false" outlineLevel="0" collapsed="false">
      <c r="A631" s="29"/>
      <c r="B631" s="29"/>
      <c r="C631" s="20" t="str">
        <f aca="false">IF(A631="","",IFERROR(INDEX(Metrics!$C:$C,MATCH(A631,Metrics!$A:$A,0)),"ID not found"))</f>
        <v/>
      </c>
      <c r="D631" s="20" t="str">
        <f aca="false">IF(B631="","",IFERROR(INDEX(Fields!$B:$B,MATCH(B631,Fields!$A:$A,0)),"ID not found"))</f>
        <v/>
      </c>
      <c r="E631" s="30"/>
      <c r="F631" s="20" t="n">
        <f aca="false">IF(A631="",0,COUNTIF('Metric to Product'!$A:$A,A631))</f>
        <v>0</v>
      </c>
      <c r="G631" s="30"/>
      <c r="H631" s="30"/>
      <c r="I631" s="30"/>
    </row>
    <row r="632" customFormat="false" ht="15" hidden="false" customHeight="false" outlineLevel="0" collapsed="false">
      <c r="A632" s="29"/>
      <c r="B632" s="29"/>
      <c r="C632" s="20" t="str">
        <f aca="false">IF(A632="","",IFERROR(INDEX(Metrics!$C:$C,MATCH(A632,Metrics!$A:$A,0)),"ID not found"))</f>
        <v/>
      </c>
      <c r="D632" s="20" t="str">
        <f aca="false">IF(B632="","",IFERROR(INDEX(Fields!$B:$B,MATCH(B632,Fields!$A:$A,0)),"ID not found"))</f>
        <v/>
      </c>
      <c r="E632" s="30"/>
      <c r="F632" s="20" t="n">
        <f aca="false">IF(A632="",0,COUNTIF('Metric to Product'!$A:$A,A632))</f>
        <v>0</v>
      </c>
      <c r="G632" s="30"/>
      <c r="H632" s="30"/>
      <c r="I632" s="30"/>
    </row>
    <row r="633" customFormat="false" ht="15" hidden="false" customHeight="false" outlineLevel="0" collapsed="false">
      <c r="A633" s="29"/>
      <c r="B633" s="29"/>
      <c r="C633" s="20" t="str">
        <f aca="false">IF(A633="","",IFERROR(INDEX(Metrics!$C:$C,MATCH(A633,Metrics!$A:$A,0)),"ID not found"))</f>
        <v/>
      </c>
      <c r="D633" s="20" t="str">
        <f aca="false">IF(B633="","",IFERROR(INDEX(Fields!$B:$B,MATCH(B633,Fields!$A:$A,0)),"ID not found"))</f>
        <v/>
      </c>
      <c r="E633" s="30"/>
      <c r="F633" s="20" t="n">
        <f aca="false">IF(A633="",0,COUNTIF('Metric to Product'!$A:$A,A633))</f>
        <v>0</v>
      </c>
      <c r="G633" s="30"/>
      <c r="H633" s="30"/>
      <c r="I633" s="30"/>
    </row>
    <row r="634" customFormat="false" ht="15" hidden="false" customHeight="false" outlineLevel="0" collapsed="false">
      <c r="A634" s="29"/>
      <c r="B634" s="29"/>
      <c r="C634" s="20" t="str">
        <f aca="false">IF(A634="","",IFERROR(INDEX(Metrics!$C:$C,MATCH(A634,Metrics!$A:$A,0)),"ID not found"))</f>
        <v/>
      </c>
      <c r="D634" s="20" t="str">
        <f aca="false">IF(B634="","",IFERROR(INDEX(Fields!$B:$B,MATCH(B634,Fields!$A:$A,0)),"ID not found"))</f>
        <v/>
      </c>
      <c r="E634" s="30"/>
      <c r="F634" s="20" t="n">
        <f aca="false">IF(A634="",0,COUNTIF('Metric to Product'!$A:$A,A634))</f>
        <v>0</v>
      </c>
      <c r="G634" s="30"/>
      <c r="H634" s="30"/>
      <c r="I634" s="30"/>
    </row>
    <row r="635" customFormat="false" ht="15" hidden="false" customHeight="false" outlineLevel="0" collapsed="false">
      <c r="A635" s="29"/>
      <c r="B635" s="29"/>
      <c r="C635" s="20" t="str">
        <f aca="false">IF(A635="","",IFERROR(INDEX(Metrics!$C:$C,MATCH(A635,Metrics!$A:$A,0)),"ID not found"))</f>
        <v/>
      </c>
      <c r="D635" s="20" t="str">
        <f aca="false">IF(B635="","",IFERROR(INDEX(Fields!$B:$B,MATCH(B635,Fields!$A:$A,0)),"ID not found"))</f>
        <v/>
      </c>
      <c r="E635" s="30"/>
      <c r="F635" s="20" t="n">
        <f aca="false">IF(A635="",0,COUNTIF('Metric to Product'!$A:$A,A635))</f>
        <v>0</v>
      </c>
      <c r="G635" s="30"/>
      <c r="H635" s="30"/>
      <c r="I635" s="30"/>
    </row>
    <row r="636" customFormat="false" ht="15" hidden="false" customHeight="false" outlineLevel="0" collapsed="false">
      <c r="A636" s="29"/>
      <c r="B636" s="29"/>
      <c r="C636" s="20" t="str">
        <f aca="false">IF(A636="","",IFERROR(INDEX(Metrics!$C:$C,MATCH(A636,Metrics!$A:$A,0)),"ID not found"))</f>
        <v/>
      </c>
      <c r="D636" s="20" t="str">
        <f aca="false">IF(B636="","",IFERROR(INDEX(Fields!$B:$B,MATCH(B636,Fields!$A:$A,0)),"ID not found"))</f>
        <v/>
      </c>
      <c r="E636" s="30"/>
      <c r="F636" s="20" t="n">
        <f aca="false">IF(A636="",0,COUNTIF('Metric to Product'!$A:$A,A636))</f>
        <v>0</v>
      </c>
      <c r="G636" s="30"/>
      <c r="H636" s="30"/>
      <c r="I636" s="30"/>
    </row>
    <row r="637" customFormat="false" ht="15" hidden="false" customHeight="false" outlineLevel="0" collapsed="false">
      <c r="A637" s="29"/>
      <c r="B637" s="29"/>
      <c r="C637" s="20" t="str">
        <f aca="false">IF(A637="","",IFERROR(INDEX(Metrics!$C:$C,MATCH(A637,Metrics!$A:$A,0)),"ID not found"))</f>
        <v/>
      </c>
      <c r="D637" s="20" t="str">
        <f aca="false">IF(B637="","",IFERROR(INDEX(Fields!$B:$B,MATCH(B637,Fields!$A:$A,0)),"ID not found"))</f>
        <v/>
      </c>
      <c r="E637" s="30"/>
      <c r="F637" s="20" t="n">
        <f aca="false">IF(A637="",0,COUNTIF('Metric to Product'!$A:$A,A637))</f>
        <v>0</v>
      </c>
      <c r="G637" s="30"/>
      <c r="H637" s="30"/>
      <c r="I637" s="30"/>
    </row>
    <row r="638" customFormat="false" ht="15" hidden="false" customHeight="false" outlineLevel="0" collapsed="false">
      <c r="A638" s="29"/>
      <c r="B638" s="29"/>
      <c r="C638" s="20" t="str">
        <f aca="false">IF(A638="","",IFERROR(INDEX(Metrics!$C:$C,MATCH(A638,Metrics!$A:$A,0)),"ID not found"))</f>
        <v/>
      </c>
      <c r="D638" s="20" t="str">
        <f aca="false">IF(B638="","",IFERROR(INDEX(Fields!$B:$B,MATCH(B638,Fields!$A:$A,0)),"ID not found"))</f>
        <v/>
      </c>
      <c r="E638" s="30"/>
      <c r="F638" s="20" t="n">
        <f aca="false">IF(A638="",0,COUNTIF('Metric to Product'!$A:$A,A638))</f>
        <v>0</v>
      </c>
      <c r="G638" s="30"/>
      <c r="H638" s="30"/>
      <c r="I638" s="30"/>
    </row>
    <row r="639" customFormat="false" ht="15" hidden="false" customHeight="false" outlineLevel="0" collapsed="false">
      <c r="A639" s="29"/>
      <c r="B639" s="29"/>
      <c r="C639" s="20" t="str">
        <f aca="false">IF(A639="","",IFERROR(INDEX(Metrics!$C:$C,MATCH(A639,Metrics!$A:$A,0)),"ID not found"))</f>
        <v/>
      </c>
      <c r="D639" s="20" t="str">
        <f aca="false">IF(B639="","",IFERROR(INDEX(Fields!$B:$B,MATCH(B639,Fields!$A:$A,0)),"ID not found"))</f>
        <v/>
      </c>
      <c r="E639" s="30"/>
      <c r="F639" s="20" t="n">
        <f aca="false">IF(A639="",0,COUNTIF('Metric to Product'!$A:$A,A639))</f>
        <v>0</v>
      </c>
      <c r="G639" s="30"/>
      <c r="H639" s="30"/>
      <c r="I639" s="30"/>
    </row>
    <row r="640" customFormat="false" ht="15" hidden="false" customHeight="false" outlineLevel="0" collapsed="false">
      <c r="A640" s="29"/>
      <c r="B640" s="29"/>
      <c r="C640" s="20" t="str">
        <f aca="false">IF(A640="","",IFERROR(INDEX(Metrics!$C:$C,MATCH(A640,Metrics!$A:$A,0)),"ID not found"))</f>
        <v/>
      </c>
      <c r="D640" s="20" t="str">
        <f aca="false">IF(B640="","",IFERROR(INDEX(Fields!$B:$B,MATCH(B640,Fields!$A:$A,0)),"ID not found"))</f>
        <v/>
      </c>
      <c r="E640" s="30"/>
      <c r="F640" s="20" t="n">
        <f aca="false">IF(A640="",0,COUNTIF('Metric to Product'!$A:$A,A640))</f>
        <v>0</v>
      </c>
      <c r="G640" s="30"/>
      <c r="H640" s="30"/>
      <c r="I640" s="30"/>
    </row>
    <row r="641" customFormat="false" ht="15" hidden="false" customHeight="false" outlineLevel="0" collapsed="false">
      <c r="A641" s="29"/>
      <c r="B641" s="29"/>
      <c r="C641" s="20" t="str">
        <f aca="false">IF(A641="","",IFERROR(INDEX(Metrics!$C:$C,MATCH(A641,Metrics!$A:$A,0)),"ID not found"))</f>
        <v/>
      </c>
      <c r="D641" s="20" t="str">
        <f aca="false">IF(B641="","",IFERROR(INDEX(Fields!$B:$B,MATCH(B641,Fields!$A:$A,0)),"ID not found"))</f>
        <v/>
      </c>
      <c r="E641" s="30"/>
      <c r="F641" s="20" t="n">
        <f aca="false">IF(A641="",0,COUNTIF('Metric to Product'!$A:$A,A641))</f>
        <v>0</v>
      </c>
      <c r="G641" s="30"/>
      <c r="H641" s="30"/>
      <c r="I641" s="30"/>
    </row>
    <row r="642" customFormat="false" ht="15" hidden="false" customHeight="false" outlineLevel="0" collapsed="false">
      <c r="A642" s="29"/>
      <c r="B642" s="29"/>
      <c r="C642" s="20" t="str">
        <f aca="false">IF(A642="","",IFERROR(INDEX(Metrics!$C:$C,MATCH(A642,Metrics!$A:$A,0)),"ID not found"))</f>
        <v/>
      </c>
      <c r="D642" s="20" t="str">
        <f aca="false">IF(B642="","",IFERROR(INDEX(Fields!$B:$B,MATCH(B642,Fields!$A:$A,0)),"ID not found"))</f>
        <v/>
      </c>
      <c r="E642" s="30"/>
      <c r="F642" s="20" t="n">
        <f aca="false">IF(A642="",0,COUNTIF('Metric to Product'!$A:$A,A642))</f>
        <v>0</v>
      </c>
      <c r="G642" s="30"/>
      <c r="H642" s="30"/>
      <c r="I642" s="30"/>
    </row>
    <row r="643" customFormat="false" ht="15" hidden="false" customHeight="false" outlineLevel="0" collapsed="false">
      <c r="A643" s="29"/>
      <c r="B643" s="29"/>
      <c r="C643" s="20" t="str">
        <f aca="false">IF(A643="","",IFERROR(INDEX(Metrics!$C:$C,MATCH(A643,Metrics!$A:$A,0)),"ID not found"))</f>
        <v/>
      </c>
      <c r="D643" s="20" t="str">
        <f aca="false">IF(B643="","",IFERROR(INDEX(Fields!$B:$B,MATCH(B643,Fields!$A:$A,0)),"ID not found"))</f>
        <v/>
      </c>
      <c r="E643" s="30"/>
      <c r="F643" s="20" t="n">
        <f aca="false">IF(A643="",0,COUNTIF('Metric to Product'!$A:$A,A643))</f>
        <v>0</v>
      </c>
      <c r="G643" s="30"/>
      <c r="H643" s="30"/>
      <c r="I643" s="30"/>
    </row>
    <row r="644" customFormat="false" ht="15" hidden="false" customHeight="false" outlineLevel="0" collapsed="false">
      <c r="A644" s="29"/>
      <c r="B644" s="29"/>
      <c r="C644" s="20" t="str">
        <f aca="false">IF(A644="","",IFERROR(INDEX(Metrics!$C:$C,MATCH(A644,Metrics!$A:$A,0)),"ID not found"))</f>
        <v/>
      </c>
      <c r="D644" s="20" t="str">
        <f aca="false">IF(B644="","",IFERROR(INDEX(Fields!$B:$B,MATCH(B644,Fields!$A:$A,0)),"ID not found"))</f>
        <v/>
      </c>
      <c r="E644" s="30"/>
      <c r="F644" s="20" t="n">
        <f aca="false">IF(A644="",0,COUNTIF('Metric to Product'!$A:$A,A644))</f>
        <v>0</v>
      </c>
      <c r="G644" s="30"/>
      <c r="H644" s="30"/>
      <c r="I644" s="30"/>
    </row>
    <row r="645" customFormat="false" ht="15" hidden="false" customHeight="false" outlineLevel="0" collapsed="false">
      <c r="A645" s="29"/>
      <c r="B645" s="29"/>
      <c r="C645" s="20" t="str">
        <f aca="false">IF(A645="","",IFERROR(INDEX(Metrics!$C:$C,MATCH(A645,Metrics!$A:$A,0)),"ID not found"))</f>
        <v/>
      </c>
      <c r="D645" s="20" t="str">
        <f aca="false">IF(B645="","",IFERROR(INDEX(Fields!$B:$B,MATCH(B645,Fields!$A:$A,0)),"ID not found"))</f>
        <v/>
      </c>
      <c r="E645" s="30"/>
      <c r="F645" s="20" t="n">
        <f aca="false">IF(A645="",0,COUNTIF('Metric to Product'!$A:$A,A645))</f>
        <v>0</v>
      </c>
      <c r="G645" s="30"/>
      <c r="H645" s="30"/>
      <c r="I645" s="30"/>
    </row>
    <row r="646" customFormat="false" ht="15" hidden="false" customHeight="false" outlineLevel="0" collapsed="false">
      <c r="A646" s="29"/>
      <c r="B646" s="29"/>
      <c r="C646" s="20" t="str">
        <f aca="false">IF(A646="","",IFERROR(INDEX(Metrics!$C:$C,MATCH(A646,Metrics!$A:$A,0)),"ID not found"))</f>
        <v/>
      </c>
      <c r="D646" s="20" t="str">
        <f aca="false">IF(B646="","",IFERROR(INDEX(Fields!$B:$B,MATCH(B646,Fields!$A:$A,0)),"ID not found"))</f>
        <v/>
      </c>
      <c r="E646" s="30"/>
      <c r="F646" s="20" t="n">
        <f aca="false">IF(A646="",0,COUNTIF('Metric to Product'!$A:$A,A646))</f>
        <v>0</v>
      </c>
      <c r="G646" s="30"/>
      <c r="H646" s="30"/>
      <c r="I646" s="30"/>
    </row>
    <row r="647" customFormat="false" ht="15" hidden="false" customHeight="false" outlineLevel="0" collapsed="false">
      <c r="A647" s="29"/>
      <c r="B647" s="29"/>
      <c r="C647" s="20" t="str">
        <f aca="false">IF(A647="","",IFERROR(INDEX(Metrics!$C:$C,MATCH(A647,Metrics!$A:$A,0)),"ID not found"))</f>
        <v/>
      </c>
      <c r="D647" s="20" t="str">
        <f aca="false">IF(B647="","",IFERROR(INDEX(Fields!$B:$B,MATCH(B647,Fields!$A:$A,0)),"ID not found"))</f>
        <v/>
      </c>
      <c r="E647" s="30"/>
      <c r="F647" s="20" t="n">
        <f aca="false">IF(A647="",0,COUNTIF('Metric to Product'!$A:$A,A647))</f>
        <v>0</v>
      </c>
      <c r="G647" s="30"/>
      <c r="H647" s="30"/>
      <c r="I647" s="30"/>
    </row>
    <row r="648" customFormat="false" ht="15" hidden="false" customHeight="false" outlineLevel="0" collapsed="false">
      <c r="A648" s="29"/>
      <c r="B648" s="29"/>
      <c r="C648" s="20" t="str">
        <f aca="false">IF(A648="","",IFERROR(INDEX(Metrics!$C:$C,MATCH(A648,Metrics!$A:$A,0)),"ID not found"))</f>
        <v/>
      </c>
      <c r="D648" s="20" t="str">
        <f aca="false">IF(B648="","",IFERROR(INDEX(Fields!$B:$B,MATCH(B648,Fields!$A:$A,0)),"ID not found"))</f>
        <v/>
      </c>
      <c r="E648" s="30"/>
      <c r="F648" s="20" t="n">
        <f aca="false">IF(A648="",0,COUNTIF('Metric to Product'!$A:$A,A648))</f>
        <v>0</v>
      </c>
      <c r="G648" s="30"/>
      <c r="H648" s="30"/>
      <c r="I648" s="30"/>
    </row>
    <row r="649" customFormat="false" ht="15" hidden="false" customHeight="false" outlineLevel="0" collapsed="false">
      <c r="A649" s="29"/>
      <c r="B649" s="29"/>
      <c r="C649" s="20" t="str">
        <f aca="false">IF(A649="","",IFERROR(INDEX(Metrics!$C:$C,MATCH(A649,Metrics!$A:$A,0)),"ID not found"))</f>
        <v/>
      </c>
      <c r="D649" s="20" t="str">
        <f aca="false">IF(B649="","",IFERROR(INDEX(Fields!$B:$B,MATCH(B649,Fields!$A:$A,0)),"ID not found"))</f>
        <v/>
      </c>
      <c r="E649" s="30"/>
      <c r="F649" s="20" t="n">
        <f aca="false">IF(A649="",0,COUNTIF('Metric to Product'!$A:$A,A649))</f>
        <v>0</v>
      </c>
      <c r="G649" s="30"/>
      <c r="H649" s="30"/>
      <c r="I649" s="30"/>
    </row>
    <row r="650" customFormat="false" ht="15" hidden="false" customHeight="false" outlineLevel="0" collapsed="false">
      <c r="A650" s="29"/>
      <c r="B650" s="29"/>
      <c r="C650" s="20" t="str">
        <f aca="false">IF(A650="","",IFERROR(INDEX(Metrics!$C:$C,MATCH(A650,Metrics!$A:$A,0)),"ID not found"))</f>
        <v/>
      </c>
      <c r="D650" s="20" t="str">
        <f aca="false">IF(B650="","",IFERROR(INDEX(Fields!$B:$B,MATCH(B650,Fields!$A:$A,0)),"ID not found"))</f>
        <v/>
      </c>
      <c r="E650" s="30"/>
      <c r="F650" s="20" t="n">
        <f aca="false">IF(A650="",0,COUNTIF('Metric to Product'!$A:$A,A650))</f>
        <v>0</v>
      </c>
      <c r="G650" s="30"/>
      <c r="H650" s="30"/>
      <c r="I650" s="30"/>
    </row>
    <row r="651" customFormat="false" ht="15" hidden="false" customHeight="false" outlineLevel="0" collapsed="false">
      <c r="A651" s="29"/>
      <c r="B651" s="29"/>
      <c r="C651" s="20" t="str">
        <f aca="false">IF(A651="","",IFERROR(INDEX(Metrics!$C:$C,MATCH(A651,Metrics!$A:$A,0)),"ID not found"))</f>
        <v/>
      </c>
      <c r="D651" s="20" t="str">
        <f aca="false">IF(B651="","",IFERROR(INDEX(Fields!$B:$B,MATCH(B651,Fields!$A:$A,0)),"ID not found"))</f>
        <v/>
      </c>
      <c r="E651" s="30"/>
      <c r="F651" s="20" t="n">
        <f aca="false">IF(A651="",0,COUNTIF('Metric to Product'!$A:$A,A651))</f>
        <v>0</v>
      </c>
      <c r="G651" s="30"/>
      <c r="H651" s="30"/>
      <c r="I651" s="30"/>
    </row>
    <row r="652" customFormat="false" ht="15" hidden="false" customHeight="false" outlineLevel="0" collapsed="false">
      <c r="A652" s="29"/>
      <c r="B652" s="29"/>
      <c r="C652" s="20" t="str">
        <f aca="false">IF(A652="","",IFERROR(INDEX(Metrics!$C:$C,MATCH(A652,Metrics!$A:$A,0)),"ID not found"))</f>
        <v/>
      </c>
      <c r="D652" s="20" t="str">
        <f aca="false">IF(B652="","",IFERROR(INDEX(Fields!$B:$B,MATCH(B652,Fields!$A:$A,0)),"ID not found"))</f>
        <v/>
      </c>
      <c r="E652" s="30"/>
      <c r="F652" s="20" t="n">
        <f aca="false">IF(A652="",0,COUNTIF('Metric to Product'!$A:$A,A652))</f>
        <v>0</v>
      </c>
      <c r="G652" s="30"/>
      <c r="H652" s="30"/>
      <c r="I652" s="30"/>
    </row>
    <row r="653" customFormat="false" ht="15" hidden="false" customHeight="false" outlineLevel="0" collapsed="false">
      <c r="A653" s="29"/>
      <c r="B653" s="29"/>
      <c r="C653" s="20" t="str">
        <f aca="false">IF(A653="","",IFERROR(INDEX(Metrics!$C:$C,MATCH(A653,Metrics!$A:$A,0)),"ID not found"))</f>
        <v/>
      </c>
      <c r="D653" s="20" t="str">
        <f aca="false">IF(B653="","",IFERROR(INDEX(Fields!$B:$B,MATCH(B653,Fields!$A:$A,0)),"ID not found"))</f>
        <v/>
      </c>
      <c r="E653" s="30"/>
      <c r="F653" s="20" t="n">
        <f aca="false">IF(A653="",0,COUNTIF('Metric to Product'!$A:$A,A653))</f>
        <v>0</v>
      </c>
      <c r="G653" s="30"/>
      <c r="H653" s="30"/>
      <c r="I653" s="30"/>
    </row>
    <row r="654" customFormat="false" ht="15" hidden="false" customHeight="false" outlineLevel="0" collapsed="false">
      <c r="A654" s="29"/>
      <c r="B654" s="29"/>
      <c r="C654" s="20" t="str">
        <f aca="false">IF(A654="","",IFERROR(INDEX(Metrics!$C:$C,MATCH(A654,Metrics!$A:$A,0)),"ID not found"))</f>
        <v/>
      </c>
      <c r="D654" s="20" t="str">
        <f aca="false">IF(B654="","",IFERROR(INDEX(Fields!$B:$B,MATCH(B654,Fields!$A:$A,0)),"ID not found"))</f>
        <v/>
      </c>
      <c r="E654" s="30"/>
      <c r="F654" s="20" t="n">
        <f aca="false">IF(A654="",0,COUNTIF('Metric to Product'!$A:$A,A654))</f>
        <v>0</v>
      </c>
      <c r="G654" s="30"/>
      <c r="H654" s="30"/>
      <c r="I654" s="30"/>
    </row>
    <row r="655" customFormat="false" ht="15" hidden="false" customHeight="false" outlineLevel="0" collapsed="false">
      <c r="A655" s="29"/>
      <c r="B655" s="29"/>
      <c r="C655" s="20" t="str">
        <f aca="false">IF(A655="","",IFERROR(INDEX(Metrics!$C:$C,MATCH(A655,Metrics!$A:$A,0)),"ID not found"))</f>
        <v/>
      </c>
      <c r="D655" s="20" t="str">
        <f aca="false">IF(B655="","",IFERROR(INDEX(Fields!$B:$B,MATCH(B655,Fields!$A:$A,0)),"ID not found"))</f>
        <v/>
      </c>
      <c r="E655" s="30"/>
      <c r="F655" s="20" t="n">
        <f aca="false">IF(A655="",0,COUNTIF('Metric to Product'!$A:$A,A655))</f>
        <v>0</v>
      </c>
      <c r="G655" s="30"/>
      <c r="H655" s="30"/>
      <c r="I655" s="30"/>
    </row>
    <row r="656" customFormat="false" ht="15" hidden="false" customHeight="false" outlineLevel="0" collapsed="false">
      <c r="A656" s="29"/>
      <c r="B656" s="29"/>
      <c r="C656" s="20" t="str">
        <f aca="false">IF(A656="","",IFERROR(INDEX(Metrics!$C:$C,MATCH(A656,Metrics!$A:$A,0)),"ID not found"))</f>
        <v/>
      </c>
      <c r="D656" s="20" t="str">
        <f aca="false">IF(B656="","",IFERROR(INDEX(Fields!$B:$B,MATCH(B656,Fields!$A:$A,0)),"ID not found"))</f>
        <v/>
      </c>
      <c r="E656" s="30"/>
      <c r="F656" s="20" t="n">
        <f aca="false">IF(A656="",0,COUNTIF('Metric to Product'!$A:$A,A656))</f>
        <v>0</v>
      </c>
      <c r="G656" s="30"/>
      <c r="H656" s="30"/>
      <c r="I656" s="30"/>
    </row>
    <row r="657" customFormat="false" ht="15" hidden="false" customHeight="false" outlineLevel="0" collapsed="false">
      <c r="A657" s="29"/>
      <c r="B657" s="29"/>
      <c r="C657" s="20" t="str">
        <f aca="false">IF(A657="","",IFERROR(INDEX(Metrics!$C:$C,MATCH(A657,Metrics!$A:$A,0)),"ID not found"))</f>
        <v/>
      </c>
      <c r="D657" s="20" t="str">
        <f aca="false">IF(B657="","",IFERROR(INDEX(Fields!$B:$B,MATCH(B657,Fields!$A:$A,0)),"ID not found"))</f>
        <v/>
      </c>
      <c r="E657" s="30"/>
      <c r="F657" s="20" t="n">
        <f aca="false">IF(A657="",0,COUNTIF('Metric to Product'!$A:$A,A657))</f>
        <v>0</v>
      </c>
      <c r="G657" s="30"/>
      <c r="H657" s="30"/>
      <c r="I657" s="30"/>
    </row>
    <row r="658" customFormat="false" ht="15" hidden="false" customHeight="false" outlineLevel="0" collapsed="false">
      <c r="A658" s="29"/>
      <c r="B658" s="29"/>
      <c r="C658" s="20" t="str">
        <f aca="false">IF(A658="","",IFERROR(INDEX(Metrics!$C:$C,MATCH(A658,Metrics!$A:$A,0)),"ID not found"))</f>
        <v/>
      </c>
      <c r="D658" s="20" t="str">
        <f aca="false">IF(B658="","",IFERROR(INDEX(Fields!$B:$B,MATCH(B658,Fields!$A:$A,0)),"ID not found"))</f>
        <v/>
      </c>
      <c r="E658" s="30"/>
      <c r="F658" s="20" t="n">
        <f aca="false">IF(A658="",0,COUNTIF('Metric to Product'!$A:$A,A658))</f>
        <v>0</v>
      </c>
      <c r="G658" s="30"/>
      <c r="H658" s="30"/>
      <c r="I658" s="30"/>
    </row>
    <row r="659" customFormat="false" ht="15" hidden="false" customHeight="false" outlineLevel="0" collapsed="false">
      <c r="A659" s="29"/>
      <c r="B659" s="29"/>
      <c r="C659" s="20" t="str">
        <f aca="false">IF(A659="","",IFERROR(INDEX(Metrics!$C:$C,MATCH(A659,Metrics!$A:$A,0)),"ID not found"))</f>
        <v/>
      </c>
      <c r="D659" s="20" t="str">
        <f aca="false">IF(B659="","",IFERROR(INDEX(Fields!$B:$B,MATCH(B659,Fields!$A:$A,0)),"ID not found"))</f>
        <v/>
      </c>
      <c r="E659" s="30"/>
      <c r="F659" s="20" t="n">
        <f aca="false">IF(A659="",0,COUNTIF('Metric to Product'!$A:$A,A659))</f>
        <v>0</v>
      </c>
      <c r="G659" s="30"/>
      <c r="H659" s="30"/>
      <c r="I659" s="30"/>
    </row>
    <row r="660" customFormat="false" ht="15" hidden="false" customHeight="false" outlineLevel="0" collapsed="false">
      <c r="A660" s="29"/>
      <c r="B660" s="29"/>
      <c r="C660" s="20" t="str">
        <f aca="false">IF(A660="","",IFERROR(INDEX(Metrics!$C:$C,MATCH(A660,Metrics!$A:$A,0)),"ID not found"))</f>
        <v/>
      </c>
      <c r="D660" s="20" t="str">
        <f aca="false">IF(B660="","",IFERROR(INDEX(Fields!$B:$B,MATCH(B660,Fields!$A:$A,0)),"ID not found"))</f>
        <v/>
      </c>
      <c r="E660" s="30"/>
      <c r="F660" s="20" t="n">
        <f aca="false">IF(A660="",0,COUNTIF('Metric to Product'!$A:$A,A660))</f>
        <v>0</v>
      </c>
      <c r="G660" s="30"/>
      <c r="H660" s="30"/>
      <c r="I660" s="30"/>
    </row>
    <row r="661" customFormat="false" ht="15" hidden="false" customHeight="false" outlineLevel="0" collapsed="false">
      <c r="A661" s="29"/>
      <c r="B661" s="29"/>
      <c r="C661" s="20" t="str">
        <f aca="false">IF(A661="","",IFERROR(INDEX(Metrics!$C:$C,MATCH(A661,Metrics!$A:$A,0)),"ID not found"))</f>
        <v/>
      </c>
      <c r="D661" s="20" t="str">
        <f aca="false">IF(B661="","",IFERROR(INDEX(Fields!$B:$B,MATCH(B661,Fields!$A:$A,0)),"ID not found"))</f>
        <v/>
      </c>
      <c r="E661" s="30"/>
      <c r="F661" s="20" t="n">
        <f aca="false">IF(A661="",0,COUNTIF('Metric to Product'!$A:$A,A661))</f>
        <v>0</v>
      </c>
      <c r="G661" s="30"/>
      <c r="H661" s="30"/>
      <c r="I661" s="30"/>
    </row>
    <row r="662" customFormat="false" ht="15" hidden="false" customHeight="false" outlineLevel="0" collapsed="false">
      <c r="A662" s="29"/>
      <c r="B662" s="29"/>
      <c r="C662" s="20" t="str">
        <f aca="false">IF(A662="","",IFERROR(INDEX(Metrics!$C:$C,MATCH(A662,Metrics!$A:$A,0)),"ID not found"))</f>
        <v/>
      </c>
      <c r="D662" s="20" t="str">
        <f aca="false">IF(B662="","",IFERROR(INDEX(Fields!$B:$B,MATCH(B662,Fields!$A:$A,0)),"ID not found"))</f>
        <v/>
      </c>
      <c r="E662" s="30"/>
      <c r="F662" s="20" t="n">
        <f aca="false">IF(A662="",0,COUNTIF('Metric to Product'!$A:$A,A662))</f>
        <v>0</v>
      </c>
      <c r="G662" s="30"/>
      <c r="H662" s="30"/>
      <c r="I662" s="30"/>
    </row>
    <row r="663" customFormat="false" ht="15" hidden="false" customHeight="false" outlineLevel="0" collapsed="false">
      <c r="A663" s="29"/>
      <c r="B663" s="29"/>
      <c r="C663" s="20" t="str">
        <f aca="false">IF(A663="","",IFERROR(INDEX(Metrics!$C:$C,MATCH(A663,Metrics!$A:$A,0)),"ID not found"))</f>
        <v/>
      </c>
      <c r="D663" s="20" t="str">
        <f aca="false">IF(B663="","",IFERROR(INDEX(Fields!$B:$B,MATCH(B663,Fields!$A:$A,0)),"ID not found"))</f>
        <v/>
      </c>
      <c r="E663" s="30"/>
      <c r="F663" s="20" t="n">
        <f aca="false">IF(A663="",0,COUNTIF('Metric to Product'!$A:$A,A663))</f>
        <v>0</v>
      </c>
      <c r="G663" s="30"/>
      <c r="H663" s="30"/>
      <c r="I663" s="30"/>
    </row>
    <row r="664" customFormat="false" ht="15" hidden="false" customHeight="false" outlineLevel="0" collapsed="false">
      <c r="A664" s="29"/>
      <c r="B664" s="29"/>
      <c r="C664" s="20" t="str">
        <f aca="false">IF(A664="","",IFERROR(INDEX(Metrics!$C:$C,MATCH(A664,Metrics!$A:$A,0)),"ID not found"))</f>
        <v/>
      </c>
      <c r="D664" s="20" t="str">
        <f aca="false">IF(B664="","",IFERROR(INDEX(Fields!$B:$B,MATCH(B664,Fields!$A:$A,0)),"ID not found"))</f>
        <v/>
      </c>
      <c r="E664" s="30"/>
      <c r="F664" s="20" t="n">
        <f aca="false">IF(A664="",0,COUNTIF('Metric to Product'!$A:$A,A664))</f>
        <v>0</v>
      </c>
      <c r="G664" s="30"/>
      <c r="H664" s="30"/>
      <c r="I664" s="30"/>
    </row>
    <row r="665" customFormat="false" ht="15" hidden="false" customHeight="false" outlineLevel="0" collapsed="false">
      <c r="A665" s="29"/>
      <c r="B665" s="29"/>
      <c r="C665" s="20" t="str">
        <f aca="false">IF(A665="","",IFERROR(INDEX(Metrics!$C:$C,MATCH(A665,Metrics!$A:$A,0)),"ID not found"))</f>
        <v/>
      </c>
      <c r="D665" s="20" t="str">
        <f aca="false">IF(B665="","",IFERROR(INDEX(Fields!$B:$B,MATCH(B665,Fields!$A:$A,0)),"ID not found"))</f>
        <v/>
      </c>
      <c r="E665" s="30"/>
      <c r="F665" s="20" t="n">
        <f aca="false">IF(A665="",0,COUNTIF('Metric to Product'!$A:$A,A665))</f>
        <v>0</v>
      </c>
      <c r="G665" s="30"/>
      <c r="H665" s="30"/>
      <c r="I665" s="30"/>
    </row>
    <row r="666" customFormat="false" ht="15" hidden="false" customHeight="false" outlineLevel="0" collapsed="false">
      <c r="A666" s="29"/>
      <c r="B666" s="29"/>
      <c r="C666" s="20" t="str">
        <f aca="false">IF(A666="","",IFERROR(INDEX(Metrics!$C:$C,MATCH(A666,Metrics!$A:$A,0)),"ID not found"))</f>
        <v/>
      </c>
      <c r="D666" s="20" t="str">
        <f aca="false">IF(B666="","",IFERROR(INDEX(Fields!$B:$B,MATCH(B666,Fields!$A:$A,0)),"ID not found"))</f>
        <v/>
      </c>
      <c r="E666" s="30"/>
      <c r="F666" s="20" t="n">
        <f aca="false">IF(A666="",0,COUNTIF('Metric to Product'!$A:$A,A666))</f>
        <v>0</v>
      </c>
      <c r="G666" s="30"/>
      <c r="H666" s="30"/>
      <c r="I666" s="30"/>
    </row>
    <row r="667" customFormat="false" ht="15" hidden="false" customHeight="false" outlineLevel="0" collapsed="false">
      <c r="A667" s="29"/>
      <c r="B667" s="29"/>
      <c r="C667" s="20" t="str">
        <f aca="false">IF(A667="","",IFERROR(INDEX(Metrics!$C:$C,MATCH(A667,Metrics!$A:$A,0)),"ID not found"))</f>
        <v/>
      </c>
      <c r="D667" s="20" t="str">
        <f aca="false">IF(B667="","",IFERROR(INDEX(Fields!$B:$B,MATCH(B667,Fields!$A:$A,0)),"ID not found"))</f>
        <v/>
      </c>
      <c r="E667" s="30"/>
      <c r="F667" s="20" t="n">
        <f aca="false">IF(A667="",0,COUNTIF('Metric to Product'!$A:$A,A667))</f>
        <v>0</v>
      </c>
      <c r="G667" s="30"/>
      <c r="H667" s="30"/>
      <c r="I667" s="30"/>
    </row>
    <row r="668" customFormat="false" ht="15" hidden="false" customHeight="false" outlineLevel="0" collapsed="false">
      <c r="A668" s="29"/>
      <c r="B668" s="29"/>
      <c r="C668" s="20" t="str">
        <f aca="false">IF(A668="","",IFERROR(INDEX(Metrics!$C:$C,MATCH(A668,Metrics!$A:$A,0)),"ID not found"))</f>
        <v/>
      </c>
      <c r="D668" s="20" t="str">
        <f aca="false">IF(B668="","",IFERROR(INDEX(Fields!$B:$B,MATCH(B668,Fields!$A:$A,0)),"ID not found"))</f>
        <v/>
      </c>
      <c r="E668" s="30"/>
      <c r="F668" s="20" t="n">
        <f aca="false">IF(A668="",0,COUNTIF('Metric to Product'!$A:$A,A668))</f>
        <v>0</v>
      </c>
      <c r="G668" s="30"/>
      <c r="H668" s="30"/>
      <c r="I668" s="30"/>
    </row>
    <row r="669" customFormat="false" ht="15" hidden="false" customHeight="false" outlineLevel="0" collapsed="false">
      <c r="A669" s="29"/>
      <c r="B669" s="29"/>
      <c r="C669" s="20" t="str">
        <f aca="false">IF(A669="","",IFERROR(INDEX(Metrics!$C:$C,MATCH(A669,Metrics!$A:$A,0)),"ID not found"))</f>
        <v/>
      </c>
      <c r="D669" s="20" t="str">
        <f aca="false">IF(B669="","",IFERROR(INDEX(Fields!$B:$B,MATCH(B669,Fields!$A:$A,0)),"ID not found"))</f>
        <v/>
      </c>
      <c r="E669" s="30"/>
      <c r="F669" s="20" t="n">
        <f aca="false">IF(A669="",0,COUNTIF('Metric to Product'!$A:$A,A669))</f>
        <v>0</v>
      </c>
      <c r="G669" s="30"/>
      <c r="H669" s="30"/>
      <c r="I669" s="30"/>
    </row>
    <row r="670" customFormat="false" ht="15" hidden="false" customHeight="false" outlineLevel="0" collapsed="false">
      <c r="A670" s="29"/>
      <c r="B670" s="29"/>
      <c r="C670" s="20" t="str">
        <f aca="false">IF(A670="","",IFERROR(INDEX(Metrics!$C:$C,MATCH(A670,Metrics!$A:$A,0)),"ID not found"))</f>
        <v/>
      </c>
      <c r="D670" s="20" t="str">
        <f aca="false">IF(B670="","",IFERROR(INDEX(Fields!$B:$B,MATCH(B670,Fields!$A:$A,0)),"ID not found"))</f>
        <v/>
      </c>
      <c r="E670" s="30"/>
      <c r="F670" s="20" t="n">
        <f aca="false">IF(A670="",0,COUNTIF('Metric to Product'!$A:$A,A670))</f>
        <v>0</v>
      </c>
      <c r="G670" s="30"/>
      <c r="H670" s="30"/>
      <c r="I670" s="30"/>
    </row>
    <row r="671" customFormat="false" ht="15" hidden="false" customHeight="false" outlineLevel="0" collapsed="false">
      <c r="A671" s="29"/>
      <c r="B671" s="29"/>
      <c r="C671" s="20" t="str">
        <f aca="false">IF(A671="","",IFERROR(INDEX(Metrics!$C:$C,MATCH(A671,Metrics!$A:$A,0)),"ID not found"))</f>
        <v/>
      </c>
      <c r="D671" s="20" t="str">
        <f aca="false">IF(B671="","",IFERROR(INDEX(Fields!$B:$B,MATCH(B671,Fields!$A:$A,0)),"ID not found"))</f>
        <v/>
      </c>
      <c r="E671" s="30"/>
      <c r="F671" s="20" t="n">
        <f aca="false">IF(A671="",0,COUNTIF('Metric to Product'!$A:$A,A671))</f>
        <v>0</v>
      </c>
      <c r="G671" s="30"/>
      <c r="H671" s="30"/>
      <c r="I671" s="30"/>
    </row>
    <row r="672" customFormat="false" ht="15" hidden="false" customHeight="false" outlineLevel="0" collapsed="false">
      <c r="A672" s="29"/>
      <c r="B672" s="29"/>
      <c r="C672" s="20" t="str">
        <f aca="false">IF(A672="","",IFERROR(INDEX(Metrics!$C:$C,MATCH(A672,Metrics!$A:$A,0)),"ID not found"))</f>
        <v/>
      </c>
      <c r="D672" s="20" t="str">
        <f aca="false">IF(B672="","",IFERROR(INDEX(Fields!$B:$B,MATCH(B672,Fields!$A:$A,0)),"ID not found"))</f>
        <v/>
      </c>
      <c r="E672" s="30"/>
      <c r="F672" s="20" t="n">
        <f aca="false">IF(A672="",0,COUNTIF('Metric to Product'!$A:$A,A672))</f>
        <v>0</v>
      </c>
      <c r="G672" s="30"/>
      <c r="H672" s="30"/>
      <c r="I672" s="30"/>
    </row>
    <row r="673" customFormat="false" ht="15" hidden="false" customHeight="false" outlineLevel="0" collapsed="false">
      <c r="A673" s="29"/>
      <c r="B673" s="29"/>
      <c r="C673" s="20" t="str">
        <f aca="false">IF(A673="","",IFERROR(INDEX(Metrics!$C:$C,MATCH(A673,Metrics!$A:$A,0)),"ID not found"))</f>
        <v/>
      </c>
      <c r="D673" s="20" t="str">
        <f aca="false">IF(B673="","",IFERROR(INDEX(Fields!$B:$B,MATCH(B673,Fields!$A:$A,0)),"ID not found"))</f>
        <v/>
      </c>
      <c r="E673" s="30"/>
      <c r="F673" s="20" t="n">
        <f aca="false">IF(A673="",0,COUNTIF('Metric to Product'!$A:$A,A673))</f>
        <v>0</v>
      </c>
      <c r="G673" s="30"/>
      <c r="H673" s="30"/>
      <c r="I673" s="30"/>
    </row>
    <row r="674" customFormat="false" ht="15" hidden="false" customHeight="false" outlineLevel="0" collapsed="false">
      <c r="A674" s="29"/>
      <c r="B674" s="29"/>
      <c r="C674" s="20" t="str">
        <f aca="false">IF(A674="","",IFERROR(INDEX(Metrics!$C:$C,MATCH(A674,Metrics!$A:$A,0)),"ID not found"))</f>
        <v/>
      </c>
      <c r="D674" s="20" t="str">
        <f aca="false">IF(B674="","",IFERROR(INDEX(Fields!$B:$B,MATCH(B674,Fields!$A:$A,0)),"ID not found"))</f>
        <v/>
      </c>
      <c r="E674" s="30"/>
      <c r="F674" s="20" t="n">
        <f aca="false">IF(A674="",0,COUNTIF('Metric to Product'!$A:$A,A674))</f>
        <v>0</v>
      </c>
      <c r="G674" s="30"/>
      <c r="H674" s="30"/>
      <c r="I674" s="30"/>
    </row>
    <row r="675" customFormat="false" ht="15" hidden="false" customHeight="false" outlineLevel="0" collapsed="false">
      <c r="A675" s="29"/>
      <c r="B675" s="29"/>
      <c r="C675" s="20" t="str">
        <f aca="false">IF(A675="","",IFERROR(INDEX(Metrics!$C:$C,MATCH(A675,Metrics!$A:$A,0)),"ID not found"))</f>
        <v/>
      </c>
      <c r="D675" s="20" t="str">
        <f aca="false">IF(B675="","",IFERROR(INDEX(Fields!$B:$B,MATCH(B675,Fields!$A:$A,0)),"ID not found"))</f>
        <v/>
      </c>
      <c r="E675" s="30"/>
      <c r="F675" s="20" t="n">
        <f aca="false">IF(A675="",0,COUNTIF('Metric to Product'!$A:$A,A675))</f>
        <v>0</v>
      </c>
      <c r="G675" s="30"/>
      <c r="H675" s="30"/>
      <c r="I675" s="30"/>
    </row>
    <row r="676" customFormat="false" ht="15" hidden="false" customHeight="false" outlineLevel="0" collapsed="false">
      <c r="A676" s="29"/>
      <c r="B676" s="29"/>
      <c r="C676" s="20" t="str">
        <f aca="false">IF(A676="","",IFERROR(INDEX(Metrics!$C:$C,MATCH(A676,Metrics!$A:$A,0)),"ID not found"))</f>
        <v/>
      </c>
      <c r="D676" s="20" t="str">
        <f aca="false">IF(B676="","",IFERROR(INDEX(Fields!$B:$B,MATCH(B676,Fields!$A:$A,0)),"ID not found"))</f>
        <v/>
      </c>
      <c r="E676" s="30"/>
      <c r="F676" s="20" t="n">
        <f aca="false">IF(A676="",0,COUNTIF('Metric to Product'!$A:$A,A676))</f>
        <v>0</v>
      </c>
      <c r="G676" s="30"/>
      <c r="H676" s="30"/>
      <c r="I676" s="30"/>
    </row>
    <row r="677" customFormat="false" ht="15" hidden="false" customHeight="false" outlineLevel="0" collapsed="false">
      <c r="A677" s="29"/>
      <c r="B677" s="29"/>
      <c r="C677" s="20" t="str">
        <f aca="false">IF(A677="","",IFERROR(INDEX(Metrics!$C:$C,MATCH(A677,Metrics!$A:$A,0)),"ID not found"))</f>
        <v/>
      </c>
      <c r="D677" s="20" t="str">
        <f aca="false">IF(B677="","",IFERROR(INDEX(Fields!$B:$B,MATCH(B677,Fields!$A:$A,0)),"ID not found"))</f>
        <v/>
      </c>
      <c r="E677" s="30"/>
      <c r="F677" s="20" t="n">
        <f aca="false">IF(A677="",0,COUNTIF('Metric to Product'!$A:$A,A677))</f>
        <v>0</v>
      </c>
      <c r="G677" s="30"/>
      <c r="H677" s="30"/>
      <c r="I677" s="30"/>
    </row>
    <row r="678" customFormat="false" ht="15" hidden="false" customHeight="false" outlineLevel="0" collapsed="false">
      <c r="A678" s="29"/>
      <c r="B678" s="29"/>
      <c r="C678" s="20" t="str">
        <f aca="false">IF(A678="","",IFERROR(INDEX(Metrics!$C:$C,MATCH(A678,Metrics!$A:$A,0)),"ID not found"))</f>
        <v/>
      </c>
      <c r="D678" s="20" t="str">
        <f aca="false">IF(B678="","",IFERROR(INDEX(Fields!$B:$B,MATCH(B678,Fields!$A:$A,0)),"ID not found"))</f>
        <v/>
      </c>
      <c r="E678" s="30"/>
      <c r="F678" s="20" t="n">
        <f aca="false">IF(A678="",0,COUNTIF('Metric to Product'!$A:$A,A678))</f>
        <v>0</v>
      </c>
      <c r="G678" s="30"/>
      <c r="H678" s="30"/>
      <c r="I678" s="30"/>
    </row>
    <row r="679" customFormat="false" ht="15" hidden="false" customHeight="false" outlineLevel="0" collapsed="false">
      <c r="A679" s="29"/>
      <c r="B679" s="29"/>
      <c r="C679" s="20" t="str">
        <f aca="false">IF(A679="","",IFERROR(INDEX(Metrics!$C:$C,MATCH(A679,Metrics!$A:$A,0)),"ID not found"))</f>
        <v/>
      </c>
      <c r="D679" s="20" t="str">
        <f aca="false">IF(B679="","",IFERROR(INDEX(Fields!$B:$B,MATCH(B679,Fields!$A:$A,0)),"ID not found"))</f>
        <v/>
      </c>
      <c r="E679" s="30"/>
      <c r="F679" s="20" t="n">
        <f aca="false">IF(A679="",0,COUNTIF('Metric to Product'!$A:$A,A679))</f>
        <v>0</v>
      </c>
      <c r="G679" s="30"/>
      <c r="H679" s="30"/>
      <c r="I679" s="30"/>
    </row>
    <row r="680" customFormat="false" ht="15" hidden="false" customHeight="false" outlineLevel="0" collapsed="false">
      <c r="A680" s="29"/>
      <c r="B680" s="29"/>
      <c r="C680" s="20" t="str">
        <f aca="false">IF(A680="","",IFERROR(INDEX(Metrics!$C:$C,MATCH(A680,Metrics!$A:$A,0)),"ID not found"))</f>
        <v/>
      </c>
      <c r="D680" s="20" t="str">
        <f aca="false">IF(B680="","",IFERROR(INDEX(Fields!$B:$B,MATCH(B680,Fields!$A:$A,0)),"ID not found"))</f>
        <v/>
      </c>
      <c r="E680" s="30"/>
      <c r="F680" s="20" t="n">
        <f aca="false">IF(A680="",0,COUNTIF('Metric to Product'!$A:$A,A680))</f>
        <v>0</v>
      </c>
      <c r="G680" s="30"/>
      <c r="H680" s="30"/>
      <c r="I680" s="30"/>
    </row>
    <row r="681" customFormat="false" ht="15" hidden="false" customHeight="false" outlineLevel="0" collapsed="false">
      <c r="A681" s="29"/>
      <c r="B681" s="29"/>
      <c r="C681" s="20" t="str">
        <f aca="false">IF(A681="","",IFERROR(INDEX(Metrics!$C:$C,MATCH(A681,Metrics!$A:$A,0)),"ID not found"))</f>
        <v/>
      </c>
      <c r="D681" s="20" t="str">
        <f aca="false">IF(B681="","",IFERROR(INDEX(Fields!$B:$B,MATCH(B681,Fields!$A:$A,0)),"ID not found"))</f>
        <v/>
      </c>
      <c r="E681" s="30"/>
      <c r="F681" s="20" t="n">
        <f aca="false">IF(A681="",0,COUNTIF('Metric to Product'!$A:$A,A681))</f>
        <v>0</v>
      </c>
      <c r="G681" s="30"/>
      <c r="H681" s="30"/>
      <c r="I681" s="30"/>
    </row>
    <row r="682" customFormat="false" ht="15" hidden="false" customHeight="false" outlineLevel="0" collapsed="false">
      <c r="A682" s="29"/>
      <c r="B682" s="29"/>
      <c r="C682" s="20" t="str">
        <f aca="false">IF(A682="","",IFERROR(INDEX(Metrics!$C:$C,MATCH(A682,Metrics!$A:$A,0)),"ID not found"))</f>
        <v/>
      </c>
      <c r="D682" s="20" t="str">
        <f aca="false">IF(B682="","",IFERROR(INDEX(Fields!$B:$B,MATCH(B682,Fields!$A:$A,0)),"ID not found"))</f>
        <v/>
      </c>
      <c r="E682" s="30"/>
      <c r="F682" s="20" t="n">
        <f aca="false">IF(A682="",0,COUNTIF('Metric to Product'!$A:$A,A682))</f>
        <v>0</v>
      </c>
      <c r="G682" s="30"/>
      <c r="H682" s="30"/>
      <c r="I682" s="30"/>
    </row>
    <row r="683" customFormat="false" ht="15" hidden="false" customHeight="false" outlineLevel="0" collapsed="false">
      <c r="A683" s="29"/>
      <c r="B683" s="29"/>
      <c r="C683" s="20" t="str">
        <f aca="false">IF(A683="","",IFERROR(INDEX(Metrics!$C:$C,MATCH(A683,Metrics!$A:$A,0)),"ID not found"))</f>
        <v/>
      </c>
      <c r="D683" s="20" t="str">
        <f aca="false">IF(B683="","",IFERROR(INDEX(Fields!$B:$B,MATCH(B683,Fields!$A:$A,0)),"ID not found"))</f>
        <v/>
      </c>
      <c r="E683" s="30"/>
      <c r="F683" s="20" t="n">
        <f aca="false">IF(A683="",0,COUNTIF('Metric to Product'!$A:$A,A683))</f>
        <v>0</v>
      </c>
      <c r="G683" s="30"/>
      <c r="H683" s="30"/>
      <c r="I683" s="30"/>
    </row>
    <row r="684" customFormat="false" ht="15" hidden="false" customHeight="false" outlineLevel="0" collapsed="false">
      <c r="A684" s="29"/>
      <c r="B684" s="29"/>
      <c r="C684" s="20" t="str">
        <f aca="false">IF(A684="","",IFERROR(INDEX(Metrics!$C:$C,MATCH(A684,Metrics!$A:$A,0)),"ID not found"))</f>
        <v/>
      </c>
      <c r="D684" s="20" t="str">
        <f aca="false">IF(B684="","",IFERROR(INDEX(Fields!$B:$B,MATCH(B684,Fields!$A:$A,0)),"ID not found"))</f>
        <v/>
      </c>
      <c r="E684" s="30"/>
      <c r="F684" s="20" t="n">
        <f aca="false">IF(A684="",0,COUNTIF('Metric to Product'!$A:$A,A684))</f>
        <v>0</v>
      </c>
      <c r="G684" s="30"/>
      <c r="H684" s="30"/>
      <c r="I684" s="30"/>
    </row>
    <row r="685" customFormat="false" ht="15" hidden="false" customHeight="false" outlineLevel="0" collapsed="false">
      <c r="A685" s="29"/>
      <c r="B685" s="29"/>
      <c r="C685" s="20" t="str">
        <f aca="false">IF(A685="","",IFERROR(INDEX(Metrics!$C:$C,MATCH(A685,Metrics!$A:$A,0)),"ID not found"))</f>
        <v/>
      </c>
      <c r="D685" s="20" t="str">
        <f aca="false">IF(B685="","",IFERROR(INDEX(Fields!$B:$B,MATCH(B685,Fields!$A:$A,0)),"ID not found"))</f>
        <v/>
      </c>
      <c r="E685" s="30"/>
      <c r="F685" s="20" t="n">
        <f aca="false">IF(A685="",0,COUNTIF('Metric to Product'!$A:$A,A685))</f>
        <v>0</v>
      </c>
      <c r="G685" s="30"/>
      <c r="H685" s="30"/>
      <c r="I685" s="30"/>
    </row>
    <row r="686" customFormat="false" ht="15" hidden="false" customHeight="false" outlineLevel="0" collapsed="false">
      <c r="A686" s="29"/>
      <c r="B686" s="29"/>
      <c r="C686" s="20" t="str">
        <f aca="false">IF(A686="","",IFERROR(INDEX(Metrics!$C:$C,MATCH(A686,Metrics!$A:$A,0)),"ID not found"))</f>
        <v/>
      </c>
      <c r="D686" s="20" t="str">
        <f aca="false">IF(B686="","",IFERROR(INDEX(Fields!$B:$B,MATCH(B686,Fields!$A:$A,0)),"ID not found"))</f>
        <v/>
      </c>
      <c r="E686" s="30"/>
      <c r="F686" s="20" t="n">
        <f aca="false">IF(A686="",0,COUNTIF('Metric to Product'!$A:$A,A686))</f>
        <v>0</v>
      </c>
      <c r="G686" s="30"/>
      <c r="H686" s="30"/>
      <c r="I686" s="30"/>
    </row>
    <row r="687" customFormat="false" ht="15" hidden="false" customHeight="false" outlineLevel="0" collapsed="false">
      <c r="A687" s="29"/>
      <c r="B687" s="29"/>
      <c r="C687" s="20" t="str">
        <f aca="false">IF(A687="","",IFERROR(INDEX(Metrics!$C:$C,MATCH(A687,Metrics!$A:$A,0)),"ID not found"))</f>
        <v/>
      </c>
      <c r="D687" s="20" t="str">
        <f aca="false">IF(B687="","",IFERROR(INDEX(Fields!$B:$B,MATCH(B687,Fields!$A:$A,0)),"ID not found"))</f>
        <v/>
      </c>
      <c r="E687" s="30"/>
      <c r="F687" s="20" t="n">
        <f aca="false">IF(A687="",0,COUNTIF('Metric to Product'!$A:$A,A687))</f>
        <v>0</v>
      </c>
      <c r="G687" s="30"/>
      <c r="H687" s="30"/>
      <c r="I687" s="30"/>
    </row>
    <row r="688" customFormat="false" ht="15" hidden="false" customHeight="false" outlineLevel="0" collapsed="false">
      <c r="A688" s="29"/>
      <c r="B688" s="29"/>
      <c r="C688" s="20" t="str">
        <f aca="false">IF(A688="","",IFERROR(INDEX(Metrics!$C:$C,MATCH(A688,Metrics!$A:$A,0)),"ID not found"))</f>
        <v/>
      </c>
      <c r="D688" s="20" t="str">
        <f aca="false">IF(B688="","",IFERROR(INDEX(Fields!$B:$B,MATCH(B688,Fields!$A:$A,0)),"ID not found"))</f>
        <v/>
      </c>
      <c r="E688" s="30"/>
      <c r="F688" s="20" t="n">
        <f aca="false">IF(A688="",0,COUNTIF('Metric to Product'!$A:$A,A688))</f>
        <v>0</v>
      </c>
      <c r="G688" s="30"/>
      <c r="H688" s="30"/>
      <c r="I688" s="30"/>
    </row>
    <row r="689" customFormat="false" ht="15" hidden="false" customHeight="false" outlineLevel="0" collapsed="false">
      <c r="A689" s="29"/>
      <c r="B689" s="29"/>
      <c r="C689" s="20" t="str">
        <f aca="false">IF(A689="","",IFERROR(INDEX(Metrics!$C:$C,MATCH(A689,Metrics!$A:$A,0)),"ID not found"))</f>
        <v/>
      </c>
      <c r="D689" s="20" t="str">
        <f aca="false">IF(B689="","",IFERROR(INDEX(Fields!$B:$B,MATCH(B689,Fields!$A:$A,0)),"ID not found"))</f>
        <v/>
      </c>
      <c r="E689" s="30"/>
      <c r="F689" s="20" t="n">
        <f aca="false">IF(A689="",0,COUNTIF('Metric to Product'!$A:$A,A689))</f>
        <v>0</v>
      </c>
      <c r="G689" s="30"/>
      <c r="H689" s="30"/>
      <c r="I689" s="30"/>
    </row>
    <row r="690" customFormat="false" ht="15" hidden="false" customHeight="false" outlineLevel="0" collapsed="false">
      <c r="A690" s="29"/>
      <c r="B690" s="29"/>
      <c r="C690" s="20" t="str">
        <f aca="false">IF(A690="","",IFERROR(INDEX(Metrics!$C:$C,MATCH(A690,Metrics!$A:$A,0)),"ID not found"))</f>
        <v/>
      </c>
      <c r="D690" s="20" t="str">
        <f aca="false">IF(B690="","",IFERROR(INDEX(Fields!$B:$B,MATCH(B690,Fields!$A:$A,0)),"ID not found"))</f>
        <v/>
      </c>
      <c r="E690" s="30"/>
      <c r="F690" s="20" t="n">
        <f aca="false">IF(A690="",0,COUNTIF('Metric to Product'!$A:$A,A690))</f>
        <v>0</v>
      </c>
      <c r="G690" s="30"/>
      <c r="H690" s="30"/>
      <c r="I690" s="30"/>
    </row>
    <row r="691" customFormat="false" ht="15" hidden="false" customHeight="false" outlineLevel="0" collapsed="false">
      <c r="A691" s="29"/>
      <c r="B691" s="29"/>
      <c r="C691" s="20" t="str">
        <f aca="false">IF(A691="","",IFERROR(INDEX(Metrics!$C:$C,MATCH(A691,Metrics!$A:$A,0)),"ID not found"))</f>
        <v/>
      </c>
      <c r="D691" s="20" t="str">
        <f aca="false">IF(B691="","",IFERROR(INDEX(Fields!$B:$B,MATCH(B691,Fields!$A:$A,0)),"ID not found"))</f>
        <v/>
      </c>
      <c r="E691" s="30"/>
      <c r="F691" s="20" t="n">
        <f aca="false">IF(A691="",0,COUNTIF('Metric to Product'!$A:$A,A691))</f>
        <v>0</v>
      </c>
      <c r="G691" s="30"/>
      <c r="H691" s="30"/>
      <c r="I691" s="30"/>
    </row>
    <row r="692" customFormat="false" ht="15" hidden="false" customHeight="false" outlineLevel="0" collapsed="false">
      <c r="A692" s="29"/>
      <c r="B692" s="29"/>
      <c r="C692" s="20" t="str">
        <f aca="false">IF(A692="","",IFERROR(INDEX(Metrics!$C:$C,MATCH(A692,Metrics!$A:$A,0)),"ID not found"))</f>
        <v/>
      </c>
      <c r="D692" s="20" t="str">
        <f aca="false">IF(B692="","",IFERROR(INDEX(Fields!$B:$B,MATCH(B692,Fields!$A:$A,0)),"ID not found"))</f>
        <v/>
      </c>
      <c r="E692" s="30"/>
      <c r="F692" s="20" t="n">
        <f aca="false">IF(A692="",0,COUNTIF('Metric to Product'!$A:$A,A692))</f>
        <v>0</v>
      </c>
      <c r="G692" s="30"/>
      <c r="H692" s="30"/>
      <c r="I692" s="30"/>
    </row>
    <row r="693" customFormat="false" ht="15" hidden="false" customHeight="false" outlineLevel="0" collapsed="false">
      <c r="A693" s="29"/>
      <c r="B693" s="29"/>
      <c r="C693" s="20" t="str">
        <f aca="false">IF(A693="","",IFERROR(INDEX(Metrics!$C:$C,MATCH(A693,Metrics!$A:$A,0)),"ID not found"))</f>
        <v/>
      </c>
      <c r="D693" s="20" t="str">
        <f aca="false">IF(B693="","",IFERROR(INDEX(Fields!$B:$B,MATCH(B693,Fields!$A:$A,0)),"ID not found"))</f>
        <v/>
      </c>
      <c r="E693" s="30"/>
      <c r="F693" s="20" t="n">
        <f aca="false">IF(A693="",0,COUNTIF('Metric to Product'!$A:$A,A693))</f>
        <v>0</v>
      </c>
      <c r="G693" s="30"/>
      <c r="H693" s="30"/>
      <c r="I693" s="30"/>
    </row>
    <row r="694" customFormat="false" ht="15" hidden="false" customHeight="false" outlineLevel="0" collapsed="false">
      <c r="A694" s="29"/>
      <c r="B694" s="29"/>
      <c r="C694" s="20" t="str">
        <f aca="false">IF(A694="","",IFERROR(INDEX(Metrics!$C:$C,MATCH(A694,Metrics!$A:$A,0)),"ID not found"))</f>
        <v/>
      </c>
      <c r="D694" s="20" t="str">
        <f aca="false">IF(B694="","",IFERROR(INDEX(Fields!$B:$B,MATCH(B694,Fields!$A:$A,0)),"ID not found"))</f>
        <v/>
      </c>
      <c r="E694" s="30"/>
      <c r="F694" s="20" t="n">
        <f aca="false">IF(A694="",0,COUNTIF('Metric to Product'!$A:$A,A694))</f>
        <v>0</v>
      </c>
      <c r="G694" s="30"/>
      <c r="H694" s="30"/>
      <c r="I694" s="30"/>
    </row>
    <row r="695" customFormat="false" ht="15" hidden="false" customHeight="false" outlineLevel="0" collapsed="false">
      <c r="A695" s="29"/>
      <c r="B695" s="29"/>
      <c r="C695" s="20" t="str">
        <f aca="false">IF(A695="","",IFERROR(INDEX(Metrics!$C:$C,MATCH(A695,Metrics!$A:$A,0)),"ID not found"))</f>
        <v/>
      </c>
      <c r="D695" s="20" t="str">
        <f aca="false">IF(B695="","",IFERROR(INDEX(Fields!$B:$B,MATCH(B695,Fields!$A:$A,0)),"ID not found"))</f>
        <v/>
      </c>
      <c r="E695" s="30"/>
      <c r="F695" s="20" t="n">
        <f aca="false">IF(A695="",0,COUNTIF('Metric to Product'!$A:$A,A695))</f>
        <v>0</v>
      </c>
      <c r="G695" s="30"/>
      <c r="H695" s="30"/>
      <c r="I695" s="30"/>
    </row>
    <row r="696" customFormat="false" ht="15" hidden="false" customHeight="false" outlineLevel="0" collapsed="false">
      <c r="A696" s="29"/>
      <c r="B696" s="29"/>
      <c r="C696" s="20" t="str">
        <f aca="false">IF(A696="","",IFERROR(INDEX(Metrics!$C:$C,MATCH(A696,Metrics!$A:$A,0)),"ID not found"))</f>
        <v/>
      </c>
      <c r="D696" s="20" t="str">
        <f aca="false">IF(B696="","",IFERROR(INDEX(Fields!$B:$B,MATCH(B696,Fields!$A:$A,0)),"ID not found"))</f>
        <v/>
      </c>
      <c r="E696" s="30"/>
      <c r="F696" s="20" t="n">
        <f aca="false">IF(A696="",0,COUNTIF('Metric to Product'!$A:$A,A696))</f>
        <v>0</v>
      </c>
      <c r="G696" s="30"/>
      <c r="H696" s="30"/>
      <c r="I696" s="30"/>
    </row>
    <row r="697" customFormat="false" ht="15" hidden="false" customHeight="false" outlineLevel="0" collapsed="false">
      <c r="A697" s="29"/>
      <c r="B697" s="29"/>
      <c r="C697" s="20" t="str">
        <f aca="false">IF(A697="","",IFERROR(INDEX(Metrics!$C:$C,MATCH(A697,Metrics!$A:$A,0)),"ID not found"))</f>
        <v/>
      </c>
      <c r="D697" s="20" t="str">
        <f aca="false">IF(B697="","",IFERROR(INDEX(Fields!$B:$B,MATCH(B697,Fields!$A:$A,0)),"ID not found"))</f>
        <v/>
      </c>
      <c r="E697" s="30"/>
      <c r="F697" s="20" t="n">
        <f aca="false">IF(A697="",0,COUNTIF('Metric to Product'!$A:$A,A697))</f>
        <v>0</v>
      </c>
      <c r="G697" s="30"/>
      <c r="H697" s="30"/>
      <c r="I697" s="30"/>
    </row>
    <row r="698" customFormat="false" ht="15" hidden="false" customHeight="false" outlineLevel="0" collapsed="false">
      <c r="A698" s="29"/>
      <c r="B698" s="29"/>
      <c r="C698" s="20" t="str">
        <f aca="false">IF(A698="","",IFERROR(INDEX(Metrics!$C:$C,MATCH(A698,Metrics!$A:$A,0)),"ID not found"))</f>
        <v/>
      </c>
      <c r="D698" s="20" t="str">
        <f aca="false">IF(B698="","",IFERROR(INDEX(Fields!$B:$B,MATCH(B698,Fields!$A:$A,0)),"ID not found"))</f>
        <v/>
      </c>
      <c r="E698" s="30"/>
      <c r="F698" s="20" t="n">
        <f aca="false">IF(A698="",0,COUNTIF('Metric to Product'!$A:$A,A698))</f>
        <v>0</v>
      </c>
      <c r="G698" s="30"/>
      <c r="H698" s="30"/>
      <c r="I698" s="30"/>
    </row>
    <row r="699" customFormat="false" ht="15" hidden="false" customHeight="false" outlineLevel="0" collapsed="false">
      <c r="A699" s="29"/>
      <c r="B699" s="29"/>
      <c r="C699" s="20" t="str">
        <f aca="false">IF(A699="","",IFERROR(INDEX(Metrics!$C:$C,MATCH(A699,Metrics!$A:$A,0)),"ID not found"))</f>
        <v/>
      </c>
      <c r="D699" s="20" t="str">
        <f aca="false">IF(B699="","",IFERROR(INDEX(Fields!$B:$B,MATCH(B699,Fields!$A:$A,0)),"ID not found"))</f>
        <v/>
      </c>
      <c r="E699" s="30"/>
      <c r="F699" s="20" t="n">
        <f aca="false">IF(A699="",0,COUNTIF('Metric to Product'!$A:$A,A699))</f>
        <v>0</v>
      </c>
      <c r="G699" s="30"/>
      <c r="H699" s="30"/>
      <c r="I699" s="30"/>
    </row>
    <row r="700" customFormat="false" ht="15" hidden="false" customHeight="false" outlineLevel="0" collapsed="false">
      <c r="A700" s="29"/>
      <c r="B700" s="29"/>
      <c r="C700" s="20" t="str">
        <f aca="false">IF(A700="","",IFERROR(INDEX(Metrics!$C:$C,MATCH(A700,Metrics!$A:$A,0)),"ID not found"))</f>
        <v/>
      </c>
      <c r="D700" s="20" t="str">
        <f aca="false">IF(B700="","",IFERROR(INDEX(Fields!$B:$B,MATCH(B700,Fields!$A:$A,0)),"ID not found"))</f>
        <v/>
      </c>
      <c r="E700" s="30"/>
      <c r="F700" s="20" t="n">
        <f aca="false">IF(A700="",0,COUNTIF('Metric to Product'!$A:$A,A700))</f>
        <v>0</v>
      </c>
      <c r="G700" s="30"/>
      <c r="H700" s="30"/>
      <c r="I700" s="30"/>
    </row>
    <row r="701" customFormat="false" ht="15" hidden="false" customHeight="false" outlineLevel="0" collapsed="false">
      <c r="A701" s="29"/>
      <c r="B701" s="29"/>
      <c r="C701" s="20" t="str">
        <f aca="false">IF(A701="","",IFERROR(INDEX(Metrics!$C:$C,MATCH(A701,Metrics!$A:$A,0)),"ID not found"))</f>
        <v/>
      </c>
      <c r="D701" s="20" t="str">
        <f aca="false">IF(B701="","",IFERROR(INDEX(Fields!$B:$B,MATCH(B701,Fields!$A:$A,0)),"ID not found"))</f>
        <v/>
      </c>
      <c r="E701" s="30"/>
      <c r="F701" s="20" t="n">
        <f aca="false">IF(A701="",0,COUNTIF('Metric to Product'!$A:$A,A701))</f>
        <v>0</v>
      </c>
      <c r="G701" s="30"/>
      <c r="H701" s="30"/>
      <c r="I701" s="30"/>
    </row>
    <row r="702" customFormat="false" ht="15" hidden="false" customHeight="false" outlineLevel="0" collapsed="false">
      <c r="A702" s="29"/>
      <c r="B702" s="29"/>
      <c r="C702" s="20" t="str">
        <f aca="false">IF(A702="","",IFERROR(INDEX(Metrics!$C:$C,MATCH(A702,Metrics!$A:$A,0)),"ID not found"))</f>
        <v/>
      </c>
      <c r="D702" s="20" t="str">
        <f aca="false">IF(B702="","",IFERROR(INDEX(Fields!$B:$B,MATCH(B702,Fields!$A:$A,0)),"ID not found"))</f>
        <v/>
      </c>
      <c r="E702" s="30"/>
      <c r="F702" s="20" t="n">
        <f aca="false">IF(A702="",0,COUNTIF('Metric to Product'!$A:$A,A702))</f>
        <v>0</v>
      </c>
      <c r="G702" s="30"/>
      <c r="H702" s="30"/>
      <c r="I702" s="30"/>
    </row>
    <row r="703" customFormat="false" ht="15" hidden="false" customHeight="false" outlineLevel="0" collapsed="false">
      <c r="A703" s="29"/>
      <c r="B703" s="29"/>
      <c r="C703" s="20" t="str">
        <f aca="false">IF(A703="","",IFERROR(INDEX(Metrics!$C:$C,MATCH(A703,Metrics!$A:$A,0)),"ID not found"))</f>
        <v/>
      </c>
      <c r="D703" s="20" t="str">
        <f aca="false">IF(B703="","",IFERROR(INDEX(Fields!$B:$B,MATCH(B703,Fields!$A:$A,0)),"ID not found"))</f>
        <v/>
      </c>
      <c r="E703" s="30"/>
      <c r="F703" s="20" t="n">
        <f aca="false">IF(A703="",0,COUNTIF('Metric to Product'!$A:$A,A703))</f>
        <v>0</v>
      </c>
      <c r="G703" s="30"/>
      <c r="H703" s="30"/>
      <c r="I703" s="30"/>
    </row>
    <row r="704" customFormat="false" ht="15" hidden="false" customHeight="false" outlineLevel="0" collapsed="false">
      <c r="A704" s="29"/>
      <c r="B704" s="29"/>
      <c r="C704" s="20" t="str">
        <f aca="false">IF(A704="","",IFERROR(INDEX(Metrics!$C:$C,MATCH(A704,Metrics!$A:$A,0)),"ID not found"))</f>
        <v/>
      </c>
      <c r="D704" s="20" t="str">
        <f aca="false">IF(B704="","",IFERROR(INDEX(Fields!$B:$B,MATCH(B704,Fields!$A:$A,0)),"ID not found"))</f>
        <v/>
      </c>
      <c r="E704" s="30"/>
      <c r="F704" s="20" t="n">
        <f aca="false">IF(A704="",0,COUNTIF('Metric to Product'!$A:$A,A704))</f>
        <v>0</v>
      </c>
      <c r="G704" s="30"/>
      <c r="H704" s="30"/>
      <c r="I704" s="30"/>
    </row>
    <row r="705" customFormat="false" ht="15" hidden="false" customHeight="false" outlineLevel="0" collapsed="false">
      <c r="A705" s="29"/>
      <c r="B705" s="29"/>
      <c r="C705" s="20" t="str">
        <f aca="false">IF(A705="","",IFERROR(INDEX(Metrics!$C:$C,MATCH(A705,Metrics!$A:$A,0)),"ID not found"))</f>
        <v/>
      </c>
      <c r="D705" s="20" t="str">
        <f aca="false">IF(B705="","",IFERROR(INDEX(Fields!$B:$B,MATCH(B705,Fields!$A:$A,0)),"ID not found"))</f>
        <v/>
      </c>
      <c r="E705" s="30"/>
      <c r="F705" s="20" t="n">
        <f aca="false">IF(A705="",0,COUNTIF('Metric to Product'!$A:$A,A705))</f>
        <v>0</v>
      </c>
      <c r="G705" s="30"/>
      <c r="H705" s="30"/>
      <c r="I705" s="30"/>
    </row>
    <row r="706" customFormat="false" ht="15" hidden="false" customHeight="false" outlineLevel="0" collapsed="false">
      <c r="A706" s="29"/>
      <c r="B706" s="29"/>
      <c r="C706" s="20" t="str">
        <f aca="false">IF(A706="","",IFERROR(INDEX(Metrics!$C:$C,MATCH(A706,Metrics!$A:$A,0)),"ID not found"))</f>
        <v/>
      </c>
      <c r="D706" s="20" t="str">
        <f aca="false">IF(B706="","",IFERROR(INDEX(Fields!$B:$B,MATCH(B706,Fields!$A:$A,0)),"ID not found"))</f>
        <v/>
      </c>
      <c r="E706" s="30"/>
      <c r="F706" s="20" t="n">
        <f aca="false">IF(A706="",0,COUNTIF('Metric to Product'!$A:$A,A706))</f>
        <v>0</v>
      </c>
      <c r="G706" s="30"/>
      <c r="H706" s="30"/>
      <c r="I706" s="30"/>
    </row>
    <row r="707" customFormat="false" ht="15" hidden="false" customHeight="false" outlineLevel="0" collapsed="false">
      <c r="A707" s="29"/>
      <c r="B707" s="29"/>
      <c r="C707" s="20" t="str">
        <f aca="false">IF(A707="","",IFERROR(INDEX(Metrics!$C:$C,MATCH(A707,Metrics!$A:$A,0)),"ID not found"))</f>
        <v/>
      </c>
      <c r="D707" s="20" t="str">
        <f aca="false">IF(B707="","",IFERROR(INDEX(Fields!$B:$B,MATCH(B707,Fields!$A:$A,0)),"ID not found"))</f>
        <v/>
      </c>
      <c r="E707" s="30"/>
      <c r="F707" s="20" t="n">
        <f aca="false">IF(A707="",0,COUNTIF('Metric to Product'!$A:$A,A707))</f>
        <v>0</v>
      </c>
      <c r="G707" s="30"/>
      <c r="H707" s="30"/>
      <c r="I707" s="30"/>
    </row>
    <row r="708" customFormat="false" ht="15" hidden="false" customHeight="false" outlineLevel="0" collapsed="false">
      <c r="A708" s="29"/>
      <c r="B708" s="29"/>
      <c r="C708" s="20" t="str">
        <f aca="false">IF(A708="","",IFERROR(INDEX(Metrics!$C:$C,MATCH(A708,Metrics!$A:$A,0)),"ID not found"))</f>
        <v/>
      </c>
      <c r="D708" s="20" t="str">
        <f aca="false">IF(B708="","",IFERROR(INDEX(Fields!$B:$B,MATCH(B708,Fields!$A:$A,0)),"ID not found"))</f>
        <v/>
      </c>
      <c r="E708" s="30"/>
      <c r="F708" s="20" t="n">
        <f aca="false">IF(A708="",0,COUNTIF('Metric to Product'!$A:$A,A708))</f>
        <v>0</v>
      </c>
      <c r="G708" s="30"/>
      <c r="H708" s="30"/>
      <c r="I708" s="30"/>
    </row>
    <row r="709" customFormat="false" ht="15" hidden="false" customHeight="false" outlineLevel="0" collapsed="false">
      <c r="A709" s="29"/>
      <c r="B709" s="29"/>
      <c r="C709" s="20" t="str">
        <f aca="false">IF(A709="","",IFERROR(INDEX(Metrics!$C:$C,MATCH(A709,Metrics!$A:$A,0)),"ID not found"))</f>
        <v/>
      </c>
      <c r="D709" s="20" t="str">
        <f aca="false">IF(B709="","",IFERROR(INDEX(Fields!$B:$B,MATCH(B709,Fields!$A:$A,0)),"ID not found"))</f>
        <v/>
      </c>
      <c r="E709" s="30"/>
      <c r="F709" s="20" t="n">
        <f aca="false">IF(A709="",0,COUNTIF('Metric to Product'!$A:$A,A709))</f>
        <v>0</v>
      </c>
      <c r="G709" s="30"/>
      <c r="H709" s="30"/>
      <c r="I709" s="30"/>
    </row>
    <row r="710" customFormat="false" ht="15" hidden="false" customHeight="false" outlineLevel="0" collapsed="false">
      <c r="A710" s="29"/>
      <c r="B710" s="29"/>
      <c r="C710" s="20" t="str">
        <f aca="false">IF(A710="","",IFERROR(INDEX(Metrics!$C:$C,MATCH(A710,Metrics!$A:$A,0)),"ID not found"))</f>
        <v/>
      </c>
      <c r="D710" s="20" t="str">
        <f aca="false">IF(B710="","",IFERROR(INDEX(Fields!$B:$B,MATCH(B710,Fields!$A:$A,0)),"ID not found"))</f>
        <v/>
      </c>
      <c r="E710" s="30"/>
      <c r="F710" s="20" t="n">
        <f aca="false">IF(A710="",0,COUNTIF('Metric to Product'!$A:$A,A710))</f>
        <v>0</v>
      </c>
      <c r="G710" s="30"/>
      <c r="H710" s="30"/>
      <c r="I710" s="30"/>
    </row>
    <row r="711" customFormat="false" ht="15" hidden="false" customHeight="false" outlineLevel="0" collapsed="false">
      <c r="A711" s="29"/>
      <c r="B711" s="29"/>
      <c r="C711" s="20" t="str">
        <f aca="false">IF(A711="","",IFERROR(INDEX(Metrics!$C:$C,MATCH(A711,Metrics!$A:$A,0)),"ID not found"))</f>
        <v/>
      </c>
      <c r="D711" s="20" t="str">
        <f aca="false">IF(B711="","",IFERROR(INDEX(Fields!$B:$B,MATCH(B711,Fields!$A:$A,0)),"ID not found"))</f>
        <v/>
      </c>
      <c r="E711" s="30"/>
      <c r="F711" s="20" t="n">
        <f aca="false">IF(A711="",0,COUNTIF('Metric to Product'!$A:$A,A711))</f>
        <v>0</v>
      </c>
      <c r="G711" s="30"/>
      <c r="H711" s="30"/>
      <c r="I711" s="30"/>
    </row>
    <row r="712" customFormat="false" ht="15" hidden="false" customHeight="false" outlineLevel="0" collapsed="false">
      <c r="A712" s="29"/>
      <c r="B712" s="29"/>
      <c r="C712" s="20" t="str">
        <f aca="false">IF(A712="","",IFERROR(INDEX(Metrics!$C:$C,MATCH(A712,Metrics!$A:$A,0)),"ID not found"))</f>
        <v/>
      </c>
      <c r="D712" s="20" t="str">
        <f aca="false">IF(B712="","",IFERROR(INDEX(Fields!$B:$B,MATCH(B712,Fields!$A:$A,0)),"ID not found"))</f>
        <v/>
      </c>
      <c r="E712" s="30"/>
      <c r="F712" s="20" t="n">
        <f aca="false">IF(A712="",0,COUNTIF('Metric to Product'!$A:$A,A712))</f>
        <v>0</v>
      </c>
      <c r="G712" s="30"/>
      <c r="H712" s="30"/>
      <c r="I712" s="30"/>
    </row>
    <row r="713" customFormat="false" ht="15" hidden="false" customHeight="false" outlineLevel="0" collapsed="false">
      <c r="A713" s="29"/>
      <c r="B713" s="29"/>
      <c r="C713" s="20" t="str">
        <f aca="false">IF(A713="","",IFERROR(INDEX(Metrics!$C:$C,MATCH(A713,Metrics!$A:$A,0)),"ID not found"))</f>
        <v/>
      </c>
      <c r="D713" s="20" t="str">
        <f aca="false">IF(B713="","",IFERROR(INDEX(Fields!$B:$B,MATCH(B713,Fields!$A:$A,0)),"ID not found"))</f>
        <v/>
      </c>
      <c r="E713" s="30"/>
      <c r="F713" s="20" t="n">
        <f aca="false">IF(A713="",0,COUNTIF('Metric to Product'!$A:$A,A713))</f>
        <v>0</v>
      </c>
      <c r="G713" s="30"/>
      <c r="H713" s="30"/>
      <c r="I713" s="30"/>
    </row>
    <row r="714" customFormat="false" ht="15" hidden="false" customHeight="false" outlineLevel="0" collapsed="false">
      <c r="A714" s="29"/>
      <c r="B714" s="29"/>
      <c r="C714" s="20" t="str">
        <f aca="false">IF(A714="","",IFERROR(INDEX(Metrics!$C:$C,MATCH(A714,Metrics!$A:$A,0)),"ID not found"))</f>
        <v/>
      </c>
      <c r="D714" s="20" t="str">
        <f aca="false">IF(B714="","",IFERROR(INDEX(Fields!$B:$B,MATCH(B714,Fields!$A:$A,0)),"ID not found"))</f>
        <v/>
      </c>
      <c r="E714" s="30"/>
      <c r="F714" s="20" t="n">
        <f aca="false">IF(A714="",0,COUNTIF('Metric to Product'!$A:$A,A714))</f>
        <v>0</v>
      </c>
      <c r="G714" s="30"/>
      <c r="H714" s="30"/>
      <c r="I714" s="30"/>
    </row>
    <row r="715" customFormat="false" ht="15" hidden="false" customHeight="false" outlineLevel="0" collapsed="false">
      <c r="A715" s="29"/>
      <c r="B715" s="29"/>
      <c r="C715" s="20" t="str">
        <f aca="false">IF(A715="","",IFERROR(INDEX(Metrics!$C:$C,MATCH(A715,Metrics!$A:$A,0)),"ID not found"))</f>
        <v/>
      </c>
      <c r="D715" s="20" t="str">
        <f aca="false">IF(B715="","",IFERROR(INDEX(Fields!$B:$B,MATCH(B715,Fields!$A:$A,0)),"ID not found"))</f>
        <v/>
      </c>
      <c r="E715" s="30"/>
      <c r="F715" s="20" t="n">
        <f aca="false">IF(A715="",0,COUNTIF('Metric to Product'!$A:$A,A715))</f>
        <v>0</v>
      </c>
      <c r="G715" s="30"/>
      <c r="H715" s="30"/>
      <c r="I715" s="30"/>
    </row>
    <row r="716" customFormat="false" ht="15" hidden="false" customHeight="false" outlineLevel="0" collapsed="false">
      <c r="A716" s="29"/>
      <c r="B716" s="29"/>
      <c r="C716" s="20" t="str">
        <f aca="false">IF(A716="","",IFERROR(INDEX(Metrics!$C:$C,MATCH(A716,Metrics!$A:$A,0)),"ID not found"))</f>
        <v/>
      </c>
      <c r="D716" s="20" t="str">
        <f aca="false">IF(B716="","",IFERROR(INDEX(Fields!$B:$B,MATCH(B716,Fields!$A:$A,0)),"ID not found"))</f>
        <v/>
      </c>
      <c r="E716" s="30"/>
      <c r="F716" s="20" t="n">
        <f aca="false">IF(A716="",0,COUNTIF('Metric to Product'!$A:$A,A716))</f>
        <v>0</v>
      </c>
      <c r="G716" s="30"/>
      <c r="H716" s="30"/>
      <c r="I716" s="30"/>
    </row>
    <row r="717" customFormat="false" ht="15" hidden="false" customHeight="false" outlineLevel="0" collapsed="false">
      <c r="A717" s="29"/>
      <c r="B717" s="29"/>
      <c r="C717" s="20" t="str">
        <f aca="false">IF(A717="","",IFERROR(INDEX(Metrics!$C:$C,MATCH(A717,Metrics!$A:$A,0)),"ID not found"))</f>
        <v/>
      </c>
      <c r="D717" s="20" t="str">
        <f aca="false">IF(B717="","",IFERROR(INDEX(Fields!$B:$B,MATCH(B717,Fields!$A:$A,0)),"ID not found"))</f>
        <v/>
      </c>
      <c r="E717" s="30"/>
      <c r="F717" s="20" t="n">
        <f aca="false">IF(A717="",0,COUNTIF('Metric to Product'!$A:$A,A717))</f>
        <v>0</v>
      </c>
      <c r="G717" s="30"/>
      <c r="H717" s="30"/>
      <c r="I717" s="30"/>
    </row>
    <row r="718" customFormat="false" ht="15" hidden="false" customHeight="false" outlineLevel="0" collapsed="false">
      <c r="A718" s="29"/>
      <c r="B718" s="29"/>
      <c r="C718" s="20" t="str">
        <f aca="false">IF(A718="","",IFERROR(INDEX(Metrics!$C:$C,MATCH(A718,Metrics!$A:$A,0)),"ID not found"))</f>
        <v/>
      </c>
      <c r="D718" s="20" t="str">
        <f aca="false">IF(B718="","",IFERROR(INDEX(Fields!$B:$B,MATCH(B718,Fields!$A:$A,0)),"ID not found"))</f>
        <v/>
      </c>
      <c r="E718" s="30"/>
      <c r="F718" s="20" t="n">
        <f aca="false">IF(A718="",0,COUNTIF('Metric to Product'!$A:$A,A718))</f>
        <v>0</v>
      </c>
      <c r="G718" s="30"/>
      <c r="H718" s="30"/>
      <c r="I718" s="30"/>
    </row>
    <row r="719" customFormat="false" ht="15" hidden="false" customHeight="false" outlineLevel="0" collapsed="false">
      <c r="A719" s="29"/>
      <c r="B719" s="29"/>
      <c r="C719" s="20" t="str">
        <f aca="false">IF(A719="","",IFERROR(INDEX(Metrics!$C:$C,MATCH(A719,Metrics!$A:$A,0)),"ID not found"))</f>
        <v/>
      </c>
      <c r="D719" s="20" t="str">
        <f aca="false">IF(B719="","",IFERROR(INDEX(Fields!$B:$B,MATCH(B719,Fields!$A:$A,0)),"ID not found"))</f>
        <v/>
      </c>
      <c r="E719" s="30"/>
      <c r="F719" s="20" t="n">
        <f aca="false">IF(A719="",0,COUNTIF('Metric to Product'!$A:$A,A719))</f>
        <v>0</v>
      </c>
      <c r="G719" s="30"/>
      <c r="H719" s="30"/>
      <c r="I719" s="30"/>
    </row>
    <row r="720" customFormat="false" ht="15" hidden="false" customHeight="false" outlineLevel="0" collapsed="false">
      <c r="A720" s="29"/>
      <c r="B720" s="29"/>
      <c r="C720" s="20" t="str">
        <f aca="false">IF(A720="","",IFERROR(INDEX(Metrics!$C:$C,MATCH(A720,Metrics!$A:$A,0)),"ID not found"))</f>
        <v/>
      </c>
      <c r="D720" s="20" t="str">
        <f aca="false">IF(B720="","",IFERROR(INDEX(Fields!$B:$B,MATCH(B720,Fields!$A:$A,0)),"ID not found"))</f>
        <v/>
      </c>
      <c r="E720" s="30"/>
      <c r="F720" s="20" t="n">
        <f aca="false">IF(A720="",0,COUNTIF('Metric to Product'!$A:$A,A720))</f>
        <v>0</v>
      </c>
      <c r="G720" s="30"/>
      <c r="H720" s="30"/>
      <c r="I720" s="30"/>
    </row>
    <row r="721" customFormat="false" ht="15" hidden="false" customHeight="false" outlineLevel="0" collapsed="false">
      <c r="A721" s="29"/>
      <c r="B721" s="29"/>
      <c r="C721" s="20" t="str">
        <f aca="false">IF(A721="","",IFERROR(INDEX(Metrics!$C:$C,MATCH(A721,Metrics!$A:$A,0)),"ID not found"))</f>
        <v/>
      </c>
      <c r="D721" s="20" t="str">
        <f aca="false">IF(B721="","",IFERROR(INDEX(Fields!$B:$B,MATCH(B721,Fields!$A:$A,0)),"ID not found"))</f>
        <v/>
      </c>
      <c r="E721" s="30"/>
      <c r="F721" s="20" t="n">
        <f aca="false">IF(A721="",0,COUNTIF('Metric to Product'!$A:$A,A721))</f>
        <v>0</v>
      </c>
      <c r="G721" s="30"/>
      <c r="H721" s="30"/>
      <c r="I721" s="30"/>
    </row>
    <row r="722" customFormat="false" ht="15" hidden="false" customHeight="false" outlineLevel="0" collapsed="false">
      <c r="A722" s="29"/>
      <c r="B722" s="29"/>
      <c r="C722" s="20" t="str">
        <f aca="false">IF(A722="","",IFERROR(INDEX(Metrics!$C:$C,MATCH(A722,Metrics!$A:$A,0)),"ID not found"))</f>
        <v/>
      </c>
      <c r="D722" s="20" t="str">
        <f aca="false">IF(B722="","",IFERROR(INDEX(Fields!$B:$B,MATCH(B722,Fields!$A:$A,0)),"ID not found"))</f>
        <v/>
      </c>
      <c r="E722" s="30"/>
      <c r="F722" s="20" t="n">
        <f aca="false">IF(A722="",0,COUNTIF('Metric to Product'!$A:$A,A722))</f>
        <v>0</v>
      </c>
      <c r="G722" s="30"/>
      <c r="H722" s="30"/>
      <c r="I722" s="30"/>
    </row>
    <row r="723" customFormat="false" ht="15" hidden="false" customHeight="false" outlineLevel="0" collapsed="false">
      <c r="A723" s="29"/>
      <c r="B723" s="29"/>
      <c r="C723" s="20" t="str">
        <f aca="false">IF(A723="","",IFERROR(INDEX(Metrics!$C:$C,MATCH(A723,Metrics!$A:$A,0)),"ID not found"))</f>
        <v/>
      </c>
      <c r="D723" s="20" t="str">
        <f aca="false">IF(B723="","",IFERROR(INDEX(Fields!$B:$B,MATCH(B723,Fields!$A:$A,0)),"ID not found"))</f>
        <v/>
      </c>
      <c r="E723" s="30"/>
      <c r="F723" s="20" t="n">
        <f aca="false">IF(A723="",0,COUNTIF('Metric to Product'!$A:$A,A723))</f>
        <v>0</v>
      </c>
      <c r="G723" s="30"/>
      <c r="H723" s="30"/>
      <c r="I723" s="30"/>
    </row>
    <row r="724" customFormat="false" ht="15" hidden="false" customHeight="false" outlineLevel="0" collapsed="false">
      <c r="A724" s="29"/>
      <c r="B724" s="29"/>
      <c r="C724" s="20" t="str">
        <f aca="false">IF(A724="","",IFERROR(INDEX(Metrics!$C:$C,MATCH(A724,Metrics!$A:$A,0)),"ID not found"))</f>
        <v/>
      </c>
      <c r="D724" s="20" t="str">
        <f aca="false">IF(B724="","",IFERROR(INDEX(Fields!$B:$B,MATCH(B724,Fields!$A:$A,0)),"ID not found"))</f>
        <v/>
      </c>
      <c r="E724" s="30"/>
      <c r="F724" s="20" t="n">
        <f aca="false">IF(A724="",0,COUNTIF('Metric to Product'!$A:$A,A724))</f>
        <v>0</v>
      </c>
      <c r="G724" s="30"/>
      <c r="H724" s="30"/>
      <c r="I724" s="30"/>
    </row>
    <row r="725" customFormat="false" ht="15" hidden="false" customHeight="false" outlineLevel="0" collapsed="false">
      <c r="A725" s="29"/>
      <c r="B725" s="29"/>
      <c r="C725" s="20" t="str">
        <f aca="false">IF(A725="","",IFERROR(INDEX(Metrics!$C:$C,MATCH(A725,Metrics!$A:$A,0)),"ID not found"))</f>
        <v/>
      </c>
      <c r="D725" s="20" t="str">
        <f aca="false">IF(B725="","",IFERROR(INDEX(Fields!$B:$B,MATCH(B725,Fields!$A:$A,0)),"ID not found"))</f>
        <v/>
      </c>
      <c r="E725" s="30"/>
      <c r="F725" s="20" t="n">
        <f aca="false">IF(A725="",0,COUNTIF('Metric to Product'!$A:$A,A725))</f>
        <v>0</v>
      </c>
      <c r="G725" s="30"/>
      <c r="H725" s="30"/>
      <c r="I725" s="30"/>
    </row>
    <row r="726" customFormat="false" ht="15" hidden="false" customHeight="false" outlineLevel="0" collapsed="false">
      <c r="A726" s="29"/>
      <c r="B726" s="29"/>
      <c r="C726" s="20" t="str">
        <f aca="false">IF(A726="","",IFERROR(INDEX(Metrics!$C:$C,MATCH(A726,Metrics!$A:$A,0)),"ID not found"))</f>
        <v/>
      </c>
      <c r="D726" s="20" t="str">
        <f aca="false">IF(B726="","",IFERROR(INDEX(Fields!$B:$B,MATCH(B726,Fields!$A:$A,0)),"ID not found"))</f>
        <v/>
      </c>
      <c r="E726" s="30"/>
      <c r="F726" s="20" t="n">
        <f aca="false">IF(A726="",0,COUNTIF('Metric to Product'!$A:$A,A726))</f>
        <v>0</v>
      </c>
      <c r="G726" s="30"/>
      <c r="H726" s="30"/>
      <c r="I726" s="30"/>
    </row>
    <row r="727" customFormat="false" ht="15" hidden="false" customHeight="false" outlineLevel="0" collapsed="false">
      <c r="A727" s="29"/>
      <c r="B727" s="29"/>
      <c r="C727" s="20" t="str">
        <f aca="false">IF(A727="","",IFERROR(INDEX(Metrics!$C:$C,MATCH(A727,Metrics!$A:$A,0)),"ID not found"))</f>
        <v/>
      </c>
      <c r="D727" s="20" t="str">
        <f aca="false">IF(B727="","",IFERROR(INDEX(Fields!$B:$B,MATCH(B727,Fields!$A:$A,0)),"ID not found"))</f>
        <v/>
      </c>
      <c r="E727" s="30"/>
      <c r="F727" s="20" t="n">
        <f aca="false">IF(A727="",0,COUNTIF('Metric to Product'!$A:$A,A727))</f>
        <v>0</v>
      </c>
      <c r="G727" s="30"/>
      <c r="H727" s="30"/>
      <c r="I727" s="30"/>
    </row>
    <row r="728" customFormat="false" ht="15" hidden="false" customHeight="false" outlineLevel="0" collapsed="false">
      <c r="A728" s="29"/>
      <c r="B728" s="29"/>
      <c r="C728" s="20" t="str">
        <f aca="false">IF(A728="","",IFERROR(INDEX(Metrics!$C:$C,MATCH(A728,Metrics!$A:$A,0)),"ID not found"))</f>
        <v/>
      </c>
      <c r="D728" s="20" t="str">
        <f aca="false">IF(B728="","",IFERROR(INDEX(Fields!$B:$B,MATCH(B728,Fields!$A:$A,0)),"ID not found"))</f>
        <v/>
      </c>
      <c r="E728" s="30"/>
      <c r="F728" s="20" t="n">
        <f aca="false">IF(A728="",0,COUNTIF('Metric to Product'!$A:$A,A728))</f>
        <v>0</v>
      </c>
      <c r="G728" s="30"/>
      <c r="H728" s="30"/>
      <c r="I728" s="30"/>
    </row>
    <row r="729" customFormat="false" ht="15" hidden="false" customHeight="false" outlineLevel="0" collapsed="false">
      <c r="A729" s="29"/>
      <c r="B729" s="29"/>
      <c r="C729" s="20" t="str">
        <f aca="false">IF(A729="","",IFERROR(INDEX(Metrics!$C:$C,MATCH(A729,Metrics!$A:$A,0)),"ID not found"))</f>
        <v/>
      </c>
      <c r="D729" s="20" t="str">
        <f aca="false">IF(B729="","",IFERROR(INDEX(Fields!$B:$B,MATCH(B729,Fields!$A:$A,0)),"ID not found"))</f>
        <v/>
      </c>
      <c r="E729" s="30"/>
      <c r="F729" s="20" t="n">
        <f aca="false">IF(A729="",0,COUNTIF('Metric to Product'!$A:$A,A729))</f>
        <v>0</v>
      </c>
      <c r="G729" s="30"/>
      <c r="H729" s="30"/>
      <c r="I729" s="30"/>
    </row>
    <row r="730" customFormat="false" ht="15" hidden="false" customHeight="false" outlineLevel="0" collapsed="false">
      <c r="A730" s="29"/>
      <c r="B730" s="29"/>
      <c r="C730" s="20" t="str">
        <f aca="false">IF(A730="","",IFERROR(INDEX(Metrics!$C:$C,MATCH(A730,Metrics!$A:$A,0)),"ID not found"))</f>
        <v/>
      </c>
      <c r="D730" s="20" t="str">
        <f aca="false">IF(B730="","",IFERROR(INDEX(Fields!$B:$B,MATCH(B730,Fields!$A:$A,0)),"ID not found"))</f>
        <v/>
      </c>
      <c r="E730" s="30"/>
      <c r="F730" s="20" t="n">
        <f aca="false">IF(A730="",0,COUNTIF('Metric to Product'!$A:$A,A730))</f>
        <v>0</v>
      </c>
      <c r="G730" s="30"/>
      <c r="H730" s="30"/>
      <c r="I730" s="30"/>
    </row>
    <row r="731" customFormat="false" ht="15" hidden="false" customHeight="false" outlineLevel="0" collapsed="false">
      <c r="A731" s="29"/>
      <c r="B731" s="29"/>
      <c r="C731" s="20" t="str">
        <f aca="false">IF(A731="","",IFERROR(INDEX(Metrics!$C:$C,MATCH(A731,Metrics!$A:$A,0)),"ID not found"))</f>
        <v/>
      </c>
      <c r="D731" s="20" t="str">
        <f aca="false">IF(B731="","",IFERROR(INDEX(Fields!$B:$B,MATCH(B731,Fields!$A:$A,0)),"ID not found"))</f>
        <v/>
      </c>
      <c r="E731" s="30"/>
      <c r="F731" s="20" t="n">
        <f aca="false">IF(A731="",0,COUNTIF('Metric to Product'!$A:$A,A731))</f>
        <v>0</v>
      </c>
      <c r="G731" s="30"/>
      <c r="H731" s="30"/>
      <c r="I731" s="30"/>
    </row>
    <row r="732" customFormat="false" ht="15" hidden="false" customHeight="false" outlineLevel="0" collapsed="false">
      <c r="A732" s="29"/>
      <c r="B732" s="29"/>
      <c r="C732" s="20" t="str">
        <f aca="false">IF(A732="","",IFERROR(INDEX(Metrics!$C:$C,MATCH(A732,Metrics!$A:$A,0)),"ID not found"))</f>
        <v/>
      </c>
      <c r="D732" s="20" t="str">
        <f aca="false">IF(B732="","",IFERROR(INDEX(Fields!$B:$B,MATCH(B732,Fields!$A:$A,0)),"ID not found"))</f>
        <v/>
      </c>
      <c r="E732" s="30"/>
      <c r="F732" s="20" t="n">
        <f aca="false">IF(A732="",0,COUNTIF('Metric to Product'!$A:$A,A732))</f>
        <v>0</v>
      </c>
      <c r="G732" s="30"/>
      <c r="H732" s="30"/>
      <c r="I732" s="30"/>
    </row>
    <row r="733" customFormat="false" ht="15" hidden="false" customHeight="false" outlineLevel="0" collapsed="false">
      <c r="A733" s="29"/>
      <c r="B733" s="29"/>
      <c r="C733" s="20" t="str">
        <f aca="false">IF(A733="","",IFERROR(INDEX(Metrics!$C:$C,MATCH(A733,Metrics!$A:$A,0)),"ID not found"))</f>
        <v/>
      </c>
      <c r="D733" s="20" t="str">
        <f aca="false">IF(B733="","",IFERROR(INDEX(Fields!$B:$B,MATCH(B733,Fields!$A:$A,0)),"ID not found"))</f>
        <v/>
      </c>
      <c r="E733" s="30"/>
      <c r="F733" s="20" t="n">
        <f aca="false">IF(A733="",0,COUNTIF('Metric to Product'!$A:$A,A733))</f>
        <v>0</v>
      </c>
      <c r="G733" s="30"/>
      <c r="H733" s="30"/>
      <c r="I733" s="30"/>
    </row>
    <row r="734" customFormat="false" ht="15" hidden="false" customHeight="false" outlineLevel="0" collapsed="false">
      <c r="A734" s="29"/>
      <c r="B734" s="29"/>
      <c r="C734" s="20" t="str">
        <f aca="false">IF(A734="","",IFERROR(INDEX(Metrics!$C:$C,MATCH(A734,Metrics!$A:$A,0)),"ID not found"))</f>
        <v/>
      </c>
      <c r="D734" s="20" t="str">
        <f aca="false">IF(B734="","",IFERROR(INDEX(Fields!$B:$B,MATCH(B734,Fields!$A:$A,0)),"ID not found"))</f>
        <v/>
      </c>
      <c r="E734" s="30"/>
      <c r="F734" s="20" t="n">
        <f aca="false">IF(A734="",0,COUNTIF('Metric to Product'!$A:$A,A734))</f>
        <v>0</v>
      </c>
      <c r="G734" s="30"/>
      <c r="H734" s="30"/>
      <c r="I734" s="30"/>
    </row>
    <row r="735" customFormat="false" ht="15" hidden="false" customHeight="false" outlineLevel="0" collapsed="false">
      <c r="A735" s="29"/>
      <c r="B735" s="29"/>
      <c r="C735" s="20" t="str">
        <f aca="false">IF(A735="","",IFERROR(INDEX(Metrics!$C:$C,MATCH(A735,Metrics!$A:$A,0)),"ID not found"))</f>
        <v/>
      </c>
      <c r="D735" s="20" t="str">
        <f aca="false">IF(B735="","",IFERROR(INDEX(Fields!$B:$B,MATCH(B735,Fields!$A:$A,0)),"ID not found"))</f>
        <v/>
      </c>
      <c r="E735" s="30"/>
      <c r="F735" s="20" t="n">
        <f aca="false">IF(A735="",0,COUNTIF('Metric to Product'!$A:$A,A735))</f>
        <v>0</v>
      </c>
      <c r="G735" s="30"/>
      <c r="H735" s="30"/>
      <c r="I735" s="30"/>
    </row>
    <row r="736" customFormat="false" ht="15" hidden="false" customHeight="false" outlineLevel="0" collapsed="false">
      <c r="A736" s="29"/>
      <c r="B736" s="29"/>
      <c r="C736" s="20" t="str">
        <f aca="false">IF(A736="","",IFERROR(INDEX(Metrics!$C:$C,MATCH(A736,Metrics!$A:$A,0)),"ID not found"))</f>
        <v/>
      </c>
      <c r="D736" s="20" t="str">
        <f aca="false">IF(B736="","",IFERROR(INDEX(Fields!$B:$B,MATCH(B736,Fields!$A:$A,0)),"ID not found"))</f>
        <v/>
      </c>
      <c r="E736" s="30"/>
      <c r="F736" s="20" t="n">
        <f aca="false">IF(A736="",0,COUNTIF('Metric to Product'!$A:$A,A736))</f>
        <v>0</v>
      </c>
      <c r="G736" s="30"/>
      <c r="H736" s="30"/>
      <c r="I736" s="30"/>
    </row>
    <row r="737" customFormat="false" ht="15" hidden="false" customHeight="false" outlineLevel="0" collapsed="false">
      <c r="A737" s="29"/>
      <c r="B737" s="29"/>
      <c r="C737" s="20" t="str">
        <f aca="false">IF(A737="","",IFERROR(INDEX(Metrics!$C:$C,MATCH(A737,Metrics!$A:$A,0)),"ID not found"))</f>
        <v/>
      </c>
      <c r="D737" s="20" t="str">
        <f aca="false">IF(B737="","",IFERROR(INDEX(Fields!$B:$B,MATCH(B737,Fields!$A:$A,0)),"ID not found"))</f>
        <v/>
      </c>
      <c r="E737" s="30"/>
      <c r="F737" s="20" t="n">
        <f aca="false">IF(A737="",0,COUNTIF('Metric to Product'!$A:$A,A737))</f>
        <v>0</v>
      </c>
      <c r="G737" s="30"/>
      <c r="H737" s="30"/>
      <c r="I737" s="30"/>
    </row>
    <row r="738" customFormat="false" ht="15" hidden="false" customHeight="false" outlineLevel="0" collapsed="false">
      <c r="A738" s="29"/>
      <c r="B738" s="29"/>
      <c r="C738" s="20" t="str">
        <f aca="false">IF(A738="","",IFERROR(INDEX(Metrics!$C:$C,MATCH(A738,Metrics!$A:$A,0)),"ID not found"))</f>
        <v/>
      </c>
      <c r="D738" s="20" t="str">
        <f aca="false">IF(B738="","",IFERROR(INDEX(Fields!$B:$B,MATCH(B738,Fields!$A:$A,0)),"ID not found"))</f>
        <v/>
      </c>
      <c r="E738" s="30"/>
      <c r="F738" s="20" t="n">
        <f aca="false">IF(A738="",0,COUNTIF('Metric to Product'!$A:$A,A738))</f>
        <v>0</v>
      </c>
      <c r="G738" s="30"/>
      <c r="H738" s="30"/>
      <c r="I738" s="30"/>
    </row>
    <row r="739" customFormat="false" ht="15" hidden="false" customHeight="false" outlineLevel="0" collapsed="false">
      <c r="A739" s="29"/>
      <c r="B739" s="29"/>
      <c r="C739" s="20" t="str">
        <f aca="false">IF(A739="","",IFERROR(INDEX(Metrics!$C:$C,MATCH(A739,Metrics!$A:$A,0)),"ID not found"))</f>
        <v/>
      </c>
      <c r="D739" s="20" t="str">
        <f aca="false">IF(B739="","",IFERROR(INDEX(Fields!$B:$B,MATCH(B739,Fields!$A:$A,0)),"ID not found"))</f>
        <v/>
      </c>
      <c r="E739" s="30"/>
      <c r="F739" s="20" t="n">
        <f aca="false">IF(A739="",0,COUNTIF('Metric to Product'!$A:$A,A739))</f>
        <v>0</v>
      </c>
      <c r="G739" s="30"/>
      <c r="H739" s="30"/>
      <c r="I739" s="30"/>
    </row>
    <row r="740" customFormat="false" ht="15" hidden="false" customHeight="false" outlineLevel="0" collapsed="false">
      <c r="A740" s="29"/>
      <c r="B740" s="29"/>
      <c r="C740" s="20" t="str">
        <f aca="false">IF(A740="","",IFERROR(INDEX(Metrics!$C:$C,MATCH(A740,Metrics!$A:$A,0)),"ID not found"))</f>
        <v/>
      </c>
      <c r="D740" s="20" t="str">
        <f aca="false">IF(B740="","",IFERROR(INDEX(Fields!$B:$B,MATCH(B740,Fields!$A:$A,0)),"ID not found"))</f>
        <v/>
      </c>
      <c r="E740" s="30"/>
      <c r="F740" s="20" t="n">
        <f aca="false">IF(A740="",0,COUNTIF('Metric to Product'!$A:$A,A740))</f>
        <v>0</v>
      </c>
      <c r="G740" s="30"/>
      <c r="H740" s="30"/>
      <c r="I740" s="30"/>
    </row>
    <row r="741" customFormat="false" ht="15" hidden="false" customHeight="false" outlineLevel="0" collapsed="false">
      <c r="A741" s="29"/>
      <c r="B741" s="29"/>
      <c r="C741" s="20" t="str">
        <f aca="false">IF(A741="","",IFERROR(INDEX(Metrics!$C:$C,MATCH(A741,Metrics!$A:$A,0)),"ID not found"))</f>
        <v/>
      </c>
      <c r="D741" s="20" t="str">
        <f aca="false">IF(B741="","",IFERROR(INDEX(Fields!$B:$B,MATCH(B741,Fields!$A:$A,0)),"ID not found"))</f>
        <v/>
      </c>
      <c r="E741" s="30"/>
      <c r="F741" s="20" t="n">
        <f aca="false">IF(A741="",0,COUNTIF('Metric to Product'!$A:$A,A741))</f>
        <v>0</v>
      </c>
      <c r="G741" s="30"/>
      <c r="H741" s="30"/>
      <c r="I741" s="30"/>
    </row>
    <row r="742" customFormat="false" ht="15" hidden="false" customHeight="false" outlineLevel="0" collapsed="false">
      <c r="A742" s="29"/>
      <c r="B742" s="29"/>
      <c r="C742" s="20" t="str">
        <f aca="false">IF(A742="","",IFERROR(INDEX(Metrics!$C:$C,MATCH(A742,Metrics!$A:$A,0)),"ID not found"))</f>
        <v/>
      </c>
      <c r="D742" s="20" t="str">
        <f aca="false">IF(B742="","",IFERROR(INDEX(Fields!$B:$B,MATCH(B742,Fields!$A:$A,0)),"ID not found"))</f>
        <v/>
      </c>
      <c r="E742" s="30"/>
      <c r="F742" s="20" t="n">
        <f aca="false">IF(A742="",0,COUNTIF('Metric to Product'!$A:$A,A742))</f>
        <v>0</v>
      </c>
      <c r="G742" s="30"/>
      <c r="H742" s="30"/>
      <c r="I742" s="30"/>
    </row>
    <row r="743" customFormat="false" ht="15" hidden="false" customHeight="false" outlineLevel="0" collapsed="false">
      <c r="A743" s="29"/>
      <c r="B743" s="29"/>
      <c r="C743" s="20" t="str">
        <f aca="false">IF(A743="","",IFERROR(INDEX(Metrics!$C:$C,MATCH(A743,Metrics!$A:$A,0)),"ID not found"))</f>
        <v/>
      </c>
      <c r="D743" s="20" t="str">
        <f aca="false">IF(B743="","",IFERROR(INDEX(Fields!$B:$B,MATCH(B743,Fields!$A:$A,0)),"ID not found"))</f>
        <v/>
      </c>
      <c r="E743" s="30"/>
      <c r="F743" s="20" t="n">
        <f aca="false">IF(A743="",0,COUNTIF('Metric to Product'!$A:$A,A743))</f>
        <v>0</v>
      </c>
      <c r="G743" s="30"/>
      <c r="H743" s="30"/>
      <c r="I743" s="30"/>
    </row>
    <row r="744" customFormat="false" ht="15" hidden="false" customHeight="false" outlineLevel="0" collapsed="false">
      <c r="A744" s="29"/>
      <c r="B744" s="29"/>
      <c r="C744" s="20" t="str">
        <f aca="false">IF(A744="","",IFERROR(INDEX(Metrics!$C:$C,MATCH(A744,Metrics!$A:$A,0)),"ID not found"))</f>
        <v/>
      </c>
      <c r="D744" s="20" t="str">
        <f aca="false">IF(B744="","",IFERROR(INDEX(Fields!$B:$B,MATCH(B744,Fields!$A:$A,0)),"ID not found"))</f>
        <v/>
      </c>
      <c r="E744" s="30"/>
      <c r="F744" s="20" t="n">
        <f aca="false">IF(A744="",0,COUNTIF('Metric to Product'!$A:$A,A744))</f>
        <v>0</v>
      </c>
      <c r="G744" s="30"/>
      <c r="H744" s="30"/>
      <c r="I744" s="30"/>
    </row>
    <row r="745" customFormat="false" ht="15" hidden="false" customHeight="false" outlineLevel="0" collapsed="false">
      <c r="A745" s="29"/>
      <c r="B745" s="29"/>
      <c r="C745" s="20" t="str">
        <f aca="false">IF(A745="","",IFERROR(INDEX(Metrics!$C:$C,MATCH(A745,Metrics!$A:$A,0)),"ID not found"))</f>
        <v/>
      </c>
      <c r="D745" s="20" t="str">
        <f aca="false">IF(B745="","",IFERROR(INDEX(Fields!$B:$B,MATCH(B745,Fields!$A:$A,0)),"ID not found"))</f>
        <v/>
      </c>
      <c r="E745" s="30"/>
      <c r="F745" s="20" t="n">
        <f aca="false">IF(A745="",0,COUNTIF('Metric to Product'!$A:$A,A745))</f>
        <v>0</v>
      </c>
      <c r="G745" s="30"/>
      <c r="H745" s="30"/>
      <c r="I745" s="30"/>
    </row>
    <row r="746" customFormat="false" ht="15" hidden="false" customHeight="false" outlineLevel="0" collapsed="false">
      <c r="A746" s="29"/>
      <c r="B746" s="29"/>
      <c r="C746" s="20" t="str">
        <f aca="false">IF(A746="","",IFERROR(INDEX(Metrics!$C:$C,MATCH(A746,Metrics!$A:$A,0)),"ID not found"))</f>
        <v/>
      </c>
      <c r="D746" s="20" t="str">
        <f aca="false">IF(B746="","",IFERROR(INDEX(Fields!$B:$B,MATCH(B746,Fields!$A:$A,0)),"ID not found"))</f>
        <v/>
      </c>
      <c r="E746" s="30"/>
      <c r="F746" s="20" t="n">
        <f aca="false">IF(A746="",0,COUNTIF('Metric to Product'!$A:$A,A746))</f>
        <v>0</v>
      </c>
      <c r="G746" s="30"/>
      <c r="H746" s="30"/>
      <c r="I746" s="30"/>
    </row>
    <row r="747" customFormat="false" ht="15" hidden="false" customHeight="false" outlineLevel="0" collapsed="false">
      <c r="A747" s="29"/>
      <c r="B747" s="29"/>
      <c r="C747" s="20" t="str">
        <f aca="false">IF(A747="","",IFERROR(INDEX(Metrics!$C:$C,MATCH(A747,Metrics!$A:$A,0)),"ID not found"))</f>
        <v/>
      </c>
      <c r="D747" s="20" t="str">
        <f aca="false">IF(B747="","",IFERROR(INDEX(Fields!$B:$B,MATCH(B747,Fields!$A:$A,0)),"ID not found"))</f>
        <v/>
      </c>
      <c r="E747" s="30"/>
      <c r="F747" s="20" t="n">
        <f aca="false">IF(A747="",0,COUNTIF('Metric to Product'!$A:$A,A747))</f>
        <v>0</v>
      </c>
      <c r="G747" s="30"/>
      <c r="H747" s="30"/>
      <c r="I747" s="30"/>
    </row>
    <row r="748" customFormat="false" ht="15" hidden="false" customHeight="false" outlineLevel="0" collapsed="false">
      <c r="A748" s="29"/>
      <c r="B748" s="29"/>
      <c r="C748" s="20" t="str">
        <f aca="false">IF(A748="","",IFERROR(INDEX(Metrics!$C:$C,MATCH(A748,Metrics!$A:$A,0)),"ID not found"))</f>
        <v/>
      </c>
      <c r="D748" s="20" t="str">
        <f aca="false">IF(B748="","",IFERROR(INDEX(Fields!$B:$B,MATCH(B748,Fields!$A:$A,0)),"ID not found"))</f>
        <v/>
      </c>
      <c r="E748" s="30"/>
      <c r="F748" s="20" t="n">
        <f aca="false">IF(A748="",0,COUNTIF('Metric to Product'!$A:$A,A748))</f>
        <v>0</v>
      </c>
      <c r="G748" s="30"/>
      <c r="H748" s="30"/>
      <c r="I748" s="30"/>
    </row>
    <row r="749" customFormat="false" ht="15" hidden="false" customHeight="false" outlineLevel="0" collapsed="false">
      <c r="A749" s="29"/>
      <c r="B749" s="29"/>
      <c r="C749" s="20" t="str">
        <f aca="false">IF(A749="","",IFERROR(INDEX(Metrics!$C:$C,MATCH(A749,Metrics!$A:$A,0)),"ID not found"))</f>
        <v/>
      </c>
      <c r="D749" s="20" t="str">
        <f aca="false">IF(B749="","",IFERROR(INDEX(Fields!$B:$B,MATCH(B749,Fields!$A:$A,0)),"ID not found"))</f>
        <v/>
      </c>
      <c r="E749" s="30"/>
      <c r="F749" s="20" t="n">
        <f aca="false">IF(A749="",0,COUNTIF('Metric to Product'!$A:$A,A749))</f>
        <v>0</v>
      </c>
      <c r="G749" s="30"/>
      <c r="H749" s="30"/>
      <c r="I749" s="30"/>
    </row>
    <row r="750" customFormat="false" ht="15" hidden="false" customHeight="false" outlineLevel="0" collapsed="false">
      <c r="A750" s="29"/>
      <c r="B750" s="29"/>
      <c r="C750" s="20" t="str">
        <f aca="false">IF(A750="","",IFERROR(INDEX(Metrics!$C:$C,MATCH(A750,Metrics!$A:$A,0)),"ID not found"))</f>
        <v/>
      </c>
      <c r="D750" s="20" t="str">
        <f aca="false">IF(B750="","",IFERROR(INDEX(Fields!$B:$B,MATCH(B750,Fields!$A:$A,0)),"ID not found"))</f>
        <v/>
      </c>
      <c r="E750" s="30"/>
      <c r="F750" s="20" t="n">
        <f aca="false">IF(A750="",0,COUNTIF('Metric to Product'!$A:$A,A750))</f>
        <v>0</v>
      </c>
      <c r="G750" s="30"/>
      <c r="H750" s="30"/>
      <c r="I750" s="30"/>
    </row>
    <row r="751" customFormat="false" ht="15" hidden="false" customHeight="false" outlineLevel="0" collapsed="false">
      <c r="A751" s="29"/>
      <c r="B751" s="29"/>
      <c r="C751" s="20" t="str">
        <f aca="false">IF(A751="","",IFERROR(INDEX(Metrics!$C:$C,MATCH(A751,Metrics!$A:$A,0)),"ID not found"))</f>
        <v/>
      </c>
      <c r="D751" s="20" t="str">
        <f aca="false">IF(B751="","",IFERROR(INDEX(Fields!$B:$B,MATCH(B751,Fields!$A:$A,0)),"ID not found"))</f>
        <v/>
      </c>
      <c r="E751" s="30"/>
      <c r="F751" s="20" t="n">
        <f aca="false">IF(A751="",0,COUNTIF('Metric to Product'!$A:$A,A751))</f>
        <v>0</v>
      </c>
      <c r="G751" s="30"/>
      <c r="H751" s="30"/>
      <c r="I751" s="30"/>
    </row>
    <row r="752" customFormat="false" ht="15" hidden="false" customHeight="false" outlineLevel="0" collapsed="false">
      <c r="A752" s="29"/>
      <c r="B752" s="29"/>
      <c r="C752" s="20" t="str">
        <f aca="false">IF(A752="","",IFERROR(INDEX(Metrics!$C:$C,MATCH(A752,Metrics!$A:$A,0)),"ID not found"))</f>
        <v/>
      </c>
      <c r="D752" s="20" t="str">
        <f aca="false">IF(B752="","",IFERROR(INDEX(Fields!$B:$B,MATCH(B752,Fields!$A:$A,0)),"ID not found"))</f>
        <v/>
      </c>
      <c r="E752" s="30"/>
      <c r="F752" s="20" t="n">
        <f aca="false">IF(A752="",0,COUNTIF('Metric to Product'!$A:$A,A752))</f>
        <v>0</v>
      </c>
      <c r="G752" s="30"/>
      <c r="H752" s="30"/>
      <c r="I752" s="30"/>
    </row>
    <row r="753" customFormat="false" ht="15" hidden="false" customHeight="false" outlineLevel="0" collapsed="false">
      <c r="A753" s="29"/>
      <c r="B753" s="29"/>
      <c r="C753" s="20" t="str">
        <f aca="false">IF(A753="","",IFERROR(INDEX(Metrics!$C:$C,MATCH(A753,Metrics!$A:$A,0)),"ID not found"))</f>
        <v/>
      </c>
      <c r="D753" s="20" t="str">
        <f aca="false">IF(B753="","",IFERROR(INDEX(Fields!$B:$B,MATCH(B753,Fields!$A:$A,0)),"ID not found"))</f>
        <v/>
      </c>
      <c r="E753" s="30"/>
      <c r="F753" s="20" t="n">
        <f aca="false">IF(A753="",0,COUNTIF('Metric to Product'!$A:$A,A753))</f>
        <v>0</v>
      </c>
      <c r="G753" s="30"/>
      <c r="H753" s="30"/>
      <c r="I753" s="30"/>
    </row>
    <row r="754" customFormat="false" ht="15" hidden="false" customHeight="false" outlineLevel="0" collapsed="false">
      <c r="A754" s="29"/>
      <c r="B754" s="29"/>
      <c r="C754" s="20" t="str">
        <f aca="false">IF(A754="","",IFERROR(INDEX(Metrics!$C:$C,MATCH(A754,Metrics!$A:$A,0)),"ID not found"))</f>
        <v/>
      </c>
      <c r="D754" s="20" t="str">
        <f aca="false">IF(B754="","",IFERROR(INDEX(Fields!$B:$B,MATCH(B754,Fields!$A:$A,0)),"ID not found"))</f>
        <v/>
      </c>
      <c r="E754" s="30"/>
      <c r="F754" s="20" t="n">
        <f aca="false">IF(A754="",0,COUNTIF('Metric to Product'!$A:$A,A754))</f>
        <v>0</v>
      </c>
      <c r="G754" s="30"/>
      <c r="H754" s="30"/>
      <c r="I754" s="30"/>
    </row>
    <row r="755" customFormat="false" ht="15" hidden="false" customHeight="false" outlineLevel="0" collapsed="false">
      <c r="A755" s="29"/>
      <c r="B755" s="29"/>
      <c r="C755" s="20" t="str">
        <f aca="false">IF(A755="","",IFERROR(INDEX(Metrics!$C:$C,MATCH(A755,Metrics!$A:$A,0)),"ID not found"))</f>
        <v/>
      </c>
      <c r="D755" s="20" t="str">
        <f aca="false">IF(B755="","",IFERROR(INDEX(Fields!$B:$B,MATCH(B755,Fields!$A:$A,0)),"ID not found"))</f>
        <v/>
      </c>
      <c r="E755" s="30"/>
      <c r="F755" s="20" t="n">
        <f aca="false">IF(A755="",0,COUNTIF('Metric to Product'!$A:$A,A755))</f>
        <v>0</v>
      </c>
      <c r="G755" s="30"/>
      <c r="H755" s="30"/>
      <c r="I755" s="30"/>
    </row>
    <row r="756" customFormat="false" ht="15" hidden="false" customHeight="false" outlineLevel="0" collapsed="false">
      <c r="A756" s="29"/>
      <c r="B756" s="29"/>
      <c r="C756" s="20" t="str">
        <f aca="false">IF(A756="","",IFERROR(INDEX(Metrics!$C:$C,MATCH(A756,Metrics!$A:$A,0)),"ID not found"))</f>
        <v/>
      </c>
      <c r="D756" s="20" t="str">
        <f aca="false">IF(B756="","",IFERROR(INDEX(Fields!$B:$B,MATCH(B756,Fields!$A:$A,0)),"ID not found"))</f>
        <v/>
      </c>
      <c r="E756" s="30"/>
      <c r="F756" s="20" t="n">
        <f aca="false">IF(A756="",0,COUNTIF('Metric to Product'!$A:$A,A756))</f>
        <v>0</v>
      </c>
      <c r="G756" s="30"/>
      <c r="H756" s="30"/>
      <c r="I756" s="30"/>
    </row>
    <row r="757" customFormat="false" ht="15" hidden="false" customHeight="false" outlineLevel="0" collapsed="false">
      <c r="A757" s="29"/>
      <c r="B757" s="29"/>
      <c r="C757" s="20" t="str">
        <f aca="false">IF(A757="","",IFERROR(INDEX(Metrics!$C:$C,MATCH(A757,Metrics!$A:$A,0)),"ID not found"))</f>
        <v/>
      </c>
      <c r="D757" s="20" t="str">
        <f aca="false">IF(B757="","",IFERROR(INDEX(Fields!$B:$B,MATCH(B757,Fields!$A:$A,0)),"ID not found"))</f>
        <v/>
      </c>
      <c r="E757" s="30"/>
      <c r="F757" s="20" t="n">
        <f aca="false">IF(A757="",0,COUNTIF('Metric to Product'!$A:$A,A757))</f>
        <v>0</v>
      </c>
      <c r="G757" s="30"/>
      <c r="H757" s="30"/>
      <c r="I757" s="30"/>
    </row>
    <row r="758" customFormat="false" ht="15" hidden="false" customHeight="false" outlineLevel="0" collapsed="false">
      <c r="A758" s="29"/>
      <c r="B758" s="29"/>
      <c r="C758" s="20" t="str">
        <f aca="false">IF(A758="","",IFERROR(INDEX(Metrics!$C:$C,MATCH(A758,Metrics!$A:$A,0)),"ID not found"))</f>
        <v/>
      </c>
      <c r="D758" s="20" t="str">
        <f aca="false">IF(B758="","",IFERROR(INDEX(Fields!$B:$B,MATCH(B758,Fields!$A:$A,0)),"ID not found"))</f>
        <v/>
      </c>
      <c r="E758" s="30"/>
      <c r="F758" s="20" t="n">
        <f aca="false">IF(A758="",0,COUNTIF('Metric to Product'!$A:$A,A758))</f>
        <v>0</v>
      </c>
      <c r="G758" s="30"/>
      <c r="H758" s="30"/>
      <c r="I758" s="30"/>
    </row>
    <row r="759" customFormat="false" ht="15" hidden="false" customHeight="false" outlineLevel="0" collapsed="false">
      <c r="A759" s="29"/>
      <c r="B759" s="29"/>
      <c r="C759" s="20" t="str">
        <f aca="false">IF(A759="","",IFERROR(INDEX(Metrics!$C:$C,MATCH(A759,Metrics!$A:$A,0)),"ID not found"))</f>
        <v/>
      </c>
      <c r="D759" s="20" t="str">
        <f aca="false">IF(B759="","",IFERROR(INDEX(Fields!$B:$B,MATCH(B759,Fields!$A:$A,0)),"ID not found"))</f>
        <v/>
      </c>
      <c r="E759" s="30"/>
      <c r="F759" s="20" t="n">
        <f aca="false">IF(A759="",0,COUNTIF('Metric to Product'!$A:$A,A759))</f>
        <v>0</v>
      </c>
      <c r="G759" s="30"/>
      <c r="H759" s="30"/>
      <c r="I759" s="30"/>
    </row>
    <row r="760" customFormat="false" ht="15" hidden="false" customHeight="false" outlineLevel="0" collapsed="false">
      <c r="A760" s="29"/>
      <c r="B760" s="29"/>
      <c r="C760" s="20" t="str">
        <f aca="false">IF(A760="","",IFERROR(INDEX(Metrics!$C:$C,MATCH(A760,Metrics!$A:$A,0)),"ID not found"))</f>
        <v/>
      </c>
      <c r="D760" s="20" t="str">
        <f aca="false">IF(B760="","",IFERROR(INDEX(Fields!$B:$B,MATCH(B760,Fields!$A:$A,0)),"ID not found"))</f>
        <v/>
      </c>
      <c r="E760" s="30"/>
      <c r="F760" s="20" t="n">
        <f aca="false">IF(A760="",0,COUNTIF('Metric to Product'!$A:$A,A760))</f>
        <v>0</v>
      </c>
      <c r="G760" s="30"/>
      <c r="H760" s="30"/>
      <c r="I760" s="30"/>
    </row>
    <row r="761" customFormat="false" ht="15" hidden="false" customHeight="false" outlineLevel="0" collapsed="false">
      <c r="A761" s="29"/>
      <c r="B761" s="29"/>
      <c r="C761" s="20" t="str">
        <f aca="false">IF(A761="","",IFERROR(INDEX(Metrics!$C:$C,MATCH(A761,Metrics!$A:$A,0)),"ID not found"))</f>
        <v/>
      </c>
      <c r="D761" s="20" t="str">
        <f aca="false">IF(B761="","",IFERROR(INDEX(Fields!$B:$B,MATCH(B761,Fields!$A:$A,0)),"ID not found"))</f>
        <v/>
      </c>
      <c r="E761" s="30"/>
      <c r="F761" s="20" t="n">
        <f aca="false">IF(A761="",0,COUNTIF('Metric to Product'!$A:$A,A761))</f>
        <v>0</v>
      </c>
      <c r="G761" s="30"/>
      <c r="H761" s="30"/>
      <c r="I761" s="30"/>
    </row>
    <row r="762" customFormat="false" ht="15" hidden="false" customHeight="false" outlineLevel="0" collapsed="false">
      <c r="A762" s="29"/>
      <c r="B762" s="29"/>
      <c r="C762" s="20" t="str">
        <f aca="false">IF(A762="","",IFERROR(INDEX(Metrics!$C:$C,MATCH(A762,Metrics!$A:$A,0)),"ID not found"))</f>
        <v/>
      </c>
      <c r="D762" s="20" t="str">
        <f aca="false">IF(B762="","",IFERROR(INDEX(Fields!$B:$B,MATCH(B762,Fields!$A:$A,0)),"ID not found"))</f>
        <v/>
      </c>
      <c r="E762" s="30"/>
      <c r="F762" s="20" t="n">
        <f aca="false">IF(A762="",0,COUNTIF('Metric to Product'!$A:$A,A762))</f>
        <v>0</v>
      </c>
      <c r="G762" s="30"/>
      <c r="H762" s="30"/>
      <c r="I762" s="30"/>
    </row>
    <row r="763" customFormat="false" ht="15" hidden="false" customHeight="false" outlineLevel="0" collapsed="false">
      <c r="A763" s="29"/>
      <c r="B763" s="29"/>
      <c r="C763" s="20" t="str">
        <f aca="false">IF(A763="","",IFERROR(INDEX(Metrics!$C:$C,MATCH(A763,Metrics!$A:$A,0)),"ID not found"))</f>
        <v/>
      </c>
      <c r="D763" s="20" t="str">
        <f aca="false">IF(B763="","",IFERROR(INDEX(Fields!$B:$B,MATCH(B763,Fields!$A:$A,0)),"ID not found"))</f>
        <v/>
      </c>
      <c r="E763" s="30"/>
      <c r="F763" s="20" t="n">
        <f aca="false">IF(A763="",0,COUNTIF('Metric to Product'!$A:$A,A763))</f>
        <v>0</v>
      </c>
      <c r="G763" s="30"/>
      <c r="H763" s="30"/>
      <c r="I763" s="30"/>
    </row>
    <row r="764" customFormat="false" ht="15" hidden="false" customHeight="false" outlineLevel="0" collapsed="false">
      <c r="A764" s="29"/>
      <c r="B764" s="29"/>
      <c r="C764" s="20" t="str">
        <f aca="false">IF(A764="","",IFERROR(INDEX(Metrics!$C:$C,MATCH(A764,Metrics!$A:$A,0)),"ID not found"))</f>
        <v/>
      </c>
      <c r="D764" s="20" t="str">
        <f aca="false">IF(B764="","",IFERROR(INDEX(Fields!$B:$B,MATCH(B764,Fields!$A:$A,0)),"ID not found"))</f>
        <v/>
      </c>
      <c r="E764" s="30"/>
      <c r="F764" s="20" t="n">
        <f aca="false">IF(A764="",0,COUNTIF('Metric to Product'!$A:$A,A764))</f>
        <v>0</v>
      </c>
      <c r="G764" s="30"/>
      <c r="H764" s="30"/>
      <c r="I764" s="30"/>
    </row>
    <row r="765" customFormat="false" ht="15" hidden="false" customHeight="false" outlineLevel="0" collapsed="false">
      <c r="A765" s="29"/>
      <c r="B765" s="29"/>
      <c r="C765" s="20" t="str">
        <f aca="false">IF(A765="","",IFERROR(INDEX(Metrics!$C:$C,MATCH(A765,Metrics!$A:$A,0)),"ID not found"))</f>
        <v/>
      </c>
      <c r="D765" s="20" t="str">
        <f aca="false">IF(B765="","",IFERROR(INDEX(Fields!$B:$B,MATCH(B765,Fields!$A:$A,0)),"ID not found"))</f>
        <v/>
      </c>
      <c r="E765" s="30"/>
      <c r="F765" s="20" t="n">
        <f aca="false">IF(A765="",0,COUNTIF('Metric to Product'!$A:$A,A765))</f>
        <v>0</v>
      </c>
      <c r="G765" s="30"/>
      <c r="H765" s="30"/>
      <c r="I765" s="30"/>
    </row>
    <row r="766" customFormat="false" ht="15" hidden="false" customHeight="false" outlineLevel="0" collapsed="false">
      <c r="A766" s="29"/>
      <c r="B766" s="29"/>
      <c r="C766" s="20" t="str">
        <f aca="false">IF(A766="","",IFERROR(INDEX(Metrics!$C:$C,MATCH(A766,Metrics!$A:$A,0)),"ID not found"))</f>
        <v/>
      </c>
      <c r="D766" s="20" t="str">
        <f aca="false">IF(B766="","",IFERROR(INDEX(Fields!$B:$B,MATCH(B766,Fields!$A:$A,0)),"ID not found"))</f>
        <v/>
      </c>
      <c r="E766" s="30"/>
      <c r="F766" s="20" t="n">
        <f aca="false">IF(A766="",0,COUNTIF('Metric to Product'!$A:$A,A766))</f>
        <v>0</v>
      </c>
      <c r="G766" s="30"/>
      <c r="H766" s="30"/>
      <c r="I766" s="30"/>
    </row>
    <row r="767" customFormat="false" ht="15" hidden="false" customHeight="false" outlineLevel="0" collapsed="false">
      <c r="A767" s="29"/>
      <c r="B767" s="29"/>
      <c r="C767" s="20" t="str">
        <f aca="false">IF(A767="","",IFERROR(INDEX(Metrics!$C:$C,MATCH(A767,Metrics!$A:$A,0)),"ID not found"))</f>
        <v/>
      </c>
      <c r="D767" s="20" t="str">
        <f aca="false">IF(B767="","",IFERROR(INDEX(Fields!$B:$B,MATCH(B767,Fields!$A:$A,0)),"ID not found"))</f>
        <v/>
      </c>
      <c r="E767" s="30"/>
      <c r="F767" s="20" t="n">
        <f aca="false">IF(A767="",0,COUNTIF('Metric to Product'!$A:$A,A767))</f>
        <v>0</v>
      </c>
      <c r="G767" s="30"/>
      <c r="H767" s="30"/>
      <c r="I767" s="30"/>
    </row>
    <row r="768" customFormat="false" ht="15" hidden="false" customHeight="false" outlineLevel="0" collapsed="false">
      <c r="A768" s="29"/>
      <c r="B768" s="29"/>
      <c r="C768" s="20" t="str">
        <f aca="false">IF(A768="","",IFERROR(INDEX(Metrics!$C:$C,MATCH(A768,Metrics!$A:$A,0)),"ID not found"))</f>
        <v/>
      </c>
      <c r="D768" s="20" t="str">
        <f aca="false">IF(B768="","",IFERROR(INDEX(Fields!$B:$B,MATCH(B768,Fields!$A:$A,0)),"ID not found"))</f>
        <v/>
      </c>
      <c r="E768" s="30"/>
      <c r="F768" s="20" t="n">
        <f aca="false">IF(A768="",0,COUNTIF('Metric to Product'!$A:$A,A768))</f>
        <v>0</v>
      </c>
      <c r="G768" s="30"/>
      <c r="H768" s="30"/>
      <c r="I768" s="30"/>
    </row>
    <row r="769" customFormat="false" ht="15" hidden="false" customHeight="false" outlineLevel="0" collapsed="false">
      <c r="A769" s="29"/>
      <c r="B769" s="29"/>
      <c r="C769" s="20" t="str">
        <f aca="false">IF(A769="","",IFERROR(INDEX(Metrics!$C:$C,MATCH(A769,Metrics!$A:$A,0)),"ID not found"))</f>
        <v/>
      </c>
      <c r="D769" s="20" t="str">
        <f aca="false">IF(B769="","",IFERROR(INDEX(Fields!$B:$B,MATCH(B769,Fields!$A:$A,0)),"ID not found"))</f>
        <v/>
      </c>
      <c r="E769" s="30"/>
      <c r="F769" s="20" t="n">
        <f aca="false">IF(A769="",0,COUNTIF('Metric to Product'!$A:$A,A769))</f>
        <v>0</v>
      </c>
      <c r="G769" s="30"/>
      <c r="H769" s="30"/>
      <c r="I769" s="30"/>
    </row>
    <row r="770" customFormat="false" ht="15" hidden="false" customHeight="false" outlineLevel="0" collapsed="false">
      <c r="A770" s="29"/>
      <c r="B770" s="29"/>
      <c r="C770" s="20" t="str">
        <f aca="false">IF(A770="","",IFERROR(INDEX(Metrics!$C:$C,MATCH(A770,Metrics!$A:$A,0)),"ID not found"))</f>
        <v/>
      </c>
      <c r="D770" s="20" t="str">
        <f aca="false">IF(B770="","",IFERROR(INDEX(Fields!$B:$B,MATCH(B770,Fields!$A:$A,0)),"ID not found"))</f>
        <v/>
      </c>
      <c r="E770" s="30"/>
      <c r="F770" s="20" t="n">
        <f aca="false">IF(A770="",0,COUNTIF('Metric to Product'!$A:$A,A770))</f>
        <v>0</v>
      </c>
      <c r="G770" s="30"/>
      <c r="H770" s="30"/>
      <c r="I770" s="30"/>
    </row>
    <row r="771" customFormat="false" ht="15" hidden="false" customHeight="false" outlineLevel="0" collapsed="false">
      <c r="A771" s="29"/>
      <c r="B771" s="29"/>
      <c r="C771" s="20" t="str">
        <f aca="false">IF(A771="","",IFERROR(INDEX(Metrics!$C:$C,MATCH(A771,Metrics!$A:$A,0)),"ID not found"))</f>
        <v/>
      </c>
      <c r="D771" s="20" t="str">
        <f aca="false">IF(B771="","",IFERROR(INDEX(Fields!$B:$B,MATCH(B771,Fields!$A:$A,0)),"ID not found"))</f>
        <v/>
      </c>
      <c r="E771" s="30"/>
      <c r="F771" s="20" t="n">
        <f aca="false">IF(A771="",0,COUNTIF('Metric to Product'!$A:$A,A771))</f>
        <v>0</v>
      </c>
      <c r="G771" s="30"/>
      <c r="H771" s="30"/>
      <c r="I771" s="30"/>
    </row>
    <row r="772" customFormat="false" ht="15" hidden="false" customHeight="false" outlineLevel="0" collapsed="false">
      <c r="A772" s="29"/>
      <c r="B772" s="29"/>
      <c r="C772" s="20" t="str">
        <f aca="false">IF(A772="","",IFERROR(INDEX(Metrics!$C:$C,MATCH(A772,Metrics!$A:$A,0)),"ID not found"))</f>
        <v/>
      </c>
      <c r="D772" s="20" t="str">
        <f aca="false">IF(B772="","",IFERROR(INDEX(Fields!$B:$B,MATCH(B772,Fields!$A:$A,0)),"ID not found"))</f>
        <v/>
      </c>
      <c r="E772" s="30"/>
      <c r="F772" s="20" t="n">
        <f aca="false">IF(A772="",0,COUNTIF('Metric to Product'!$A:$A,A772))</f>
        <v>0</v>
      </c>
      <c r="G772" s="30"/>
      <c r="H772" s="30"/>
      <c r="I772" s="30"/>
    </row>
    <row r="773" customFormat="false" ht="15" hidden="false" customHeight="false" outlineLevel="0" collapsed="false">
      <c r="A773" s="29"/>
      <c r="B773" s="29"/>
      <c r="C773" s="20" t="str">
        <f aca="false">IF(A773="","",IFERROR(INDEX(Metrics!$C:$C,MATCH(A773,Metrics!$A:$A,0)),"ID not found"))</f>
        <v/>
      </c>
      <c r="D773" s="20" t="str">
        <f aca="false">IF(B773="","",IFERROR(INDEX(Fields!$B:$B,MATCH(B773,Fields!$A:$A,0)),"ID not found"))</f>
        <v/>
      </c>
      <c r="E773" s="30"/>
      <c r="F773" s="20" t="n">
        <f aca="false">IF(A773="",0,COUNTIF('Metric to Product'!$A:$A,A773))</f>
        <v>0</v>
      </c>
      <c r="G773" s="30"/>
      <c r="H773" s="30"/>
      <c r="I773" s="30"/>
    </row>
    <row r="774" customFormat="false" ht="15" hidden="false" customHeight="false" outlineLevel="0" collapsed="false">
      <c r="A774" s="29"/>
      <c r="B774" s="29"/>
      <c r="C774" s="20" t="str">
        <f aca="false">IF(A774="","",IFERROR(INDEX(Metrics!$C:$C,MATCH(A774,Metrics!$A:$A,0)),"ID not found"))</f>
        <v/>
      </c>
      <c r="D774" s="20" t="str">
        <f aca="false">IF(B774="","",IFERROR(INDEX(Fields!$B:$B,MATCH(B774,Fields!$A:$A,0)),"ID not found"))</f>
        <v/>
      </c>
      <c r="E774" s="30"/>
      <c r="F774" s="20" t="n">
        <f aca="false">IF(A774="",0,COUNTIF('Metric to Product'!$A:$A,A774))</f>
        <v>0</v>
      </c>
      <c r="G774" s="30"/>
      <c r="H774" s="30"/>
      <c r="I774" s="30"/>
    </row>
    <row r="775" customFormat="false" ht="15" hidden="false" customHeight="false" outlineLevel="0" collapsed="false">
      <c r="A775" s="29"/>
      <c r="B775" s="29"/>
      <c r="C775" s="20" t="str">
        <f aca="false">IF(A775="","",IFERROR(INDEX(Metrics!$C:$C,MATCH(A775,Metrics!$A:$A,0)),"ID not found"))</f>
        <v/>
      </c>
      <c r="D775" s="20" t="str">
        <f aca="false">IF(B775="","",IFERROR(INDEX(Fields!$B:$B,MATCH(B775,Fields!$A:$A,0)),"ID not found"))</f>
        <v/>
      </c>
      <c r="E775" s="30"/>
      <c r="F775" s="20" t="n">
        <f aca="false">IF(A775="",0,COUNTIF('Metric to Product'!$A:$A,A775))</f>
        <v>0</v>
      </c>
      <c r="G775" s="30"/>
      <c r="H775" s="30"/>
      <c r="I775" s="30"/>
    </row>
    <row r="776" customFormat="false" ht="15" hidden="false" customHeight="false" outlineLevel="0" collapsed="false">
      <c r="A776" s="29"/>
      <c r="B776" s="29"/>
      <c r="C776" s="20" t="str">
        <f aca="false">IF(A776="","",IFERROR(INDEX(Metrics!$C:$C,MATCH(A776,Metrics!$A:$A,0)),"ID not found"))</f>
        <v/>
      </c>
      <c r="D776" s="20" t="str">
        <f aca="false">IF(B776="","",IFERROR(INDEX(Fields!$B:$B,MATCH(B776,Fields!$A:$A,0)),"ID not found"))</f>
        <v/>
      </c>
      <c r="E776" s="30"/>
      <c r="F776" s="20" t="n">
        <f aca="false">IF(A776="",0,COUNTIF('Metric to Product'!$A:$A,A776))</f>
        <v>0</v>
      </c>
      <c r="G776" s="30"/>
      <c r="H776" s="30"/>
      <c r="I776" s="30"/>
    </row>
    <row r="777" customFormat="false" ht="15" hidden="false" customHeight="false" outlineLevel="0" collapsed="false">
      <c r="A777" s="29"/>
      <c r="B777" s="29"/>
      <c r="C777" s="20" t="str">
        <f aca="false">IF(A777="","",IFERROR(INDEX(Metrics!$C:$C,MATCH(A777,Metrics!$A:$A,0)),"ID not found"))</f>
        <v/>
      </c>
      <c r="D777" s="20" t="str">
        <f aca="false">IF(B777="","",IFERROR(INDEX(Fields!$B:$B,MATCH(B777,Fields!$A:$A,0)),"ID not found"))</f>
        <v/>
      </c>
      <c r="E777" s="30"/>
      <c r="F777" s="20" t="n">
        <f aca="false">IF(A777="",0,COUNTIF('Metric to Product'!$A:$A,A777))</f>
        <v>0</v>
      </c>
      <c r="G777" s="30"/>
      <c r="H777" s="30"/>
      <c r="I777" s="30"/>
    </row>
    <row r="778" customFormat="false" ht="15" hidden="false" customHeight="false" outlineLevel="0" collapsed="false">
      <c r="A778" s="29"/>
      <c r="B778" s="29"/>
      <c r="C778" s="20" t="str">
        <f aca="false">IF(A778="","",IFERROR(INDEX(Metrics!$C:$C,MATCH(A778,Metrics!$A:$A,0)),"ID not found"))</f>
        <v/>
      </c>
      <c r="D778" s="20" t="str">
        <f aca="false">IF(B778="","",IFERROR(INDEX(Fields!$B:$B,MATCH(B778,Fields!$A:$A,0)),"ID not found"))</f>
        <v/>
      </c>
      <c r="E778" s="30"/>
      <c r="F778" s="20" t="n">
        <f aca="false">IF(A778="",0,COUNTIF('Metric to Product'!$A:$A,A778))</f>
        <v>0</v>
      </c>
      <c r="G778" s="30"/>
      <c r="H778" s="30"/>
      <c r="I778" s="30"/>
    </row>
    <row r="779" customFormat="false" ht="15" hidden="false" customHeight="false" outlineLevel="0" collapsed="false">
      <c r="A779" s="29"/>
      <c r="B779" s="29"/>
      <c r="C779" s="20" t="str">
        <f aca="false">IF(A779="","",IFERROR(INDEX(Metrics!$C:$C,MATCH(A779,Metrics!$A:$A,0)),"ID not found"))</f>
        <v/>
      </c>
      <c r="D779" s="20" t="str">
        <f aca="false">IF(B779="","",IFERROR(INDEX(Fields!$B:$B,MATCH(B779,Fields!$A:$A,0)),"ID not found"))</f>
        <v/>
      </c>
      <c r="E779" s="30"/>
      <c r="F779" s="20" t="n">
        <f aca="false">IF(A779="",0,COUNTIF('Metric to Product'!$A:$A,A779))</f>
        <v>0</v>
      </c>
      <c r="G779" s="30"/>
      <c r="H779" s="30"/>
      <c r="I779" s="30"/>
    </row>
    <row r="780" customFormat="false" ht="15" hidden="false" customHeight="false" outlineLevel="0" collapsed="false">
      <c r="A780" s="29"/>
      <c r="B780" s="29"/>
      <c r="C780" s="20" t="str">
        <f aca="false">IF(A780="","",IFERROR(INDEX(Metrics!$C:$C,MATCH(A780,Metrics!$A:$A,0)),"ID not found"))</f>
        <v/>
      </c>
      <c r="D780" s="20" t="str">
        <f aca="false">IF(B780="","",IFERROR(INDEX(Fields!$B:$B,MATCH(B780,Fields!$A:$A,0)),"ID not found"))</f>
        <v/>
      </c>
      <c r="E780" s="30"/>
      <c r="F780" s="20" t="n">
        <f aca="false">IF(A780="",0,COUNTIF('Metric to Product'!$A:$A,A780))</f>
        <v>0</v>
      </c>
      <c r="G780" s="30"/>
      <c r="H780" s="30"/>
      <c r="I780" s="30"/>
    </row>
    <row r="781" customFormat="false" ht="15" hidden="false" customHeight="false" outlineLevel="0" collapsed="false">
      <c r="A781" s="29"/>
      <c r="B781" s="29"/>
      <c r="C781" s="20" t="str">
        <f aca="false">IF(A781="","",IFERROR(INDEX(Metrics!$C:$C,MATCH(A781,Metrics!$A:$A,0)),"ID not found"))</f>
        <v/>
      </c>
      <c r="D781" s="20" t="str">
        <f aca="false">IF(B781="","",IFERROR(INDEX(Fields!$B:$B,MATCH(B781,Fields!$A:$A,0)),"ID not found"))</f>
        <v/>
      </c>
      <c r="E781" s="30"/>
      <c r="F781" s="20" t="n">
        <f aca="false">IF(A781="",0,COUNTIF('Metric to Product'!$A:$A,A781))</f>
        <v>0</v>
      </c>
      <c r="G781" s="30"/>
      <c r="H781" s="30"/>
      <c r="I781" s="30"/>
    </row>
    <row r="782" customFormat="false" ht="15" hidden="false" customHeight="false" outlineLevel="0" collapsed="false">
      <c r="A782" s="29"/>
      <c r="B782" s="29"/>
      <c r="C782" s="20" t="str">
        <f aca="false">IF(A782="","",IFERROR(INDEX(Metrics!$C:$C,MATCH(A782,Metrics!$A:$A,0)),"ID not found"))</f>
        <v/>
      </c>
      <c r="D782" s="20" t="str">
        <f aca="false">IF(B782="","",IFERROR(INDEX(Fields!$B:$B,MATCH(B782,Fields!$A:$A,0)),"ID not found"))</f>
        <v/>
      </c>
      <c r="E782" s="30"/>
      <c r="F782" s="20" t="n">
        <f aca="false">IF(A782="",0,COUNTIF('Metric to Product'!$A:$A,A782))</f>
        <v>0</v>
      </c>
      <c r="G782" s="30"/>
      <c r="H782" s="30"/>
      <c r="I782" s="30"/>
    </row>
    <row r="783" customFormat="false" ht="15" hidden="false" customHeight="false" outlineLevel="0" collapsed="false">
      <c r="A783" s="29"/>
      <c r="B783" s="29"/>
      <c r="C783" s="20" t="str">
        <f aca="false">IF(A783="","",IFERROR(INDEX(Metrics!$C:$C,MATCH(A783,Metrics!$A:$A,0)),"ID not found"))</f>
        <v/>
      </c>
      <c r="D783" s="20" t="str">
        <f aca="false">IF(B783="","",IFERROR(INDEX(Fields!$B:$B,MATCH(B783,Fields!$A:$A,0)),"ID not found"))</f>
        <v/>
      </c>
      <c r="E783" s="30"/>
      <c r="F783" s="20" t="n">
        <f aca="false">IF(A783="",0,COUNTIF('Metric to Product'!$A:$A,A783))</f>
        <v>0</v>
      </c>
      <c r="G783" s="30"/>
      <c r="H783" s="30"/>
      <c r="I783" s="30"/>
    </row>
    <row r="784" customFormat="false" ht="15" hidden="false" customHeight="false" outlineLevel="0" collapsed="false">
      <c r="A784" s="29"/>
      <c r="B784" s="29"/>
      <c r="C784" s="20" t="str">
        <f aca="false">IF(A784="","",IFERROR(INDEX(Metrics!$C:$C,MATCH(A784,Metrics!$A:$A,0)),"ID not found"))</f>
        <v/>
      </c>
      <c r="D784" s="20" t="str">
        <f aca="false">IF(B784="","",IFERROR(INDEX(Fields!$B:$B,MATCH(B784,Fields!$A:$A,0)),"ID not found"))</f>
        <v/>
      </c>
      <c r="E784" s="30"/>
      <c r="F784" s="20" t="n">
        <f aca="false">IF(A784="",0,COUNTIF('Metric to Product'!$A:$A,A784))</f>
        <v>0</v>
      </c>
      <c r="G784" s="30"/>
      <c r="H784" s="30"/>
      <c r="I784" s="30"/>
    </row>
    <row r="785" customFormat="false" ht="15" hidden="false" customHeight="false" outlineLevel="0" collapsed="false">
      <c r="A785" s="29"/>
      <c r="B785" s="29"/>
      <c r="C785" s="20" t="str">
        <f aca="false">IF(A785="","",IFERROR(INDEX(Metrics!$C:$C,MATCH(A785,Metrics!$A:$A,0)),"ID not found"))</f>
        <v/>
      </c>
      <c r="D785" s="20" t="str">
        <f aca="false">IF(B785="","",IFERROR(INDEX(Fields!$B:$B,MATCH(B785,Fields!$A:$A,0)),"ID not found"))</f>
        <v/>
      </c>
      <c r="E785" s="30"/>
      <c r="F785" s="20" t="n">
        <f aca="false">IF(A785="",0,COUNTIF('Metric to Product'!$A:$A,A785))</f>
        <v>0</v>
      </c>
      <c r="G785" s="30"/>
      <c r="H785" s="30"/>
      <c r="I785" s="30"/>
    </row>
    <row r="786" customFormat="false" ht="15" hidden="false" customHeight="false" outlineLevel="0" collapsed="false">
      <c r="A786" s="29"/>
      <c r="B786" s="29"/>
      <c r="C786" s="20" t="str">
        <f aca="false">IF(A786="","",IFERROR(INDEX(Metrics!$C:$C,MATCH(A786,Metrics!$A:$A,0)),"ID not found"))</f>
        <v/>
      </c>
      <c r="D786" s="20" t="str">
        <f aca="false">IF(B786="","",IFERROR(INDEX(Fields!$B:$B,MATCH(B786,Fields!$A:$A,0)),"ID not found"))</f>
        <v/>
      </c>
      <c r="E786" s="30"/>
      <c r="F786" s="20" t="n">
        <f aca="false">IF(A786="",0,COUNTIF('Metric to Product'!$A:$A,A786))</f>
        <v>0</v>
      </c>
      <c r="G786" s="30"/>
      <c r="H786" s="30"/>
      <c r="I786" s="30"/>
    </row>
    <row r="787" customFormat="false" ht="15" hidden="false" customHeight="false" outlineLevel="0" collapsed="false">
      <c r="A787" s="29"/>
      <c r="B787" s="29"/>
      <c r="C787" s="20" t="str">
        <f aca="false">IF(A787="","",IFERROR(INDEX(Metrics!$C:$C,MATCH(A787,Metrics!$A:$A,0)),"ID not found"))</f>
        <v/>
      </c>
      <c r="D787" s="20" t="str">
        <f aca="false">IF(B787="","",IFERROR(INDEX(Fields!$B:$B,MATCH(B787,Fields!$A:$A,0)),"ID not found"))</f>
        <v/>
      </c>
      <c r="E787" s="30"/>
      <c r="F787" s="20" t="n">
        <f aca="false">IF(A787="",0,COUNTIF('Metric to Product'!$A:$A,A787))</f>
        <v>0</v>
      </c>
      <c r="G787" s="30"/>
      <c r="H787" s="30"/>
      <c r="I787" s="30"/>
    </row>
    <row r="788" customFormat="false" ht="15" hidden="false" customHeight="false" outlineLevel="0" collapsed="false">
      <c r="A788" s="29"/>
      <c r="B788" s="29"/>
      <c r="C788" s="20" t="str">
        <f aca="false">IF(A788="","",IFERROR(INDEX(Metrics!$C:$C,MATCH(A788,Metrics!$A:$A,0)),"ID not found"))</f>
        <v/>
      </c>
      <c r="D788" s="20" t="str">
        <f aca="false">IF(B788="","",IFERROR(INDEX(Fields!$B:$B,MATCH(B788,Fields!$A:$A,0)),"ID not found"))</f>
        <v/>
      </c>
      <c r="E788" s="30"/>
      <c r="F788" s="20" t="n">
        <f aca="false">IF(A788="",0,COUNTIF('Metric to Product'!$A:$A,A788))</f>
        <v>0</v>
      </c>
      <c r="G788" s="30"/>
      <c r="H788" s="30"/>
      <c r="I788" s="30"/>
    </row>
    <row r="789" customFormat="false" ht="15" hidden="false" customHeight="false" outlineLevel="0" collapsed="false">
      <c r="A789" s="29"/>
      <c r="B789" s="29"/>
      <c r="C789" s="20" t="str">
        <f aca="false">IF(A789="","",IFERROR(INDEX(Metrics!$C:$C,MATCH(A789,Metrics!$A:$A,0)),"ID not found"))</f>
        <v/>
      </c>
      <c r="D789" s="20" t="str">
        <f aca="false">IF(B789="","",IFERROR(INDEX(Fields!$B:$B,MATCH(B789,Fields!$A:$A,0)),"ID not found"))</f>
        <v/>
      </c>
      <c r="E789" s="30"/>
      <c r="F789" s="20" t="n">
        <f aca="false">IF(A789="",0,COUNTIF('Metric to Product'!$A:$A,A789))</f>
        <v>0</v>
      </c>
      <c r="G789" s="30"/>
      <c r="H789" s="30"/>
      <c r="I789" s="30"/>
    </row>
    <row r="790" customFormat="false" ht="15" hidden="false" customHeight="false" outlineLevel="0" collapsed="false">
      <c r="A790" s="29"/>
      <c r="B790" s="29"/>
      <c r="C790" s="20" t="str">
        <f aca="false">IF(A790="","",IFERROR(INDEX(Metrics!$C:$C,MATCH(A790,Metrics!$A:$A,0)),"ID not found"))</f>
        <v/>
      </c>
      <c r="D790" s="20" t="str">
        <f aca="false">IF(B790="","",IFERROR(INDEX(Fields!$B:$B,MATCH(B790,Fields!$A:$A,0)),"ID not found"))</f>
        <v/>
      </c>
      <c r="E790" s="30"/>
      <c r="F790" s="20" t="n">
        <f aca="false">IF(A790="",0,COUNTIF('Metric to Product'!$A:$A,A790))</f>
        <v>0</v>
      </c>
      <c r="G790" s="30"/>
      <c r="H790" s="30"/>
      <c r="I790" s="30"/>
    </row>
    <row r="791" customFormat="false" ht="15" hidden="false" customHeight="false" outlineLevel="0" collapsed="false">
      <c r="A791" s="29"/>
      <c r="B791" s="29"/>
      <c r="C791" s="20" t="str">
        <f aca="false">IF(A791="","",IFERROR(INDEX(Metrics!$C:$C,MATCH(A791,Metrics!$A:$A,0)),"ID not found"))</f>
        <v/>
      </c>
      <c r="D791" s="20" t="str">
        <f aca="false">IF(B791="","",IFERROR(INDEX(Fields!$B:$B,MATCH(B791,Fields!$A:$A,0)),"ID not found"))</f>
        <v/>
      </c>
      <c r="E791" s="30"/>
      <c r="F791" s="20" t="n">
        <f aca="false">IF(A791="",0,COUNTIF('Metric to Product'!$A:$A,A791))</f>
        <v>0</v>
      </c>
      <c r="G791" s="30"/>
      <c r="H791" s="30"/>
      <c r="I791" s="30"/>
    </row>
    <row r="792" customFormat="false" ht="15" hidden="false" customHeight="false" outlineLevel="0" collapsed="false">
      <c r="A792" s="29"/>
      <c r="B792" s="29"/>
      <c r="C792" s="20" t="str">
        <f aca="false">IF(A792="","",IFERROR(INDEX(Metrics!$C:$C,MATCH(A792,Metrics!$A:$A,0)),"ID not found"))</f>
        <v/>
      </c>
      <c r="D792" s="20" t="str">
        <f aca="false">IF(B792="","",IFERROR(INDEX(Fields!$B:$B,MATCH(B792,Fields!$A:$A,0)),"ID not found"))</f>
        <v/>
      </c>
      <c r="E792" s="30"/>
      <c r="F792" s="20" t="n">
        <f aca="false">IF(A792="",0,COUNTIF('Metric to Product'!$A:$A,A792))</f>
        <v>0</v>
      </c>
      <c r="G792" s="30"/>
      <c r="H792" s="30"/>
      <c r="I792" s="30"/>
    </row>
    <row r="793" customFormat="false" ht="15" hidden="false" customHeight="false" outlineLevel="0" collapsed="false">
      <c r="A793" s="29"/>
      <c r="B793" s="29"/>
      <c r="C793" s="20" t="str">
        <f aca="false">IF(A793="","",IFERROR(INDEX(Metrics!$C:$C,MATCH(A793,Metrics!$A:$A,0)),"ID not found"))</f>
        <v/>
      </c>
      <c r="D793" s="20" t="str">
        <f aca="false">IF(B793="","",IFERROR(INDEX(Fields!$B:$B,MATCH(B793,Fields!$A:$A,0)),"ID not found"))</f>
        <v/>
      </c>
      <c r="E793" s="30"/>
      <c r="F793" s="20" t="n">
        <f aca="false">IF(A793="",0,COUNTIF('Metric to Product'!$A:$A,A793))</f>
        <v>0</v>
      </c>
      <c r="G793" s="30"/>
      <c r="H793" s="30"/>
      <c r="I793" s="30"/>
    </row>
    <row r="794" customFormat="false" ht="15" hidden="false" customHeight="false" outlineLevel="0" collapsed="false">
      <c r="A794" s="29"/>
      <c r="B794" s="29"/>
      <c r="C794" s="20" t="str">
        <f aca="false">IF(A794="","",IFERROR(INDEX(Metrics!$C:$C,MATCH(A794,Metrics!$A:$A,0)),"ID not found"))</f>
        <v/>
      </c>
      <c r="D794" s="20" t="str">
        <f aca="false">IF(B794="","",IFERROR(INDEX(Fields!$B:$B,MATCH(B794,Fields!$A:$A,0)),"ID not found"))</f>
        <v/>
      </c>
      <c r="E794" s="30"/>
      <c r="F794" s="20" t="n">
        <f aca="false">IF(A794="",0,COUNTIF('Metric to Product'!$A:$A,A794))</f>
        <v>0</v>
      </c>
      <c r="G794" s="30"/>
      <c r="H794" s="30"/>
      <c r="I794" s="30"/>
    </row>
    <row r="795" customFormat="false" ht="15" hidden="false" customHeight="false" outlineLevel="0" collapsed="false">
      <c r="A795" s="29"/>
      <c r="B795" s="29"/>
      <c r="C795" s="20" t="str">
        <f aca="false">IF(A795="","",IFERROR(INDEX(Metrics!$C:$C,MATCH(A795,Metrics!$A:$A,0)),"ID not found"))</f>
        <v/>
      </c>
      <c r="D795" s="20" t="str">
        <f aca="false">IF(B795="","",IFERROR(INDEX(Fields!$B:$B,MATCH(B795,Fields!$A:$A,0)),"ID not found"))</f>
        <v/>
      </c>
      <c r="E795" s="30"/>
      <c r="F795" s="20" t="n">
        <f aca="false">IF(A795="",0,COUNTIF('Metric to Product'!$A:$A,A795))</f>
        <v>0</v>
      </c>
      <c r="G795" s="30"/>
      <c r="H795" s="30"/>
      <c r="I795" s="30"/>
    </row>
    <row r="796" customFormat="false" ht="15" hidden="false" customHeight="false" outlineLevel="0" collapsed="false">
      <c r="A796" s="29"/>
      <c r="B796" s="29"/>
      <c r="C796" s="20" t="str">
        <f aca="false">IF(A796="","",IFERROR(INDEX(Metrics!$C:$C,MATCH(A796,Metrics!$A:$A,0)),"ID not found"))</f>
        <v/>
      </c>
      <c r="D796" s="20" t="str">
        <f aca="false">IF(B796="","",IFERROR(INDEX(Fields!$B:$B,MATCH(B796,Fields!$A:$A,0)),"ID not found"))</f>
        <v/>
      </c>
      <c r="E796" s="30"/>
      <c r="F796" s="20" t="n">
        <f aca="false">IF(A796="",0,COUNTIF('Metric to Product'!$A:$A,A796))</f>
        <v>0</v>
      </c>
      <c r="G796" s="30"/>
      <c r="H796" s="30"/>
      <c r="I796" s="30"/>
    </row>
    <row r="797" customFormat="false" ht="15" hidden="false" customHeight="false" outlineLevel="0" collapsed="false">
      <c r="A797" s="29"/>
      <c r="B797" s="29"/>
      <c r="C797" s="20" t="str">
        <f aca="false">IF(A797="","",IFERROR(INDEX(Metrics!$C:$C,MATCH(A797,Metrics!$A:$A,0)),"ID not found"))</f>
        <v/>
      </c>
      <c r="D797" s="20" t="str">
        <f aca="false">IF(B797="","",IFERROR(INDEX(Fields!$B:$B,MATCH(B797,Fields!$A:$A,0)),"ID not found"))</f>
        <v/>
      </c>
      <c r="E797" s="30"/>
      <c r="F797" s="20" t="n">
        <f aca="false">IF(A797="",0,COUNTIF('Metric to Product'!$A:$A,A797))</f>
        <v>0</v>
      </c>
      <c r="G797" s="30"/>
      <c r="H797" s="30"/>
      <c r="I797" s="30"/>
    </row>
    <row r="798" customFormat="false" ht="15" hidden="false" customHeight="false" outlineLevel="0" collapsed="false">
      <c r="A798" s="29"/>
      <c r="B798" s="29"/>
      <c r="C798" s="20" t="str">
        <f aca="false">IF(A798="","",IFERROR(INDEX(Metrics!$C:$C,MATCH(A798,Metrics!$A:$A,0)),"ID not found"))</f>
        <v/>
      </c>
      <c r="D798" s="20" t="str">
        <f aca="false">IF(B798="","",IFERROR(INDEX(Fields!$B:$B,MATCH(B798,Fields!$A:$A,0)),"ID not found"))</f>
        <v/>
      </c>
      <c r="E798" s="30"/>
      <c r="F798" s="20" t="n">
        <f aca="false">IF(A798="",0,COUNTIF('Metric to Product'!$A:$A,A798))</f>
        <v>0</v>
      </c>
      <c r="G798" s="30"/>
      <c r="H798" s="30"/>
      <c r="I798" s="30"/>
    </row>
    <row r="799" customFormat="false" ht="15" hidden="false" customHeight="false" outlineLevel="0" collapsed="false">
      <c r="A799" s="29"/>
      <c r="B799" s="29"/>
      <c r="C799" s="20" t="str">
        <f aca="false">IF(A799="","",IFERROR(INDEX(Metrics!$C:$C,MATCH(A799,Metrics!$A:$A,0)),"ID not found"))</f>
        <v/>
      </c>
      <c r="D799" s="20" t="str">
        <f aca="false">IF(B799="","",IFERROR(INDEX(Fields!$B:$B,MATCH(B799,Fields!$A:$A,0)),"ID not found"))</f>
        <v/>
      </c>
      <c r="E799" s="30"/>
      <c r="F799" s="20" t="n">
        <f aca="false">IF(A799="",0,COUNTIF('Metric to Product'!$A:$A,A799))</f>
        <v>0</v>
      </c>
      <c r="G799" s="30"/>
      <c r="H799" s="30"/>
      <c r="I799" s="30"/>
    </row>
    <row r="800" customFormat="false" ht="15" hidden="false" customHeight="false" outlineLevel="0" collapsed="false">
      <c r="A800" s="29"/>
      <c r="B800" s="29"/>
      <c r="C800" s="20" t="str">
        <f aca="false">IF(A800="","",IFERROR(INDEX(Metrics!$C:$C,MATCH(A800,Metrics!$A:$A,0)),"ID not found"))</f>
        <v/>
      </c>
      <c r="D800" s="20" t="str">
        <f aca="false">IF(B800="","",IFERROR(INDEX(Fields!$B:$B,MATCH(B800,Fields!$A:$A,0)),"ID not found"))</f>
        <v/>
      </c>
      <c r="E800" s="30"/>
      <c r="F800" s="20" t="n">
        <f aca="false">IF(A800="",0,COUNTIF('Metric to Product'!$A:$A,A800))</f>
        <v>0</v>
      </c>
      <c r="G800" s="30"/>
      <c r="H800" s="30"/>
      <c r="I800" s="30"/>
    </row>
    <row r="801" customFormat="false" ht="15" hidden="false" customHeight="false" outlineLevel="0" collapsed="false">
      <c r="A801" s="29"/>
      <c r="B801" s="29"/>
      <c r="C801" s="20" t="str">
        <f aca="false">IF(A801="","",IFERROR(INDEX(Metrics!$C:$C,MATCH(A801,Metrics!$A:$A,0)),"ID not found"))</f>
        <v/>
      </c>
      <c r="D801" s="20" t="str">
        <f aca="false">IF(B801="","",IFERROR(INDEX(Fields!$B:$B,MATCH(B801,Fields!$A:$A,0)),"ID not found"))</f>
        <v/>
      </c>
      <c r="E801" s="30"/>
      <c r="F801" s="20" t="n">
        <f aca="false">IF(A801="",0,COUNTIF('Metric to Product'!$A:$A,A801))</f>
        <v>0</v>
      </c>
      <c r="G801" s="30"/>
      <c r="H801" s="30"/>
      <c r="I801" s="30"/>
    </row>
    <row r="802" customFormat="false" ht="15" hidden="false" customHeight="false" outlineLevel="0" collapsed="false">
      <c r="A802" s="29"/>
      <c r="B802" s="29"/>
      <c r="C802" s="20" t="str">
        <f aca="false">IF(A802="","",IFERROR(INDEX(Metrics!$C:$C,MATCH(A802,Metrics!$A:$A,0)),"ID not found"))</f>
        <v/>
      </c>
      <c r="D802" s="20" t="str">
        <f aca="false">IF(B802="","",IFERROR(INDEX(Fields!$B:$B,MATCH(B802,Fields!$A:$A,0)),"ID not found"))</f>
        <v/>
      </c>
      <c r="E802" s="30"/>
      <c r="F802" s="20" t="n">
        <f aca="false">IF(A802="",0,COUNTIF('Metric to Product'!$A:$A,A802))</f>
        <v>0</v>
      </c>
      <c r="G802" s="30"/>
      <c r="H802" s="30"/>
      <c r="I802" s="30"/>
    </row>
    <row r="803" customFormat="false" ht="15" hidden="false" customHeight="false" outlineLevel="0" collapsed="false">
      <c r="A803" s="29"/>
      <c r="B803" s="29"/>
      <c r="C803" s="20" t="str">
        <f aca="false">IF(A803="","",IFERROR(INDEX(Metrics!$C:$C,MATCH(A803,Metrics!$A:$A,0)),"ID not found"))</f>
        <v/>
      </c>
      <c r="D803" s="20" t="str">
        <f aca="false">IF(B803="","",IFERROR(INDEX(Fields!$B:$B,MATCH(B803,Fields!$A:$A,0)),"ID not found"))</f>
        <v/>
      </c>
      <c r="E803" s="30"/>
      <c r="F803" s="20" t="n">
        <f aca="false">IF(A803="",0,COUNTIF('Metric to Product'!$A:$A,A803))</f>
        <v>0</v>
      </c>
      <c r="G803" s="30"/>
      <c r="H803" s="30"/>
      <c r="I803" s="30"/>
    </row>
    <row r="804" customFormat="false" ht="15" hidden="false" customHeight="false" outlineLevel="0" collapsed="false">
      <c r="A804" s="29"/>
      <c r="B804" s="29"/>
      <c r="C804" s="20" t="str">
        <f aca="false">IF(A804="","",IFERROR(INDEX(Metrics!$C:$C,MATCH(A804,Metrics!$A:$A,0)),"ID not found"))</f>
        <v/>
      </c>
      <c r="D804" s="20" t="str">
        <f aca="false">IF(B804="","",IFERROR(INDEX(Fields!$B:$B,MATCH(B804,Fields!$A:$A,0)),"ID not found"))</f>
        <v/>
      </c>
      <c r="E804" s="30"/>
      <c r="F804" s="20" t="n">
        <f aca="false">IF(A804="",0,COUNTIF('Metric to Product'!$A:$A,A804))</f>
        <v>0</v>
      </c>
      <c r="G804" s="30"/>
      <c r="H804" s="30"/>
      <c r="I804" s="30"/>
    </row>
  </sheetData>
  <autoFilter ref="A4:I804"/>
  <conditionalFormatting sqref="C5:C804">
    <cfRule type="cellIs" priority="2" operator="equal" aboveAverage="0" equalAverage="0" bottom="0" percent="0" rank="0" text="" dxfId="16">
      <formula>"ID not found"</formula>
    </cfRule>
  </conditionalFormatting>
  <conditionalFormatting sqref="D5:D804">
    <cfRule type="cellIs" priority="3" operator="equal" aboveAverage="0" equalAverage="0" bottom="0" percent="0" rank="0" text="" dxfId="16">
      <formula>"ID not found"</formula>
    </cfRule>
  </conditionalFormatting>
  <dataValidations count="2">
    <dataValidation allowBlank="true" errorStyle="stop" operator="between" showDropDown="false" showErrorMessage="false" showInputMessage="false" sqref="E5:E84" type="list">
      <formula1>"Start of clock,End of clock,Event counted,Exclusion,Attribution,Linkage,Dimension,Other"</formula1>
      <formula2>0</formula2>
    </dataValidation>
    <dataValidation allowBlank="true" errorStyle="stop" operator="between" showDropDown="false" showErrorMessage="false" showInputMessage="false" sqref="I5:I84" type="list">
      <formula1>"Found,Inferred,Guessed,Human"</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A5C"/>
    <pageSetUpPr fitToPage="true"/>
  </sheetPr>
  <dimension ref="A1:N1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3" min="3" style="0" width="14"/>
    <col collapsed="false" customWidth="true" hidden="false" outlineLevel="0" max="4" min="4" style="0" width="26"/>
    <col collapsed="false" customWidth="true" hidden="false" outlineLevel="0" max="5" min="5" style="0" width="36"/>
    <col collapsed="false" customWidth="true" hidden="false" outlineLevel="0" max="6" min="6" style="0" width="12"/>
    <col collapsed="false" customWidth="true" hidden="false" outlineLevel="0" max="7" min="7" style="0" width="14"/>
    <col collapsed="false" customWidth="true" hidden="false" outlineLevel="0" max="8" min="8" style="0" width="8"/>
    <col collapsed="false" customWidth="true" hidden="false" outlineLevel="0" max="9" min="9" style="0" width="12"/>
    <col collapsed="false" customWidth="true" hidden="false" outlineLevel="0" max="10" min="10" style="0" width="36"/>
    <col collapsed="false" customWidth="true" hidden="false" outlineLevel="0" max="11" min="11" style="0" width="24"/>
    <col collapsed="false" customWidth="true" hidden="false" outlineLevel="0" max="12" min="12" style="0" width="11"/>
    <col collapsed="false" customWidth="true" hidden="false" outlineLevel="0" max="13" min="13" style="0" width="12"/>
    <col collapsed="false" customWidth="true" hidden="false" outlineLevel="0" max="14" min="14" style="0" width="14"/>
  </cols>
  <sheetData>
    <row r="1" customFormat="false" ht="17.35" hidden="false" customHeight="false" outlineLevel="0" collapsed="false">
      <c r="A1" s="1" t="s">
        <v>17</v>
      </c>
    </row>
    <row r="2" customFormat="false" ht="15" hidden="false" customHeight="false" outlineLevel="0" collapsed="false">
      <c r="A2" s="2" t="s">
        <v>475</v>
      </c>
    </row>
    <row r="4" customFormat="false" ht="31.5" hidden="false" customHeight="true" outlineLevel="0" collapsed="false">
      <c r="A4" s="21" t="s">
        <v>297</v>
      </c>
      <c r="B4" s="21" t="s">
        <v>300</v>
      </c>
      <c r="C4" s="21" t="s">
        <v>303</v>
      </c>
      <c r="D4" s="21" t="s">
        <v>306</v>
      </c>
      <c r="E4" s="21" t="s">
        <v>308</v>
      </c>
      <c r="F4" s="21" t="s">
        <v>101</v>
      </c>
      <c r="G4" s="21" t="s">
        <v>199</v>
      </c>
      <c r="H4" s="21" t="s">
        <v>313</v>
      </c>
      <c r="I4" s="21" t="s">
        <v>315</v>
      </c>
      <c r="J4" s="21" t="s">
        <v>130</v>
      </c>
      <c r="K4" s="21" t="s">
        <v>171</v>
      </c>
      <c r="L4" s="21" t="s">
        <v>174</v>
      </c>
      <c r="M4" s="21" t="s">
        <v>177</v>
      </c>
      <c r="N4" s="21" t="s">
        <v>180</v>
      </c>
    </row>
    <row r="5" customFormat="false" ht="23.85" hidden="false" customHeight="false" outlineLevel="0" collapsed="false">
      <c r="A5" s="29" t="s">
        <v>299</v>
      </c>
      <c r="B5" s="30" t="s">
        <v>302</v>
      </c>
      <c r="C5" s="30" t="s">
        <v>305</v>
      </c>
      <c r="D5" s="20" t="str">
        <f aca="false">IF(C5="","",IFERROR(INDEX(Tables!$B:$B,MATCH(C5,Tables!$A:$A,0)),"ID not found"))</f>
        <v>HRDW requisition table</v>
      </c>
      <c r="E5" s="30" t="s">
        <v>310</v>
      </c>
      <c r="F5" s="30" t="s">
        <v>198</v>
      </c>
      <c r="G5" s="30"/>
      <c r="H5" s="20" t="n">
        <f aca="false">IF(A5="","",COUNTIF('Dimension usage'!$B:$B,A5))</f>
        <v>2</v>
      </c>
      <c r="I5" s="32" t="n">
        <f aca="false">IF(A5="","",COUNTIFS('Dimension usage'!$B:$B,A5,'Dimension usage'!$G:$G,"No"))</f>
        <v>1</v>
      </c>
      <c r="J5" s="30" t="s">
        <v>476</v>
      </c>
      <c r="K5" s="30"/>
      <c r="L5" s="30" t="s">
        <v>372</v>
      </c>
      <c r="M5" s="30" t="s">
        <v>179</v>
      </c>
      <c r="N5" s="30"/>
    </row>
    <row r="6" customFormat="false" ht="23.85" hidden="false" customHeight="false" outlineLevel="0" collapsed="false">
      <c r="A6" s="29" t="s">
        <v>477</v>
      </c>
      <c r="B6" s="30" t="s">
        <v>478</v>
      </c>
      <c r="C6" s="30" t="s">
        <v>272</v>
      </c>
      <c r="D6" s="20" t="str">
        <f aca="false">IF(C6="","",IFERROR(INDEX(Tables!$B:$B,MATCH(C6,Tables!$A:$A,0)),"ID not found"))</f>
        <v>Recruiter scorecard base</v>
      </c>
      <c r="E6" s="30" t="s">
        <v>479</v>
      </c>
      <c r="F6" s="30" t="s">
        <v>198</v>
      </c>
      <c r="G6" s="30"/>
      <c r="H6" s="20" t="n">
        <f aca="false">IF(A6="","",COUNTIF('Dimension usage'!$B:$B,A6))</f>
        <v>1</v>
      </c>
      <c r="I6" s="32" t="n">
        <f aca="false">IF(A6="","",COUNTIFS('Dimension usage'!$B:$B,A6,'Dimension usage'!$G:$G,"No"))</f>
        <v>0</v>
      </c>
      <c r="J6" s="30" t="s">
        <v>480</v>
      </c>
      <c r="K6" s="30"/>
      <c r="L6" s="30" t="s">
        <v>372</v>
      </c>
      <c r="M6" s="30" t="s">
        <v>179</v>
      </c>
      <c r="N6" s="30"/>
    </row>
    <row r="7" customFormat="false" ht="15" hidden="false" customHeight="false" outlineLevel="0" collapsed="false">
      <c r="A7" s="29"/>
      <c r="B7" s="30"/>
      <c r="C7" s="30"/>
      <c r="D7" s="20" t="str">
        <f aca="false">IF(C7="","",IFERROR(INDEX(Tables!$B:$B,MATCH(C7,Tables!$A:$A,0)),"ID not found"))</f>
        <v/>
      </c>
      <c r="E7" s="30"/>
      <c r="F7" s="30"/>
      <c r="G7" s="30"/>
      <c r="H7" s="20" t="str">
        <f aca="false">IF(A7="","",COUNTIF('Dimension usage'!$B:$B,A7))</f>
        <v/>
      </c>
      <c r="I7" s="32" t="str">
        <f aca="false">IF(A7="","",COUNTIFS('Dimension usage'!$B:$B,A7,'Dimension usage'!$G:$G,"No"))</f>
        <v/>
      </c>
      <c r="J7" s="30"/>
      <c r="K7" s="30"/>
      <c r="L7" s="30"/>
      <c r="M7" s="30"/>
      <c r="N7" s="30"/>
    </row>
    <row r="8" customFormat="false" ht="15" hidden="false" customHeight="false" outlineLevel="0" collapsed="false">
      <c r="A8" s="29"/>
      <c r="B8" s="30"/>
      <c r="C8" s="30"/>
      <c r="D8" s="20" t="str">
        <f aca="false">IF(C8="","",IFERROR(INDEX(Tables!$B:$B,MATCH(C8,Tables!$A:$A,0)),"ID not found"))</f>
        <v/>
      </c>
      <c r="E8" s="30"/>
      <c r="F8" s="30"/>
      <c r="G8" s="30"/>
      <c r="H8" s="20" t="str">
        <f aca="false">IF(A8="","",COUNTIF('Dimension usage'!$B:$B,A8))</f>
        <v/>
      </c>
      <c r="I8" s="32" t="str">
        <f aca="false">IF(A8="","",COUNTIFS('Dimension usage'!$B:$B,A8,'Dimension usage'!$G:$G,"No"))</f>
        <v/>
      </c>
      <c r="J8" s="30"/>
      <c r="K8" s="30"/>
      <c r="L8" s="30"/>
      <c r="M8" s="30"/>
      <c r="N8" s="30"/>
    </row>
    <row r="9" customFormat="false" ht="15" hidden="false" customHeight="false" outlineLevel="0" collapsed="false">
      <c r="A9" s="29"/>
      <c r="B9" s="30"/>
      <c r="C9" s="30"/>
      <c r="D9" s="20" t="str">
        <f aca="false">IF(C9="","",IFERROR(INDEX(Tables!$B:$B,MATCH(C9,Tables!$A:$A,0)),"ID not found"))</f>
        <v/>
      </c>
      <c r="E9" s="30"/>
      <c r="F9" s="30"/>
      <c r="G9" s="30"/>
      <c r="H9" s="20" t="str">
        <f aca="false">IF(A9="","",COUNTIF('Dimension usage'!$B:$B,A9))</f>
        <v/>
      </c>
      <c r="I9" s="32" t="str">
        <f aca="false">IF(A9="","",COUNTIFS('Dimension usage'!$B:$B,A9,'Dimension usage'!$G:$G,"No"))</f>
        <v/>
      </c>
      <c r="J9" s="30"/>
      <c r="K9" s="30"/>
      <c r="L9" s="30"/>
      <c r="M9" s="30"/>
      <c r="N9" s="30"/>
    </row>
    <row r="10" customFormat="false" ht="15" hidden="false" customHeight="false" outlineLevel="0" collapsed="false">
      <c r="A10" s="29"/>
      <c r="B10" s="30"/>
      <c r="C10" s="30"/>
      <c r="D10" s="20" t="str">
        <f aca="false">IF(C10="","",IFERROR(INDEX(Tables!$B:$B,MATCH(C10,Tables!$A:$A,0)),"ID not found"))</f>
        <v/>
      </c>
      <c r="E10" s="30"/>
      <c r="F10" s="30"/>
      <c r="G10" s="30"/>
      <c r="H10" s="20" t="str">
        <f aca="false">IF(A10="","",COUNTIF('Dimension usage'!$B:$B,A10))</f>
        <v/>
      </c>
      <c r="I10" s="32" t="str">
        <f aca="false">IF(A10="","",COUNTIFS('Dimension usage'!$B:$B,A10,'Dimension usage'!$G:$G,"No"))</f>
        <v/>
      </c>
      <c r="J10" s="30"/>
      <c r="K10" s="30"/>
      <c r="L10" s="30"/>
      <c r="M10" s="30"/>
      <c r="N10" s="30"/>
    </row>
    <row r="11" customFormat="false" ht="15" hidden="false" customHeight="false" outlineLevel="0" collapsed="false">
      <c r="A11" s="29"/>
      <c r="B11" s="30"/>
      <c r="C11" s="30"/>
      <c r="D11" s="20" t="str">
        <f aca="false">IF(C11="","",IFERROR(INDEX(Tables!$B:$B,MATCH(C11,Tables!$A:$A,0)),"ID not found"))</f>
        <v/>
      </c>
      <c r="E11" s="30"/>
      <c r="F11" s="30"/>
      <c r="G11" s="30"/>
      <c r="H11" s="20" t="str">
        <f aca="false">IF(A11="","",COUNTIF('Dimension usage'!$B:$B,A11))</f>
        <v/>
      </c>
      <c r="I11" s="32" t="str">
        <f aca="false">IF(A11="","",COUNTIFS('Dimension usage'!$B:$B,A11,'Dimension usage'!$G:$G,"No"))</f>
        <v/>
      </c>
      <c r="J11" s="30"/>
      <c r="K11" s="30"/>
      <c r="L11" s="30"/>
      <c r="M11" s="30"/>
      <c r="N11" s="30"/>
    </row>
    <row r="12" customFormat="false" ht="15" hidden="false" customHeight="false" outlineLevel="0" collapsed="false">
      <c r="A12" s="29"/>
      <c r="B12" s="30"/>
      <c r="C12" s="30"/>
      <c r="D12" s="20" t="str">
        <f aca="false">IF(C12="","",IFERROR(INDEX(Tables!$B:$B,MATCH(C12,Tables!$A:$A,0)),"ID not found"))</f>
        <v/>
      </c>
      <c r="E12" s="30"/>
      <c r="F12" s="30"/>
      <c r="G12" s="30"/>
      <c r="H12" s="20" t="str">
        <f aca="false">IF(A12="","",COUNTIF('Dimension usage'!$B:$B,A12))</f>
        <v/>
      </c>
      <c r="I12" s="32" t="str">
        <f aca="false">IF(A12="","",COUNTIFS('Dimension usage'!$B:$B,A12,'Dimension usage'!$G:$G,"No"))</f>
        <v/>
      </c>
      <c r="J12" s="30"/>
      <c r="K12" s="30"/>
      <c r="L12" s="30"/>
      <c r="M12" s="30"/>
      <c r="N12" s="30"/>
    </row>
    <row r="13" customFormat="false" ht="15" hidden="false" customHeight="false" outlineLevel="0" collapsed="false">
      <c r="A13" s="29"/>
      <c r="B13" s="30"/>
      <c r="C13" s="30"/>
      <c r="D13" s="20" t="str">
        <f aca="false">IF(C13="","",IFERROR(INDEX(Tables!$B:$B,MATCH(C13,Tables!$A:$A,0)),"ID not found"))</f>
        <v/>
      </c>
      <c r="E13" s="30"/>
      <c r="F13" s="30"/>
      <c r="G13" s="30"/>
      <c r="H13" s="20" t="str">
        <f aca="false">IF(A13="","",COUNTIF('Dimension usage'!$B:$B,A13))</f>
        <v/>
      </c>
      <c r="I13" s="32" t="str">
        <f aca="false">IF(A13="","",COUNTIFS('Dimension usage'!$B:$B,A13,'Dimension usage'!$G:$G,"No"))</f>
        <v/>
      </c>
      <c r="J13" s="30"/>
      <c r="K13" s="30"/>
      <c r="L13" s="30"/>
      <c r="M13" s="30"/>
      <c r="N13" s="30"/>
    </row>
    <row r="14" customFormat="false" ht="15" hidden="false" customHeight="false" outlineLevel="0" collapsed="false">
      <c r="A14" s="29"/>
      <c r="B14" s="30"/>
      <c r="C14" s="30"/>
      <c r="D14" s="20" t="str">
        <f aca="false">IF(C14="","",IFERROR(INDEX(Tables!$B:$B,MATCH(C14,Tables!$A:$A,0)),"ID not found"))</f>
        <v/>
      </c>
      <c r="E14" s="30"/>
      <c r="F14" s="30"/>
      <c r="G14" s="30"/>
      <c r="H14" s="20" t="str">
        <f aca="false">IF(A14="","",COUNTIF('Dimension usage'!$B:$B,A14))</f>
        <v/>
      </c>
      <c r="I14" s="32" t="str">
        <f aca="false">IF(A14="","",COUNTIFS('Dimension usage'!$B:$B,A14,'Dimension usage'!$G:$G,"No"))</f>
        <v/>
      </c>
      <c r="J14" s="30"/>
      <c r="K14" s="30"/>
      <c r="L14" s="30"/>
      <c r="M14" s="30"/>
      <c r="N14" s="30"/>
    </row>
    <row r="15" customFormat="false" ht="15" hidden="false" customHeight="false" outlineLevel="0" collapsed="false">
      <c r="A15" s="29"/>
      <c r="B15" s="30"/>
      <c r="C15" s="30"/>
      <c r="D15" s="20" t="str">
        <f aca="false">IF(C15="","",IFERROR(INDEX(Tables!$B:$B,MATCH(C15,Tables!$A:$A,0)),"ID not found"))</f>
        <v/>
      </c>
      <c r="E15" s="30"/>
      <c r="F15" s="30"/>
      <c r="G15" s="30"/>
      <c r="H15" s="20" t="str">
        <f aca="false">IF(A15="","",COUNTIF('Dimension usage'!$B:$B,A15))</f>
        <v/>
      </c>
      <c r="I15" s="32" t="str">
        <f aca="false">IF(A15="","",COUNTIFS('Dimension usage'!$B:$B,A15,'Dimension usage'!$G:$G,"No"))</f>
        <v/>
      </c>
      <c r="J15" s="30"/>
      <c r="K15" s="30"/>
      <c r="L15" s="30"/>
      <c r="M15" s="30"/>
      <c r="N15" s="30"/>
    </row>
    <row r="16" customFormat="false" ht="15" hidden="false" customHeight="false" outlineLevel="0" collapsed="false">
      <c r="A16" s="29"/>
      <c r="B16" s="30"/>
      <c r="C16" s="30"/>
      <c r="D16" s="20" t="str">
        <f aca="false">IF(C16="","",IFERROR(INDEX(Tables!$B:$B,MATCH(C16,Tables!$A:$A,0)),"ID not found"))</f>
        <v/>
      </c>
      <c r="E16" s="30"/>
      <c r="F16" s="30"/>
      <c r="G16" s="30"/>
      <c r="H16" s="20" t="str">
        <f aca="false">IF(A16="","",COUNTIF('Dimension usage'!$B:$B,A16))</f>
        <v/>
      </c>
      <c r="I16" s="32" t="str">
        <f aca="false">IF(A16="","",COUNTIFS('Dimension usage'!$B:$B,A16,'Dimension usage'!$G:$G,"No"))</f>
        <v/>
      </c>
      <c r="J16" s="30"/>
      <c r="K16" s="30"/>
      <c r="L16" s="30"/>
      <c r="M16" s="30"/>
      <c r="N16" s="30"/>
    </row>
    <row r="17" customFormat="false" ht="15" hidden="false" customHeight="false" outlineLevel="0" collapsed="false">
      <c r="A17" s="29"/>
      <c r="B17" s="30"/>
      <c r="C17" s="30"/>
      <c r="D17" s="20" t="str">
        <f aca="false">IF(C17="","",IFERROR(INDEX(Tables!$B:$B,MATCH(C17,Tables!$A:$A,0)),"ID not found"))</f>
        <v/>
      </c>
      <c r="E17" s="30"/>
      <c r="F17" s="30"/>
      <c r="G17" s="30"/>
      <c r="H17" s="20" t="str">
        <f aca="false">IF(A17="","",COUNTIF('Dimension usage'!$B:$B,A17))</f>
        <v/>
      </c>
      <c r="I17" s="32" t="str">
        <f aca="false">IF(A17="","",COUNTIFS('Dimension usage'!$B:$B,A17,'Dimension usage'!$G:$G,"No"))</f>
        <v/>
      </c>
      <c r="J17" s="30"/>
      <c r="K17" s="30"/>
      <c r="L17" s="30"/>
      <c r="M17" s="30"/>
      <c r="N17" s="30"/>
    </row>
    <row r="18" customFormat="false" ht="15" hidden="false" customHeight="false" outlineLevel="0" collapsed="false">
      <c r="A18" s="29"/>
      <c r="B18" s="30"/>
      <c r="C18" s="30"/>
      <c r="D18" s="20" t="str">
        <f aca="false">IF(C18="","",IFERROR(INDEX(Tables!$B:$B,MATCH(C18,Tables!$A:$A,0)),"ID not found"))</f>
        <v/>
      </c>
      <c r="E18" s="30"/>
      <c r="F18" s="30"/>
      <c r="G18" s="30"/>
      <c r="H18" s="20" t="str">
        <f aca="false">IF(A18="","",COUNTIF('Dimension usage'!$B:$B,A18))</f>
        <v/>
      </c>
      <c r="I18" s="32" t="str">
        <f aca="false">IF(A18="","",COUNTIFS('Dimension usage'!$B:$B,A18,'Dimension usage'!$G:$G,"No"))</f>
        <v/>
      </c>
      <c r="J18" s="30"/>
      <c r="K18" s="30"/>
      <c r="L18" s="30"/>
      <c r="M18" s="30"/>
      <c r="N18" s="30"/>
    </row>
    <row r="19" customFormat="false" ht="15" hidden="false" customHeight="false" outlineLevel="0" collapsed="false">
      <c r="A19" s="29"/>
      <c r="B19" s="30"/>
      <c r="C19" s="30"/>
      <c r="D19" s="20" t="str">
        <f aca="false">IF(C19="","",IFERROR(INDEX(Tables!$B:$B,MATCH(C19,Tables!$A:$A,0)),"ID not found"))</f>
        <v/>
      </c>
      <c r="E19" s="30"/>
      <c r="F19" s="30"/>
      <c r="G19" s="30"/>
      <c r="H19" s="20" t="str">
        <f aca="false">IF(A19="","",COUNTIF('Dimension usage'!$B:$B,A19))</f>
        <v/>
      </c>
      <c r="I19" s="32" t="str">
        <f aca="false">IF(A19="","",COUNTIFS('Dimension usage'!$B:$B,A19,'Dimension usage'!$G:$G,"No"))</f>
        <v/>
      </c>
      <c r="J19" s="30"/>
      <c r="K19" s="30"/>
      <c r="L19" s="30"/>
      <c r="M19" s="30"/>
      <c r="N19" s="30"/>
    </row>
    <row r="20" customFormat="false" ht="15" hidden="false" customHeight="false" outlineLevel="0" collapsed="false">
      <c r="A20" s="29"/>
      <c r="B20" s="30"/>
      <c r="C20" s="30"/>
      <c r="D20" s="20" t="str">
        <f aca="false">IF(C20="","",IFERROR(INDEX(Tables!$B:$B,MATCH(C20,Tables!$A:$A,0)),"ID not found"))</f>
        <v/>
      </c>
      <c r="E20" s="30"/>
      <c r="F20" s="30"/>
      <c r="G20" s="30"/>
      <c r="H20" s="20" t="str">
        <f aca="false">IF(A20="","",COUNTIF('Dimension usage'!$B:$B,A20))</f>
        <v/>
      </c>
      <c r="I20" s="32" t="str">
        <f aca="false">IF(A20="","",COUNTIFS('Dimension usage'!$B:$B,A20,'Dimension usage'!$G:$G,"No"))</f>
        <v/>
      </c>
      <c r="J20" s="30"/>
      <c r="K20" s="30"/>
      <c r="L20" s="30"/>
      <c r="M20" s="30"/>
      <c r="N20" s="30"/>
    </row>
    <row r="21" customFormat="false" ht="15" hidden="false" customHeight="false" outlineLevel="0" collapsed="false">
      <c r="A21" s="29"/>
      <c r="B21" s="30"/>
      <c r="C21" s="30"/>
      <c r="D21" s="20" t="str">
        <f aca="false">IF(C21="","",IFERROR(INDEX(Tables!$B:$B,MATCH(C21,Tables!$A:$A,0)),"ID not found"))</f>
        <v/>
      </c>
      <c r="E21" s="30"/>
      <c r="F21" s="30"/>
      <c r="G21" s="30"/>
      <c r="H21" s="20" t="str">
        <f aca="false">IF(A21="","",COUNTIF('Dimension usage'!$B:$B,A21))</f>
        <v/>
      </c>
      <c r="I21" s="32" t="str">
        <f aca="false">IF(A21="","",COUNTIFS('Dimension usage'!$B:$B,A21,'Dimension usage'!$G:$G,"No"))</f>
        <v/>
      </c>
      <c r="J21" s="30"/>
      <c r="K21" s="30"/>
      <c r="L21" s="30"/>
      <c r="M21" s="30"/>
      <c r="N21" s="30"/>
    </row>
    <row r="22" customFormat="false" ht="15" hidden="false" customHeight="false" outlineLevel="0" collapsed="false">
      <c r="A22" s="29"/>
      <c r="B22" s="30"/>
      <c r="C22" s="30"/>
      <c r="D22" s="20" t="str">
        <f aca="false">IF(C22="","",IFERROR(INDEX(Tables!$B:$B,MATCH(C22,Tables!$A:$A,0)),"ID not found"))</f>
        <v/>
      </c>
      <c r="E22" s="30"/>
      <c r="F22" s="30"/>
      <c r="G22" s="30"/>
      <c r="H22" s="20" t="str">
        <f aca="false">IF(A22="","",COUNTIF('Dimension usage'!$B:$B,A22))</f>
        <v/>
      </c>
      <c r="I22" s="32" t="str">
        <f aca="false">IF(A22="","",COUNTIFS('Dimension usage'!$B:$B,A22,'Dimension usage'!$G:$G,"No"))</f>
        <v/>
      </c>
      <c r="J22" s="30"/>
      <c r="K22" s="30"/>
      <c r="L22" s="30"/>
      <c r="M22" s="30"/>
      <c r="N22" s="30"/>
    </row>
    <row r="23" customFormat="false" ht="15" hidden="false" customHeight="false" outlineLevel="0" collapsed="false">
      <c r="A23" s="29"/>
      <c r="B23" s="30"/>
      <c r="C23" s="30"/>
      <c r="D23" s="20" t="str">
        <f aca="false">IF(C23="","",IFERROR(INDEX(Tables!$B:$B,MATCH(C23,Tables!$A:$A,0)),"ID not found"))</f>
        <v/>
      </c>
      <c r="E23" s="30"/>
      <c r="F23" s="30"/>
      <c r="G23" s="30"/>
      <c r="H23" s="20" t="str">
        <f aca="false">IF(A23="","",COUNTIF('Dimension usage'!$B:$B,A23))</f>
        <v/>
      </c>
      <c r="I23" s="32" t="str">
        <f aca="false">IF(A23="","",COUNTIFS('Dimension usage'!$B:$B,A23,'Dimension usage'!$G:$G,"No"))</f>
        <v/>
      </c>
      <c r="J23" s="30"/>
      <c r="K23" s="30"/>
      <c r="L23" s="30"/>
      <c r="M23" s="30"/>
      <c r="N23" s="30"/>
    </row>
    <row r="24" customFormat="false" ht="15" hidden="false" customHeight="false" outlineLevel="0" collapsed="false">
      <c r="A24" s="29"/>
      <c r="B24" s="30"/>
      <c r="C24" s="30"/>
      <c r="D24" s="20" t="str">
        <f aca="false">IF(C24="","",IFERROR(INDEX(Tables!$B:$B,MATCH(C24,Tables!$A:$A,0)),"ID not found"))</f>
        <v/>
      </c>
      <c r="E24" s="30"/>
      <c r="F24" s="30"/>
      <c r="G24" s="30"/>
      <c r="H24" s="20" t="str">
        <f aca="false">IF(A24="","",COUNTIF('Dimension usage'!$B:$B,A24))</f>
        <v/>
      </c>
      <c r="I24" s="32" t="str">
        <f aca="false">IF(A24="","",COUNTIFS('Dimension usage'!$B:$B,A24,'Dimension usage'!$G:$G,"No"))</f>
        <v/>
      </c>
      <c r="J24" s="30"/>
      <c r="K24" s="30"/>
      <c r="L24" s="30"/>
      <c r="M24" s="30"/>
      <c r="N24" s="30"/>
    </row>
    <row r="25" customFormat="false" ht="15" hidden="false" customHeight="false" outlineLevel="0" collapsed="false">
      <c r="A25" s="29"/>
      <c r="B25" s="30"/>
      <c r="C25" s="30"/>
      <c r="D25" s="20" t="str">
        <f aca="false">IF(C25="","",IFERROR(INDEX(Tables!$B:$B,MATCH(C25,Tables!$A:$A,0)),"ID not found"))</f>
        <v/>
      </c>
      <c r="E25" s="30"/>
      <c r="F25" s="30"/>
      <c r="G25" s="30"/>
      <c r="H25" s="20" t="str">
        <f aca="false">IF(A25="","",COUNTIF('Dimension usage'!$B:$B,A25))</f>
        <v/>
      </c>
      <c r="I25" s="32" t="str">
        <f aca="false">IF(A25="","",COUNTIFS('Dimension usage'!$B:$B,A25,'Dimension usage'!$G:$G,"No"))</f>
        <v/>
      </c>
      <c r="J25" s="30"/>
      <c r="K25" s="30"/>
      <c r="L25" s="30"/>
      <c r="M25" s="30"/>
      <c r="N25" s="30"/>
    </row>
    <row r="26" customFormat="false" ht="15" hidden="false" customHeight="false" outlineLevel="0" collapsed="false">
      <c r="A26" s="29"/>
      <c r="B26" s="30"/>
      <c r="C26" s="30"/>
      <c r="D26" s="20" t="str">
        <f aca="false">IF(C26="","",IFERROR(INDEX(Tables!$B:$B,MATCH(C26,Tables!$A:$A,0)),"ID not found"))</f>
        <v/>
      </c>
      <c r="E26" s="30"/>
      <c r="F26" s="30"/>
      <c r="G26" s="30"/>
      <c r="H26" s="20" t="str">
        <f aca="false">IF(A26="","",COUNTIF('Dimension usage'!$B:$B,A26))</f>
        <v/>
      </c>
      <c r="I26" s="32" t="str">
        <f aca="false">IF(A26="","",COUNTIFS('Dimension usage'!$B:$B,A26,'Dimension usage'!$G:$G,"No"))</f>
        <v/>
      </c>
      <c r="J26" s="30"/>
      <c r="K26" s="30"/>
      <c r="L26" s="30"/>
      <c r="M26" s="30"/>
      <c r="N26" s="30"/>
    </row>
    <row r="27" customFormat="false" ht="15" hidden="false" customHeight="false" outlineLevel="0" collapsed="false">
      <c r="A27" s="29"/>
      <c r="B27" s="30"/>
      <c r="C27" s="30"/>
      <c r="D27" s="20" t="str">
        <f aca="false">IF(C27="","",IFERROR(INDEX(Tables!$B:$B,MATCH(C27,Tables!$A:$A,0)),"ID not found"))</f>
        <v/>
      </c>
      <c r="E27" s="30"/>
      <c r="F27" s="30"/>
      <c r="G27" s="30"/>
      <c r="H27" s="20" t="str">
        <f aca="false">IF(A27="","",COUNTIF('Dimension usage'!$B:$B,A27))</f>
        <v/>
      </c>
      <c r="I27" s="32" t="str">
        <f aca="false">IF(A27="","",COUNTIFS('Dimension usage'!$B:$B,A27,'Dimension usage'!$G:$G,"No"))</f>
        <v/>
      </c>
      <c r="J27" s="30"/>
      <c r="K27" s="30"/>
      <c r="L27" s="30"/>
      <c r="M27" s="30"/>
      <c r="N27" s="30"/>
    </row>
    <row r="28" customFormat="false" ht="15" hidden="false" customHeight="false" outlineLevel="0" collapsed="false">
      <c r="A28" s="29"/>
      <c r="B28" s="30"/>
      <c r="C28" s="30"/>
      <c r="D28" s="20" t="str">
        <f aca="false">IF(C28="","",IFERROR(INDEX(Tables!$B:$B,MATCH(C28,Tables!$A:$A,0)),"ID not found"))</f>
        <v/>
      </c>
      <c r="E28" s="30"/>
      <c r="F28" s="30"/>
      <c r="G28" s="30"/>
      <c r="H28" s="20" t="str">
        <f aca="false">IF(A28="","",COUNTIF('Dimension usage'!$B:$B,A28))</f>
        <v/>
      </c>
      <c r="I28" s="32" t="str">
        <f aca="false">IF(A28="","",COUNTIFS('Dimension usage'!$B:$B,A28,'Dimension usage'!$G:$G,"No"))</f>
        <v/>
      </c>
      <c r="J28" s="30"/>
      <c r="K28" s="30"/>
      <c r="L28" s="30"/>
      <c r="M28" s="30"/>
      <c r="N28" s="30"/>
    </row>
    <row r="29" customFormat="false" ht="15" hidden="false" customHeight="false" outlineLevel="0" collapsed="false">
      <c r="A29" s="29"/>
      <c r="B29" s="30"/>
      <c r="C29" s="30"/>
      <c r="D29" s="20" t="str">
        <f aca="false">IF(C29="","",IFERROR(INDEX(Tables!$B:$B,MATCH(C29,Tables!$A:$A,0)),"ID not found"))</f>
        <v/>
      </c>
      <c r="E29" s="30"/>
      <c r="F29" s="30"/>
      <c r="G29" s="30"/>
      <c r="H29" s="20" t="str">
        <f aca="false">IF(A29="","",COUNTIF('Dimension usage'!$B:$B,A29))</f>
        <v/>
      </c>
      <c r="I29" s="32" t="str">
        <f aca="false">IF(A29="","",COUNTIFS('Dimension usage'!$B:$B,A29,'Dimension usage'!$G:$G,"No"))</f>
        <v/>
      </c>
      <c r="J29" s="30"/>
      <c r="K29" s="30"/>
      <c r="L29" s="30"/>
      <c r="M29" s="30"/>
      <c r="N29" s="30"/>
    </row>
    <row r="30" customFormat="false" ht="15" hidden="false" customHeight="false" outlineLevel="0" collapsed="false">
      <c r="A30" s="29"/>
      <c r="B30" s="30"/>
      <c r="C30" s="30"/>
      <c r="D30" s="20" t="str">
        <f aca="false">IF(C30="","",IFERROR(INDEX(Tables!$B:$B,MATCH(C30,Tables!$A:$A,0)),"ID not found"))</f>
        <v/>
      </c>
      <c r="E30" s="30"/>
      <c r="F30" s="30"/>
      <c r="G30" s="30"/>
      <c r="H30" s="20" t="str">
        <f aca="false">IF(A30="","",COUNTIF('Dimension usage'!$B:$B,A30))</f>
        <v/>
      </c>
      <c r="I30" s="32" t="str">
        <f aca="false">IF(A30="","",COUNTIFS('Dimension usage'!$B:$B,A30,'Dimension usage'!$G:$G,"No"))</f>
        <v/>
      </c>
      <c r="J30" s="30"/>
      <c r="K30" s="30"/>
      <c r="L30" s="30"/>
      <c r="M30" s="30"/>
      <c r="N30" s="30"/>
    </row>
    <row r="31" customFormat="false" ht="15" hidden="false" customHeight="false" outlineLevel="0" collapsed="false">
      <c r="A31" s="29"/>
      <c r="B31" s="30"/>
      <c r="C31" s="30"/>
      <c r="D31" s="20" t="str">
        <f aca="false">IF(C31="","",IFERROR(INDEX(Tables!$B:$B,MATCH(C31,Tables!$A:$A,0)),"ID not found"))</f>
        <v/>
      </c>
      <c r="E31" s="30"/>
      <c r="F31" s="30"/>
      <c r="G31" s="30"/>
      <c r="H31" s="20" t="str">
        <f aca="false">IF(A31="","",COUNTIF('Dimension usage'!$B:$B,A31))</f>
        <v/>
      </c>
      <c r="I31" s="32" t="str">
        <f aca="false">IF(A31="","",COUNTIFS('Dimension usage'!$B:$B,A31,'Dimension usage'!$G:$G,"No"))</f>
        <v/>
      </c>
      <c r="J31" s="30"/>
      <c r="K31" s="30"/>
      <c r="L31" s="30"/>
      <c r="M31" s="30"/>
      <c r="N31" s="30"/>
    </row>
    <row r="32" customFormat="false" ht="15" hidden="false" customHeight="false" outlineLevel="0" collapsed="false">
      <c r="A32" s="29"/>
      <c r="B32" s="30"/>
      <c r="C32" s="30"/>
      <c r="D32" s="20" t="str">
        <f aca="false">IF(C32="","",IFERROR(INDEX(Tables!$B:$B,MATCH(C32,Tables!$A:$A,0)),"ID not found"))</f>
        <v/>
      </c>
      <c r="E32" s="30"/>
      <c r="F32" s="30"/>
      <c r="G32" s="30"/>
      <c r="H32" s="20" t="str">
        <f aca="false">IF(A32="","",COUNTIF('Dimension usage'!$B:$B,A32))</f>
        <v/>
      </c>
      <c r="I32" s="32" t="str">
        <f aca="false">IF(A32="","",COUNTIFS('Dimension usage'!$B:$B,A32,'Dimension usage'!$G:$G,"No"))</f>
        <v/>
      </c>
      <c r="J32" s="30"/>
      <c r="K32" s="30"/>
      <c r="L32" s="30"/>
      <c r="M32" s="30"/>
      <c r="N32" s="30"/>
    </row>
    <row r="33" customFormat="false" ht="15" hidden="false" customHeight="false" outlineLevel="0" collapsed="false">
      <c r="A33" s="29"/>
      <c r="B33" s="30"/>
      <c r="C33" s="30"/>
      <c r="D33" s="20" t="str">
        <f aca="false">IF(C33="","",IFERROR(INDEX(Tables!$B:$B,MATCH(C33,Tables!$A:$A,0)),"ID not found"))</f>
        <v/>
      </c>
      <c r="E33" s="30"/>
      <c r="F33" s="30"/>
      <c r="G33" s="30"/>
      <c r="H33" s="20" t="str">
        <f aca="false">IF(A33="","",COUNTIF('Dimension usage'!$B:$B,A33))</f>
        <v/>
      </c>
      <c r="I33" s="32" t="str">
        <f aca="false">IF(A33="","",COUNTIFS('Dimension usage'!$B:$B,A33,'Dimension usage'!$G:$G,"No"))</f>
        <v/>
      </c>
      <c r="J33" s="30"/>
      <c r="K33" s="30"/>
      <c r="L33" s="30"/>
      <c r="M33" s="30"/>
      <c r="N33" s="30"/>
    </row>
    <row r="34" customFormat="false" ht="15" hidden="false" customHeight="false" outlineLevel="0" collapsed="false">
      <c r="A34" s="29"/>
      <c r="B34" s="30"/>
      <c r="C34" s="30"/>
      <c r="D34" s="20" t="str">
        <f aca="false">IF(C34="","",IFERROR(INDEX(Tables!$B:$B,MATCH(C34,Tables!$A:$A,0)),"ID not found"))</f>
        <v/>
      </c>
      <c r="E34" s="30"/>
      <c r="F34" s="30"/>
      <c r="G34" s="30"/>
      <c r="H34" s="20" t="str">
        <f aca="false">IF(A34="","",COUNTIF('Dimension usage'!$B:$B,A34))</f>
        <v/>
      </c>
      <c r="I34" s="32" t="str">
        <f aca="false">IF(A34="","",COUNTIFS('Dimension usage'!$B:$B,A34,'Dimension usage'!$G:$G,"No"))</f>
        <v/>
      </c>
      <c r="J34" s="30"/>
      <c r="K34" s="30"/>
      <c r="L34" s="30"/>
      <c r="M34" s="30"/>
      <c r="N34" s="30"/>
    </row>
    <row r="35" customFormat="false" ht="15" hidden="false" customHeight="false" outlineLevel="0" collapsed="false">
      <c r="A35" s="29"/>
      <c r="B35" s="30"/>
      <c r="C35" s="30"/>
      <c r="D35" s="20" t="str">
        <f aca="false">IF(C35="","",IFERROR(INDEX(Tables!$B:$B,MATCH(C35,Tables!$A:$A,0)),"ID not found"))</f>
        <v/>
      </c>
      <c r="E35" s="30"/>
      <c r="F35" s="30"/>
      <c r="G35" s="30"/>
      <c r="H35" s="20" t="str">
        <f aca="false">IF(A35="","",COUNTIF('Dimension usage'!$B:$B,A35))</f>
        <v/>
      </c>
      <c r="I35" s="32" t="str">
        <f aca="false">IF(A35="","",COUNTIFS('Dimension usage'!$B:$B,A35,'Dimension usage'!$G:$G,"No"))</f>
        <v/>
      </c>
      <c r="J35" s="30"/>
      <c r="K35" s="30"/>
      <c r="L35" s="30"/>
      <c r="M35" s="30"/>
      <c r="N35" s="30"/>
    </row>
    <row r="36" customFormat="false" ht="15" hidden="false" customHeight="false" outlineLevel="0" collapsed="false">
      <c r="A36" s="29"/>
      <c r="B36" s="30"/>
      <c r="C36" s="30"/>
      <c r="D36" s="20" t="str">
        <f aca="false">IF(C36="","",IFERROR(INDEX(Tables!$B:$B,MATCH(C36,Tables!$A:$A,0)),"ID not found"))</f>
        <v/>
      </c>
      <c r="E36" s="30"/>
      <c r="F36" s="30"/>
      <c r="G36" s="30"/>
      <c r="H36" s="20" t="str">
        <f aca="false">IF(A36="","",COUNTIF('Dimension usage'!$B:$B,A36))</f>
        <v/>
      </c>
      <c r="I36" s="32" t="str">
        <f aca="false">IF(A36="","",COUNTIFS('Dimension usage'!$B:$B,A36,'Dimension usage'!$G:$G,"No"))</f>
        <v/>
      </c>
      <c r="J36" s="30"/>
      <c r="K36" s="30"/>
      <c r="L36" s="30"/>
      <c r="M36" s="30"/>
      <c r="N36" s="30"/>
    </row>
    <row r="37" customFormat="false" ht="15" hidden="false" customHeight="false" outlineLevel="0" collapsed="false">
      <c r="A37" s="29"/>
      <c r="B37" s="30"/>
      <c r="C37" s="30"/>
      <c r="D37" s="20" t="str">
        <f aca="false">IF(C37="","",IFERROR(INDEX(Tables!$B:$B,MATCH(C37,Tables!$A:$A,0)),"ID not found"))</f>
        <v/>
      </c>
      <c r="E37" s="30"/>
      <c r="F37" s="30"/>
      <c r="G37" s="30"/>
      <c r="H37" s="20" t="str">
        <f aca="false">IF(A37="","",COUNTIF('Dimension usage'!$B:$B,A37))</f>
        <v/>
      </c>
      <c r="I37" s="32" t="str">
        <f aca="false">IF(A37="","",COUNTIFS('Dimension usage'!$B:$B,A37,'Dimension usage'!$G:$G,"No"))</f>
        <v/>
      </c>
      <c r="J37" s="30"/>
      <c r="K37" s="30"/>
      <c r="L37" s="30"/>
      <c r="M37" s="30"/>
      <c r="N37" s="30"/>
    </row>
    <row r="38" customFormat="false" ht="15" hidden="false" customHeight="false" outlineLevel="0" collapsed="false">
      <c r="A38" s="29"/>
      <c r="B38" s="30"/>
      <c r="C38" s="30"/>
      <c r="D38" s="20" t="str">
        <f aca="false">IF(C38="","",IFERROR(INDEX(Tables!$B:$B,MATCH(C38,Tables!$A:$A,0)),"ID not found"))</f>
        <v/>
      </c>
      <c r="E38" s="30"/>
      <c r="F38" s="30"/>
      <c r="G38" s="30"/>
      <c r="H38" s="20" t="str">
        <f aca="false">IF(A38="","",COUNTIF('Dimension usage'!$B:$B,A38))</f>
        <v/>
      </c>
      <c r="I38" s="32" t="str">
        <f aca="false">IF(A38="","",COUNTIFS('Dimension usage'!$B:$B,A38,'Dimension usage'!$G:$G,"No"))</f>
        <v/>
      </c>
      <c r="J38" s="30"/>
      <c r="K38" s="30"/>
      <c r="L38" s="30"/>
      <c r="M38" s="30"/>
      <c r="N38" s="30"/>
    </row>
    <row r="39" customFormat="false" ht="15" hidden="false" customHeight="false" outlineLevel="0" collapsed="false">
      <c r="A39" s="29"/>
      <c r="B39" s="30"/>
      <c r="C39" s="30"/>
      <c r="D39" s="20" t="str">
        <f aca="false">IF(C39="","",IFERROR(INDEX(Tables!$B:$B,MATCH(C39,Tables!$A:$A,0)),"ID not found"))</f>
        <v/>
      </c>
      <c r="E39" s="30"/>
      <c r="F39" s="30"/>
      <c r="G39" s="30"/>
      <c r="H39" s="20" t="str">
        <f aca="false">IF(A39="","",COUNTIF('Dimension usage'!$B:$B,A39))</f>
        <v/>
      </c>
      <c r="I39" s="32" t="str">
        <f aca="false">IF(A39="","",COUNTIFS('Dimension usage'!$B:$B,A39,'Dimension usage'!$G:$G,"No"))</f>
        <v/>
      </c>
      <c r="J39" s="30"/>
      <c r="K39" s="30"/>
      <c r="L39" s="30"/>
      <c r="M39" s="30"/>
      <c r="N39" s="30"/>
    </row>
    <row r="40" customFormat="false" ht="15" hidden="false" customHeight="false" outlineLevel="0" collapsed="false">
      <c r="A40" s="29"/>
      <c r="B40" s="30"/>
      <c r="C40" s="30"/>
      <c r="D40" s="20" t="str">
        <f aca="false">IF(C40="","",IFERROR(INDEX(Tables!$B:$B,MATCH(C40,Tables!$A:$A,0)),"ID not found"))</f>
        <v/>
      </c>
      <c r="E40" s="30"/>
      <c r="F40" s="30"/>
      <c r="G40" s="30"/>
      <c r="H40" s="20" t="str">
        <f aca="false">IF(A40="","",COUNTIF('Dimension usage'!$B:$B,A40))</f>
        <v/>
      </c>
      <c r="I40" s="32" t="str">
        <f aca="false">IF(A40="","",COUNTIFS('Dimension usage'!$B:$B,A40,'Dimension usage'!$G:$G,"No"))</f>
        <v/>
      </c>
      <c r="J40" s="30"/>
      <c r="K40" s="30"/>
      <c r="L40" s="30"/>
      <c r="M40" s="30"/>
      <c r="N40" s="30"/>
    </row>
    <row r="41" customFormat="false" ht="15" hidden="false" customHeight="false" outlineLevel="0" collapsed="false">
      <c r="A41" s="29"/>
      <c r="B41" s="30"/>
      <c r="C41" s="30"/>
      <c r="D41" s="20" t="str">
        <f aca="false">IF(C41="","",IFERROR(INDEX(Tables!$B:$B,MATCH(C41,Tables!$A:$A,0)),"ID not found"))</f>
        <v/>
      </c>
      <c r="E41" s="30"/>
      <c r="F41" s="30"/>
      <c r="G41" s="30"/>
      <c r="H41" s="20" t="str">
        <f aca="false">IF(A41="","",COUNTIF('Dimension usage'!$B:$B,A41))</f>
        <v/>
      </c>
      <c r="I41" s="32" t="str">
        <f aca="false">IF(A41="","",COUNTIFS('Dimension usage'!$B:$B,A41,'Dimension usage'!$G:$G,"No"))</f>
        <v/>
      </c>
      <c r="J41" s="30"/>
      <c r="K41" s="30"/>
      <c r="L41" s="30"/>
      <c r="M41" s="30"/>
      <c r="N41" s="30"/>
    </row>
    <row r="42" customFormat="false" ht="15" hidden="false" customHeight="false" outlineLevel="0" collapsed="false">
      <c r="A42" s="29"/>
      <c r="B42" s="30"/>
      <c r="C42" s="30"/>
      <c r="D42" s="20" t="str">
        <f aca="false">IF(C42="","",IFERROR(INDEX(Tables!$B:$B,MATCH(C42,Tables!$A:$A,0)),"ID not found"))</f>
        <v/>
      </c>
      <c r="E42" s="30"/>
      <c r="F42" s="30"/>
      <c r="G42" s="30"/>
      <c r="H42" s="20" t="str">
        <f aca="false">IF(A42="","",COUNTIF('Dimension usage'!$B:$B,A42))</f>
        <v/>
      </c>
      <c r="I42" s="32" t="str">
        <f aca="false">IF(A42="","",COUNTIFS('Dimension usage'!$B:$B,A42,'Dimension usage'!$G:$G,"No"))</f>
        <v/>
      </c>
      <c r="J42" s="30"/>
      <c r="K42" s="30"/>
      <c r="L42" s="30"/>
      <c r="M42" s="30"/>
      <c r="N42" s="30"/>
    </row>
    <row r="43" customFormat="false" ht="15" hidden="false" customHeight="false" outlineLevel="0" collapsed="false">
      <c r="A43" s="29"/>
      <c r="B43" s="30"/>
      <c r="C43" s="30"/>
      <c r="D43" s="20" t="str">
        <f aca="false">IF(C43="","",IFERROR(INDEX(Tables!$B:$B,MATCH(C43,Tables!$A:$A,0)),"ID not found"))</f>
        <v/>
      </c>
      <c r="E43" s="30"/>
      <c r="F43" s="30"/>
      <c r="G43" s="30"/>
      <c r="H43" s="20" t="str">
        <f aca="false">IF(A43="","",COUNTIF('Dimension usage'!$B:$B,A43))</f>
        <v/>
      </c>
      <c r="I43" s="32" t="str">
        <f aca="false">IF(A43="","",COUNTIFS('Dimension usage'!$B:$B,A43,'Dimension usage'!$G:$G,"No"))</f>
        <v/>
      </c>
      <c r="J43" s="30"/>
      <c r="K43" s="30"/>
      <c r="L43" s="30"/>
      <c r="M43" s="30"/>
      <c r="N43" s="30"/>
    </row>
    <row r="44" customFormat="false" ht="15" hidden="false" customHeight="false" outlineLevel="0" collapsed="false">
      <c r="A44" s="29"/>
      <c r="B44" s="30"/>
      <c r="C44" s="30"/>
      <c r="D44" s="20" t="str">
        <f aca="false">IF(C44="","",IFERROR(INDEX(Tables!$B:$B,MATCH(C44,Tables!$A:$A,0)),"ID not found"))</f>
        <v/>
      </c>
      <c r="E44" s="30"/>
      <c r="F44" s="30"/>
      <c r="G44" s="30"/>
      <c r="H44" s="20" t="str">
        <f aca="false">IF(A44="","",COUNTIF('Dimension usage'!$B:$B,A44))</f>
        <v/>
      </c>
      <c r="I44" s="32" t="str">
        <f aca="false">IF(A44="","",COUNTIFS('Dimension usage'!$B:$B,A44,'Dimension usage'!$G:$G,"No"))</f>
        <v/>
      </c>
      <c r="J44" s="30"/>
      <c r="K44" s="30"/>
      <c r="L44" s="30"/>
      <c r="M44" s="30"/>
      <c r="N44" s="30"/>
    </row>
    <row r="45" customFormat="false" ht="15" hidden="false" customHeight="false" outlineLevel="0" collapsed="false">
      <c r="A45" s="29"/>
      <c r="B45" s="30"/>
      <c r="C45" s="30"/>
      <c r="D45" s="20" t="str">
        <f aca="false">IF(C45="","",IFERROR(INDEX(Tables!$B:$B,MATCH(C45,Tables!$A:$A,0)),"ID not found"))</f>
        <v/>
      </c>
      <c r="E45" s="30"/>
      <c r="F45" s="30"/>
      <c r="G45" s="30"/>
      <c r="H45" s="20" t="str">
        <f aca="false">IF(A45="","",COUNTIF('Dimension usage'!$B:$B,A45))</f>
        <v/>
      </c>
      <c r="I45" s="32" t="str">
        <f aca="false">IF(A45="","",COUNTIFS('Dimension usage'!$B:$B,A45,'Dimension usage'!$G:$G,"No"))</f>
        <v/>
      </c>
      <c r="J45" s="30"/>
      <c r="K45" s="30"/>
      <c r="L45" s="30"/>
      <c r="M45" s="30"/>
      <c r="N45" s="30"/>
    </row>
    <row r="46" customFormat="false" ht="15" hidden="false" customHeight="false" outlineLevel="0" collapsed="false">
      <c r="A46" s="29"/>
      <c r="B46" s="30"/>
      <c r="C46" s="30"/>
      <c r="D46" s="20" t="str">
        <f aca="false">IF(C46="","",IFERROR(INDEX(Tables!$B:$B,MATCH(C46,Tables!$A:$A,0)),"ID not found"))</f>
        <v/>
      </c>
      <c r="E46" s="30"/>
      <c r="F46" s="30"/>
      <c r="G46" s="30"/>
      <c r="H46" s="20" t="str">
        <f aca="false">IF(A46="","",COUNTIF('Dimension usage'!$B:$B,A46))</f>
        <v/>
      </c>
      <c r="I46" s="32" t="str">
        <f aca="false">IF(A46="","",COUNTIFS('Dimension usage'!$B:$B,A46,'Dimension usage'!$G:$G,"No"))</f>
        <v/>
      </c>
      <c r="J46" s="30"/>
      <c r="K46" s="30"/>
      <c r="L46" s="30"/>
      <c r="M46" s="30"/>
      <c r="N46" s="30"/>
    </row>
    <row r="47" customFormat="false" ht="15" hidden="false" customHeight="false" outlineLevel="0" collapsed="false">
      <c r="A47" s="29"/>
      <c r="B47" s="30"/>
      <c r="C47" s="30"/>
      <c r="D47" s="20" t="str">
        <f aca="false">IF(C47="","",IFERROR(INDEX(Tables!$B:$B,MATCH(C47,Tables!$A:$A,0)),"ID not found"))</f>
        <v/>
      </c>
      <c r="E47" s="30"/>
      <c r="F47" s="30"/>
      <c r="G47" s="30"/>
      <c r="H47" s="20" t="str">
        <f aca="false">IF(A47="","",COUNTIF('Dimension usage'!$B:$B,A47))</f>
        <v/>
      </c>
      <c r="I47" s="32" t="str">
        <f aca="false">IF(A47="","",COUNTIFS('Dimension usage'!$B:$B,A47,'Dimension usage'!$G:$G,"No"))</f>
        <v/>
      </c>
      <c r="J47" s="30"/>
      <c r="K47" s="30"/>
      <c r="L47" s="30"/>
      <c r="M47" s="30"/>
      <c r="N47" s="30"/>
    </row>
    <row r="48" customFormat="false" ht="15" hidden="false" customHeight="false" outlineLevel="0" collapsed="false">
      <c r="A48" s="29"/>
      <c r="B48" s="30"/>
      <c r="C48" s="30"/>
      <c r="D48" s="20" t="str">
        <f aca="false">IF(C48="","",IFERROR(INDEX(Tables!$B:$B,MATCH(C48,Tables!$A:$A,0)),"ID not found"))</f>
        <v/>
      </c>
      <c r="E48" s="30"/>
      <c r="F48" s="30"/>
      <c r="G48" s="30"/>
      <c r="H48" s="20" t="str">
        <f aca="false">IF(A48="","",COUNTIF('Dimension usage'!$B:$B,A48))</f>
        <v/>
      </c>
      <c r="I48" s="32" t="str">
        <f aca="false">IF(A48="","",COUNTIFS('Dimension usage'!$B:$B,A48,'Dimension usage'!$G:$G,"No"))</f>
        <v/>
      </c>
      <c r="J48" s="30"/>
      <c r="K48" s="30"/>
      <c r="L48" s="30"/>
      <c r="M48" s="30"/>
      <c r="N48" s="30"/>
    </row>
    <row r="49" customFormat="false" ht="15" hidden="false" customHeight="false" outlineLevel="0" collapsed="false">
      <c r="A49" s="29"/>
      <c r="B49" s="30"/>
      <c r="C49" s="30"/>
      <c r="D49" s="20" t="str">
        <f aca="false">IF(C49="","",IFERROR(INDEX(Tables!$B:$B,MATCH(C49,Tables!$A:$A,0)),"ID not found"))</f>
        <v/>
      </c>
      <c r="E49" s="30"/>
      <c r="F49" s="30"/>
      <c r="G49" s="30"/>
      <c r="H49" s="20" t="str">
        <f aca="false">IF(A49="","",COUNTIF('Dimension usage'!$B:$B,A49))</f>
        <v/>
      </c>
      <c r="I49" s="32" t="str">
        <f aca="false">IF(A49="","",COUNTIFS('Dimension usage'!$B:$B,A49,'Dimension usage'!$G:$G,"No"))</f>
        <v/>
      </c>
      <c r="J49" s="30"/>
      <c r="K49" s="30"/>
      <c r="L49" s="30"/>
      <c r="M49" s="30"/>
      <c r="N49" s="30"/>
    </row>
    <row r="50" customFormat="false" ht="15" hidden="false" customHeight="false" outlineLevel="0" collapsed="false">
      <c r="A50" s="29"/>
      <c r="B50" s="30"/>
      <c r="C50" s="30"/>
      <c r="D50" s="20" t="str">
        <f aca="false">IF(C50="","",IFERROR(INDEX(Tables!$B:$B,MATCH(C50,Tables!$A:$A,0)),"ID not found"))</f>
        <v/>
      </c>
      <c r="E50" s="30"/>
      <c r="F50" s="30"/>
      <c r="G50" s="30"/>
      <c r="H50" s="20" t="str">
        <f aca="false">IF(A50="","",COUNTIF('Dimension usage'!$B:$B,A50))</f>
        <v/>
      </c>
      <c r="I50" s="32" t="str">
        <f aca="false">IF(A50="","",COUNTIFS('Dimension usage'!$B:$B,A50,'Dimension usage'!$G:$G,"No"))</f>
        <v/>
      </c>
      <c r="J50" s="30"/>
      <c r="K50" s="30"/>
      <c r="L50" s="30"/>
      <c r="M50" s="30"/>
      <c r="N50" s="30"/>
    </row>
    <row r="51" customFormat="false" ht="15" hidden="false" customHeight="false" outlineLevel="0" collapsed="false">
      <c r="A51" s="29"/>
      <c r="B51" s="30"/>
      <c r="C51" s="30"/>
      <c r="D51" s="20" t="str">
        <f aca="false">IF(C51="","",IFERROR(INDEX(Tables!$B:$B,MATCH(C51,Tables!$A:$A,0)),"ID not found"))</f>
        <v/>
      </c>
      <c r="E51" s="30"/>
      <c r="F51" s="30"/>
      <c r="G51" s="30"/>
      <c r="H51" s="20" t="str">
        <f aca="false">IF(A51="","",COUNTIF('Dimension usage'!$B:$B,A51))</f>
        <v/>
      </c>
      <c r="I51" s="32" t="str">
        <f aca="false">IF(A51="","",COUNTIFS('Dimension usage'!$B:$B,A51,'Dimension usage'!$G:$G,"No"))</f>
        <v/>
      </c>
      <c r="J51" s="30"/>
      <c r="K51" s="30"/>
      <c r="L51" s="30"/>
      <c r="M51" s="30"/>
      <c r="N51" s="30"/>
    </row>
    <row r="52" customFormat="false" ht="15" hidden="false" customHeight="false" outlineLevel="0" collapsed="false">
      <c r="A52" s="29"/>
      <c r="B52" s="30"/>
      <c r="C52" s="30"/>
      <c r="D52" s="20" t="str">
        <f aca="false">IF(C52="","",IFERROR(INDEX(Tables!$B:$B,MATCH(C52,Tables!$A:$A,0)),"ID not found"))</f>
        <v/>
      </c>
      <c r="E52" s="30"/>
      <c r="F52" s="30"/>
      <c r="G52" s="30"/>
      <c r="H52" s="20" t="str">
        <f aca="false">IF(A52="","",COUNTIF('Dimension usage'!$B:$B,A52))</f>
        <v/>
      </c>
      <c r="I52" s="32" t="str">
        <f aca="false">IF(A52="","",COUNTIFS('Dimension usage'!$B:$B,A52,'Dimension usage'!$G:$G,"No"))</f>
        <v/>
      </c>
      <c r="J52" s="30"/>
      <c r="K52" s="30"/>
      <c r="L52" s="30"/>
      <c r="M52" s="30"/>
      <c r="N52" s="30"/>
    </row>
    <row r="53" customFormat="false" ht="15" hidden="false" customHeight="false" outlineLevel="0" collapsed="false">
      <c r="A53" s="29"/>
      <c r="B53" s="30"/>
      <c r="C53" s="30"/>
      <c r="D53" s="20" t="str">
        <f aca="false">IF(C53="","",IFERROR(INDEX(Tables!$B:$B,MATCH(C53,Tables!$A:$A,0)),"ID not found"))</f>
        <v/>
      </c>
      <c r="E53" s="30"/>
      <c r="F53" s="30"/>
      <c r="G53" s="30"/>
      <c r="H53" s="20" t="str">
        <f aca="false">IF(A53="","",COUNTIF('Dimension usage'!$B:$B,A53))</f>
        <v/>
      </c>
      <c r="I53" s="32" t="str">
        <f aca="false">IF(A53="","",COUNTIFS('Dimension usage'!$B:$B,A53,'Dimension usage'!$G:$G,"No"))</f>
        <v/>
      </c>
      <c r="J53" s="30"/>
      <c r="K53" s="30"/>
      <c r="L53" s="30"/>
      <c r="M53" s="30"/>
      <c r="N53" s="30"/>
    </row>
    <row r="54" customFormat="false" ht="15" hidden="false" customHeight="false" outlineLevel="0" collapsed="false">
      <c r="A54" s="29"/>
      <c r="B54" s="30"/>
      <c r="C54" s="30"/>
      <c r="D54" s="20" t="str">
        <f aca="false">IF(C54="","",IFERROR(INDEX(Tables!$B:$B,MATCH(C54,Tables!$A:$A,0)),"ID not found"))</f>
        <v/>
      </c>
      <c r="E54" s="30"/>
      <c r="F54" s="30"/>
      <c r="G54" s="30"/>
      <c r="H54" s="20" t="str">
        <f aca="false">IF(A54="","",COUNTIF('Dimension usage'!$B:$B,A54))</f>
        <v/>
      </c>
      <c r="I54" s="32" t="str">
        <f aca="false">IF(A54="","",COUNTIFS('Dimension usage'!$B:$B,A54,'Dimension usage'!$G:$G,"No"))</f>
        <v/>
      </c>
      <c r="J54" s="30"/>
      <c r="K54" s="30"/>
      <c r="L54" s="30"/>
      <c r="M54" s="30"/>
      <c r="N54" s="30"/>
    </row>
    <row r="55" customFormat="false" ht="15" hidden="false" customHeight="false" outlineLevel="0" collapsed="false">
      <c r="A55" s="29"/>
      <c r="B55" s="30"/>
      <c r="C55" s="30"/>
      <c r="D55" s="20" t="str">
        <f aca="false">IF(C55="","",IFERROR(INDEX(Tables!$B:$B,MATCH(C55,Tables!$A:$A,0)),"ID not found"))</f>
        <v/>
      </c>
      <c r="E55" s="30"/>
      <c r="F55" s="30"/>
      <c r="G55" s="30"/>
      <c r="H55" s="20" t="str">
        <f aca="false">IF(A55="","",COUNTIF('Dimension usage'!$B:$B,A55))</f>
        <v/>
      </c>
      <c r="I55" s="32" t="str">
        <f aca="false">IF(A55="","",COUNTIFS('Dimension usage'!$B:$B,A55,'Dimension usage'!$G:$G,"No"))</f>
        <v/>
      </c>
      <c r="J55" s="30"/>
      <c r="K55" s="30"/>
      <c r="L55" s="30"/>
      <c r="M55" s="30"/>
      <c r="N55" s="30"/>
    </row>
    <row r="56" customFormat="false" ht="15" hidden="false" customHeight="false" outlineLevel="0" collapsed="false">
      <c r="A56" s="29"/>
      <c r="B56" s="30"/>
      <c r="C56" s="30"/>
      <c r="D56" s="20" t="str">
        <f aca="false">IF(C56="","",IFERROR(INDEX(Tables!$B:$B,MATCH(C56,Tables!$A:$A,0)),"ID not found"))</f>
        <v/>
      </c>
      <c r="E56" s="30"/>
      <c r="F56" s="30"/>
      <c r="G56" s="30"/>
      <c r="H56" s="20" t="str">
        <f aca="false">IF(A56="","",COUNTIF('Dimension usage'!$B:$B,A56))</f>
        <v/>
      </c>
      <c r="I56" s="32" t="str">
        <f aca="false">IF(A56="","",COUNTIFS('Dimension usage'!$B:$B,A56,'Dimension usage'!$G:$G,"No"))</f>
        <v/>
      </c>
      <c r="J56" s="30"/>
      <c r="K56" s="30"/>
      <c r="L56" s="30"/>
      <c r="M56" s="30"/>
      <c r="N56" s="30"/>
    </row>
    <row r="57" customFormat="false" ht="15" hidden="false" customHeight="false" outlineLevel="0" collapsed="false">
      <c r="A57" s="29"/>
      <c r="B57" s="30"/>
      <c r="C57" s="30"/>
      <c r="D57" s="20" t="str">
        <f aca="false">IF(C57="","",IFERROR(INDEX(Tables!$B:$B,MATCH(C57,Tables!$A:$A,0)),"ID not found"))</f>
        <v/>
      </c>
      <c r="E57" s="30"/>
      <c r="F57" s="30"/>
      <c r="G57" s="30"/>
      <c r="H57" s="20" t="str">
        <f aca="false">IF(A57="","",COUNTIF('Dimension usage'!$B:$B,A57))</f>
        <v/>
      </c>
      <c r="I57" s="32" t="str">
        <f aca="false">IF(A57="","",COUNTIFS('Dimension usage'!$B:$B,A57,'Dimension usage'!$G:$G,"No"))</f>
        <v/>
      </c>
      <c r="J57" s="30"/>
      <c r="K57" s="30"/>
      <c r="L57" s="30"/>
      <c r="M57" s="30"/>
      <c r="N57" s="30"/>
    </row>
    <row r="58" customFormat="false" ht="15" hidden="false" customHeight="false" outlineLevel="0" collapsed="false">
      <c r="A58" s="29"/>
      <c r="B58" s="30"/>
      <c r="C58" s="30"/>
      <c r="D58" s="20" t="str">
        <f aca="false">IF(C58="","",IFERROR(INDEX(Tables!$B:$B,MATCH(C58,Tables!$A:$A,0)),"ID not found"))</f>
        <v/>
      </c>
      <c r="E58" s="30"/>
      <c r="F58" s="30"/>
      <c r="G58" s="30"/>
      <c r="H58" s="20" t="str">
        <f aca="false">IF(A58="","",COUNTIF('Dimension usage'!$B:$B,A58))</f>
        <v/>
      </c>
      <c r="I58" s="32" t="str">
        <f aca="false">IF(A58="","",COUNTIFS('Dimension usage'!$B:$B,A58,'Dimension usage'!$G:$G,"No"))</f>
        <v/>
      </c>
      <c r="J58" s="30"/>
      <c r="K58" s="30"/>
      <c r="L58" s="30"/>
      <c r="M58" s="30"/>
      <c r="N58" s="30"/>
    </row>
    <row r="59" customFormat="false" ht="15" hidden="false" customHeight="false" outlineLevel="0" collapsed="false">
      <c r="A59" s="29"/>
      <c r="B59" s="30"/>
      <c r="C59" s="30"/>
      <c r="D59" s="20" t="str">
        <f aca="false">IF(C59="","",IFERROR(INDEX(Tables!$B:$B,MATCH(C59,Tables!$A:$A,0)),"ID not found"))</f>
        <v/>
      </c>
      <c r="E59" s="30"/>
      <c r="F59" s="30"/>
      <c r="G59" s="30"/>
      <c r="H59" s="20" t="str">
        <f aca="false">IF(A59="","",COUNTIF('Dimension usage'!$B:$B,A59))</f>
        <v/>
      </c>
      <c r="I59" s="32" t="str">
        <f aca="false">IF(A59="","",COUNTIFS('Dimension usage'!$B:$B,A59,'Dimension usage'!$G:$G,"No"))</f>
        <v/>
      </c>
      <c r="J59" s="30"/>
      <c r="K59" s="30"/>
      <c r="L59" s="30"/>
      <c r="M59" s="30"/>
      <c r="N59" s="30"/>
    </row>
    <row r="60" customFormat="false" ht="15" hidden="false" customHeight="false" outlineLevel="0" collapsed="false">
      <c r="A60" s="29"/>
      <c r="B60" s="30"/>
      <c r="C60" s="30"/>
      <c r="D60" s="20" t="str">
        <f aca="false">IF(C60="","",IFERROR(INDEX(Tables!$B:$B,MATCH(C60,Tables!$A:$A,0)),"ID not found"))</f>
        <v/>
      </c>
      <c r="E60" s="30"/>
      <c r="F60" s="30"/>
      <c r="G60" s="30"/>
      <c r="H60" s="20" t="str">
        <f aca="false">IF(A60="","",COUNTIF('Dimension usage'!$B:$B,A60))</f>
        <v/>
      </c>
      <c r="I60" s="32" t="str">
        <f aca="false">IF(A60="","",COUNTIFS('Dimension usage'!$B:$B,A60,'Dimension usage'!$G:$G,"No"))</f>
        <v/>
      </c>
      <c r="J60" s="30"/>
      <c r="K60" s="30"/>
      <c r="L60" s="30"/>
      <c r="M60" s="30"/>
      <c r="N60" s="30"/>
    </row>
    <row r="61" customFormat="false" ht="15" hidden="false" customHeight="false" outlineLevel="0" collapsed="false">
      <c r="A61" s="29"/>
      <c r="B61" s="30"/>
      <c r="C61" s="30"/>
      <c r="D61" s="20" t="str">
        <f aca="false">IF(C61="","",IFERROR(INDEX(Tables!$B:$B,MATCH(C61,Tables!$A:$A,0)),"ID not found"))</f>
        <v/>
      </c>
      <c r="E61" s="30"/>
      <c r="F61" s="30"/>
      <c r="G61" s="30"/>
      <c r="H61" s="20" t="str">
        <f aca="false">IF(A61="","",COUNTIF('Dimension usage'!$B:$B,A61))</f>
        <v/>
      </c>
      <c r="I61" s="32" t="str">
        <f aca="false">IF(A61="","",COUNTIFS('Dimension usage'!$B:$B,A61,'Dimension usage'!$G:$G,"No"))</f>
        <v/>
      </c>
      <c r="J61" s="30"/>
      <c r="K61" s="30"/>
      <c r="L61" s="30"/>
      <c r="M61" s="30"/>
      <c r="N61" s="30"/>
    </row>
    <row r="62" customFormat="false" ht="15" hidden="false" customHeight="false" outlineLevel="0" collapsed="false">
      <c r="A62" s="29"/>
      <c r="B62" s="30"/>
      <c r="C62" s="30"/>
      <c r="D62" s="20" t="str">
        <f aca="false">IF(C62="","",IFERROR(INDEX(Tables!$B:$B,MATCH(C62,Tables!$A:$A,0)),"ID not found"))</f>
        <v/>
      </c>
      <c r="E62" s="30"/>
      <c r="F62" s="30"/>
      <c r="G62" s="30"/>
      <c r="H62" s="20" t="str">
        <f aca="false">IF(A62="","",COUNTIF('Dimension usage'!$B:$B,A62))</f>
        <v/>
      </c>
      <c r="I62" s="32" t="str">
        <f aca="false">IF(A62="","",COUNTIFS('Dimension usage'!$B:$B,A62,'Dimension usage'!$G:$G,"No"))</f>
        <v/>
      </c>
      <c r="J62" s="30"/>
      <c r="K62" s="30"/>
      <c r="L62" s="30"/>
      <c r="M62" s="30"/>
      <c r="N62" s="30"/>
    </row>
    <row r="63" customFormat="false" ht="15" hidden="false" customHeight="false" outlineLevel="0" collapsed="false">
      <c r="A63" s="29"/>
      <c r="B63" s="30"/>
      <c r="C63" s="30"/>
      <c r="D63" s="20" t="str">
        <f aca="false">IF(C63="","",IFERROR(INDEX(Tables!$B:$B,MATCH(C63,Tables!$A:$A,0)),"ID not found"))</f>
        <v/>
      </c>
      <c r="E63" s="30"/>
      <c r="F63" s="30"/>
      <c r="G63" s="30"/>
      <c r="H63" s="20" t="str">
        <f aca="false">IF(A63="","",COUNTIF('Dimension usage'!$B:$B,A63))</f>
        <v/>
      </c>
      <c r="I63" s="32" t="str">
        <f aca="false">IF(A63="","",COUNTIFS('Dimension usage'!$B:$B,A63,'Dimension usage'!$G:$G,"No"))</f>
        <v/>
      </c>
      <c r="J63" s="30"/>
      <c r="K63" s="30"/>
      <c r="L63" s="30"/>
      <c r="M63" s="30"/>
      <c r="N63" s="30"/>
    </row>
    <row r="64" customFormat="false" ht="15" hidden="false" customHeight="false" outlineLevel="0" collapsed="false">
      <c r="A64" s="29"/>
      <c r="B64" s="30"/>
      <c r="C64" s="30"/>
      <c r="D64" s="20" t="str">
        <f aca="false">IF(C64="","",IFERROR(INDEX(Tables!$B:$B,MATCH(C64,Tables!$A:$A,0)),"ID not found"))</f>
        <v/>
      </c>
      <c r="E64" s="30"/>
      <c r="F64" s="30"/>
      <c r="G64" s="30"/>
      <c r="H64" s="20" t="str">
        <f aca="false">IF(A64="","",COUNTIF('Dimension usage'!$B:$B,A64))</f>
        <v/>
      </c>
      <c r="I64" s="32" t="str">
        <f aca="false">IF(A64="","",COUNTIFS('Dimension usage'!$B:$B,A64,'Dimension usage'!$G:$G,"No"))</f>
        <v/>
      </c>
      <c r="J64" s="30"/>
      <c r="K64" s="30"/>
      <c r="L64" s="30"/>
      <c r="M64" s="30"/>
      <c r="N64" s="30"/>
    </row>
    <row r="65" customFormat="false" ht="15" hidden="false" customHeight="false" outlineLevel="0" collapsed="false">
      <c r="A65" s="29"/>
      <c r="B65" s="30"/>
      <c r="C65" s="30"/>
      <c r="D65" s="20" t="str">
        <f aca="false">IF(C65="","",IFERROR(INDEX(Tables!$B:$B,MATCH(C65,Tables!$A:$A,0)),"ID not found"))</f>
        <v/>
      </c>
      <c r="E65" s="30"/>
      <c r="F65" s="30"/>
      <c r="G65" s="30"/>
      <c r="H65" s="20" t="str">
        <f aca="false">IF(A65="","",COUNTIF('Dimension usage'!$B:$B,A65))</f>
        <v/>
      </c>
      <c r="I65" s="32" t="str">
        <f aca="false">IF(A65="","",COUNTIFS('Dimension usage'!$B:$B,A65,'Dimension usage'!$G:$G,"No"))</f>
        <v/>
      </c>
      <c r="J65" s="30"/>
      <c r="K65" s="30"/>
      <c r="L65" s="30"/>
      <c r="M65" s="30"/>
      <c r="N65" s="30"/>
    </row>
    <row r="66" customFormat="false" ht="15" hidden="false" customHeight="false" outlineLevel="0" collapsed="false">
      <c r="A66" s="29"/>
      <c r="B66" s="30"/>
      <c r="C66" s="30"/>
      <c r="D66" s="20" t="str">
        <f aca="false">IF(C66="","",IFERROR(INDEX(Tables!$B:$B,MATCH(C66,Tables!$A:$A,0)),"ID not found"))</f>
        <v/>
      </c>
      <c r="E66" s="30"/>
      <c r="F66" s="30"/>
      <c r="G66" s="30"/>
      <c r="H66" s="20" t="str">
        <f aca="false">IF(A66="","",COUNTIF('Dimension usage'!$B:$B,A66))</f>
        <v/>
      </c>
      <c r="I66" s="32" t="str">
        <f aca="false">IF(A66="","",COUNTIFS('Dimension usage'!$B:$B,A66,'Dimension usage'!$G:$G,"No"))</f>
        <v/>
      </c>
      <c r="J66" s="30"/>
      <c r="K66" s="30"/>
      <c r="L66" s="30"/>
      <c r="M66" s="30"/>
      <c r="N66" s="30"/>
    </row>
    <row r="67" customFormat="false" ht="15" hidden="false" customHeight="false" outlineLevel="0" collapsed="false">
      <c r="A67" s="29"/>
      <c r="B67" s="30"/>
      <c r="C67" s="30"/>
      <c r="D67" s="20" t="str">
        <f aca="false">IF(C67="","",IFERROR(INDEX(Tables!$B:$B,MATCH(C67,Tables!$A:$A,0)),"ID not found"))</f>
        <v/>
      </c>
      <c r="E67" s="30"/>
      <c r="F67" s="30"/>
      <c r="G67" s="30"/>
      <c r="H67" s="20" t="str">
        <f aca="false">IF(A67="","",COUNTIF('Dimension usage'!$B:$B,A67))</f>
        <v/>
      </c>
      <c r="I67" s="32" t="str">
        <f aca="false">IF(A67="","",COUNTIFS('Dimension usage'!$B:$B,A67,'Dimension usage'!$G:$G,"No"))</f>
        <v/>
      </c>
      <c r="J67" s="30"/>
      <c r="K67" s="30"/>
      <c r="L67" s="30"/>
      <c r="M67" s="30"/>
      <c r="N67" s="30"/>
    </row>
    <row r="68" customFormat="false" ht="15" hidden="false" customHeight="false" outlineLevel="0" collapsed="false">
      <c r="A68" s="29"/>
      <c r="B68" s="30"/>
      <c r="C68" s="30"/>
      <c r="D68" s="20" t="str">
        <f aca="false">IF(C68="","",IFERROR(INDEX(Tables!$B:$B,MATCH(C68,Tables!$A:$A,0)),"ID not found"))</f>
        <v/>
      </c>
      <c r="E68" s="30"/>
      <c r="F68" s="30"/>
      <c r="G68" s="30"/>
      <c r="H68" s="20" t="str">
        <f aca="false">IF(A68="","",COUNTIF('Dimension usage'!$B:$B,A68))</f>
        <v/>
      </c>
      <c r="I68" s="32" t="str">
        <f aca="false">IF(A68="","",COUNTIFS('Dimension usage'!$B:$B,A68,'Dimension usage'!$G:$G,"No"))</f>
        <v/>
      </c>
      <c r="J68" s="30"/>
      <c r="K68" s="30"/>
      <c r="L68" s="30"/>
      <c r="M68" s="30"/>
      <c r="N68" s="30"/>
    </row>
    <row r="69" customFormat="false" ht="15" hidden="false" customHeight="false" outlineLevel="0" collapsed="false">
      <c r="A69" s="29"/>
      <c r="B69" s="30"/>
      <c r="C69" s="30"/>
      <c r="D69" s="20" t="str">
        <f aca="false">IF(C69="","",IFERROR(INDEX(Tables!$B:$B,MATCH(C69,Tables!$A:$A,0)),"ID not found"))</f>
        <v/>
      </c>
      <c r="E69" s="30"/>
      <c r="F69" s="30"/>
      <c r="G69" s="30"/>
      <c r="H69" s="20" t="str">
        <f aca="false">IF(A69="","",COUNTIF('Dimension usage'!$B:$B,A69))</f>
        <v/>
      </c>
      <c r="I69" s="32" t="str">
        <f aca="false">IF(A69="","",COUNTIFS('Dimension usage'!$B:$B,A69,'Dimension usage'!$G:$G,"No"))</f>
        <v/>
      </c>
      <c r="J69" s="30"/>
      <c r="K69" s="30"/>
      <c r="L69" s="30"/>
      <c r="M69" s="30"/>
      <c r="N69" s="30"/>
    </row>
    <row r="70" customFormat="false" ht="15" hidden="false" customHeight="false" outlineLevel="0" collapsed="false">
      <c r="A70" s="29"/>
      <c r="B70" s="30"/>
      <c r="C70" s="30"/>
      <c r="D70" s="20" t="str">
        <f aca="false">IF(C70="","",IFERROR(INDEX(Tables!$B:$B,MATCH(C70,Tables!$A:$A,0)),"ID not found"))</f>
        <v/>
      </c>
      <c r="E70" s="30"/>
      <c r="F70" s="30"/>
      <c r="G70" s="30"/>
      <c r="H70" s="20" t="str">
        <f aca="false">IF(A70="","",COUNTIF('Dimension usage'!$B:$B,A70))</f>
        <v/>
      </c>
      <c r="I70" s="32" t="str">
        <f aca="false">IF(A70="","",COUNTIFS('Dimension usage'!$B:$B,A70,'Dimension usage'!$G:$G,"No"))</f>
        <v/>
      </c>
      <c r="J70" s="30"/>
      <c r="K70" s="30"/>
      <c r="L70" s="30"/>
      <c r="M70" s="30"/>
      <c r="N70" s="30"/>
    </row>
    <row r="71" customFormat="false" ht="15" hidden="false" customHeight="false" outlineLevel="0" collapsed="false">
      <c r="A71" s="29"/>
      <c r="B71" s="30"/>
      <c r="C71" s="30"/>
      <c r="D71" s="20" t="str">
        <f aca="false">IF(C71="","",IFERROR(INDEX(Tables!$B:$B,MATCH(C71,Tables!$A:$A,0)),"ID not found"))</f>
        <v/>
      </c>
      <c r="E71" s="30"/>
      <c r="F71" s="30"/>
      <c r="G71" s="30"/>
      <c r="H71" s="20" t="str">
        <f aca="false">IF(A71="","",COUNTIF('Dimension usage'!$B:$B,A71))</f>
        <v/>
      </c>
      <c r="I71" s="32" t="str">
        <f aca="false">IF(A71="","",COUNTIFS('Dimension usage'!$B:$B,A71,'Dimension usage'!$G:$G,"No"))</f>
        <v/>
      </c>
      <c r="J71" s="30"/>
      <c r="K71" s="30"/>
      <c r="L71" s="30"/>
      <c r="M71" s="30"/>
      <c r="N71" s="30"/>
    </row>
    <row r="72" customFormat="false" ht="15" hidden="false" customHeight="false" outlineLevel="0" collapsed="false">
      <c r="A72" s="29"/>
      <c r="B72" s="30"/>
      <c r="C72" s="30"/>
      <c r="D72" s="20" t="str">
        <f aca="false">IF(C72="","",IFERROR(INDEX(Tables!$B:$B,MATCH(C72,Tables!$A:$A,0)),"ID not found"))</f>
        <v/>
      </c>
      <c r="E72" s="30"/>
      <c r="F72" s="30"/>
      <c r="G72" s="30"/>
      <c r="H72" s="20" t="str">
        <f aca="false">IF(A72="","",COUNTIF('Dimension usage'!$B:$B,A72))</f>
        <v/>
      </c>
      <c r="I72" s="32" t="str">
        <f aca="false">IF(A72="","",COUNTIFS('Dimension usage'!$B:$B,A72,'Dimension usage'!$G:$G,"No"))</f>
        <v/>
      </c>
      <c r="J72" s="30"/>
      <c r="K72" s="30"/>
      <c r="L72" s="30"/>
      <c r="M72" s="30"/>
      <c r="N72" s="30"/>
    </row>
    <row r="73" customFormat="false" ht="15" hidden="false" customHeight="false" outlineLevel="0" collapsed="false">
      <c r="A73" s="29"/>
      <c r="B73" s="30"/>
      <c r="C73" s="30"/>
      <c r="D73" s="20" t="str">
        <f aca="false">IF(C73="","",IFERROR(INDEX(Tables!$B:$B,MATCH(C73,Tables!$A:$A,0)),"ID not found"))</f>
        <v/>
      </c>
      <c r="E73" s="30"/>
      <c r="F73" s="30"/>
      <c r="G73" s="30"/>
      <c r="H73" s="20" t="str">
        <f aca="false">IF(A73="","",COUNTIF('Dimension usage'!$B:$B,A73))</f>
        <v/>
      </c>
      <c r="I73" s="32" t="str">
        <f aca="false">IF(A73="","",COUNTIFS('Dimension usage'!$B:$B,A73,'Dimension usage'!$G:$G,"No"))</f>
        <v/>
      </c>
      <c r="J73" s="30"/>
      <c r="K73" s="30"/>
      <c r="L73" s="30"/>
      <c r="M73" s="30"/>
      <c r="N73" s="30"/>
    </row>
    <row r="74" customFormat="false" ht="15" hidden="false" customHeight="false" outlineLevel="0" collapsed="false">
      <c r="A74" s="29"/>
      <c r="B74" s="30"/>
      <c r="C74" s="30"/>
      <c r="D74" s="20" t="str">
        <f aca="false">IF(C74="","",IFERROR(INDEX(Tables!$B:$B,MATCH(C74,Tables!$A:$A,0)),"ID not found"))</f>
        <v/>
      </c>
      <c r="E74" s="30"/>
      <c r="F74" s="30"/>
      <c r="G74" s="30"/>
      <c r="H74" s="20" t="str">
        <f aca="false">IF(A74="","",COUNTIF('Dimension usage'!$B:$B,A74))</f>
        <v/>
      </c>
      <c r="I74" s="32" t="str">
        <f aca="false">IF(A74="","",COUNTIFS('Dimension usage'!$B:$B,A74,'Dimension usage'!$G:$G,"No"))</f>
        <v/>
      </c>
      <c r="J74" s="30"/>
      <c r="K74" s="30"/>
      <c r="L74" s="30"/>
      <c r="M74" s="30"/>
      <c r="N74" s="30"/>
    </row>
    <row r="75" customFormat="false" ht="15" hidden="false" customHeight="false" outlineLevel="0" collapsed="false">
      <c r="A75" s="29"/>
      <c r="B75" s="30"/>
      <c r="C75" s="30"/>
      <c r="D75" s="20" t="str">
        <f aca="false">IF(C75="","",IFERROR(INDEX(Tables!$B:$B,MATCH(C75,Tables!$A:$A,0)),"ID not found"))</f>
        <v/>
      </c>
      <c r="E75" s="30"/>
      <c r="F75" s="30"/>
      <c r="G75" s="30"/>
      <c r="H75" s="20" t="str">
        <f aca="false">IF(A75="","",COUNTIF('Dimension usage'!$B:$B,A75))</f>
        <v/>
      </c>
      <c r="I75" s="32" t="str">
        <f aca="false">IF(A75="","",COUNTIFS('Dimension usage'!$B:$B,A75,'Dimension usage'!$G:$G,"No"))</f>
        <v/>
      </c>
      <c r="J75" s="30"/>
      <c r="K75" s="30"/>
      <c r="L75" s="30"/>
      <c r="M75" s="30"/>
      <c r="N75" s="30"/>
    </row>
    <row r="76" customFormat="false" ht="15" hidden="false" customHeight="false" outlineLevel="0" collapsed="false">
      <c r="A76" s="29"/>
      <c r="B76" s="30"/>
      <c r="C76" s="30"/>
      <c r="D76" s="20" t="str">
        <f aca="false">IF(C76="","",IFERROR(INDEX(Tables!$B:$B,MATCH(C76,Tables!$A:$A,0)),"ID not found"))</f>
        <v/>
      </c>
      <c r="E76" s="30"/>
      <c r="F76" s="30"/>
      <c r="G76" s="30"/>
      <c r="H76" s="20" t="str">
        <f aca="false">IF(A76="","",COUNTIF('Dimension usage'!$B:$B,A76))</f>
        <v/>
      </c>
      <c r="I76" s="32" t="str">
        <f aca="false">IF(A76="","",COUNTIFS('Dimension usage'!$B:$B,A76,'Dimension usage'!$G:$G,"No"))</f>
        <v/>
      </c>
      <c r="J76" s="30"/>
      <c r="K76" s="30"/>
      <c r="L76" s="30"/>
      <c r="M76" s="30"/>
      <c r="N76" s="30"/>
    </row>
    <row r="77" customFormat="false" ht="15" hidden="false" customHeight="false" outlineLevel="0" collapsed="false">
      <c r="A77" s="29"/>
      <c r="B77" s="30"/>
      <c r="C77" s="30"/>
      <c r="D77" s="20" t="str">
        <f aca="false">IF(C77="","",IFERROR(INDEX(Tables!$B:$B,MATCH(C77,Tables!$A:$A,0)),"ID not found"))</f>
        <v/>
      </c>
      <c r="E77" s="30"/>
      <c r="F77" s="30"/>
      <c r="G77" s="30"/>
      <c r="H77" s="20" t="str">
        <f aca="false">IF(A77="","",COUNTIF('Dimension usage'!$B:$B,A77))</f>
        <v/>
      </c>
      <c r="I77" s="32" t="str">
        <f aca="false">IF(A77="","",COUNTIFS('Dimension usage'!$B:$B,A77,'Dimension usage'!$G:$G,"No"))</f>
        <v/>
      </c>
      <c r="J77" s="30"/>
      <c r="K77" s="30"/>
      <c r="L77" s="30"/>
      <c r="M77" s="30"/>
      <c r="N77" s="30"/>
    </row>
    <row r="78" customFormat="false" ht="15" hidden="false" customHeight="false" outlineLevel="0" collapsed="false">
      <c r="A78" s="29"/>
      <c r="B78" s="30"/>
      <c r="C78" s="30"/>
      <c r="D78" s="20" t="str">
        <f aca="false">IF(C78="","",IFERROR(INDEX(Tables!$B:$B,MATCH(C78,Tables!$A:$A,0)),"ID not found"))</f>
        <v/>
      </c>
      <c r="E78" s="30"/>
      <c r="F78" s="30"/>
      <c r="G78" s="30"/>
      <c r="H78" s="20" t="str">
        <f aca="false">IF(A78="","",COUNTIF('Dimension usage'!$B:$B,A78))</f>
        <v/>
      </c>
      <c r="I78" s="32" t="str">
        <f aca="false">IF(A78="","",COUNTIFS('Dimension usage'!$B:$B,A78,'Dimension usage'!$G:$G,"No"))</f>
        <v/>
      </c>
      <c r="J78" s="30"/>
      <c r="K78" s="30"/>
      <c r="L78" s="30"/>
      <c r="M78" s="30"/>
      <c r="N78" s="30"/>
    </row>
    <row r="79" customFormat="false" ht="15" hidden="false" customHeight="false" outlineLevel="0" collapsed="false">
      <c r="A79" s="29"/>
      <c r="B79" s="30"/>
      <c r="C79" s="30"/>
      <c r="D79" s="20" t="str">
        <f aca="false">IF(C79="","",IFERROR(INDEX(Tables!$B:$B,MATCH(C79,Tables!$A:$A,0)),"ID not found"))</f>
        <v/>
      </c>
      <c r="E79" s="30"/>
      <c r="F79" s="30"/>
      <c r="G79" s="30"/>
      <c r="H79" s="20" t="str">
        <f aca="false">IF(A79="","",COUNTIF('Dimension usage'!$B:$B,A79))</f>
        <v/>
      </c>
      <c r="I79" s="32" t="str">
        <f aca="false">IF(A79="","",COUNTIFS('Dimension usage'!$B:$B,A79,'Dimension usage'!$G:$G,"No"))</f>
        <v/>
      </c>
      <c r="J79" s="30"/>
      <c r="K79" s="30"/>
      <c r="L79" s="30"/>
      <c r="M79" s="30"/>
      <c r="N79" s="30"/>
    </row>
    <row r="80" customFormat="false" ht="15" hidden="false" customHeight="false" outlineLevel="0" collapsed="false">
      <c r="A80" s="29"/>
      <c r="B80" s="30"/>
      <c r="C80" s="30"/>
      <c r="D80" s="20" t="str">
        <f aca="false">IF(C80="","",IFERROR(INDEX(Tables!$B:$B,MATCH(C80,Tables!$A:$A,0)),"ID not found"))</f>
        <v/>
      </c>
      <c r="E80" s="30"/>
      <c r="F80" s="30"/>
      <c r="G80" s="30"/>
      <c r="H80" s="20" t="str">
        <f aca="false">IF(A80="","",COUNTIF('Dimension usage'!$B:$B,A80))</f>
        <v/>
      </c>
      <c r="I80" s="32" t="str">
        <f aca="false">IF(A80="","",COUNTIFS('Dimension usage'!$B:$B,A80,'Dimension usage'!$G:$G,"No"))</f>
        <v/>
      </c>
      <c r="J80" s="30"/>
      <c r="K80" s="30"/>
      <c r="L80" s="30"/>
      <c r="M80" s="30"/>
      <c r="N80" s="30"/>
    </row>
    <row r="81" customFormat="false" ht="15" hidden="false" customHeight="false" outlineLevel="0" collapsed="false">
      <c r="A81" s="29"/>
      <c r="B81" s="30"/>
      <c r="C81" s="30"/>
      <c r="D81" s="20" t="str">
        <f aca="false">IF(C81="","",IFERROR(INDEX(Tables!$B:$B,MATCH(C81,Tables!$A:$A,0)),"ID not found"))</f>
        <v/>
      </c>
      <c r="E81" s="30"/>
      <c r="F81" s="30"/>
      <c r="G81" s="30"/>
      <c r="H81" s="20" t="str">
        <f aca="false">IF(A81="","",COUNTIF('Dimension usage'!$B:$B,A81))</f>
        <v/>
      </c>
      <c r="I81" s="32" t="str">
        <f aca="false">IF(A81="","",COUNTIFS('Dimension usage'!$B:$B,A81,'Dimension usage'!$G:$G,"No"))</f>
        <v/>
      </c>
      <c r="J81" s="30"/>
      <c r="K81" s="30"/>
      <c r="L81" s="30"/>
      <c r="M81" s="30"/>
      <c r="N81" s="30"/>
    </row>
    <row r="82" customFormat="false" ht="15" hidden="false" customHeight="false" outlineLevel="0" collapsed="false">
      <c r="A82" s="29"/>
      <c r="B82" s="30"/>
      <c r="C82" s="30"/>
      <c r="D82" s="20" t="str">
        <f aca="false">IF(C82="","",IFERROR(INDEX(Tables!$B:$B,MATCH(C82,Tables!$A:$A,0)),"ID not found"))</f>
        <v/>
      </c>
      <c r="E82" s="30"/>
      <c r="F82" s="30"/>
      <c r="G82" s="30"/>
      <c r="H82" s="20" t="str">
        <f aca="false">IF(A82="","",COUNTIF('Dimension usage'!$B:$B,A82))</f>
        <v/>
      </c>
      <c r="I82" s="32" t="str">
        <f aca="false">IF(A82="","",COUNTIFS('Dimension usage'!$B:$B,A82,'Dimension usage'!$G:$G,"No"))</f>
        <v/>
      </c>
      <c r="J82" s="30"/>
      <c r="K82" s="30"/>
      <c r="L82" s="30"/>
      <c r="M82" s="30"/>
      <c r="N82" s="30"/>
    </row>
    <row r="83" customFormat="false" ht="15" hidden="false" customHeight="false" outlineLevel="0" collapsed="false">
      <c r="A83" s="29"/>
      <c r="B83" s="30"/>
      <c r="C83" s="30"/>
      <c r="D83" s="20" t="str">
        <f aca="false">IF(C83="","",IFERROR(INDEX(Tables!$B:$B,MATCH(C83,Tables!$A:$A,0)),"ID not found"))</f>
        <v/>
      </c>
      <c r="E83" s="30"/>
      <c r="F83" s="30"/>
      <c r="G83" s="30"/>
      <c r="H83" s="20" t="str">
        <f aca="false">IF(A83="","",COUNTIF('Dimension usage'!$B:$B,A83))</f>
        <v/>
      </c>
      <c r="I83" s="32" t="str">
        <f aca="false">IF(A83="","",COUNTIFS('Dimension usage'!$B:$B,A83,'Dimension usage'!$G:$G,"No"))</f>
        <v/>
      </c>
      <c r="J83" s="30"/>
      <c r="K83" s="30"/>
      <c r="L83" s="30"/>
      <c r="M83" s="30"/>
      <c r="N83" s="30"/>
    </row>
    <row r="84" customFormat="false" ht="15" hidden="false" customHeight="false" outlineLevel="0" collapsed="false">
      <c r="A84" s="29"/>
      <c r="B84" s="30"/>
      <c r="C84" s="30"/>
      <c r="D84" s="20" t="str">
        <f aca="false">IF(C84="","",IFERROR(INDEX(Tables!$B:$B,MATCH(C84,Tables!$A:$A,0)),"ID not found"))</f>
        <v/>
      </c>
      <c r="E84" s="30"/>
      <c r="F84" s="30"/>
      <c r="G84" s="30"/>
      <c r="H84" s="20" t="str">
        <f aca="false">IF(A84="","",COUNTIF('Dimension usage'!$B:$B,A84))</f>
        <v/>
      </c>
      <c r="I84" s="32" t="str">
        <f aca="false">IF(A84="","",COUNTIFS('Dimension usage'!$B:$B,A84,'Dimension usage'!$G:$G,"No"))</f>
        <v/>
      </c>
      <c r="J84" s="30"/>
      <c r="K84" s="30"/>
      <c r="L84" s="30"/>
      <c r="M84" s="30"/>
      <c r="N84" s="30"/>
    </row>
    <row r="85" customFormat="false" ht="15" hidden="false" customHeight="false" outlineLevel="0" collapsed="false">
      <c r="A85" s="29"/>
      <c r="B85" s="30"/>
      <c r="C85" s="30"/>
      <c r="D85" s="20" t="str">
        <f aca="false">IF(C85="","",IFERROR(INDEX(Tables!$B:$B,MATCH(C85,Tables!$A:$A,0)),"ID not found"))</f>
        <v/>
      </c>
      <c r="E85" s="30"/>
      <c r="F85" s="30"/>
      <c r="G85" s="30"/>
      <c r="H85" s="20" t="str">
        <f aca="false">IF(A85="","",COUNTIF('Dimension usage'!$B:$B,A85))</f>
        <v/>
      </c>
      <c r="I85" s="32" t="str">
        <f aca="false">IF(A85="","",COUNTIFS('Dimension usage'!$B:$B,A85,'Dimension usage'!$G:$G,"No"))</f>
        <v/>
      </c>
      <c r="J85" s="30"/>
      <c r="K85" s="30"/>
      <c r="L85" s="30"/>
      <c r="M85" s="30"/>
      <c r="N85" s="30"/>
    </row>
    <row r="86" customFormat="false" ht="15" hidden="false" customHeight="false" outlineLevel="0" collapsed="false">
      <c r="A86" s="29"/>
      <c r="B86" s="30"/>
      <c r="C86" s="30"/>
      <c r="D86" s="20" t="str">
        <f aca="false">IF(C86="","",IFERROR(INDEX(Tables!$B:$B,MATCH(C86,Tables!$A:$A,0)),"ID not found"))</f>
        <v/>
      </c>
      <c r="E86" s="30"/>
      <c r="F86" s="30"/>
      <c r="G86" s="30"/>
      <c r="H86" s="20" t="str">
        <f aca="false">IF(A86="","",COUNTIF('Dimension usage'!$B:$B,A86))</f>
        <v/>
      </c>
      <c r="I86" s="32" t="str">
        <f aca="false">IF(A86="","",COUNTIFS('Dimension usage'!$B:$B,A86,'Dimension usage'!$G:$G,"No"))</f>
        <v/>
      </c>
      <c r="J86" s="30"/>
      <c r="K86" s="30"/>
      <c r="L86" s="30"/>
      <c r="M86" s="30"/>
      <c r="N86" s="30"/>
    </row>
    <row r="87" customFormat="false" ht="15" hidden="false" customHeight="false" outlineLevel="0" collapsed="false">
      <c r="A87" s="29"/>
      <c r="B87" s="30"/>
      <c r="C87" s="30"/>
      <c r="D87" s="20" t="str">
        <f aca="false">IF(C87="","",IFERROR(INDEX(Tables!$B:$B,MATCH(C87,Tables!$A:$A,0)),"ID not found"))</f>
        <v/>
      </c>
      <c r="E87" s="30"/>
      <c r="F87" s="30"/>
      <c r="G87" s="30"/>
      <c r="H87" s="20" t="str">
        <f aca="false">IF(A87="","",COUNTIF('Dimension usage'!$B:$B,A87))</f>
        <v/>
      </c>
      <c r="I87" s="32" t="str">
        <f aca="false">IF(A87="","",COUNTIFS('Dimension usage'!$B:$B,A87,'Dimension usage'!$G:$G,"No"))</f>
        <v/>
      </c>
      <c r="J87" s="30"/>
      <c r="K87" s="30"/>
      <c r="L87" s="30"/>
      <c r="M87" s="30"/>
      <c r="N87" s="30"/>
    </row>
    <row r="88" customFormat="false" ht="15" hidden="false" customHeight="false" outlineLevel="0" collapsed="false">
      <c r="A88" s="29"/>
      <c r="B88" s="30"/>
      <c r="C88" s="30"/>
      <c r="D88" s="20" t="str">
        <f aca="false">IF(C88="","",IFERROR(INDEX(Tables!$B:$B,MATCH(C88,Tables!$A:$A,0)),"ID not found"))</f>
        <v/>
      </c>
      <c r="E88" s="30"/>
      <c r="F88" s="30"/>
      <c r="G88" s="30"/>
      <c r="H88" s="20" t="str">
        <f aca="false">IF(A88="","",COUNTIF('Dimension usage'!$B:$B,A88))</f>
        <v/>
      </c>
      <c r="I88" s="32" t="str">
        <f aca="false">IF(A88="","",COUNTIFS('Dimension usage'!$B:$B,A88,'Dimension usage'!$G:$G,"No"))</f>
        <v/>
      </c>
      <c r="J88" s="30"/>
      <c r="K88" s="30"/>
      <c r="L88" s="30"/>
      <c r="M88" s="30"/>
      <c r="N88" s="30"/>
    </row>
    <row r="89" customFormat="false" ht="15" hidden="false" customHeight="false" outlineLevel="0" collapsed="false">
      <c r="A89" s="29"/>
      <c r="B89" s="30"/>
      <c r="C89" s="30"/>
      <c r="D89" s="20" t="str">
        <f aca="false">IF(C89="","",IFERROR(INDEX(Tables!$B:$B,MATCH(C89,Tables!$A:$A,0)),"ID not found"))</f>
        <v/>
      </c>
      <c r="E89" s="30"/>
      <c r="F89" s="30"/>
      <c r="G89" s="30"/>
      <c r="H89" s="20" t="str">
        <f aca="false">IF(A89="","",COUNTIF('Dimension usage'!$B:$B,A89))</f>
        <v/>
      </c>
      <c r="I89" s="32" t="str">
        <f aca="false">IF(A89="","",COUNTIFS('Dimension usage'!$B:$B,A89,'Dimension usage'!$G:$G,"No"))</f>
        <v/>
      </c>
      <c r="J89" s="30"/>
      <c r="K89" s="30"/>
      <c r="L89" s="30"/>
      <c r="M89" s="30"/>
      <c r="N89" s="30"/>
    </row>
    <row r="90" customFormat="false" ht="15" hidden="false" customHeight="false" outlineLevel="0" collapsed="false">
      <c r="A90" s="29"/>
      <c r="B90" s="30"/>
      <c r="C90" s="30"/>
      <c r="D90" s="20" t="str">
        <f aca="false">IF(C90="","",IFERROR(INDEX(Tables!$B:$B,MATCH(C90,Tables!$A:$A,0)),"ID not found"))</f>
        <v/>
      </c>
      <c r="E90" s="30"/>
      <c r="F90" s="30"/>
      <c r="G90" s="30"/>
      <c r="H90" s="20" t="str">
        <f aca="false">IF(A90="","",COUNTIF('Dimension usage'!$B:$B,A90))</f>
        <v/>
      </c>
      <c r="I90" s="32" t="str">
        <f aca="false">IF(A90="","",COUNTIFS('Dimension usage'!$B:$B,A90,'Dimension usage'!$G:$G,"No"))</f>
        <v/>
      </c>
      <c r="J90" s="30"/>
      <c r="K90" s="30"/>
      <c r="L90" s="30"/>
      <c r="M90" s="30"/>
      <c r="N90" s="30"/>
    </row>
    <row r="91" customFormat="false" ht="15" hidden="false" customHeight="false" outlineLevel="0" collapsed="false">
      <c r="A91" s="29"/>
      <c r="B91" s="30"/>
      <c r="C91" s="30"/>
      <c r="D91" s="20" t="str">
        <f aca="false">IF(C91="","",IFERROR(INDEX(Tables!$B:$B,MATCH(C91,Tables!$A:$A,0)),"ID not found"))</f>
        <v/>
      </c>
      <c r="E91" s="30"/>
      <c r="F91" s="30"/>
      <c r="G91" s="30"/>
      <c r="H91" s="20" t="str">
        <f aca="false">IF(A91="","",COUNTIF('Dimension usage'!$B:$B,A91))</f>
        <v/>
      </c>
      <c r="I91" s="32" t="str">
        <f aca="false">IF(A91="","",COUNTIFS('Dimension usage'!$B:$B,A91,'Dimension usage'!$G:$G,"No"))</f>
        <v/>
      </c>
      <c r="J91" s="30"/>
      <c r="K91" s="30"/>
      <c r="L91" s="30"/>
      <c r="M91" s="30"/>
      <c r="N91" s="30"/>
    </row>
    <row r="92" customFormat="false" ht="15" hidden="false" customHeight="false" outlineLevel="0" collapsed="false">
      <c r="A92" s="29"/>
      <c r="B92" s="30"/>
      <c r="C92" s="30"/>
      <c r="D92" s="20" t="str">
        <f aca="false">IF(C92="","",IFERROR(INDEX(Tables!$B:$B,MATCH(C92,Tables!$A:$A,0)),"ID not found"))</f>
        <v/>
      </c>
      <c r="E92" s="30"/>
      <c r="F92" s="30"/>
      <c r="G92" s="30"/>
      <c r="H92" s="20" t="str">
        <f aca="false">IF(A92="","",COUNTIF('Dimension usage'!$B:$B,A92))</f>
        <v/>
      </c>
      <c r="I92" s="32" t="str">
        <f aca="false">IF(A92="","",COUNTIFS('Dimension usage'!$B:$B,A92,'Dimension usage'!$G:$G,"No"))</f>
        <v/>
      </c>
      <c r="J92" s="30"/>
      <c r="K92" s="30"/>
      <c r="L92" s="30"/>
      <c r="M92" s="30"/>
      <c r="N92" s="30"/>
    </row>
    <row r="93" customFormat="false" ht="15" hidden="false" customHeight="false" outlineLevel="0" collapsed="false">
      <c r="A93" s="29"/>
      <c r="B93" s="30"/>
      <c r="C93" s="30"/>
      <c r="D93" s="20" t="str">
        <f aca="false">IF(C93="","",IFERROR(INDEX(Tables!$B:$B,MATCH(C93,Tables!$A:$A,0)),"ID not found"))</f>
        <v/>
      </c>
      <c r="E93" s="30"/>
      <c r="F93" s="30"/>
      <c r="G93" s="30"/>
      <c r="H93" s="20" t="str">
        <f aca="false">IF(A93="","",COUNTIF('Dimension usage'!$B:$B,A93))</f>
        <v/>
      </c>
      <c r="I93" s="32" t="str">
        <f aca="false">IF(A93="","",COUNTIFS('Dimension usage'!$B:$B,A93,'Dimension usage'!$G:$G,"No"))</f>
        <v/>
      </c>
      <c r="J93" s="30"/>
      <c r="K93" s="30"/>
      <c r="L93" s="30"/>
      <c r="M93" s="30"/>
      <c r="N93" s="30"/>
    </row>
    <row r="94" customFormat="false" ht="15" hidden="false" customHeight="false" outlineLevel="0" collapsed="false">
      <c r="A94" s="29"/>
      <c r="B94" s="30"/>
      <c r="C94" s="30"/>
      <c r="D94" s="20" t="str">
        <f aca="false">IF(C94="","",IFERROR(INDEX(Tables!$B:$B,MATCH(C94,Tables!$A:$A,0)),"ID not found"))</f>
        <v/>
      </c>
      <c r="E94" s="30"/>
      <c r="F94" s="30"/>
      <c r="G94" s="30"/>
      <c r="H94" s="20" t="str">
        <f aca="false">IF(A94="","",COUNTIF('Dimension usage'!$B:$B,A94))</f>
        <v/>
      </c>
      <c r="I94" s="32" t="str">
        <f aca="false">IF(A94="","",COUNTIFS('Dimension usage'!$B:$B,A94,'Dimension usage'!$G:$G,"No"))</f>
        <v/>
      </c>
      <c r="J94" s="30"/>
      <c r="K94" s="30"/>
      <c r="L94" s="30"/>
      <c r="M94" s="30"/>
      <c r="N94" s="30"/>
    </row>
    <row r="95" customFormat="false" ht="15" hidden="false" customHeight="false" outlineLevel="0" collapsed="false">
      <c r="A95" s="29"/>
      <c r="B95" s="30"/>
      <c r="C95" s="30"/>
      <c r="D95" s="20" t="str">
        <f aca="false">IF(C95="","",IFERROR(INDEX(Tables!$B:$B,MATCH(C95,Tables!$A:$A,0)),"ID not found"))</f>
        <v/>
      </c>
      <c r="E95" s="30"/>
      <c r="F95" s="30"/>
      <c r="G95" s="30"/>
      <c r="H95" s="20" t="str">
        <f aca="false">IF(A95="","",COUNTIF('Dimension usage'!$B:$B,A95))</f>
        <v/>
      </c>
      <c r="I95" s="32" t="str">
        <f aca="false">IF(A95="","",COUNTIFS('Dimension usage'!$B:$B,A95,'Dimension usage'!$G:$G,"No"))</f>
        <v/>
      </c>
      <c r="J95" s="30"/>
      <c r="K95" s="30"/>
      <c r="L95" s="30"/>
      <c r="M95" s="30"/>
      <c r="N95" s="30"/>
    </row>
    <row r="96" customFormat="false" ht="15" hidden="false" customHeight="false" outlineLevel="0" collapsed="false">
      <c r="A96" s="29"/>
      <c r="B96" s="30"/>
      <c r="C96" s="30"/>
      <c r="D96" s="20" t="str">
        <f aca="false">IF(C96="","",IFERROR(INDEX(Tables!$B:$B,MATCH(C96,Tables!$A:$A,0)),"ID not found"))</f>
        <v/>
      </c>
      <c r="E96" s="30"/>
      <c r="F96" s="30"/>
      <c r="G96" s="30"/>
      <c r="H96" s="20" t="str">
        <f aca="false">IF(A96="","",COUNTIF('Dimension usage'!$B:$B,A96))</f>
        <v/>
      </c>
      <c r="I96" s="32" t="str">
        <f aca="false">IF(A96="","",COUNTIFS('Dimension usage'!$B:$B,A96,'Dimension usage'!$G:$G,"No"))</f>
        <v/>
      </c>
      <c r="J96" s="30"/>
      <c r="K96" s="30"/>
      <c r="L96" s="30"/>
      <c r="M96" s="30"/>
      <c r="N96" s="30"/>
    </row>
    <row r="97" customFormat="false" ht="15" hidden="false" customHeight="false" outlineLevel="0" collapsed="false">
      <c r="A97" s="29"/>
      <c r="B97" s="30"/>
      <c r="C97" s="30"/>
      <c r="D97" s="20" t="str">
        <f aca="false">IF(C97="","",IFERROR(INDEX(Tables!$B:$B,MATCH(C97,Tables!$A:$A,0)),"ID not found"))</f>
        <v/>
      </c>
      <c r="E97" s="30"/>
      <c r="F97" s="30"/>
      <c r="G97" s="30"/>
      <c r="H97" s="20" t="str">
        <f aca="false">IF(A97="","",COUNTIF('Dimension usage'!$B:$B,A97))</f>
        <v/>
      </c>
      <c r="I97" s="32" t="str">
        <f aca="false">IF(A97="","",COUNTIFS('Dimension usage'!$B:$B,A97,'Dimension usage'!$G:$G,"No"))</f>
        <v/>
      </c>
      <c r="J97" s="30"/>
      <c r="K97" s="30"/>
      <c r="L97" s="30"/>
      <c r="M97" s="30"/>
      <c r="N97" s="30"/>
    </row>
    <row r="98" customFormat="false" ht="15" hidden="false" customHeight="false" outlineLevel="0" collapsed="false">
      <c r="A98" s="29"/>
      <c r="B98" s="30"/>
      <c r="C98" s="30"/>
      <c r="D98" s="20" t="str">
        <f aca="false">IF(C98="","",IFERROR(INDEX(Tables!$B:$B,MATCH(C98,Tables!$A:$A,0)),"ID not found"))</f>
        <v/>
      </c>
      <c r="E98" s="30"/>
      <c r="F98" s="30"/>
      <c r="G98" s="30"/>
      <c r="H98" s="20" t="str">
        <f aca="false">IF(A98="","",COUNTIF('Dimension usage'!$B:$B,A98))</f>
        <v/>
      </c>
      <c r="I98" s="32" t="str">
        <f aca="false">IF(A98="","",COUNTIFS('Dimension usage'!$B:$B,A98,'Dimension usage'!$G:$G,"No"))</f>
        <v/>
      </c>
      <c r="J98" s="30"/>
      <c r="K98" s="30"/>
      <c r="L98" s="30"/>
      <c r="M98" s="30"/>
      <c r="N98" s="30"/>
    </row>
    <row r="99" customFormat="false" ht="15" hidden="false" customHeight="false" outlineLevel="0" collapsed="false">
      <c r="A99" s="29"/>
      <c r="B99" s="30"/>
      <c r="C99" s="30"/>
      <c r="D99" s="20" t="str">
        <f aca="false">IF(C99="","",IFERROR(INDEX(Tables!$B:$B,MATCH(C99,Tables!$A:$A,0)),"ID not found"))</f>
        <v/>
      </c>
      <c r="E99" s="30"/>
      <c r="F99" s="30"/>
      <c r="G99" s="30"/>
      <c r="H99" s="20" t="str">
        <f aca="false">IF(A99="","",COUNTIF('Dimension usage'!$B:$B,A99))</f>
        <v/>
      </c>
      <c r="I99" s="32" t="str">
        <f aca="false">IF(A99="","",COUNTIFS('Dimension usage'!$B:$B,A99,'Dimension usage'!$G:$G,"No"))</f>
        <v/>
      </c>
      <c r="J99" s="30"/>
      <c r="K99" s="30"/>
      <c r="L99" s="30"/>
      <c r="M99" s="30"/>
      <c r="N99" s="30"/>
    </row>
    <row r="100" customFormat="false" ht="15" hidden="false" customHeight="false" outlineLevel="0" collapsed="false">
      <c r="A100" s="29"/>
      <c r="B100" s="30"/>
      <c r="C100" s="30"/>
      <c r="D100" s="20" t="str">
        <f aca="false">IF(C100="","",IFERROR(INDEX(Tables!$B:$B,MATCH(C100,Tables!$A:$A,0)),"ID not found"))</f>
        <v/>
      </c>
      <c r="E100" s="30"/>
      <c r="F100" s="30"/>
      <c r="G100" s="30"/>
      <c r="H100" s="20" t="str">
        <f aca="false">IF(A100="","",COUNTIF('Dimension usage'!$B:$B,A100))</f>
        <v/>
      </c>
      <c r="I100" s="32" t="str">
        <f aca="false">IF(A100="","",COUNTIFS('Dimension usage'!$B:$B,A100,'Dimension usage'!$G:$G,"No"))</f>
        <v/>
      </c>
      <c r="J100" s="30"/>
      <c r="K100" s="30"/>
      <c r="L100" s="30"/>
      <c r="M100" s="30"/>
      <c r="N100" s="30"/>
    </row>
    <row r="101" customFormat="false" ht="15" hidden="false" customHeight="false" outlineLevel="0" collapsed="false">
      <c r="A101" s="29"/>
      <c r="B101" s="30"/>
      <c r="C101" s="30"/>
      <c r="D101" s="20" t="str">
        <f aca="false">IF(C101="","",IFERROR(INDEX(Tables!$B:$B,MATCH(C101,Tables!$A:$A,0)),"ID not found"))</f>
        <v/>
      </c>
      <c r="E101" s="30"/>
      <c r="F101" s="30"/>
      <c r="G101" s="30"/>
      <c r="H101" s="20" t="str">
        <f aca="false">IF(A101="","",COUNTIF('Dimension usage'!$B:$B,A101))</f>
        <v/>
      </c>
      <c r="I101" s="32" t="str">
        <f aca="false">IF(A101="","",COUNTIFS('Dimension usage'!$B:$B,A101,'Dimension usage'!$G:$G,"No"))</f>
        <v/>
      </c>
      <c r="J101" s="30"/>
      <c r="K101" s="30"/>
      <c r="L101" s="30"/>
      <c r="M101" s="30"/>
      <c r="N101" s="30"/>
    </row>
    <row r="102" customFormat="false" ht="15" hidden="false" customHeight="false" outlineLevel="0" collapsed="false">
      <c r="A102" s="29"/>
      <c r="B102" s="30"/>
      <c r="C102" s="30"/>
      <c r="D102" s="20" t="str">
        <f aca="false">IF(C102="","",IFERROR(INDEX(Tables!$B:$B,MATCH(C102,Tables!$A:$A,0)),"ID not found"))</f>
        <v/>
      </c>
      <c r="E102" s="30"/>
      <c r="F102" s="30"/>
      <c r="G102" s="30"/>
      <c r="H102" s="20" t="str">
        <f aca="false">IF(A102="","",COUNTIF('Dimension usage'!$B:$B,A102))</f>
        <v/>
      </c>
      <c r="I102" s="32" t="str">
        <f aca="false">IF(A102="","",COUNTIFS('Dimension usage'!$B:$B,A102,'Dimension usage'!$G:$G,"No"))</f>
        <v/>
      </c>
      <c r="J102" s="30"/>
      <c r="K102" s="30"/>
      <c r="L102" s="30"/>
      <c r="M102" s="30"/>
      <c r="N102" s="30"/>
    </row>
    <row r="103" customFormat="false" ht="15" hidden="false" customHeight="false" outlineLevel="0" collapsed="false">
      <c r="A103" s="29"/>
      <c r="B103" s="30"/>
      <c r="C103" s="30"/>
      <c r="D103" s="20" t="str">
        <f aca="false">IF(C103="","",IFERROR(INDEX(Tables!$B:$B,MATCH(C103,Tables!$A:$A,0)),"ID not found"))</f>
        <v/>
      </c>
      <c r="E103" s="30"/>
      <c r="F103" s="30"/>
      <c r="G103" s="30"/>
      <c r="H103" s="20" t="str">
        <f aca="false">IF(A103="","",COUNTIF('Dimension usage'!$B:$B,A103))</f>
        <v/>
      </c>
      <c r="I103" s="32" t="str">
        <f aca="false">IF(A103="","",COUNTIFS('Dimension usage'!$B:$B,A103,'Dimension usage'!$G:$G,"No"))</f>
        <v/>
      </c>
      <c r="J103" s="30"/>
      <c r="K103" s="30"/>
      <c r="L103" s="30"/>
      <c r="M103" s="30"/>
      <c r="N103" s="30"/>
    </row>
    <row r="104" customFormat="false" ht="15" hidden="false" customHeight="false" outlineLevel="0" collapsed="false">
      <c r="A104" s="29"/>
      <c r="B104" s="30"/>
      <c r="C104" s="30"/>
      <c r="D104" s="20" t="str">
        <f aca="false">IF(C104="","",IFERROR(INDEX(Tables!$B:$B,MATCH(C104,Tables!$A:$A,0)),"ID not found"))</f>
        <v/>
      </c>
      <c r="E104" s="30"/>
      <c r="F104" s="30"/>
      <c r="G104" s="30"/>
      <c r="H104" s="20" t="str">
        <f aca="false">IF(A104="","",COUNTIF('Dimension usage'!$B:$B,A104))</f>
        <v/>
      </c>
      <c r="I104" s="32" t="str">
        <f aca="false">IF(A104="","",COUNTIFS('Dimension usage'!$B:$B,A104,'Dimension usage'!$G:$G,"No"))</f>
        <v/>
      </c>
      <c r="J104" s="30"/>
      <c r="K104" s="30"/>
      <c r="L104" s="30"/>
      <c r="M104" s="30"/>
      <c r="N104" s="30"/>
    </row>
  </sheetData>
  <autoFilter ref="A4:N104"/>
  <conditionalFormatting sqref="F5:F104">
    <cfRule type="cellIs" priority="2" operator="equal" aboveAverage="0" equalAverage="0" bottom="0" percent="0" rank="0" text="" dxfId="14">
      <formula>"Agreed"</formula>
    </cfRule>
    <cfRule type="cellIs" priority="3" operator="equal" aboveAverage="0" equalAverage="0" bottom="0" percent="0" rank="0" text="" dxfId="14">
      <formula>"Certified"</formula>
    </cfRule>
    <cfRule type="cellIs" priority="4" operator="equal" aboveAverage="0" equalAverage="0" bottom="0" percent="0" rank="0" text="" dxfId="15">
      <formula>"Draft"</formula>
    </cfRule>
  </conditionalFormatting>
  <conditionalFormatting sqref="D5:D104">
    <cfRule type="cellIs" priority="5" operator="equal" aboveAverage="0" equalAverage="0" bottom="0" percent="0" rank="0" text="" dxfId="16">
      <formula>"ID not found"</formula>
    </cfRule>
  </conditionalFormatting>
  <conditionalFormatting sqref="I5:I104">
    <cfRule type="cellIs" priority="6" operator="greaterThan" aboveAverage="0" equalAverage="0" bottom="0" percent="0" rank="0" text="" dxfId="16">
      <formula>0</formula>
    </cfRule>
  </conditionalFormatting>
  <dataValidations count="2">
    <dataValidation allowBlank="true" errorStyle="stop" operator="between" showDropDown="false" showErrorMessage="false" showInputMessage="false" sqref="F5:F84" type="list">
      <formula1>"Draft,Under review,Agreed,Certified"</formula1>
      <formula2>0</formula2>
    </dataValidation>
    <dataValidation allowBlank="true" errorStyle="stop" operator="between" showDropDown="false" showErrorMessage="false" showInputMessage="false" sqref="L5:L84" type="list">
      <formula1>"Found,Inferred,Guessed,Human"</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A5C"/>
    <pageSetUpPr fitToPage="true"/>
  </sheetPr>
  <dimension ref="A1:K4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22"/>
    <col collapsed="false" customWidth="true" hidden="false" outlineLevel="0" max="4" min="4" style="0" width="16"/>
    <col collapsed="false" customWidth="true" hidden="false" outlineLevel="0" max="5" min="5" style="0" width="14"/>
    <col collapsed="false" customWidth="true" hidden="false" outlineLevel="0" max="6" min="6" style="0" width="26"/>
    <col collapsed="false" customWidth="true" hidden="false" outlineLevel="0" max="7" min="7" style="0" width="14"/>
    <col collapsed="false" customWidth="true" hidden="false" outlineLevel="0" max="8" min="8" style="0" width="40"/>
    <col collapsed="false" customWidth="true" hidden="false" outlineLevel="0" max="9" min="9" style="0" width="22"/>
    <col collapsed="false" customWidth="true" hidden="false" outlineLevel="0" max="10" min="10" style="0" width="11"/>
    <col collapsed="false" customWidth="true" hidden="false" outlineLevel="0" max="11" min="11" style="0" width="8"/>
  </cols>
  <sheetData>
    <row r="1" customFormat="false" ht="17.35" hidden="false" customHeight="false" outlineLevel="0" collapsed="false">
      <c r="A1" s="1" t="s">
        <v>19</v>
      </c>
    </row>
    <row r="2" customFormat="false" ht="15" hidden="false" customHeight="false" outlineLevel="0" collapsed="false">
      <c r="A2" s="2" t="s">
        <v>481</v>
      </c>
    </row>
    <row r="4" customFormat="false" ht="31.5" hidden="false" customHeight="true" outlineLevel="0" collapsed="false">
      <c r="A4" s="21" t="s">
        <v>142</v>
      </c>
      <c r="B4" s="21" t="s">
        <v>297</v>
      </c>
      <c r="C4" s="21" t="s">
        <v>145</v>
      </c>
      <c r="D4" s="21" t="s">
        <v>300</v>
      </c>
      <c r="E4" s="21" t="s">
        <v>319</v>
      </c>
      <c r="F4" s="21" t="s">
        <v>321</v>
      </c>
      <c r="G4" s="21" t="s">
        <v>322</v>
      </c>
      <c r="H4" s="21" t="s">
        <v>130</v>
      </c>
      <c r="I4" s="21" t="s">
        <v>171</v>
      </c>
      <c r="J4" s="21" t="s">
        <v>174</v>
      </c>
      <c r="K4" s="31" t="s">
        <v>482</v>
      </c>
    </row>
    <row r="5" customFormat="false" ht="23.85" hidden="false" customHeight="false" outlineLevel="0" collapsed="false">
      <c r="A5" s="29" t="s">
        <v>144</v>
      </c>
      <c r="B5" s="29" t="s">
        <v>299</v>
      </c>
      <c r="C5" s="20" t="str">
        <f aca="false">IF(A5="","",IFERROR(INDEX(Products!$B:$B,MATCH(A5,Products!$A:$A,0)),"ID not found"))</f>
        <v>TA scorecard</v>
      </c>
      <c r="D5" s="20" t="str">
        <f aca="false">IF(B5="","",IFERROR(INDEX(Dimensions!$B:$B,MATCH(B5,Dimensions!$A:$A,0)),"ID not found"))</f>
        <v>Organisation</v>
      </c>
      <c r="E5" s="30" t="s">
        <v>305</v>
      </c>
      <c r="F5" s="20" t="str">
        <f aca="false">IF(E5="","",IFERROR(INDEX(Tables!$B:$B,MATCH(E5,Tables!$A:$A,0)),"ID not found"))</f>
        <v>HRDW requisition table</v>
      </c>
      <c r="G5" s="20" t="str">
        <f aca="false">IF(OR(B5="",E5=""),"",IF(IFERROR(INDEX(Dimensions!$C:$C,MATCH(B5,Dimensions!$A:$A,0)),"")="","No agreed source",IF(INDEX(Dimensions!$C:$C,MATCH(B5,Dimensions!$A:$A,0))=E5,"Yes","No")))</f>
        <v>Yes</v>
      </c>
      <c r="H5" s="30" t="s">
        <v>483</v>
      </c>
      <c r="I5" s="30" t="s">
        <v>173</v>
      </c>
      <c r="J5" s="30" t="s">
        <v>176</v>
      </c>
      <c r="K5" s="34" t="str">
        <f aca="false">IF(AND(A5&lt;&gt;"",G5="No"),COUNTIF($G$5:G5,"No"),"")</f>
        <v/>
      </c>
    </row>
    <row r="6" customFormat="false" ht="35.05" hidden="false" customHeight="false" outlineLevel="0" collapsed="false">
      <c r="A6" s="29" t="s">
        <v>230</v>
      </c>
      <c r="B6" s="29" t="s">
        <v>299</v>
      </c>
      <c r="C6" s="20" t="str">
        <f aca="false">IF(A6="","",IFERROR(INDEX(Products!$B:$B,MATCH(A6,Products!$A:$A,0)),"ID not found"))</f>
        <v>Recruiter view</v>
      </c>
      <c r="D6" s="20" t="str">
        <f aca="false">IF(B6="","",IFERROR(INDEX(Dimensions!$B:$B,MATCH(B6,Dimensions!$A:$A,0)),"ID not found"))</f>
        <v>Organisation</v>
      </c>
      <c r="E6" s="30" t="s">
        <v>272</v>
      </c>
      <c r="F6" s="20" t="str">
        <f aca="false">IF(E6="","",IFERROR(INDEX(Tables!$B:$B,MATCH(E6,Tables!$A:$A,0)),"ID not found"))</f>
        <v>Recruiter scorecard base</v>
      </c>
      <c r="G6" s="20" t="str">
        <f aca="false">IF(OR(B6="",E6=""),"",IF(IFERROR(INDEX(Dimensions!$C:$C,MATCH(B6,Dimensions!$A:$A,0)),"")="","No agreed source",IF(INDEX(Dimensions!$C:$C,MATCH(B6,Dimensions!$A:$A,0))=E6,"Yes","No")))</f>
        <v>No</v>
      </c>
      <c r="H6" s="30" t="s">
        <v>484</v>
      </c>
      <c r="I6" s="30" t="s">
        <v>385</v>
      </c>
      <c r="J6" s="30" t="s">
        <v>176</v>
      </c>
      <c r="K6" s="34" t="n">
        <f aca="false">IF(AND(A6&lt;&gt;"",G6="No"),COUNTIF($G$5:G6,"No"),"")</f>
        <v>1</v>
      </c>
    </row>
    <row r="7" customFormat="false" ht="15" hidden="false" customHeight="false" outlineLevel="0" collapsed="false">
      <c r="A7" s="29" t="s">
        <v>230</v>
      </c>
      <c r="B7" s="29" t="s">
        <v>477</v>
      </c>
      <c r="C7" s="20" t="str">
        <f aca="false">IF(A7="","",IFERROR(INDEX(Products!$B:$B,MATCH(A7,Products!$A:$A,0)),"ID not found"))</f>
        <v>Recruiter view</v>
      </c>
      <c r="D7" s="20" t="str">
        <f aca="false">IF(B7="","",IFERROR(INDEX(Dimensions!$B:$B,MATCH(B7,Dimensions!$A:$A,0)),"ID not found"))</f>
        <v>Recruiter</v>
      </c>
      <c r="E7" s="30" t="s">
        <v>272</v>
      </c>
      <c r="F7" s="20" t="str">
        <f aca="false">IF(E7="","",IFERROR(INDEX(Tables!$B:$B,MATCH(E7,Tables!$A:$A,0)),"ID not found"))</f>
        <v>Recruiter scorecard base</v>
      </c>
      <c r="G7" s="20" t="str">
        <f aca="false">IF(OR(B7="",E7=""),"",IF(IFERROR(INDEX(Dimensions!$C:$C,MATCH(B7,Dimensions!$A:$A,0)),"")="","No agreed source",IF(INDEX(Dimensions!$C:$C,MATCH(B7,Dimensions!$A:$A,0))=E7,"Yes","No")))</f>
        <v>Yes</v>
      </c>
      <c r="H7" s="30" t="s">
        <v>374</v>
      </c>
      <c r="I7" s="30" t="s">
        <v>385</v>
      </c>
      <c r="J7" s="30" t="s">
        <v>176</v>
      </c>
      <c r="K7" s="34" t="str">
        <f aca="false">IF(AND(A7&lt;&gt;"",G7="No"),COUNTIF($G$5:G7,"No"),"")</f>
        <v/>
      </c>
    </row>
    <row r="8" customFormat="false" ht="15" hidden="false" customHeight="false" outlineLevel="0" collapsed="false">
      <c r="A8" s="29"/>
      <c r="B8" s="29"/>
      <c r="C8" s="20" t="str">
        <f aca="false">IF(A8="","",IFERROR(INDEX(Products!$B:$B,MATCH(A8,Products!$A:$A,0)),"ID not found"))</f>
        <v/>
      </c>
      <c r="D8" s="20" t="str">
        <f aca="false">IF(B8="","",IFERROR(INDEX(Dimensions!$B:$B,MATCH(B8,Dimensions!$A:$A,0)),"ID not found"))</f>
        <v/>
      </c>
      <c r="E8" s="30"/>
      <c r="F8" s="20" t="str">
        <f aca="false">IF(E8="","",IFERROR(INDEX(Tables!$B:$B,MATCH(E8,Tables!$A:$A,0)),"ID not found"))</f>
        <v/>
      </c>
      <c r="G8" s="20" t="str">
        <f aca="false">IF(OR(B8="",E8=""),"",IF(IFERROR(INDEX(Dimensions!$C:$C,MATCH(B8,Dimensions!$A:$A,0)),"")="","No agreed source",IF(INDEX(Dimensions!$C:$C,MATCH(B8,Dimensions!$A:$A,0))=E8,"Yes","No")))</f>
        <v/>
      </c>
      <c r="H8" s="30"/>
      <c r="I8" s="30"/>
      <c r="J8" s="30"/>
      <c r="K8" s="34" t="str">
        <f aca="false">IF(AND(A8&lt;&gt;"",G8="No"),COUNTIF($G$5:G8,"No"),"")</f>
        <v/>
      </c>
    </row>
    <row r="9" customFormat="false" ht="15" hidden="false" customHeight="false" outlineLevel="0" collapsed="false">
      <c r="A9" s="29"/>
      <c r="B9" s="29"/>
      <c r="C9" s="20" t="str">
        <f aca="false">IF(A9="","",IFERROR(INDEX(Products!$B:$B,MATCH(A9,Products!$A:$A,0)),"ID not found"))</f>
        <v/>
      </c>
      <c r="D9" s="20" t="str">
        <f aca="false">IF(B9="","",IFERROR(INDEX(Dimensions!$B:$B,MATCH(B9,Dimensions!$A:$A,0)),"ID not found"))</f>
        <v/>
      </c>
      <c r="E9" s="30"/>
      <c r="F9" s="20" t="str">
        <f aca="false">IF(E9="","",IFERROR(INDEX(Tables!$B:$B,MATCH(E9,Tables!$A:$A,0)),"ID not found"))</f>
        <v/>
      </c>
      <c r="G9" s="20" t="str">
        <f aca="false">IF(OR(B9="",E9=""),"",IF(IFERROR(INDEX(Dimensions!$C:$C,MATCH(B9,Dimensions!$A:$A,0)),"")="","No agreed source",IF(INDEX(Dimensions!$C:$C,MATCH(B9,Dimensions!$A:$A,0))=E9,"Yes","No")))</f>
        <v/>
      </c>
      <c r="H9" s="30"/>
      <c r="I9" s="30"/>
      <c r="J9" s="30"/>
      <c r="K9" s="34" t="str">
        <f aca="false">IF(AND(A9&lt;&gt;"",G9="No"),COUNTIF($G$5:G9,"No"),"")</f>
        <v/>
      </c>
    </row>
    <row r="10" customFormat="false" ht="15" hidden="false" customHeight="false" outlineLevel="0" collapsed="false">
      <c r="A10" s="29"/>
      <c r="B10" s="29"/>
      <c r="C10" s="20" t="str">
        <f aca="false">IF(A10="","",IFERROR(INDEX(Products!$B:$B,MATCH(A10,Products!$A:$A,0)),"ID not found"))</f>
        <v/>
      </c>
      <c r="D10" s="20" t="str">
        <f aca="false">IF(B10="","",IFERROR(INDEX(Dimensions!$B:$B,MATCH(B10,Dimensions!$A:$A,0)),"ID not found"))</f>
        <v/>
      </c>
      <c r="E10" s="30"/>
      <c r="F10" s="20" t="str">
        <f aca="false">IF(E10="","",IFERROR(INDEX(Tables!$B:$B,MATCH(E10,Tables!$A:$A,0)),"ID not found"))</f>
        <v/>
      </c>
      <c r="G10" s="20" t="str">
        <f aca="false">IF(OR(B10="",E10=""),"",IF(IFERROR(INDEX(Dimensions!$C:$C,MATCH(B10,Dimensions!$A:$A,0)),"")="","No agreed source",IF(INDEX(Dimensions!$C:$C,MATCH(B10,Dimensions!$A:$A,0))=E10,"Yes","No")))</f>
        <v/>
      </c>
      <c r="H10" s="30"/>
      <c r="I10" s="30"/>
      <c r="J10" s="30"/>
      <c r="K10" s="34" t="str">
        <f aca="false">IF(AND(A10&lt;&gt;"",G10="No"),COUNTIF($G$5:G10,"No"),"")</f>
        <v/>
      </c>
    </row>
    <row r="11" customFormat="false" ht="15" hidden="false" customHeight="false" outlineLevel="0" collapsed="false">
      <c r="A11" s="29"/>
      <c r="B11" s="29"/>
      <c r="C11" s="20" t="str">
        <f aca="false">IF(A11="","",IFERROR(INDEX(Products!$B:$B,MATCH(A11,Products!$A:$A,0)),"ID not found"))</f>
        <v/>
      </c>
      <c r="D11" s="20" t="str">
        <f aca="false">IF(B11="","",IFERROR(INDEX(Dimensions!$B:$B,MATCH(B11,Dimensions!$A:$A,0)),"ID not found"))</f>
        <v/>
      </c>
      <c r="E11" s="30"/>
      <c r="F11" s="20" t="str">
        <f aca="false">IF(E11="","",IFERROR(INDEX(Tables!$B:$B,MATCH(E11,Tables!$A:$A,0)),"ID not found"))</f>
        <v/>
      </c>
      <c r="G11" s="20" t="str">
        <f aca="false">IF(OR(B11="",E11=""),"",IF(IFERROR(INDEX(Dimensions!$C:$C,MATCH(B11,Dimensions!$A:$A,0)),"")="","No agreed source",IF(INDEX(Dimensions!$C:$C,MATCH(B11,Dimensions!$A:$A,0))=E11,"Yes","No")))</f>
        <v/>
      </c>
      <c r="H11" s="30"/>
      <c r="I11" s="30"/>
      <c r="J11" s="30"/>
      <c r="K11" s="34" t="str">
        <f aca="false">IF(AND(A11&lt;&gt;"",G11="No"),COUNTIF($G$5:G11,"No"),"")</f>
        <v/>
      </c>
    </row>
    <row r="12" customFormat="false" ht="15" hidden="false" customHeight="false" outlineLevel="0" collapsed="false">
      <c r="A12" s="29"/>
      <c r="B12" s="29"/>
      <c r="C12" s="20" t="str">
        <f aca="false">IF(A12="","",IFERROR(INDEX(Products!$B:$B,MATCH(A12,Products!$A:$A,0)),"ID not found"))</f>
        <v/>
      </c>
      <c r="D12" s="20" t="str">
        <f aca="false">IF(B12="","",IFERROR(INDEX(Dimensions!$B:$B,MATCH(B12,Dimensions!$A:$A,0)),"ID not found"))</f>
        <v/>
      </c>
      <c r="E12" s="30"/>
      <c r="F12" s="20" t="str">
        <f aca="false">IF(E12="","",IFERROR(INDEX(Tables!$B:$B,MATCH(E12,Tables!$A:$A,0)),"ID not found"))</f>
        <v/>
      </c>
      <c r="G12" s="20" t="str">
        <f aca="false">IF(OR(B12="",E12=""),"",IF(IFERROR(INDEX(Dimensions!$C:$C,MATCH(B12,Dimensions!$A:$A,0)),"")="","No agreed source",IF(INDEX(Dimensions!$C:$C,MATCH(B12,Dimensions!$A:$A,0))=E12,"Yes","No")))</f>
        <v/>
      </c>
      <c r="H12" s="30"/>
      <c r="I12" s="30"/>
      <c r="J12" s="30"/>
      <c r="K12" s="34" t="str">
        <f aca="false">IF(AND(A12&lt;&gt;"",G12="No"),COUNTIF($G$5:G12,"No"),"")</f>
        <v/>
      </c>
    </row>
    <row r="13" customFormat="false" ht="15" hidden="false" customHeight="false" outlineLevel="0" collapsed="false">
      <c r="A13" s="29"/>
      <c r="B13" s="29"/>
      <c r="C13" s="20" t="str">
        <f aca="false">IF(A13="","",IFERROR(INDEX(Products!$B:$B,MATCH(A13,Products!$A:$A,0)),"ID not found"))</f>
        <v/>
      </c>
      <c r="D13" s="20" t="str">
        <f aca="false">IF(B13="","",IFERROR(INDEX(Dimensions!$B:$B,MATCH(B13,Dimensions!$A:$A,0)),"ID not found"))</f>
        <v/>
      </c>
      <c r="E13" s="30"/>
      <c r="F13" s="20" t="str">
        <f aca="false">IF(E13="","",IFERROR(INDEX(Tables!$B:$B,MATCH(E13,Tables!$A:$A,0)),"ID not found"))</f>
        <v/>
      </c>
      <c r="G13" s="20" t="str">
        <f aca="false">IF(OR(B13="",E13=""),"",IF(IFERROR(INDEX(Dimensions!$C:$C,MATCH(B13,Dimensions!$A:$A,0)),"")="","No agreed source",IF(INDEX(Dimensions!$C:$C,MATCH(B13,Dimensions!$A:$A,0))=E13,"Yes","No")))</f>
        <v/>
      </c>
      <c r="H13" s="30"/>
      <c r="I13" s="30"/>
      <c r="J13" s="30"/>
      <c r="K13" s="34" t="str">
        <f aca="false">IF(AND(A13&lt;&gt;"",G13="No"),COUNTIF($G$5:G13,"No"),"")</f>
        <v/>
      </c>
    </row>
    <row r="14" customFormat="false" ht="15" hidden="false" customHeight="false" outlineLevel="0" collapsed="false">
      <c r="A14" s="29"/>
      <c r="B14" s="29"/>
      <c r="C14" s="20" t="str">
        <f aca="false">IF(A14="","",IFERROR(INDEX(Products!$B:$B,MATCH(A14,Products!$A:$A,0)),"ID not found"))</f>
        <v/>
      </c>
      <c r="D14" s="20" t="str">
        <f aca="false">IF(B14="","",IFERROR(INDEX(Dimensions!$B:$B,MATCH(B14,Dimensions!$A:$A,0)),"ID not found"))</f>
        <v/>
      </c>
      <c r="E14" s="30"/>
      <c r="F14" s="20" t="str">
        <f aca="false">IF(E14="","",IFERROR(INDEX(Tables!$B:$B,MATCH(E14,Tables!$A:$A,0)),"ID not found"))</f>
        <v/>
      </c>
      <c r="G14" s="20" t="str">
        <f aca="false">IF(OR(B14="",E14=""),"",IF(IFERROR(INDEX(Dimensions!$C:$C,MATCH(B14,Dimensions!$A:$A,0)),"")="","No agreed source",IF(INDEX(Dimensions!$C:$C,MATCH(B14,Dimensions!$A:$A,0))=E14,"Yes","No")))</f>
        <v/>
      </c>
      <c r="H14" s="30"/>
      <c r="I14" s="30"/>
      <c r="J14" s="30"/>
      <c r="K14" s="34" t="str">
        <f aca="false">IF(AND(A14&lt;&gt;"",G14="No"),COUNTIF($G$5:G14,"No"),"")</f>
        <v/>
      </c>
    </row>
    <row r="15" customFormat="false" ht="15" hidden="false" customHeight="false" outlineLevel="0" collapsed="false">
      <c r="A15" s="29"/>
      <c r="B15" s="29"/>
      <c r="C15" s="20" t="str">
        <f aca="false">IF(A15="","",IFERROR(INDEX(Products!$B:$B,MATCH(A15,Products!$A:$A,0)),"ID not found"))</f>
        <v/>
      </c>
      <c r="D15" s="20" t="str">
        <f aca="false">IF(B15="","",IFERROR(INDEX(Dimensions!$B:$B,MATCH(B15,Dimensions!$A:$A,0)),"ID not found"))</f>
        <v/>
      </c>
      <c r="E15" s="30"/>
      <c r="F15" s="20" t="str">
        <f aca="false">IF(E15="","",IFERROR(INDEX(Tables!$B:$B,MATCH(E15,Tables!$A:$A,0)),"ID not found"))</f>
        <v/>
      </c>
      <c r="G15" s="20" t="str">
        <f aca="false">IF(OR(B15="",E15=""),"",IF(IFERROR(INDEX(Dimensions!$C:$C,MATCH(B15,Dimensions!$A:$A,0)),"")="","No agreed source",IF(INDEX(Dimensions!$C:$C,MATCH(B15,Dimensions!$A:$A,0))=E15,"Yes","No")))</f>
        <v/>
      </c>
      <c r="H15" s="30"/>
      <c r="I15" s="30"/>
      <c r="J15" s="30"/>
      <c r="K15" s="34" t="str">
        <f aca="false">IF(AND(A15&lt;&gt;"",G15="No"),COUNTIF($G$5:G15,"No"),"")</f>
        <v/>
      </c>
    </row>
    <row r="16" customFormat="false" ht="15" hidden="false" customHeight="false" outlineLevel="0" collapsed="false">
      <c r="A16" s="29"/>
      <c r="B16" s="29"/>
      <c r="C16" s="20" t="str">
        <f aca="false">IF(A16="","",IFERROR(INDEX(Products!$B:$B,MATCH(A16,Products!$A:$A,0)),"ID not found"))</f>
        <v/>
      </c>
      <c r="D16" s="20" t="str">
        <f aca="false">IF(B16="","",IFERROR(INDEX(Dimensions!$B:$B,MATCH(B16,Dimensions!$A:$A,0)),"ID not found"))</f>
        <v/>
      </c>
      <c r="E16" s="30"/>
      <c r="F16" s="20" t="str">
        <f aca="false">IF(E16="","",IFERROR(INDEX(Tables!$B:$B,MATCH(E16,Tables!$A:$A,0)),"ID not found"))</f>
        <v/>
      </c>
      <c r="G16" s="20" t="str">
        <f aca="false">IF(OR(B16="",E16=""),"",IF(IFERROR(INDEX(Dimensions!$C:$C,MATCH(B16,Dimensions!$A:$A,0)),"")="","No agreed source",IF(INDEX(Dimensions!$C:$C,MATCH(B16,Dimensions!$A:$A,0))=E16,"Yes","No")))</f>
        <v/>
      </c>
      <c r="H16" s="30"/>
      <c r="I16" s="30"/>
      <c r="J16" s="30"/>
      <c r="K16" s="34" t="str">
        <f aca="false">IF(AND(A16&lt;&gt;"",G16="No"),COUNTIF($G$5:G16,"No"),"")</f>
        <v/>
      </c>
    </row>
    <row r="17" customFormat="false" ht="15" hidden="false" customHeight="false" outlineLevel="0" collapsed="false">
      <c r="A17" s="29"/>
      <c r="B17" s="29"/>
      <c r="C17" s="20" t="str">
        <f aca="false">IF(A17="","",IFERROR(INDEX(Products!$B:$B,MATCH(A17,Products!$A:$A,0)),"ID not found"))</f>
        <v/>
      </c>
      <c r="D17" s="20" t="str">
        <f aca="false">IF(B17="","",IFERROR(INDEX(Dimensions!$B:$B,MATCH(B17,Dimensions!$A:$A,0)),"ID not found"))</f>
        <v/>
      </c>
      <c r="E17" s="30"/>
      <c r="F17" s="20" t="str">
        <f aca="false">IF(E17="","",IFERROR(INDEX(Tables!$B:$B,MATCH(E17,Tables!$A:$A,0)),"ID not found"))</f>
        <v/>
      </c>
      <c r="G17" s="20" t="str">
        <f aca="false">IF(OR(B17="",E17=""),"",IF(IFERROR(INDEX(Dimensions!$C:$C,MATCH(B17,Dimensions!$A:$A,0)),"")="","No agreed source",IF(INDEX(Dimensions!$C:$C,MATCH(B17,Dimensions!$A:$A,0))=E17,"Yes","No")))</f>
        <v/>
      </c>
      <c r="H17" s="30"/>
      <c r="I17" s="30"/>
      <c r="J17" s="30"/>
      <c r="K17" s="34" t="str">
        <f aca="false">IF(AND(A17&lt;&gt;"",G17="No"),COUNTIF($G$5:G17,"No"),"")</f>
        <v/>
      </c>
    </row>
    <row r="18" customFormat="false" ht="15" hidden="false" customHeight="false" outlineLevel="0" collapsed="false">
      <c r="A18" s="29"/>
      <c r="B18" s="29"/>
      <c r="C18" s="20" t="str">
        <f aca="false">IF(A18="","",IFERROR(INDEX(Products!$B:$B,MATCH(A18,Products!$A:$A,0)),"ID not found"))</f>
        <v/>
      </c>
      <c r="D18" s="20" t="str">
        <f aca="false">IF(B18="","",IFERROR(INDEX(Dimensions!$B:$B,MATCH(B18,Dimensions!$A:$A,0)),"ID not found"))</f>
        <v/>
      </c>
      <c r="E18" s="30"/>
      <c r="F18" s="20" t="str">
        <f aca="false">IF(E18="","",IFERROR(INDEX(Tables!$B:$B,MATCH(E18,Tables!$A:$A,0)),"ID not found"))</f>
        <v/>
      </c>
      <c r="G18" s="20" t="str">
        <f aca="false">IF(OR(B18="",E18=""),"",IF(IFERROR(INDEX(Dimensions!$C:$C,MATCH(B18,Dimensions!$A:$A,0)),"")="","No agreed source",IF(INDEX(Dimensions!$C:$C,MATCH(B18,Dimensions!$A:$A,0))=E18,"Yes","No")))</f>
        <v/>
      </c>
      <c r="H18" s="30"/>
      <c r="I18" s="30"/>
      <c r="J18" s="30"/>
      <c r="K18" s="34" t="str">
        <f aca="false">IF(AND(A18&lt;&gt;"",G18="No"),COUNTIF($G$5:G18,"No"),"")</f>
        <v/>
      </c>
    </row>
    <row r="19" customFormat="false" ht="15" hidden="false" customHeight="false" outlineLevel="0" collapsed="false">
      <c r="A19" s="29"/>
      <c r="B19" s="29"/>
      <c r="C19" s="20" t="str">
        <f aca="false">IF(A19="","",IFERROR(INDEX(Products!$B:$B,MATCH(A19,Products!$A:$A,0)),"ID not found"))</f>
        <v/>
      </c>
      <c r="D19" s="20" t="str">
        <f aca="false">IF(B19="","",IFERROR(INDEX(Dimensions!$B:$B,MATCH(B19,Dimensions!$A:$A,0)),"ID not found"))</f>
        <v/>
      </c>
      <c r="E19" s="30"/>
      <c r="F19" s="20" t="str">
        <f aca="false">IF(E19="","",IFERROR(INDEX(Tables!$B:$B,MATCH(E19,Tables!$A:$A,0)),"ID not found"))</f>
        <v/>
      </c>
      <c r="G19" s="20" t="str">
        <f aca="false">IF(OR(B19="",E19=""),"",IF(IFERROR(INDEX(Dimensions!$C:$C,MATCH(B19,Dimensions!$A:$A,0)),"")="","No agreed source",IF(INDEX(Dimensions!$C:$C,MATCH(B19,Dimensions!$A:$A,0))=E19,"Yes","No")))</f>
        <v/>
      </c>
      <c r="H19" s="30"/>
      <c r="I19" s="30"/>
      <c r="J19" s="30"/>
      <c r="K19" s="34" t="str">
        <f aca="false">IF(AND(A19&lt;&gt;"",G19="No"),COUNTIF($G$5:G19,"No"),"")</f>
        <v/>
      </c>
    </row>
    <row r="20" customFormat="false" ht="15" hidden="false" customHeight="false" outlineLevel="0" collapsed="false">
      <c r="A20" s="29"/>
      <c r="B20" s="29"/>
      <c r="C20" s="20" t="str">
        <f aca="false">IF(A20="","",IFERROR(INDEX(Products!$B:$B,MATCH(A20,Products!$A:$A,0)),"ID not found"))</f>
        <v/>
      </c>
      <c r="D20" s="20" t="str">
        <f aca="false">IF(B20="","",IFERROR(INDEX(Dimensions!$B:$B,MATCH(B20,Dimensions!$A:$A,0)),"ID not found"))</f>
        <v/>
      </c>
      <c r="E20" s="30"/>
      <c r="F20" s="20" t="str">
        <f aca="false">IF(E20="","",IFERROR(INDEX(Tables!$B:$B,MATCH(E20,Tables!$A:$A,0)),"ID not found"))</f>
        <v/>
      </c>
      <c r="G20" s="20" t="str">
        <f aca="false">IF(OR(B20="",E20=""),"",IF(IFERROR(INDEX(Dimensions!$C:$C,MATCH(B20,Dimensions!$A:$A,0)),"")="","No agreed source",IF(INDEX(Dimensions!$C:$C,MATCH(B20,Dimensions!$A:$A,0))=E20,"Yes","No")))</f>
        <v/>
      </c>
      <c r="H20" s="30"/>
      <c r="I20" s="30"/>
      <c r="J20" s="30"/>
      <c r="K20" s="34" t="str">
        <f aca="false">IF(AND(A20&lt;&gt;"",G20="No"),COUNTIF($G$5:G20,"No"),"")</f>
        <v/>
      </c>
    </row>
    <row r="21" customFormat="false" ht="15" hidden="false" customHeight="false" outlineLevel="0" collapsed="false">
      <c r="A21" s="29"/>
      <c r="B21" s="29"/>
      <c r="C21" s="20" t="str">
        <f aca="false">IF(A21="","",IFERROR(INDEX(Products!$B:$B,MATCH(A21,Products!$A:$A,0)),"ID not found"))</f>
        <v/>
      </c>
      <c r="D21" s="20" t="str">
        <f aca="false">IF(B21="","",IFERROR(INDEX(Dimensions!$B:$B,MATCH(B21,Dimensions!$A:$A,0)),"ID not found"))</f>
        <v/>
      </c>
      <c r="E21" s="30"/>
      <c r="F21" s="20" t="str">
        <f aca="false">IF(E21="","",IFERROR(INDEX(Tables!$B:$B,MATCH(E21,Tables!$A:$A,0)),"ID not found"))</f>
        <v/>
      </c>
      <c r="G21" s="20" t="str">
        <f aca="false">IF(OR(B21="",E21=""),"",IF(IFERROR(INDEX(Dimensions!$C:$C,MATCH(B21,Dimensions!$A:$A,0)),"")="","No agreed source",IF(INDEX(Dimensions!$C:$C,MATCH(B21,Dimensions!$A:$A,0))=E21,"Yes","No")))</f>
        <v/>
      </c>
      <c r="H21" s="30"/>
      <c r="I21" s="30"/>
      <c r="J21" s="30"/>
      <c r="K21" s="34" t="str">
        <f aca="false">IF(AND(A21&lt;&gt;"",G21="No"),COUNTIF($G$5:G21,"No"),"")</f>
        <v/>
      </c>
    </row>
    <row r="22" customFormat="false" ht="15" hidden="false" customHeight="false" outlineLevel="0" collapsed="false">
      <c r="A22" s="29"/>
      <c r="B22" s="29"/>
      <c r="C22" s="20" t="str">
        <f aca="false">IF(A22="","",IFERROR(INDEX(Products!$B:$B,MATCH(A22,Products!$A:$A,0)),"ID not found"))</f>
        <v/>
      </c>
      <c r="D22" s="20" t="str">
        <f aca="false">IF(B22="","",IFERROR(INDEX(Dimensions!$B:$B,MATCH(B22,Dimensions!$A:$A,0)),"ID not found"))</f>
        <v/>
      </c>
      <c r="E22" s="30"/>
      <c r="F22" s="20" t="str">
        <f aca="false">IF(E22="","",IFERROR(INDEX(Tables!$B:$B,MATCH(E22,Tables!$A:$A,0)),"ID not found"))</f>
        <v/>
      </c>
      <c r="G22" s="20" t="str">
        <f aca="false">IF(OR(B22="",E22=""),"",IF(IFERROR(INDEX(Dimensions!$C:$C,MATCH(B22,Dimensions!$A:$A,0)),"")="","No agreed source",IF(INDEX(Dimensions!$C:$C,MATCH(B22,Dimensions!$A:$A,0))=E22,"Yes","No")))</f>
        <v/>
      </c>
      <c r="H22" s="30"/>
      <c r="I22" s="30"/>
      <c r="J22" s="30"/>
      <c r="K22" s="34" t="str">
        <f aca="false">IF(AND(A22&lt;&gt;"",G22="No"),COUNTIF($G$5:G22,"No"),"")</f>
        <v/>
      </c>
    </row>
    <row r="23" customFormat="false" ht="15" hidden="false" customHeight="false" outlineLevel="0" collapsed="false">
      <c r="A23" s="29"/>
      <c r="B23" s="29"/>
      <c r="C23" s="20" t="str">
        <f aca="false">IF(A23="","",IFERROR(INDEX(Products!$B:$B,MATCH(A23,Products!$A:$A,0)),"ID not found"))</f>
        <v/>
      </c>
      <c r="D23" s="20" t="str">
        <f aca="false">IF(B23="","",IFERROR(INDEX(Dimensions!$B:$B,MATCH(B23,Dimensions!$A:$A,0)),"ID not found"))</f>
        <v/>
      </c>
      <c r="E23" s="30"/>
      <c r="F23" s="20" t="str">
        <f aca="false">IF(E23="","",IFERROR(INDEX(Tables!$B:$B,MATCH(E23,Tables!$A:$A,0)),"ID not found"))</f>
        <v/>
      </c>
      <c r="G23" s="20" t="str">
        <f aca="false">IF(OR(B23="",E23=""),"",IF(IFERROR(INDEX(Dimensions!$C:$C,MATCH(B23,Dimensions!$A:$A,0)),"")="","No agreed source",IF(INDEX(Dimensions!$C:$C,MATCH(B23,Dimensions!$A:$A,0))=E23,"Yes","No")))</f>
        <v/>
      </c>
      <c r="H23" s="30"/>
      <c r="I23" s="30"/>
      <c r="J23" s="30"/>
      <c r="K23" s="34" t="str">
        <f aca="false">IF(AND(A23&lt;&gt;"",G23="No"),COUNTIF($G$5:G23,"No"),"")</f>
        <v/>
      </c>
    </row>
    <row r="24" customFormat="false" ht="15" hidden="false" customHeight="false" outlineLevel="0" collapsed="false">
      <c r="A24" s="29"/>
      <c r="B24" s="29"/>
      <c r="C24" s="20" t="str">
        <f aca="false">IF(A24="","",IFERROR(INDEX(Products!$B:$B,MATCH(A24,Products!$A:$A,0)),"ID not found"))</f>
        <v/>
      </c>
      <c r="D24" s="20" t="str">
        <f aca="false">IF(B24="","",IFERROR(INDEX(Dimensions!$B:$B,MATCH(B24,Dimensions!$A:$A,0)),"ID not found"))</f>
        <v/>
      </c>
      <c r="E24" s="30"/>
      <c r="F24" s="20" t="str">
        <f aca="false">IF(E24="","",IFERROR(INDEX(Tables!$B:$B,MATCH(E24,Tables!$A:$A,0)),"ID not found"))</f>
        <v/>
      </c>
      <c r="G24" s="20" t="str">
        <f aca="false">IF(OR(B24="",E24=""),"",IF(IFERROR(INDEX(Dimensions!$C:$C,MATCH(B24,Dimensions!$A:$A,0)),"")="","No agreed source",IF(INDEX(Dimensions!$C:$C,MATCH(B24,Dimensions!$A:$A,0))=E24,"Yes","No")))</f>
        <v/>
      </c>
      <c r="H24" s="30"/>
      <c r="I24" s="30"/>
      <c r="J24" s="30"/>
      <c r="K24" s="34" t="str">
        <f aca="false">IF(AND(A24&lt;&gt;"",G24="No"),COUNTIF($G$5:G24,"No"),"")</f>
        <v/>
      </c>
    </row>
    <row r="25" customFormat="false" ht="15" hidden="false" customHeight="false" outlineLevel="0" collapsed="false">
      <c r="A25" s="29"/>
      <c r="B25" s="29"/>
      <c r="C25" s="20" t="str">
        <f aca="false">IF(A25="","",IFERROR(INDEX(Products!$B:$B,MATCH(A25,Products!$A:$A,0)),"ID not found"))</f>
        <v/>
      </c>
      <c r="D25" s="20" t="str">
        <f aca="false">IF(B25="","",IFERROR(INDEX(Dimensions!$B:$B,MATCH(B25,Dimensions!$A:$A,0)),"ID not found"))</f>
        <v/>
      </c>
      <c r="E25" s="30"/>
      <c r="F25" s="20" t="str">
        <f aca="false">IF(E25="","",IFERROR(INDEX(Tables!$B:$B,MATCH(E25,Tables!$A:$A,0)),"ID not found"))</f>
        <v/>
      </c>
      <c r="G25" s="20" t="str">
        <f aca="false">IF(OR(B25="",E25=""),"",IF(IFERROR(INDEX(Dimensions!$C:$C,MATCH(B25,Dimensions!$A:$A,0)),"")="","No agreed source",IF(INDEX(Dimensions!$C:$C,MATCH(B25,Dimensions!$A:$A,0))=E25,"Yes","No")))</f>
        <v/>
      </c>
      <c r="H25" s="30"/>
      <c r="I25" s="30"/>
      <c r="J25" s="30"/>
      <c r="K25" s="34" t="str">
        <f aca="false">IF(AND(A25&lt;&gt;"",G25="No"),COUNTIF($G$5:G25,"No"),"")</f>
        <v/>
      </c>
    </row>
    <row r="26" customFormat="false" ht="15" hidden="false" customHeight="false" outlineLevel="0" collapsed="false">
      <c r="A26" s="29"/>
      <c r="B26" s="29"/>
      <c r="C26" s="20" t="str">
        <f aca="false">IF(A26="","",IFERROR(INDEX(Products!$B:$B,MATCH(A26,Products!$A:$A,0)),"ID not found"))</f>
        <v/>
      </c>
      <c r="D26" s="20" t="str">
        <f aca="false">IF(B26="","",IFERROR(INDEX(Dimensions!$B:$B,MATCH(B26,Dimensions!$A:$A,0)),"ID not found"))</f>
        <v/>
      </c>
      <c r="E26" s="30"/>
      <c r="F26" s="20" t="str">
        <f aca="false">IF(E26="","",IFERROR(INDEX(Tables!$B:$B,MATCH(E26,Tables!$A:$A,0)),"ID not found"))</f>
        <v/>
      </c>
      <c r="G26" s="20" t="str">
        <f aca="false">IF(OR(B26="",E26=""),"",IF(IFERROR(INDEX(Dimensions!$C:$C,MATCH(B26,Dimensions!$A:$A,0)),"")="","No agreed source",IF(INDEX(Dimensions!$C:$C,MATCH(B26,Dimensions!$A:$A,0))=E26,"Yes","No")))</f>
        <v/>
      </c>
      <c r="H26" s="30"/>
      <c r="I26" s="30"/>
      <c r="J26" s="30"/>
      <c r="K26" s="34" t="str">
        <f aca="false">IF(AND(A26&lt;&gt;"",G26="No"),COUNTIF($G$5:G26,"No"),"")</f>
        <v/>
      </c>
    </row>
    <row r="27" customFormat="false" ht="15" hidden="false" customHeight="false" outlineLevel="0" collapsed="false">
      <c r="A27" s="29"/>
      <c r="B27" s="29"/>
      <c r="C27" s="20" t="str">
        <f aca="false">IF(A27="","",IFERROR(INDEX(Products!$B:$B,MATCH(A27,Products!$A:$A,0)),"ID not found"))</f>
        <v/>
      </c>
      <c r="D27" s="20" t="str">
        <f aca="false">IF(B27="","",IFERROR(INDEX(Dimensions!$B:$B,MATCH(B27,Dimensions!$A:$A,0)),"ID not found"))</f>
        <v/>
      </c>
      <c r="E27" s="30"/>
      <c r="F27" s="20" t="str">
        <f aca="false">IF(E27="","",IFERROR(INDEX(Tables!$B:$B,MATCH(E27,Tables!$A:$A,0)),"ID not found"))</f>
        <v/>
      </c>
      <c r="G27" s="20" t="str">
        <f aca="false">IF(OR(B27="",E27=""),"",IF(IFERROR(INDEX(Dimensions!$C:$C,MATCH(B27,Dimensions!$A:$A,0)),"")="","No agreed source",IF(INDEX(Dimensions!$C:$C,MATCH(B27,Dimensions!$A:$A,0))=E27,"Yes","No")))</f>
        <v/>
      </c>
      <c r="H27" s="30"/>
      <c r="I27" s="30"/>
      <c r="J27" s="30"/>
      <c r="K27" s="34" t="str">
        <f aca="false">IF(AND(A27&lt;&gt;"",G27="No"),COUNTIF($G$5:G27,"No"),"")</f>
        <v/>
      </c>
    </row>
    <row r="28" customFormat="false" ht="15" hidden="false" customHeight="false" outlineLevel="0" collapsed="false">
      <c r="A28" s="29"/>
      <c r="B28" s="29"/>
      <c r="C28" s="20" t="str">
        <f aca="false">IF(A28="","",IFERROR(INDEX(Products!$B:$B,MATCH(A28,Products!$A:$A,0)),"ID not found"))</f>
        <v/>
      </c>
      <c r="D28" s="20" t="str">
        <f aca="false">IF(B28="","",IFERROR(INDEX(Dimensions!$B:$B,MATCH(B28,Dimensions!$A:$A,0)),"ID not found"))</f>
        <v/>
      </c>
      <c r="E28" s="30"/>
      <c r="F28" s="20" t="str">
        <f aca="false">IF(E28="","",IFERROR(INDEX(Tables!$B:$B,MATCH(E28,Tables!$A:$A,0)),"ID not found"))</f>
        <v/>
      </c>
      <c r="G28" s="20" t="str">
        <f aca="false">IF(OR(B28="",E28=""),"",IF(IFERROR(INDEX(Dimensions!$C:$C,MATCH(B28,Dimensions!$A:$A,0)),"")="","No agreed source",IF(INDEX(Dimensions!$C:$C,MATCH(B28,Dimensions!$A:$A,0))=E28,"Yes","No")))</f>
        <v/>
      </c>
      <c r="H28" s="30"/>
      <c r="I28" s="30"/>
      <c r="J28" s="30"/>
      <c r="K28" s="34" t="str">
        <f aca="false">IF(AND(A28&lt;&gt;"",G28="No"),COUNTIF($G$5:G28,"No"),"")</f>
        <v/>
      </c>
    </row>
    <row r="29" customFormat="false" ht="15" hidden="false" customHeight="false" outlineLevel="0" collapsed="false">
      <c r="A29" s="29"/>
      <c r="B29" s="29"/>
      <c r="C29" s="20" t="str">
        <f aca="false">IF(A29="","",IFERROR(INDEX(Products!$B:$B,MATCH(A29,Products!$A:$A,0)),"ID not found"))</f>
        <v/>
      </c>
      <c r="D29" s="20" t="str">
        <f aca="false">IF(B29="","",IFERROR(INDEX(Dimensions!$B:$B,MATCH(B29,Dimensions!$A:$A,0)),"ID not found"))</f>
        <v/>
      </c>
      <c r="E29" s="30"/>
      <c r="F29" s="20" t="str">
        <f aca="false">IF(E29="","",IFERROR(INDEX(Tables!$B:$B,MATCH(E29,Tables!$A:$A,0)),"ID not found"))</f>
        <v/>
      </c>
      <c r="G29" s="20" t="str">
        <f aca="false">IF(OR(B29="",E29=""),"",IF(IFERROR(INDEX(Dimensions!$C:$C,MATCH(B29,Dimensions!$A:$A,0)),"")="","No agreed source",IF(INDEX(Dimensions!$C:$C,MATCH(B29,Dimensions!$A:$A,0))=E29,"Yes","No")))</f>
        <v/>
      </c>
      <c r="H29" s="30"/>
      <c r="I29" s="30"/>
      <c r="J29" s="30"/>
      <c r="K29" s="34" t="str">
        <f aca="false">IF(AND(A29&lt;&gt;"",G29="No"),COUNTIF($G$5:G29,"No"),"")</f>
        <v/>
      </c>
    </row>
    <row r="30" customFormat="false" ht="15" hidden="false" customHeight="false" outlineLevel="0" collapsed="false">
      <c r="A30" s="29"/>
      <c r="B30" s="29"/>
      <c r="C30" s="20" t="str">
        <f aca="false">IF(A30="","",IFERROR(INDEX(Products!$B:$B,MATCH(A30,Products!$A:$A,0)),"ID not found"))</f>
        <v/>
      </c>
      <c r="D30" s="20" t="str">
        <f aca="false">IF(B30="","",IFERROR(INDEX(Dimensions!$B:$B,MATCH(B30,Dimensions!$A:$A,0)),"ID not found"))</f>
        <v/>
      </c>
      <c r="E30" s="30"/>
      <c r="F30" s="20" t="str">
        <f aca="false">IF(E30="","",IFERROR(INDEX(Tables!$B:$B,MATCH(E30,Tables!$A:$A,0)),"ID not found"))</f>
        <v/>
      </c>
      <c r="G30" s="20" t="str">
        <f aca="false">IF(OR(B30="",E30=""),"",IF(IFERROR(INDEX(Dimensions!$C:$C,MATCH(B30,Dimensions!$A:$A,0)),"")="","No agreed source",IF(INDEX(Dimensions!$C:$C,MATCH(B30,Dimensions!$A:$A,0))=E30,"Yes","No")))</f>
        <v/>
      </c>
      <c r="H30" s="30"/>
      <c r="I30" s="30"/>
      <c r="J30" s="30"/>
      <c r="K30" s="34" t="str">
        <f aca="false">IF(AND(A30&lt;&gt;"",G30="No"),COUNTIF($G$5:G30,"No"),"")</f>
        <v/>
      </c>
    </row>
    <row r="31" customFormat="false" ht="15" hidden="false" customHeight="false" outlineLevel="0" collapsed="false">
      <c r="A31" s="29"/>
      <c r="B31" s="29"/>
      <c r="C31" s="20" t="str">
        <f aca="false">IF(A31="","",IFERROR(INDEX(Products!$B:$B,MATCH(A31,Products!$A:$A,0)),"ID not found"))</f>
        <v/>
      </c>
      <c r="D31" s="20" t="str">
        <f aca="false">IF(B31="","",IFERROR(INDEX(Dimensions!$B:$B,MATCH(B31,Dimensions!$A:$A,0)),"ID not found"))</f>
        <v/>
      </c>
      <c r="E31" s="30"/>
      <c r="F31" s="20" t="str">
        <f aca="false">IF(E31="","",IFERROR(INDEX(Tables!$B:$B,MATCH(E31,Tables!$A:$A,0)),"ID not found"))</f>
        <v/>
      </c>
      <c r="G31" s="20" t="str">
        <f aca="false">IF(OR(B31="",E31=""),"",IF(IFERROR(INDEX(Dimensions!$C:$C,MATCH(B31,Dimensions!$A:$A,0)),"")="","No agreed source",IF(INDEX(Dimensions!$C:$C,MATCH(B31,Dimensions!$A:$A,0))=E31,"Yes","No")))</f>
        <v/>
      </c>
      <c r="H31" s="30"/>
      <c r="I31" s="30"/>
      <c r="J31" s="30"/>
      <c r="K31" s="34" t="str">
        <f aca="false">IF(AND(A31&lt;&gt;"",G31="No"),COUNTIF($G$5:G31,"No"),"")</f>
        <v/>
      </c>
    </row>
    <row r="32" customFormat="false" ht="15" hidden="false" customHeight="false" outlineLevel="0" collapsed="false">
      <c r="A32" s="29"/>
      <c r="B32" s="29"/>
      <c r="C32" s="20" t="str">
        <f aca="false">IF(A32="","",IFERROR(INDEX(Products!$B:$B,MATCH(A32,Products!$A:$A,0)),"ID not found"))</f>
        <v/>
      </c>
      <c r="D32" s="20" t="str">
        <f aca="false">IF(B32="","",IFERROR(INDEX(Dimensions!$B:$B,MATCH(B32,Dimensions!$A:$A,0)),"ID not found"))</f>
        <v/>
      </c>
      <c r="E32" s="30"/>
      <c r="F32" s="20" t="str">
        <f aca="false">IF(E32="","",IFERROR(INDEX(Tables!$B:$B,MATCH(E32,Tables!$A:$A,0)),"ID not found"))</f>
        <v/>
      </c>
      <c r="G32" s="20" t="str">
        <f aca="false">IF(OR(B32="",E32=""),"",IF(IFERROR(INDEX(Dimensions!$C:$C,MATCH(B32,Dimensions!$A:$A,0)),"")="","No agreed source",IF(INDEX(Dimensions!$C:$C,MATCH(B32,Dimensions!$A:$A,0))=E32,"Yes","No")))</f>
        <v/>
      </c>
      <c r="H32" s="30"/>
      <c r="I32" s="30"/>
      <c r="J32" s="30"/>
      <c r="K32" s="34" t="str">
        <f aca="false">IF(AND(A32&lt;&gt;"",G32="No"),COUNTIF($G$5:G32,"No"),"")</f>
        <v/>
      </c>
    </row>
    <row r="33" customFormat="false" ht="15" hidden="false" customHeight="false" outlineLevel="0" collapsed="false">
      <c r="A33" s="29"/>
      <c r="B33" s="29"/>
      <c r="C33" s="20" t="str">
        <f aca="false">IF(A33="","",IFERROR(INDEX(Products!$B:$B,MATCH(A33,Products!$A:$A,0)),"ID not found"))</f>
        <v/>
      </c>
      <c r="D33" s="20" t="str">
        <f aca="false">IF(B33="","",IFERROR(INDEX(Dimensions!$B:$B,MATCH(B33,Dimensions!$A:$A,0)),"ID not found"))</f>
        <v/>
      </c>
      <c r="E33" s="30"/>
      <c r="F33" s="20" t="str">
        <f aca="false">IF(E33="","",IFERROR(INDEX(Tables!$B:$B,MATCH(E33,Tables!$A:$A,0)),"ID not found"))</f>
        <v/>
      </c>
      <c r="G33" s="20" t="str">
        <f aca="false">IF(OR(B33="",E33=""),"",IF(IFERROR(INDEX(Dimensions!$C:$C,MATCH(B33,Dimensions!$A:$A,0)),"")="","No agreed source",IF(INDEX(Dimensions!$C:$C,MATCH(B33,Dimensions!$A:$A,0))=E33,"Yes","No")))</f>
        <v/>
      </c>
      <c r="H33" s="30"/>
      <c r="I33" s="30"/>
      <c r="J33" s="30"/>
      <c r="K33" s="34" t="str">
        <f aca="false">IF(AND(A33&lt;&gt;"",G33="No"),COUNTIF($G$5:G33,"No"),"")</f>
        <v/>
      </c>
    </row>
    <row r="34" customFormat="false" ht="15" hidden="false" customHeight="false" outlineLevel="0" collapsed="false">
      <c r="A34" s="29"/>
      <c r="B34" s="29"/>
      <c r="C34" s="20" t="str">
        <f aca="false">IF(A34="","",IFERROR(INDEX(Products!$B:$B,MATCH(A34,Products!$A:$A,0)),"ID not found"))</f>
        <v/>
      </c>
      <c r="D34" s="20" t="str">
        <f aca="false">IF(B34="","",IFERROR(INDEX(Dimensions!$B:$B,MATCH(B34,Dimensions!$A:$A,0)),"ID not found"))</f>
        <v/>
      </c>
      <c r="E34" s="30"/>
      <c r="F34" s="20" t="str">
        <f aca="false">IF(E34="","",IFERROR(INDEX(Tables!$B:$B,MATCH(E34,Tables!$A:$A,0)),"ID not found"))</f>
        <v/>
      </c>
      <c r="G34" s="20" t="str">
        <f aca="false">IF(OR(B34="",E34=""),"",IF(IFERROR(INDEX(Dimensions!$C:$C,MATCH(B34,Dimensions!$A:$A,0)),"")="","No agreed source",IF(INDEX(Dimensions!$C:$C,MATCH(B34,Dimensions!$A:$A,0))=E34,"Yes","No")))</f>
        <v/>
      </c>
      <c r="H34" s="30"/>
      <c r="I34" s="30"/>
      <c r="J34" s="30"/>
      <c r="K34" s="34" t="str">
        <f aca="false">IF(AND(A34&lt;&gt;"",G34="No"),COUNTIF($G$5:G34,"No"),"")</f>
        <v/>
      </c>
    </row>
    <row r="35" customFormat="false" ht="15" hidden="false" customHeight="false" outlineLevel="0" collapsed="false">
      <c r="A35" s="29"/>
      <c r="B35" s="29"/>
      <c r="C35" s="20" t="str">
        <f aca="false">IF(A35="","",IFERROR(INDEX(Products!$B:$B,MATCH(A35,Products!$A:$A,0)),"ID not found"))</f>
        <v/>
      </c>
      <c r="D35" s="20" t="str">
        <f aca="false">IF(B35="","",IFERROR(INDEX(Dimensions!$B:$B,MATCH(B35,Dimensions!$A:$A,0)),"ID not found"))</f>
        <v/>
      </c>
      <c r="E35" s="30"/>
      <c r="F35" s="20" t="str">
        <f aca="false">IF(E35="","",IFERROR(INDEX(Tables!$B:$B,MATCH(E35,Tables!$A:$A,0)),"ID not found"))</f>
        <v/>
      </c>
      <c r="G35" s="20" t="str">
        <f aca="false">IF(OR(B35="",E35=""),"",IF(IFERROR(INDEX(Dimensions!$C:$C,MATCH(B35,Dimensions!$A:$A,0)),"")="","No agreed source",IF(INDEX(Dimensions!$C:$C,MATCH(B35,Dimensions!$A:$A,0))=E35,"Yes","No")))</f>
        <v/>
      </c>
      <c r="H35" s="30"/>
      <c r="I35" s="30"/>
      <c r="J35" s="30"/>
      <c r="K35" s="34" t="str">
        <f aca="false">IF(AND(A35&lt;&gt;"",G35="No"),COUNTIF($G$5:G35,"No"),"")</f>
        <v/>
      </c>
    </row>
    <row r="36" customFormat="false" ht="15" hidden="false" customHeight="false" outlineLevel="0" collapsed="false">
      <c r="A36" s="29"/>
      <c r="B36" s="29"/>
      <c r="C36" s="20" t="str">
        <f aca="false">IF(A36="","",IFERROR(INDEX(Products!$B:$B,MATCH(A36,Products!$A:$A,0)),"ID not found"))</f>
        <v/>
      </c>
      <c r="D36" s="20" t="str">
        <f aca="false">IF(B36="","",IFERROR(INDEX(Dimensions!$B:$B,MATCH(B36,Dimensions!$A:$A,0)),"ID not found"))</f>
        <v/>
      </c>
      <c r="E36" s="30"/>
      <c r="F36" s="20" t="str">
        <f aca="false">IF(E36="","",IFERROR(INDEX(Tables!$B:$B,MATCH(E36,Tables!$A:$A,0)),"ID not found"))</f>
        <v/>
      </c>
      <c r="G36" s="20" t="str">
        <f aca="false">IF(OR(B36="",E36=""),"",IF(IFERROR(INDEX(Dimensions!$C:$C,MATCH(B36,Dimensions!$A:$A,0)),"")="","No agreed source",IF(INDEX(Dimensions!$C:$C,MATCH(B36,Dimensions!$A:$A,0))=E36,"Yes","No")))</f>
        <v/>
      </c>
      <c r="H36" s="30"/>
      <c r="I36" s="30"/>
      <c r="J36" s="30"/>
      <c r="K36" s="34" t="str">
        <f aca="false">IF(AND(A36&lt;&gt;"",G36="No"),COUNTIF($G$5:G36,"No"),"")</f>
        <v/>
      </c>
    </row>
    <row r="37" customFormat="false" ht="15" hidden="false" customHeight="false" outlineLevel="0" collapsed="false">
      <c r="A37" s="29"/>
      <c r="B37" s="29"/>
      <c r="C37" s="20" t="str">
        <f aca="false">IF(A37="","",IFERROR(INDEX(Products!$B:$B,MATCH(A37,Products!$A:$A,0)),"ID not found"))</f>
        <v/>
      </c>
      <c r="D37" s="20" t="str">
        <f aca="false">IF(B37="","",IFERROR(INDEX(Dimensions!$B:$B,MATCH(B37,Dimensions!$A:$A,0)),"ID not found"))</f>
        <v/>
      </c>
      <c r="E37" s="30"/>
      <c r="F37" s="20" t="str">
        <f aca="false">IF(E37="","",IFERROR(INDEX(Tables!$B:$B,MATCH(E37,Tables!$A:$A,0)),"ID not found"))</f>
        <v/>
      </c>
      <c r="G37" s="20" t="str">
        <f aca="false">IF(OR(B37="",E37=""),"",IF(IFERROR(INDEX(Dimensions!$C:$C,MATCH(B37,Dimensions!$A:$A,0)),"")="","No agreed source",IF(INDEX(Dimensions!$C:$C,MATCH(B37,Dimensions!$A:$A,0))=E37,"Yes","No")))</f>
        <v/>
      </c>
      <c r="H37" s="30"/>
      <c r="I37" s="30"/>
      <c r="J37" s="30"/>
      <c r="K37" s="34" t="str">
        <f aca="false">IF(AND(A37&lt;&gt;"",G37="No"),COUNTIF($G$5:G37,"No"),"")</f>
        <v/>
      </c>
    </row>
    <row r="38" customFormat="false" ht="15" hidden="false" customHeight="false" outlineLevel="0" collapsed="false">
      <c r="A38" s="29"/>
      <c r="B38" s="29"/>
      <c r="C38" s="20" t="str">
        <f aca="false">IF(A38="","",IFERROR(INDEX(Products!$B:$B,MATCH(A38,Products!$A:$A,0)),"ID not found"))</f>
        <v/>
      </c>
      <c r="D38" s="20" t="str">
        <f aca="false">IF(B38="","",IFERROR(INDEX(Dimensions!$B:$B,MATCH(B38,Dimensions!$A:$A,0)),"ID not found"))</f>
        <v/>
      </c>
      <c r="E38" s="30"/>
      <c r="F38" s="20" t="str">
        <f aca="false">IF(E38="","",IFERROR(INDEX(Tables!$B:$B,MATCH(E38,Tables!$A:$A,0)),"ID not found"))</f>
        <v/>
      </c>
      <c r="G38" s="20" t="str">
        <f aca="false">IF(OR(B38="",E38=""),"",IF(IFERROR(INDEX(Dimensions!$C:$C,MATCH(B38,Dimensions!$A:$A,0)),"")="","No agreed source",IF(INDEX(Dimensions!$C:$C,MATCH(B38,Dimensions!$A:$A,0))=E38,"Yes","No")))</f>
        <v/>
      </c>
      <c r="H38" s="30"/>
      <c r="I38" s="30"/>
      <c r="J38" s="30"/>
      <c r="K38" s="34" t="str">
        <f aca="false">IF(AND(A38&lt;&gt;"",G38="No"),COUNTIF($G$5:G38,"No"),"")</f>
        <v/>
      </c>
    </row>
    <row r="39" customFormat="false" ht="15" hidden="false" customHeight="false" outlineLevel="0" collapsed="false">
      <c r="A39" s="29"/>
      <c r="B39" s="29"/>
      <c r="C39" s="20" t="str">
        <f aca="false">IF(A39="","",IFERROR(INDEX(Products!$B:$B,MATCH(A39,Products!$A:$A,0)),"ID not found"))</f>
        <v/>
      </c>
      <c r="D39" s="20" t="str">
        <f aca="false">IF(B39="","",IFERROR(INDEX(Dimensions!$B:$B,MATCH(B39,Dimensions!$A:$A,0)),"ID not found"))</f>
        <v/>
      </c>
      <c r="E39" s="30"/>
      <c r="F39" s="20" t="str">
        <f aca="false">IF(E39="","",IFERROR(INDEX(Tables!$B:$B,MATCH(E39,Tables!$A:$A,0)),"ID not found"))</f>
        <v/>
      </c>
      <c r="G39" s="20" t="str">
        <f aca="false">IF(OR(B39="",E39=""),"",IF(IFERROR(INDEX(Dimensions!$C:$C,MATCH(B39,Dimensions!$A:$A,0)),"")="","No agreed source",IF(INDEX(Dimensions!$C:$C,MATCH(B39,Dimensions!$A:$A,0))=E39,"Yes","No")))</f>
        <v/>
      </c>
      <c r="H39" s="30"/>
      <c r="I39" s="30"/>
      <c r="J39" s="30"/>
      <c r="K39" s="34" t="str">
        <f aca="false">IF(AND(A39&lt;&gt;"",G39="No"),COUNTIF($G$5:G39,"No"),"")</f>
        <v/>
      </c>
    </row>
    <row r="40" customFormat="false" ht="15" hidden="false" customHeight="false" outlineLevel="0" collapsed="false">
      <c r="A40" s="29"/>
      <c r="B40" s="29"/>
      <c r="C40" s="20" t="str">
        <f aca="false">IF(A40="","",IFERROR(INDEX(Products!$B:$B,MATCH(A40,Products!$A:$A,0)),"ID not found"))</f>
        <v/>
      </c>
      <c r="D40" s="20" t="str">
        <f aca="false">IF(B40="","",IFERROR(INDEX(Dimensions!$B:$B,MATCH(B40,Dimensions!$A:$A,0)),"ID not found"))</f>
        <v/>
      </c>
      <c r="E40" s="30"/>
      <c r="F40" s="20" t="str">
        <f aca="false">IF(E40="","",IFERROR(INDEX(Tables!$B:$B,MATCH(E40,Tables!$A:$A,0)),"ID not found"))</f>
        <v/>
      </c>
      <c r="G40" s="20" t="str">
        <f aca="false">IF(OR(B40="",E40=""),"",IF(IFERROR(INDEX(Dimensions!$C:$C,MATCH(B40,Dimensions!$A:$A,0)),"")="","No agreed source",IF(INDEX(Dimensions!$C:$C,MATCH(B40,Dimensions!$A:$A,0))=E40,"Yes","No")))</f>
        <v/>
      </c>
      <c r="H40" s="30"/>
      <c r="I40" s="30"/>
      <c r="J40" s="30"/>
      <c r="K40" s="34" t="str">
        <f aca="false">IF(AND(A40&lt;&gt;"",G40="No"),COUNTIF($G$5:G40,"No"),"")</f>
        <v/>
      </c>
    </row>
    <row r="41" customFormat="false" ht="15" hidden="false" customHeight="false" outlineLevel="0" collapsed="false">
      <c r="A41" s="29"/>
      <c r="B41" s="29"/>
      <c r="C41" s="20" t="str">
        <f aca="false">IF(A41="","",IFERROR(INDEX(Products!$B:$B,MATCH(A41,Products!$A:$A,0)),"ID not found"))</f>
        <v/>
      </c>
      <c r="D41" s="20" t="str">
        <f aca="false">IF(B41="","",IFERROR(INDEX(Dimensions!$B:$B,MATCH(B41,Dimensions!$A:$A,0)),"ID not found"))</f>
        <v/>
      </c>
      <c r="E41" s="30"/>
      <c r="F41" s="20" t="str">
        <f aca="false">IF(E41="","",IFERROR(INDEX(Tables!$B:$B,MATCH(E41,Tables!$A:$A,0)),"ID not found"))</f>
        <v/>
      </c>
      <c r="G41" s="20" t="str">
        <f aca="false">IF(OR(B41="",E41=""),"",IF(IFERROR(INDEX(Dimensions!$C:$C,MATCH(B41,Dimensions!$A:$A,0)),"")="","No agreed source",IF(INDEX(Dimensions!$C:$C,MATCH(B41,Dimensions!$A:$A,0))=E41,"Yes","No")))</f>
        <v/>
      </c>
      <c r="H41" s="30"/>
      <c r="I41" s="30"/>
      <c r="J41" s="30"/>
      <c r="K41" s="34" t="str">
        <f aca="false">IF(AND(A41&lt;&gt;"",G41="No"),COUNTIF($G$5:G41,"No"),"")</f>
        <v/>
      </c>
    </row>
    <row r="42" customFormat="false" ht="15" hidden="false" customHeight="false" outlineLevel="0" collapsed="false">
      <c r="A42" s="29"/>
      <c r="B42" s="29"/>
      <c r="C42" s="20" t="str">
        <f aca="false">IF(A42="","",IFERROR(INDEX(Products!$B:$B,MATCH(A42,Products!$A:$A,0)),"ID not found"))</f>
        <v/>
      </c>
      <c r="D42" s="20" t="str">
        <f aca="false">IF(B42="","",IFERROR(INDEX(Dimensions!$B:$B,MATCH(B42,Dimensions!$A:$A,0)),"ID not found"))</f>
        <v/>
      </c>
      <c r="E42" s="30"/>
      <c r="F42" s="20" t="str">
        <f aca="false">IF(E42="","",IFERROR(INDEX(Tables!$B:$B,MATCH(E42,Tables!$A:$A,0)),"ID not found"))</f>
        <v/>
      </c>
      <c r="G42" s="20" t="str">
        <f aca="false">IF(OR(B42="",E42=""),"",IF(IFERROR(INDEX(Dimensions!$C:$C,MATCH(B42,Dimensions!$A:$A,0)),"")="","No agreed source",IF(INDEX(Dimensions!$C:$C,MATCH(B42,Dimensions!$A:$A,0))=E42,"Yes","No")))</f>
        <v/>
      </c>
      <c r="H42" s="30"/>
      <c r="I42" s="30"/>
      <c r="J42" s="30"/>
      <c r="K42" s="34" t="str">
        <f aca="false">IF(AND(A42&lt;&gt;"",G42="No"),COUNTIF($G$5:G42,"No"),"")</f>
        <v/>
      </c>
    </row>
    <row r="43" customFormat="false" ht="15" hidden="false" customHeight="false" outlineLevel="0" collapsed="false">
      <c r="A43" s="29"/>
      <c r="B43" s="29"/>
      <c r="C43" s="20" t="str">
        <f aca="false">IF(A43="","",IFERROR(INDEX(Products!$B:$B,MATCH(A43,Products!$A:$A,0)),"ID not found"))</f>
        <v/>
      </c>
      <c r="D43" s="20" t="str">
        <f aca="false">IF(B43="","",IFERROR(INDEX(Dimensions!$B:$B,MATCH(B43,Dimensions!$A:$A,0)),"ID not found"))</f>
        <v/>
      </c>
      <c r="E43" s="30"/>
      <c r="F43" s="20" t="str">
        <f aca="false">IF(E43="","",IFERROR(INDEX(Tables!$B:$B,MATCH(E43,Tables!$A:$A,0)),"ID not found"))</f>
        <v/>
      </c>
      <c r="G43" s="20" t="str">
        <f aca="false">IF(OR(B43="",E43=""),"",IF(IFERROR(INDEX(Dimensions!$C:$C,MATCH(B43,Dimensions!$A:$A,0)),"")="","No agreed source",IF(INDEX(Dimensions!$C:$C,MATCH(B43,Dimensions!$A:$A,0))=E43,"Yes","No")))</f>
        <v/>
      </c>
      <c r="H43" s="30"/>
      <c r="I43" s="30"/>
      <c r="J43" s="30"/>
      <c r="K43" s="34" t="str">
        <f aca="false">IF(AND(A43&lt;&gt;"",G43="No"),COUNTIF($G$5:G43,"No"),"")</f>
        <v/>
      </c>
    </row>
    <row r="44" customFormat="false" ht="15" hidden="false" customHeight="false" outlineLevel="0" collapsed="false">
      <c r="A44" s="29"/>
      <c r="B44" s="29"/>
      <c r="C44" s="20" t="str">
        <f aca="false">IF(A44="","",IFERROR(INDEX(Products!$B:$B,MATCH(A44,Products!$A:$A,0)),"ID not found"))</f>
        <v/>
      </c>
      <c r="D44" s="20" t="str">
        <f aca="false">IF(B44="","",IFERROR(INDEX(Dimensions!$B:$B,MATCH(B44,Dimensions!$A:$A,0)),"ID not found"))</f>
        <v/>
      </c>
      <c r="E44" s="30"/>
      <c r="F44" s="20" t="str">
        <f aca="false">IF(E44="","",IFERROR(INDEX(Tables!$B:$B,MATCH(E44,Tables!$A:$A,0)),"ID not found"))</f>
        <v/>
      </c>
      <c r="G44" s="20" t="str">
        <f aca="false">IF(OR(B44="",E44=""),"",IF(IFERROR(INDEX(Dimensions!$C:$C,MATCH(B44,Dimensions!$A:$A,0)),"")="","No agreed source",IF(INDEX(Dimensions!$C:$C,MATCH(B44,Dimensions!$A:$A,0))=E44,"Yes","No")))</f>
        <v/>
      </c>
      <c r="H44" s="30"/>
      <c r="I44" s="30"/>
      <c r="J44" s="30"/>
      <c r="K44" s="34" t="str">
        <f aca="false">IF(AND(A44&lt;&gt;"",G44="No"),COUNTIF($G$5:G44,"No"),"")</f>
        <v/>
      </c>
    </row>
    <row r="45" customFormat="false" ht="15" hidden="false" customHeight="false" outlineLevel="0" collapsed="false">
      <c r="A45" s="29"/>
      <c r="B45" s="29"/>
      <c r="C45" s="20" t="str">
        <f aca="false">IF(A45="","",IFERROR(INDEX(Products!$B:$B,MATCH(A45,Products!$A:$A,0)),"ID not found"))</f>
        <v/>
      </c>
      <c r="D45" s="20" t="str">
        <f aca="false">IF(B45="","",IFERROR(INDEX(Dimensions!$B:$B,MATCH(B45,Dimensions!$A:$A,0)),"ID not found"))</f>
        <v/>
      </c>
      <c r="E45" s="30"/>
      <c r="F45" s="20" t="str">
        <f aca="false">IF(E45="","",IFERROR(INDEX(Tables!$B:$B,MATCH(E45,Tables!$A:$A,0)),"ID not found"))</f>
        <v/>
      </c>
      <c r="G45" s="20" t="str">
        <f aca="false">IF(OR(B45="",E45=""),"",IF(IFERROR(INDEX(Dimensions!$C:$C,MATCH(B45,Dimensions!$A:$A,0)),"")="","No agreed source",IF(INDEX(Dimensions!$C:$C,MATCH(B45,Dimensions!$A:$A,0))=E45,"Yes","No")))</f>
        <v/>
      </c>
      <c r="H45" s="30"/>
      <c r="I45" s="30"/>
      <c r="J45" s="30"/>
      <c r="K45" s="34" t="str">
        <f aca="false">IF(AND(A45&lt;&gt;"",G45="No"),COUNTIF($G$5:G45,"No"),"")</f>
        <v/>
      </c>
    </row>
    <row r="46" customFormat="false" ht="15" hidden="false" customHeight="false" outlineLevel="0" collapsed="false">
      <c r="A46" s="29"/>
      <c r="B46" s="29"/>
      <c r="C46" s="20" t="str">
        <f aca="false">IF(A46="","",IFERROR(INDEX(Products!$B:$B,MATCH(A46,Products!$A:$A,0)),"ID not found"))</f>
        <v/>
      </c>
      <c r="D46" s="20" t="str">
        <f aca="false">IF(B46="","",IFERROR(INDEX(Dimensions!$B:$B,MATCH(B46,Dimensions!$A:$A,0)),"ID not found"))</f>
        <v/>
      </c>
      <c r="E46" s="30"/>
      <c r="F46" s="20" t="str">
        <f aca="false">IF(E46="","",IFERROR(INDEX(Tables!$B:$B,MATCH(E46,Tables!$A:$A,0)),"ID not found"))</f>
        <v/>
      </c>
      <c r="G46" s="20" t="str">
        <f aca="false">IF(OR(B46="",E46=""),"",IF(IFERROR(INDEX(Dimensions!$C:$C,MATCH(B46,Dimensions!$A:$A,0)),"")="","No agreed source",IF(INDEX(Dimensions!$C:$C,MATCH(B46,Dimensions!$A:$A,0))=E46,"Yes","No")))</f>
        <v/>
      </c>
      <c r="H46" s="30"/>
      <c r="I46" s="30"/>
      <c r="J46" s="30"/>
      <c r="K46" s="34" t="str">
        <f aca="false">IF(AND(A46&lt;&gt;"",G46="No"),COUNTIF($G$5:G46,"No"),"")</f>
        <v/>
      </c>
    </row>
    <row r="47" customFormat="false" ht="15" hidden="false" customHeight="false" outlineLevel="0" collapsed="false">
      <c r="A47" s="29"/>
      <c r="B47" s="29"/>
      <c r="C47" s="20" t="str">
        <f aca="false">IF(A47="","",IFERROR(INDEX(Products!$B:$B,MATCH(A47,Products!$A:$A,0)),"ID not found"))</f>
        <v/>
      </c>
      <c r="D47" s="20" t="str">
        <f aca="false">IF(B47="","",IFERROR(INDEX(Dimensions!$B:$B,MATCH(B47,Dimensions!$A:$A,0)),"ID not found"))</f>
        <v/>
      </c>
      <c r="E47" s="30"/>
      <c r="F47" s="20" t="str">
        <f aca="false">IF(E47="","",IFERROR(INDEX(Tables!$B:$B,MATCH(E47,Tables!$A:$A,0)),"ID not found"))</f>
        <v/>
      </c>
      <c r="G47" s="20" t="str">
        <f aca="false">IF(OR(B47="",E47=""),"",IF(IFERROR(INDEX(Dimensions!$C:$C,MATCH(B47,Dimensions!$A:$A,0)),"")="","No agreed source",IF(INDEX(Dimensions!$C:$C,MATCH(B47,Dimensions!$A:$A,0))=E47,"Yes","No")))</f>
        <v/>
      </c>
      <c r="H47" s="30"/>
      <c r="I47" s="30"/>
      <c r="J47" s="30"/>
      <c r="K47" s="34" t="str">
        <f aca="false">IF(AND(A47&lt;&gt;"",G47="No"),COUNTIF($G$5:G47,"No"),"")</f>
        <v/>
      </c>
    </row>
    <row r="48" customFormat="false" ht="15" hidden="false" customHeight="false" outlineLevel="0" collapsed="false">
      <c r="A48" s="29"/>
      <c r="B48" s="29"/>
      <c r="C48" s="20" t="str">
        <f aca="false">IF(A48="","",IFERROR(INDEX(Products!$B:$B,MATCH(A48,Products!$A:$A,0)),"ID not found"))</f>
        <v/>
      </c>
      <c r="D48" s="20" t="str">
        <f aca="false">IF(B48="","",IFERROR(INDEX(Dimensions!$B:$B,MATCH(B48,Dimensions!$A:$A,0)),"ID not found"))</f>
        <v/>
      </c>
      <c r="E48" s="30"/>
      <c r="F48" s="20" t="str">
        <f aca="false">IF(E48="","",IFERROR(INDEX(Tables!$B:$B,MATCH(E48,Tables!$A:$A,0)),"ID not found"))</f>
        <v/>
      </c>
      <c r="G48" s="20" t="str">
        <f aca="false">IF(OR(B48="",E48=""),"",IF(IFERROR(INDEX(Dimensions!$C:$C,MATCH(B48,Dimensions!$A:$A,0)),"")="","No agreed source",IF(INDEX(Dimensions!$C:$C,MATCH(B48,Dimensions!$A:$A,0))=E48,"Yes","No")))</f>
        <v/>
      </c>
      <c r="H48" s="30"/>
      <c r="I48" s="30"/>
      <c r="J48" s="30"/>
      <c r="K48" s="34" t="str">
        <f aca="false">IF(AND(A48&lt;&gt;"",G48="No"),COUNTIF($G$5:G48,"No"),"")</f>
        <v/>
      </c>
    </row>
    <row r="49" customFormat="false" ht="15" hidden="false" customHeight="false" outlineLevel="0" collapsed="false">
      <c r="A49" s="29"/>
      <c r="B49" s="29"/>
      <c r="C49" s="20" t="str">
        <f aca="false">IF(A49="","",IFERROR(INDEX(Products!$B:$B,MATCH(A49,Products!$A:$A,0)),"ID not found"))</f>
        <v/>
      </c>
      <c r="D49" s="20" t="str">
        <f aca="false">IF(B49="","",IFERROR(INDEX(Dimensions!$B:$B,MATCH(B49,Dimensions!$A:$A,0)),"ID not found"))</f>
        <v/>
      </c>
      <c r="E49" s="30"/>
      <c r="F49" s="20" t="str">
        <f aca="false">IF(E49="","",IFERROR(INDEX(Tables!$B:$B,MATCH(E49,Tables!$A:$A,0)),"ID not found"))</f>
        <v/>
      </c>
      <c r="G49" s="20" t="str">
        <f aca="false">IF(OR(B49="",E49=""),"",IF(IFERROR(INDEX(Dimensions!$C:$C,MATCH(B49,Dimensions!$A:$A,0)),"")="","No agreed source",IF(INDEX(Dimensions!$C:$C,MATCH(B49,Dimensions!$A:$A,0))=E49,"Yes","No")))</f>
        <v/>
      </c>
      <c r="H49" s="30"/>
      <c r="I49" s="30"/>
      <c r="J49" s="30"/>
      <c r="K49" s="34" t="str">
        <f aca="false">IF(AND(A49&lt;&gt;"",G49="No"),COUNTIF($G$5:G49,"No"),"")</f>
        <v/>
      </c>
    </row>
    <row r="50" customFormat="false" ht="15" hidden="false" customHeight="false" outlineLevel="0" collapsed="false">
      <c r="A50" s="29"/>
      <c r="B50" s="29"/>
      <c r="C50" s="20" t="str">
        <f aca="false">IF(A50="","",IFERROR(INDEX(Products!$B:$B,MATCH(A50,Products!$A:$A,0)),"ID not found"))</f>
        <v/>
      </c>
      <c r="D50" s="20" t="str">
        <f aca="false">IF(B50="","",IFERROR(INDEX(Dimensions!$B:$B,MATCH(B50,Dimensions!$A:$A,0)),"ID not found"))</f>
        <v/>
      </c>
      <c r="E50" s="30"/>
      <c r="F50" s="20" t="str">
        <f aca="false">IF(E50="","",IFERROR(INDEX(Tables!$B:$B,MATCH(E50,Tables!$A:$A,0)),"ID not found"))</f>
        <v/>
      </c>
      <c r="G50" s="20" t="str">
        <f aca="false">IF(OR(B50="",E50=""),"",IF(IFERROR(INDEX(Dimensions!$C:$C,MATCH(B50,Dimensions!$A:$A,0)),"")="","No agreed source",IF(INDEX(Dimensions!$C:$C,MATCH(B50,Dimensions!$A:$A,0))=E50,"Yes","No")))</f>
        <v/>
      </c>
      <c r="H50" s="30"/>
      <c r="I50" s="30"/>
      <c r="J50" s="30"/>
      <c r="K50" s="34" t="str">
        <f aca="false">IF(AND(A50&lt;&gt;"",G50="No"),COUNTIF($G$5:G50,"No"),"")</f>
        <v/>
      </c>
    </row>
    <row r="51" customFormat="false" ht="15" hidden="false" customHeight="false" outlineLevel="0" collapsed="false">
      <c r="A51" s="29"/>
      <c r="B51" s="29"/>
      <c r="C51" s="20" t="str">
        <f aca="false">IF(A51="","",IFERROR(INDEX(Products!$B:$B,MATCH(A51,Products!$A:$A,0)),"ID not found"))</f>
        <v/>
      </c>
      <c r="D51" s="20" t="str">
        <f aca="false">IF(B51="","",IFERROR(INDEX(Dimensions!$B:$B,MATCH(B51,Dimensions!$A:$A,0)),"ID not found"))</f>
        <v/>
      </c>
      <c r="E51" s="30"/>
      <c r="F51" s="20" t="str">
        <f aca="false">IF(E51="","",IFERROR(INDEX(Tables!$B:$B,MATCH(E51,Tables!$A:$A,0)),"ID not found"))</f>
        <v/>
      </c>
      <c r="G51" s="20" t="str">
        <f aca="false">IF(OR(B51="",E51=""),"",IF(IFERROR(INDEX(Dimensions!$C:$C,MATCH(B51,Dimensions!$A:$A,0)),"")="","No agreed source",IF(INDEX(Dimensions!$C:$C,MATCH(B51,Dimensions!$A:$A,0))=E51,"Yes","No")))</f>
        <v/>
      </c>
      <c r="H51" s="30"/>
      <c r="I51" s="30"/>
      <c r="J51" s="30"/>
      <c r="K51" s="34" t="str">
        <f aca="false">IF(AND(A51&lt;&gt;"",G51="No"),COUNTIF($G$5:G51,"No"),"")</f>
        <v/>
      </c>
    </row>
    <row r="52" customFormat="false" ht="15" hidden="false" customHeight="false" outlineLevel="0" collapsed="false">
      <c r="A52" s="29"/>
      <c r="B52" s="29"/>
      <c r="C52" s="20" t="str">
        <f aca="false">IF(A52="","",IFERROR(INDEX(Products!$B:$B,MATCH(A52,Products!$A:$A,0)),"ID not found"))</f>
        <v/>
      </c>
      <c r="D52" s="20" t="str">
        <f aca="false">IF(B52="","",IFERROR(INDEX(Dimensions!$B:$B,MATCH(B52,Dimensions!$A:$A,0)),"ID not found"))</f>
        <v/>
      </c>
      <c r="E52" s="30"/>
      <c r="F52" s="20" t="str">
        <f aca="false">IF(E52="","",IFERROR(INDEX(Tables!$B:$B,MATCH(E52,Tables!$A:$A,0)),"ID not found"))</f>
        <v/>
      </c>
      <c r="G52" s="20" t="str">
        <f aca="false">IF(OR(B52="",E52=""),"",IF(IFERROR(INDEX(Dimensions!$C:$C,MATCH(B52,Dimensions!$A:$A,0)),"")="","No agreed source",IF(INDEX(Dimensions!$C:$C,MATCH(B52,Dimensions!$A:$A,0))=E52,"Yes","No")))</f>
        <v/>
      </c>
      <c r="H52" s="30"/>
      <c r="I52" s="30"/>
      <c r="J52" s="30"/>
      <c r="K52" s="34" t="str">
        <f aca="false">IF(AND(A52&lt;&gt;"",G52="No"),COUNTIF($G$5:G52,"No"),"")</f>
        <v/>
      </c>
    </row>
    <row r="53" customFormat="false" ht="15" hidden="false" customHeight="false" outlineLevel="0" collapsed="false">
      <c r="A53" s="29"/>
      <c r="B53" s="29"/>
      <c r="C53" s="20" t="str">
        <f aca="false">IF(A53="","",IFERROR(INDEX(Products!$B:$B,MATCH(A53,Products!$A:$A,0)),"ID not found"))</f>
        <v/>
      </c>
      <c r="D53" s="20" t="str">
        <f aca="false">IF(B53="","",IFERROR(INDEX(Dimensions!$B:$B,MATCH(B53,Dimensions!$A:$A,0)),"ID not found"))</f>
        <v/>
      </c>
      <c r="E53" s="30"/>
      <c r="F53" s="20" t="str">
        <f aca="false">IF(E53="","",IFERROR(INDEX(Tables!$B:$B,MATCH(E53,Tables!$A:$A,0)),"ID not found"))</f>
        <v/>
      </c>
      <c r="G53" s="20" t="str">
        <f aca="false">IF(OR(B53="",E53=""),"",IF(IFERROR(INDEX(Dimensions!$C:$C,MATCH(B53,Dimensions!$A:$A,0)),"")="","No agreed source",IF(INDEX(Dimensions!$C:$C,MATCH(B53,Dimensions!$A:$A,0))=E53,"Yes","No")))</f>
        <v/>
      </c>
      <c r="H53" s="30"/>
      <c r="I53" s="30"/>
      <c r="J53" s="30"/>
      <c r="K53" s="34" t="str">
        <f aca="false">IF(AND(A53&lt;&gt;"",G53="No"),COUNTIF($G$5:G53,"No"),"")</f>
        <v/>
      </c>
    </row>
    <row r="54" customFormat="false" ht="15" hidden="false" customHeight="false" outlineLevel="0" collapsed="false">
      <c r="A54" s="29"/>
      <c r="B54" s="29"/>
      <c r="C54" s="20" t="str">
        <f aca="false">IF(A54="","",IFERROR(INDEX(Products!$B:$B,MATCH(A54,Products!$A:$A,0)),"ID not found"))</f>
        <v/>
      </c>
      <c r="D54" s="20" t="str">
        <f aca="false">IF(B54="","",IFERROR(INDEX(Dimensions!$B:$B,MATCH(B54,Dimensions!$A:$A,0)),"ID not found"))</f>
        <v/>
      </c>
      <c r="E54" s="30"/>
      <c r="F54" s="20" t="str">
        <f aca="false">IF(E54="","",IFERROR(INDEX(Tables!$B:$B,MATCH(E54,Tables!$A:$A,0)),"ID not found"))</f>
        <v/>
      </c>
      <c r="G54" s="20" t="str">
        <f aca="false">IF(OR(B54="",E54=""),"",IF(IFERROR(INDEX(Dimensions!$C:$C,MATCH(B54,Dimensions!$A:$A,0)),"")="","No agreed source",IF(INDEX(Dimensions!$C:$C,MATCH(B54,Dimensions!$A:$A,0))=E54,"Yes","No")))</f>
        <v/>
      </c>
      <c r="H54" s="30"/>
      <c r="I54" s="30"/>
      <c r="J54" s="30"/>
      <c r="K54" s="34" t="str">
        <f aca="false">IF(AND(A54&lt;&gt;"",G54="No"),COUNTIF($G$5:G54,"No"),"")</f>
        <v/>
      </c>
    </row>
    <row r="55" customFormat="false" ht="15" hidden="false" customHeight="false" outlineLevel="0" collapsed="false">
      <c r="A55" s="29"/>
      <c r="B55" s="29"/>
      <c r="C55" s="20" t="str">
        <f aca="false">IF(A55="","",IFERROR(INDEX(Products!$B:$B,MATCH(A55,Products!$A:$A,0)),"ID not found"))</f>
        <v/>
      </c>
      <c r="D55" s="20" t="str">
        <f aca="false">IF(B55="","",IFERROR(INDEX(Dimensions!$B:$B,MATCH(B55,Dimensions!$A:$A,0)),"ID not found"))</f>
        <v/>
      </c>
      <c r="E55" s="30"/>
      <c r="F55" s="20" t="str">
        <f aca="false">IF(E55="","",IFERROR(INDEX(Tables!$B:$B,MATCH(E55,Tables!$A:$A,0)),"ID not found"))</f>
        <v/>
      </c>
      <c r="G55" s="20" t="str">
        <f aca="false">IF(OR(B55="",E55=""),"",IF(IFERROR(INDEX(Dimensions!$C:$C,MATCH(B55,Dimensions!$A:$A,0)),"")="","No agreed source",IF(INDEX(Dimensions!$C:$C,MATCH(B55,Dimensions!$A:$A,0))=E55,"Yes","No")))</f>
        <v/>
      </c>
      <c r="H55" s="30"/>
      <c r="I55" s="30"/>
      <c r="J55" s="30"/>
      <c r="K55" s="34" t="str">
        <f aca="false">IF(AND(A55&lt;&gt;"",G55="No"),COUNTIF($G$5:G55,"No"),"")</f>
        <v/>
      </c>
    </row>
    <row r="56" customFormat="false" ht="15" hidden="false" customHeight="false" outlineLevel="0" collapsed="false">
      <c r="A56" s="29"/>
      <c r="B56" s="29"/>
      <c r="C56" s="20" t="str">
        <f aca="false">IF(A56="","",IFERROR(INDEX(Products!$B:$B,MATCH(A56,Products!$A:$A,0)),"ID not found"))</f>
        <v/>
      </c>
      <c r="D56" s="20" t="str">
        <f aca="false">IF(B56="","",IFERROR(INDEX(Dimensions!$B:$B,MATCH(B56,Dimensions!$A:$A,0)),"ID not found"))</f>
        <v/>
      </c>
      <c r="E56" s="30"/>
      <c r="F56" s="20" t="str">
        <f aca="false">IF(E56="","",IFERROR(INDEX(Tables!$B:$B,MATCH(E56,Tables!$A:$A,0)),"ID not found"))</f>
        <v/>
      </c>
      <c r="G56" s="20" t="str">
        <f aca="false">IF(OR(B56="",E56=""),"",IF(IFERROR(INDEX(Dimensions!$C:$C,MATCH(B56,Dimensions!$A:$A,0)),"")="","No agreed source",IF(INDEX(Dimensions!$C:$C,MATCH(B56,Dimensions!$A:$A,0))=E56,"Yes","No")))</f>
        <v/>
      </c>
      <c r="H56" s="30"/>
      <c r="I56" s="30"/>
      <c r="J56" s="30"/>
      <c r="K56" s="34" t="str">
        <f aca="false">IF(AND(A56&lt;&gt;"",G56="No"),COUNTIF($G$5:G56,"No"),"")</f>
        <v/>
      </c>
    </row>
    <row r="57" customFormat="false" ht="15" hidden="false" customHeight="false" outlineLevel="0" collapsed="false">
      <c r="A57" s="29"/>
      <c r="B57" s="29"/>
      <c r="C57" s="20" t="str">
        <f aca="false">IF(A57="","",IFERROR(INDEX(Products!$B:$B,MATCH(A57,Products!$A:$A,0)),"ID not found"))</f>
        <v/>
      </c>
      <c r="D57" s="20" t="str">
        <f aca="false">IF(B57="","",IFERROR(INDEX(Dimensions!$B:$B,MATCH(B57,Dimensions!$A:$A,0)),"ID not found"))</f>
        <v/>
      </c>
      <c r="E57" s="30"/>
      <c r="F57" s="20" t="str">
        <f aca="false">IF(E57="","",IFERROR(INDEX(Tables!$B:$B,MATCH(E57,Tables!$A:$A,0)),"ID not found"))</f>
        <v/>
      </c>
      <c r="G57" s="20" t="str">
        <f aca="false">IF(OR(B57="",E57=""),"",IF(IFERROR(INDEX(Dimensions!$C:$C,MATCH(B57,Dimensions!$A:$A,0)),"")="","No agreed source",IF(INDEX(Dimensions!$C:$C,MATCH(B57,Dimensions!$A:$A,0))=E57,"Yes","No")))</f>
        <v/>
      </c>
      <c r="H57" s="30"/>
      <c r="I57" s="30"/>
      <c r="J57" s="30"/>
      <c r="K57" s="34" t="str">
        <f aca="false">IF(AND(A57&lt;&gt;"",G57="No"),COUNTIF($G$5:G57,"No"),"")</f>
        <v/>
      </c>
    </row>
    <row r="58" customFormat="false" ht="15" hidden="false" customHeight="false" outlineLevel="0" collapsed="false">
      <c r="A58" s="29"/>
      <c r="B58" s="29"/>
      <c r="C58" s="20" t="str">
        <f aca="false">IF(A58="","",IFERROR(INDEX(Products!$B:$B,MATCH(A58,Products!$A:$A,0)),"ID not found"))</f>
        <v/>
      </c>
      <c r="D58" s="20" t="str">
        <f aca="false">IF(B58="","",IFERROR(INDEX(Dimensions!$B:$B,MATCH(B58,Dimensions!$A:$A,0)),"ID not found"))</f>
        <v/>
      </c>
      <c r="E58" s="30"/>
      <c r="F58" s="20" t="str">
        <f aca="false">IF(E58="","",IFERROR(INDEX(Tables!$B:$B,MATCH(E58,Tables!$A:$A,0)),"ID not found"))</f>
        <v/>
      </c>
      <c r="G58" s="20" t="str">
        <f aca="false">IF(OR(B58="",E58=""),"",IF(IFERROR(INDEX(Dimensions!$C:$C,MATCH(B58,Dimensions!$A:$A,0)),"")="","No agreed source",IF(INDEX(Dimensions!$C:$C,MATCH(B58,Dimensions!$A:$A,0))=E58,"Yes","No")))</f>
        <v/>
      </c>
      <c r="H58" s="30"/>
      <c r="I58" s="30"/>
      <c r="J58" s="30"/>
      <c r="K58" s="34" t="str">
        <f aca="false">IF(AND(A58&lt;&gt;"",G58="No"),COUNTIF($G$5:G58,"No"),"")</f>
        <v/>
      </c>
    </row>
    <row r="59" customFormat="false" ht="15" hidden="false" customHeight="false" outlineLevel="0" collapsed="false">
      <c r="A59" s="29"/>
      <c r="B59" s="29"/>
      <c r="C59" s="20" t="str">
        <f aca="false">IF(A59="","",IFERROR(INDEX(Products!$B:$B,MATCH(A59,Products!$A:$A,0)),"ID not found"))</f>
        <v/>
      </c>
      <c r="D59" s="20" t="str">
        <f aca="false">IF(B59="","",IFERROR(INDEX(Dimensions!$B:$B,MATCH(B59,Dimensions!$A:$A,0)),"ID not found"))</f>
        <v/>
      </c>
      <c r="E59" s="30"/>
      <c r="F59" s="20" t="str">
        <f aca="false">IF(E59="","",IFERROR(INDEX(Tables!$B:$B,MATCH(E59,Tables!$A:$A,0)),"ID not found"))</f>
        <v/>
      </c>
      <c r="G59" s="20" t="str">
        <f aca="false">IF(OR(B59="",E59=""),"",IF(IFERROR(INDEX(Dimensions!$C:$C,MATCH(B59,Dimensions!$A:$A,0)),"")="","No agreed source",IF(INDEX(Dimensions!$C:$C,MATCH(B59,Dimensions!$A:$A,0))=E59,"Yes","No")))</f>
        <v/>
      </c>
      <c r="H59" s="30"/>
      <c r="I59" s="30"/>
      <c r="J59" s="30"/>
      <c r="K59" s="34" t="str">
        <f aca="false">IF(AND(A59&lt;&gt;"",G59="No"),COUNTIF($G$5:G59,"No"),"")</f>
        <v/>
      </c>
    </row>
    <row r="60" customFormat="false" ht="15" hidden="false" customHeight="false" outlineLevel="0" collapsed="false">
      <c r="A60" s="29"/>
      <c r="B60" s="29"/>
      <c r="C60" s="20" t="str">
        <f aca="false">IF(A60="","",IFERROR(INDEX(Products!$B:$B,MATCH(A60,Products!$A:$A,0)),"ID not found"))</f>
        <v/>
      </c>
      <c r="D60" s="20" t="str">
        <f aca="false">IF(B60="","",IFERROR(INDEX(Dimensions!$B:$B,MATCH(B60,Dimensions!$A:$A,0)),"ID not found"))</f>
        <v/>
      </c>
      <c r="E60" s="30"/>
      <c r="F60" s="20" t="str">
        <f aca="false">IF(E60="","",IFERROR(INDEX(Tables!$B:$B,MATCH(E60,Tables!$A:$A,0)),"ID not found"))</f>
        <v/>
      </c>
      <c r="G60" s="20" t="str">
        <f aca="false">IF(OR(B60="",E60=""),"",IF(IFERROR(INDEX(Dimensions!$C:$C,MATCH(B60,Dimensions!$A:$A,0)),"")="","No agreed source",IF(INDEX(Dimensions!$C:$C,MATCH(B60,Dimensions!$A:$A,0))=E60,"Yes","No")))</f>
        <v/>
      </c>
      <c r="H60" s="30"/>
      <c r="I60" s="30"/>
      <c r="J60" s="30"/>
      <c r="K60" s="34" t="str">
        <f aca="false">IF(AND(A60&lt;&gt;"",G60="No"),COUNTIF($G$5:G60,"No"),"")</f>
        <v/>
      </c>
    </row>
    <row r="61" customFormat="false" ht="15" hidden="false" customHeight="false" outlineLevel="0" collapsed="false">
      <c r="A61" s="29"/>
      <c r="B61" s="29"/>
      <c r="C61" s="20" t="str">
        <f aca="false">IF(A61="","",IFERROR(INDEX(Products!$B:$B,MATCH(A61,Products!$A:$A,0)),"ID not found"))</f>
        <v/>
      </c>
      <c r="D61" s="20" t="str">
        <f aca="false">IF(B61="","",IFERROR(INDEX(Dimensions!$B:$B,MATCH(B61,Dimensions!$A:$A,0)),"ID not found"))</f>
        <v/>
      </c>
      <c r="E61" s="30"/>
      <c r="F61" s="20" t="str">
        <f aca="false">IF(E61="","",IFERROR(INDEX(Tables!$B:$B,MATCH(E61,Tables!$A:$A,0)),"ID not found"))</f>
        <v/>
      </c>
      <c r="G61" s="20" t="str">
        <f aca="false">IF(OR(B61="",E61=""),"",IF(IFERROR(INDEX(Dimensions!$C:$C,MATCH(B61,Dimensions!$A:$A,0)),"")="","No agreed source",IF(INDEX(Dimensions!$C:$C,MATCH(B61,Dimensions!$A:$A,0))=E61,"Yes","No")))</f>
        <v/>
      </c>
      <c r="H61" s="30"/>
      <c r="I61" s="30"/>
      <c r="J61" s="30"/>
      <c r="K61" s="34" t="str">
        <f aca="false">IF(AND(A61&lt;&gt;"",G61="No"),COUNTIF($G$5:G61,"No"),"")</f>
        <v/>
      </c>
    </row>
    <row r="62" customFormat="false" ht="15" hidden="false" customHeight="false" outlineLevel="0" collapsed="false">
      <c r="A62" s="29"/>
      <c r="B62" s="29"/>
      <c r="C62" s="20" t="str">
        <f aca="false">IF(A62="","",IFERROR(INDEX(Products!$B:$B,MATCH(A62,Products!$A:$A,0)),"ID not found"))</f>
        <v/>
      </c>
      <c r="D62" s="20" t="str">
        <f aca="false">IF(B62="","",IFERROR(INDEX(Dimensions!$B:$B,MATCH(B62,Dimensions!$A:$A,0)),"ID not found"))</f>
        <v/>
      </c>
      <c r="E62" s="30"/>
      <c r="F62" s="20" t="str">
        <f aca="false">IF(E62="","",IFERROR(INDEX(Tables!$B:$B,MATCH(E62,Tables!$A:$A,0)),"ID not found"))</f>
        <v/>
      </c>
      <c r="G62" s="20" t="str">
        <f aca="false">IF(OR(B62="",E62=""),"",IF(IFERROR(INDEX(Dimensions!$C:$C,MATCH(B62,Dimensions!$A:$A,0)),"")="","No agreed source",IF(INDEX(Dimensions!$C:$C,MATCH(B62,Dimensions!$A:$A,0))=E62,"Yes","No")))</f>
        <v/>
      </c>
      <c r="H62" s="30"/>
      <c r="I62" s="30"/>
      <c r="J62" s="30"/>
      <c r="K62" s="34" t="str">
        <f aca="false">IF(AND(A62&lt;&gt;"",G62="No"),COUNTIF($G$5:G62,"No"),"")</f>
        <v/>
      </c>
    </row>
    <row r="63" customFormat="false" ht="15" hidden="false" customHeight="false" outlineLevel="0" collapsed="false">
      <c r="A63" s="29"/>
      <c r="B63" s="29"/>
      <c r="C63" s="20" t="str">
        <f aca="false">IF(A63="","",IFERROR(INDEX(Products!$B:$B,MATCH(A63,Products!$A:$A,0)),"ID not found"))</f>
        <v/>
      </c>
      <c r="D63" s="20" t="str">
        <f aca="false">IF(B63="","",IFERROR(INDEX(Dimensions!$B:$B,MATCH(B63,Dimensions!$A:$A,0)),"ID not found"))</f>
        <v/>
      </c>
      <c r="E63" s="30"/>
      <c r="F63" s="20" t="str">
        <f aca="false">IF(E63="","",IFERROR(INDEX(Tables!$B:$B,MATCH(E63,Tables!$A:$A,0)),"ID not found"))</f>
        <v/>
      </c>
      <c r="G63" s="20" t="str">
        <f aca="false">IF(OR(B63="",E63=""),"",IF(IFERROR(INDEX(Dimensions!$C:$C,MATCH(B63,Dimensions!$A:$A,0)),"")="","No agreed source",IF(INDEX(Dimensions!$C:$C,MATCH(B63,Dimensions!$A:$A,0))=E63,"Yes","No")))</f>
        <v/>
      </c>
      <c r="H63" s="30"/>
      <c r="I63" s="30"/>
      <c r="J63" s="30"/>
      <c r="K63" s="34" t="str">
        <f aca="false">IF(AND(A63&lt;&gt;"",G63="No"),COUNTIF($G$5:G63,"No"),"")</f>
        <v/>
      </c>
    </row>
    <row r="64" customFormat="false" ht="15" hidden="false" customHeight="false" outlineLevel="0" collapsed="false">
      <c r="A64" s="29"/>
      <c r="B64" s="29"/>
      <c r="C64" s="20" t="str">
        <f aca="false">IF(A64="","",IFERROR(INDEX(Products!$B:$B,MATCH(A64,Products!$A:$A,0)),"ID not found"))</f>
        <v/>
      </c>
      <c r="D64" s="20" t="str">
        <f aca="false">IF(B64="","",IFERROR(INDEX(Dimensions!$B:$B,MATCH(B64,Dimensions!$A:$A,0)),"ID not found"))</f>
        <v/>
      </c>
      <c r="E64" s="30"/>
      <c r="F64" s="20" t="str">
        <f aca="false">IF(E64="","",IFERROR(INDEX(Tables!$B:$B,MATCH(E64,Tables!$A:$A,0)),"ID not found"))</f>
        <v/>
      </c>
      <c r="G64" s="20" t="str">
        <f aca="false">IF(OR(B64="",E64=""),"",IF(IFERROR(INDEX(Dimensions!$C:$C,MATCH(B64,Dimensions!$A:$A,0)),"")="","No agreed source",IF(INDEX(Dimensions!$C:$C,MATCH(B64,Dimensions!$A:$A,0))=E64,"Yes","No")))</f>
        <v/>
      </c>
      <c r="H64" s="30"/>
      <c r="I64" s="30"/>
      <c r="J64" s="30"/>
      <c r="K64" s="34" t="str">
        <f aca="false">IF(AND(A64&lt;&gt;"",G64="No"),COUNTIF($G$5:G64,"No"),"")</f>
        <v/>
      </c>
    </row>
    <row r="65" customFormat="false" ht="15" hidden="false" customHeight="false" outlineLevel="0" collapsed="false">
      <c r="A65" s="29"/>
      <c r="B65" s="29"/>
      <c r="C65" s="20" t="str">
        <f aca="false">IF(A65="","",IFERROR(INDEX(Products!$B:$B,MATCH(A65,Products!$A:$A,0)),"ID not found"))</f>
        <v/>
      </c>
      <c r="D65" s="20" t="str">
        <f aca="false">IF(B65="","",IFERROR(INDEX(Dimensions!$B:$B,MATCH(B65,Dimensions!$A:$A,0)),"ID not found"))</f>
        <v/>
      </c>
      <c r="E65" s="30"/>
      <c r="F65" s="20" t="str">
        <f aca="false">IF(E65="","",IFERROR(INDEX(Tables!$B:$B,MATCH(E65,Tables!$A:$A,0)),"ID not found"))</f>
        <v/>
      </c>
      <c r="G65" s="20" t="str">
        <f aca="false">IF(OR(B65="",E65=""),"",IF(IFERROR(INDEX(Dimensions!$C:$C,MATCH(B65,Dimensions!$A:$A,0)),"")="","No agreed source",IF(INDEX(Dimensions!$C:$C,MATCH(B65,Dimensions!$A:$A,0))=E65,"Yes","No")))</f>
        <v/>
      </c>
      <c r="H65" s="30"/>
      <c r="I65" s="30"/>
      <c r="J65" s="30"/>
      <c r="K65" s="34" t="str">
        <f aca="false">IF(AND(A65&lt;&gt;"",G65="No"),COUNTIF($G$5:G65,"No"),"")</f>
        <v/>
      </c>
    </row>
    <row r="66" customFormat="false" ht="15" hidden="false" customHeight="false" outlineLevel="0" collapsed="false">
      <c r="A66" s="29"/>
      <c r="B66" s="29"/>
      <c r="C66" s="20" t="str">
        <f aca="false">IF(A66="","",IFERROR(INDEX(Products!$B:$B,MATCH(A66,Products!$A:$A,0)),"ID not found"))</f>
        <v/>
      </c>
      <c r="D66" s="20" t="str">
        <f aca="false">IF(B66="","",IFERROR(INDEX(Dimensions!$B:$B,MATCH(B66,Dimensions!$A:$A,0)),"ID not found"))</f>
        <v/>
      </c>
      <c r="E66" s="30"/>
      <c r="F66" s="20" t="str">
        <f aca="false">IF(E66="","",IFERROR(INDEX(Tables!$B:$B,MATCH(E66,Tables!$A:$A,0)),"ID not found"))</f>
        <v/>
      </c>
      <c r="G66" s="20" t="str">
        <f aca="false">IF(OR(B66="",E66=""),"",IF(IFERROR(INDEX(Dimensions!$C:$C,MATCH(B66,Dimensions!$A:$A,0)),"")="","No agreed source",IF(INDEX(Dimensions!$C:$C,MATCH(B66,Dimensions!$A:$A,0))=E66,"Yes","No")))</f>
        <v/>
      </c>
      <c r="H66" s="30"/>
      <c r="I66" s="30"/>
      <c r="J66" s="30"/>
      <c r="K66" s="34" t="str">
        <f aca="false">IF(AND(A66&lt;&gt;"",G66="No"),COUNTIF($G$5:G66,"No"),"")</f>
        <v/>
      </c>
    </row>
    <row r="67" customFormat="false" ht="15" hidden="false" customHeight="false" outlineLevel="0" collapsed="false">
      <c r="A67" s="29"/>
      <c r="B67" s="29"/>
      <c r="C67" s="20" t="str">
        <f aca="false">IF(A67="","",IFERROR(INDEX(Products!$B:$B,MATCH(A67,Products!$A:$A,0)),"ID not found"))</f>
        <v/>
      </c>
      <c r="D67" s="20" t="str">
        <f aca="false">IF(B67="","",IFERROR(INDEX(Dimensions!$B:$B,MATCH(B67,Dimensions!$A:$A,0)),"ID not found"))</f>
        <v/>
      </c>
      <c r="E67" s="30"/>
      <c r="F67" s="20" t="str">
        <f aca="false">IF(E67="","",IFERROR(INDEX(Tables!$B:$B,MATCH(E67,Tables!$A:$A,0)),"ID not found"))</f>
        <v/>
      </c>
      <c r="G67" s="20" t="str">
        <f aca="false">IF(OR(B67="",E67=""),"",IF(IFERROR(INDEX(Dimensions!$C:$C,MATCH(B67,Dimensions!$A:$A,0)),"")="","No agreed source",IF(INDEX(Dimensions!$C:$C,MATCH(B67,Dimensions!$A:$A,0))=E67,"Yes","No")))</f>
        <v/>
      </c>
      <c r="H67" s="30"/>
      <c r="I67" s="30"/>
      <c r="J67" s="30"/>
      <c r="K67" s="34" t="str">
        <f aca="false">IF(AND(A67&lt;&gt;"",G67="No"),COUNTIF($G$5:G67,"No"),"")</f>
        <v/>
      </c>
    </row>
    <row r="68" customFormat="false" ht="15" hidden="false" customHeight="false" outlineLevel="0" collapsed="false">
      <c r="A68" s="29"/>
      <c r="B68" s="29"/>
      <c r="C68" s="20" t="str">
        <f aca="false">IF(A68="","",IFERROR(INDEX(Products!$B:$B,MATCH(A68,Products!$A:$A,0)),"ID not found"))</f>
        <v/>
      </c>
      <c r="D68" s="20" t="str">
        <f aca="false">IF(B68="","",IFERROR(INDEX(Dimensions!$B:$B,MATCH(B68,Dimensions!$A:$A,0)),"ID not found"))</f>
        <v/>
      </c>
      <c r="E68" s="30"/>
      <c r="F68" s="20" t="str">
        <f aca="false">IF(E68="","",IFERROR(INDEX(Tables!$B:$B,MATCH(E68,Tables!$A:$A,0)),"ID not found"))</f>
        <v/>
      </c>
      <c r="G68" s="20" t="str">
        <f aca="false">IF(OR(B68="",E68=""),"",IF(IFERROR(INDEX(Dimensions!$C:$C,MATCH(B68,Dimensions!$A:$A,0)),"")="","No agreed source",IF(INDEX(Dimensions!$C:$C,MATCH(B68,Dimensions!$A:$A,0))=E68,"Yes","No")))</f>
        <v/>
      </c>
      <c r="H68" s="30"/>
      <c r="I68" s="30"/>
      <c r="J68" s="30"/>
      <c r="K68" s="34" t="str">
        <f aca="false">IF(AND(A68&lt;&gt;"",G68="No"),COUNTIF($G$5:G68,"No"),"")</f>
        <v/>
      </c>
    </row>
    <row r="69" customFormat="false" ht="15" hidden="false" customHeight="false" outlineLevel="0" collapsed="false">
      <c r="A69" s="29"/>
      <c r="B69" s="29"/>
      <c r="C69" s="20" t="str">
        <f aca="false">IF(A69="","",IFERROR(INDEX(Products!$B:$B,MATCH(A69,Products!$A:$A,0)),"ID not found"))</f>
        <v/>
      </c>
      <c r="D69" s="20" t="str">
        <f aca="false">IF(B69="","",IFERROR(INDEX(Dimensions!$B:$B,MATCH(B69,Dimensions!$A:$A,0)),"ID not found"))</f>
        <v/>
      </c>
      <c r="E69" s="30"/>
      <c r="F69" s="20" t="str">
        <f aca="false">IF(E69="","",IFERROR(INDEX(Tables!$B:$B,MATCH(E69,Tables!$A:$A,0)),"ID not found"))</f>
        <v/>
      </c>
      <c r="G69" s="20" t="str">
        <f aca="false">IF(OR(B69="",E69=""),"",IF(IFERROR(INDEX(Dimensions!$C:$C,MATCH(B69,Dimensions!$A:$A,0)),"")="","No agreed source",IF(INDEX(Dimensions!$C:$C,MATCH(B69,Dimensions!$A:$A,0))=E69,"Yes","No")))</f>
        <v/>
      </c>
      <c r="H69" s="30"/>
      <c r="I69" s="30"/>
      <c r="J69" s="30"/>
      <c r="K69" s="34" t="str">
        <f aca="false">IF(AND(A69&lt;&gt;"",G69="No"),COUNTIF($G$5:G69,"No"),"")</f>
        <v/>
      </c>
    </row>
    <row r="70" customFormat="false" ht="15" hidden="false" customHeight="false" outlineLevel="0" collapsed="false">
      <c r="A70" s="29"/>
      <c r="B70" s="29"/>
      <c r="C70" s="20" t="str">
        <f aca="false">IF(A70="","",IFERROR(INDEX(Products!$B:$B,MATCH(A70,Products!$A:$A,0)),"ID not found"))</f>
        <v/>
      </c>
      <c r="D70" s="20" t="str">
        <f aca="false">IF(B70="","",IFERROR(INDEX(Dimensions!$B:$B,MATCH(B70,Dimensions!$A:$A,0)),"ID not found"))</f>
        <v/>
      </c>
      <c r="E70" s="30"/>
      <c r="F70" s="20" t="str">
        <f aca="false">IF(E70="","",IFERROR(INDEX(Tables!$B:$B,MATCH(E70,Tables!$A:$A,0)),"ID not found"))</f>
        <v/>
      </c>
      <c r="G70" s="20" t="str">
        <f aca="false">IF(OR(B70="",E70=""),"",IF(IFERROR(INDEX(Dimensions!$C:$C,MATCH(B70,Dimensions!$A:$A,0)),"")="","No agreed source",IF(INDEX(Dimensions!$C:$C,MATCH(B70,Dimensions!$A:$A,0))=E70,"Yes","No")))</f>
        <v/>
      </c>
      <c r="H70" s="30"/>
      <c r="I70" s="30"/>
      <c r="J70" s="30"/>
      <c r="K70" s="34" t="str">
        <f aca="false">IF(AND(A70&lt;&gt;"",G70="No"),COUNTIF($G$5:G70,"No"),"")</f>
        <v/>
      </c>
    </row>
    <row r="71" customFormat="false" ht="15" hidden="false" customHeight="false" outlineLevel="0" collapsed="false">
      <c r="A71" s="29"/>
      <c r="B71" s="29"/>
      <c r="C71" s="20" t="str">
        <f aca="false">IF(A71="","",IFERROR(INDEX(Products!$B:$B,MATCH(A71,Products!$A:$A,0)),"ID not found"))</f>
        <v/>
      </c>
      <c r="D71" s="20" t="str">
        <f aca="false">IF(B71="","",IFERROR(INDEX(Dimensions!$B:$B,MATCH(B71,Dimensions!$A:$A,0)),"ID not found"))</f>
        <v/>
      </c>
      <c r="E71" s="30"/>
      <c r="F71" s="20" t="str">
        <f aca="false">IF(E71="","",IFERROR(INDEX(Tables!$B:$B,MATCH(E71,Tables!$A:$A,0)),"ID not found"))</f>
        <v/>
      </c>
      <c r="G71" s="20" t="str">
        <f aca="false">IF(OR(B71="",E71=""),"",IF(IFERROR(INDEX(Dimensions!$C:$C,MATCH(B71,Dimensions!$A:$A,0)),"")="","No agreed source",IF(INDEX(Dimensions!$C:$C,MATCH(B71,Dimensions!$A:$A,0))=E71,"Yes","No")))</f>
        <v/>
      </c>
      <c r="H71" s="30"/>
      <c r="I71" s="30"/>
      <c r="J71" s="30"/>
      <c r="K71" s="34" t="str">
        <f aca="false">IF(AND(A71&lt;&gt;"",G71="No"),COUNTIF($G$5:G71,"No"),"")</f>
        <v/>
      </c>
    </row>
    <row r="72" customFormat="false" ht="15" hidden="false" customHeight="false" outlineLevel="0" collapsed="false">
      <c r="A72" s="29"/>
      <c r="B72" s="29"/>
      <c r="C72" s="20" t="str">
        <f aca="false">IF(A72="","",IFERROR(INDEX(Products!$B:$B,MATCH(A72,Products!$A:$A,0)),"ID not found"))</f>
        <v/>
      </c>
      <c r="D72" s="20" t="str">
        <f aca="false">IF(B72="","",IFERROR(INDEX(Dimensions!$B:$B,MATCH(B72,Dimensions!$A:$A,0)),"ID not found"))</f>
        <v/>
      </c>
      <c r="E72" s="30"/>
      <c r="F72" s="20" t="str">
        <f aca="false">IF(E72="","",IFERROR(INDEX(Tables!$B:$B,MATCH(E72,Tables!$A:$A,0)),"ID not found"))</f>
        <v/>
      </c>
      <c r="G72" s="20" t="str">
        <f aca="false">IF(OR(B72="",E72=""),"",IF(IFERROR(INDEX(Dimensions!$C:$C,MATCH(B72,Dimensions!$A:$A,0)),"")="","No agreed source",IF(INDEX(Dimensions!$C:$C,MATCH(B72,Dimensions!$A:$A,0))=E72,"Yes","No")))</f>
        <v/>
      </c>
      <c r="H72" s="30"/>
      <c r="I72" s="30"/>
      <c r="J72" s="30"/>
      <c r="K72" s="34" t="str">
        <f aca="false">IF(AND(A72&lt;&gt;"",G72="No"),COUNTIF($G$5:G72,"No"),"")</f>
        <v/>
      </c>
    </row>
    <row r="73" customFormat="false" ht="15" hidden="false" customHeight="false" outlineLevel="0" collapsed="false">
      <c r="A73" s="29"/>
      <c r="B73" s="29"/>
      <c r="C73" s="20" t="str">
        <f aca="false">IF(A73="","",IFERROR(INDEX(Products!$B:$B,MATCH(A73,Products!$A:$A,0)),"ID not found"))</f>
        <v/>
      </c>
      <c r="D73" s="20" t="str">
        <f aca="false">IF(B73="","",IFERROR(INDEX(Dimensions!$B:$B,MATCH(B73,Dimensions!$A:$A,0)),"ID not found"))</f>
        <v/>
      </c>
      <c r="E73" s="30"/>
      <c r="F73" s="20" t="str">
        <f aca="false">IF(E73="","",IFERROR(INDEX(Tables!$B:$B,MATCH(E73,Tables!$A:$A,0)),"ID not found"))</f>
        <v/>
      </c>
      <c r="G73" s="20" t="str">
        <f aca="false">IF(OR(B73="",E73=""),"",IF(IFERROR(INDEX(Dimensions!$C:$C,MATCH(B73,Dimensions!$A:$A,0)),"")="","No agreed source",IF(INDEX(Dimensions!$C:$C,MATCH(B73,Dimensions!$A:$A,0))=E73,"Yes","No")))</f>
        <v/>
      </c>
      <c r="H73" s="30"/>
      <c r="I73" s="30"/>
      <c r="J73" s="30"/>
      <c r="K73" s="34" t="str">
        <f aca="false">IF(AND(A73&lt;&gt;"",G73="No"),COUNTIF($G$5:G73,"No"),"")</f>
        <v/>
      </c>
    </row>
    <row r="74" customFormat="false" ht="15" hidden="false" customHeight="false" outlineLevel="0" collapsed="false">
      <c r="A74" s="29"/>
      <c r="B74" s="29"/>
      <c r="C74" s="20" t="str">
        <f aca="false">IF(A74="","",IFERROR(INDEX(Products!$B:$B,MATCH(A74,Products!$A:$A,0)),"ID not found"))</f>
        <v/>
      </c>
      <c r="D74" s="20" t="str">
        <f aca="false">IF(B74="","",IFERROR(INDEX(Dimensions!$B:$B,MATCH(B74,Dimensions!$A:$A,0)),"ID not found"))</f>
        <v/>
      </c>
      <c r="E74" s="30"/>
      <c r="F74" s="20" t="str">
        <f aca="false">IF(E74="","",IFERROR(INDEX(Tables!$B:$B,MATCH(E74,Tables!$A:$A,0)),"ID not found"))</f>
        <v/>
      </c>
      <c r="G74" s="20" t="str">
        <f aca="false">IF(OR(B74="",E74=""),"",IF(IFERROR(INDEX(Dimensions!$C:$C,MATCH(B74,Dimensions!$A:$A,0)),"")="","No agreed source",IF(INDEX(Dimensions!$C:$C,MATCH(B74,Dimensions!$A:$A,0))=E74,"Yes","No")))</f>
        <v/>
      </c>
      <c r="H74" s="30"/>
      <c r="I74" s="30"/>
      <c r="J74" s="30"/>
      <c r="K74" s="34" t="str">
        <f aca="false">IF(AND(A74&lt;&gt;"",G74="No"),COUNTIF($G$5:G74,"No"),"")</f>
        <v/>
      </c>
    </row>
    <row r="75" customFormat="false" ht="15" hidden="false" customHeight="false" outlineLevel="0" collapsed="false">
      <c r="A75" s="29"/>
      <c r="B75" s="29"/>
      <c r="C75" s="20" t="str">
        <f aca="false">IF(A75="","",IFERROR(INDEX(Products!$B:$B,MATCH(A75,Products!$A:$A,0)),"ID not found"))</f>
        <v/>
      </c>
      <c r="D75" s="20" t="str">
        <f aca="false">IF(B75="","",IFERROR(INDEX(Dimensions!$B:$B,MATCH(B75,Dimensions!$A:$A,0)),"ID not found"))</f>
        <v/>
      </c>
      <c r="E75" s="30"/>
      <c r="F75" s="20" t="str">
        <f aca="false">IF(E75="","",IFERROR(INDEX(Tables!$B:$B,MATCH(E75,Tables!$A:$A,0)),"ID not found"))</f>
        <v/>
      </c>
      <c r="G75" s="20" t="str">
        <f aca="false">IF(OR(B75="",E75=""),"",IF(IFERROR(INDEX(Dimensions!$C:$C,MATCH(B75,Dimensions!$A:$A,0)),"")="","No agreed source",IF(INDEX(Dimensions!$C:$C,MATCH(B75,Dimensions!$A:$A,0))=E75,"Yes","No")))</f>
        <v/>
      </c>
      <c r="H75" s="30"/>
      <c r="I75" s="30"/>
      <c r="J75" s="30"/>
      <c r="K75" s="34" t="str">
        <f aca="false">IF(AND(A75&lt;&gt;"",G75="No"),COUNTIF($G$5:G75,"No"),"")</f>
        <v/>
      </c>
    </row>
    <row r="76" customFormat="false" ht="15" hidden="false" customHeight="false" outlineLevel="0" collapsed="false">
      <c r="A76" s="29"/>
      <c r="B76" s="29"/>
      <c r="C76" s="20" t="str">
        <f aca="false">IF(A76="","",IFERROR(INDEX(Products!$B:$B,MATCH(A76,Products!$A:$A,0)),"ID not found"))</f>
        <v/>
      </c>
      <c r="D76" s="20" t="str">
        <f aca="false">IF(B76="","",IFERROR(INDEX(Dimensions!$B:$B,MATCH(B76,Dimensions!$A:$A,0)),"ID not found"))</f>
        <v/>
      </c>
      <c r="E76" s="30"/>
      <c r="F76" s="20" t="str">
        <f aca="false">IF(E76="","",IFERROR(INDEX(Tables!$B:$B,MATCH(E76,Tables!$A:$A,0)),"ID not found"))</f>
        <v/>
      </c>
      <c r="G76" s="20" t="str">
        <f aca="false">IF(OR(B76="",E76=""),"",IF(IFERROR(INDEX(Dimensions!$C:$C,MATCH(B76,Dimensions!$A:$A,0)),"")="","No agreed source",IF(INDEX(Dimensions!$C:$C,MATCH(B76,Dimensions!$A:$A,0))=E76,"Yes","No")))</f>
        <v/>
      </c>
      <c r="H76" s="30"/>
      <c r="I76" s="30"/>
      <c r="J76" s="30"/>
      <c r="K76" s="34" t="str">
        <f aca="false">IF(AND(A76&lt;&gt;"",G76="No"),COUNTIF($G$5:G76,"No"),"")</f>
        <v/>
      </c>
    </row>
    <row r="77" customFormat="false" ht="15" hidden="false" customHeight="false" outlineLevel="0" collapsed="false">
      <c r="A77" s="29"/>
      <c r="B77" s="29"/>
      <c r="C77" s="20" t="str">
        <f aca="false">IF(A77="","",IFERROR(INDEX(Products!$B:$B,MATCH(A77,Products!$A:$A,0)),"ID not found"))</f>
        <v/>
      </c>
      <c r="D77" s="20" t="str">
        <f aca="false">IF(B77="","",IFERROR(INDEX(Dimensions!$B:$B,MATCH(B77,Dimensions!$A:$A,0)),"ID not found"))</f>
        <v/>
      </c>
      <c r="E77" s="30"/>
      <c r="F77" s="20" t="str">
        <f aca="false">IF(E77="","",IFERROR(INDEX(Tables!$B:$B,MATCH(E77,Tables!$A:$A,0)),"ID not found"))</f>
        <v/>
      </c>
      <c r="G77" s="20" t="str">
        <f aca="false">IF(OR(B77="",E77=""),"",IF(IFERROR(INDEX(Dimensions!$C:$C,MATCH(B77,Dimensions!$A:$A,0)),"")="","No agreed source",IF(INDEX(Dimensions!$C:$C,MATCH(B77,Dimensions!$A:$A,0))=E77,"Yes","No")))</f>
        <v/>
      </c>
      <c r="H77" s="30"/>
      <c r="I77" s="30"/>
      <c r="J77" s="30"/>
      <c r="K77" s="34" t="str">
        <f aca="false">IF(AND(A77&lt;&gt;"",G77="No"),COUNTIF($G$5:G77,"No"),"")</f>
        <v/>
      </c>
    </row>
    <row r="78" customFormat="false" ht="15" hidden="false" customHeight="false" outlineLevel="0" collapsed="false">
      <c r="A78" s="29"/>
      <c r="B78" s="29"/>
      <c r="C78" s="20" t="str">
        <f aca="false">IF(A78="","",IFERROR(INDEX(Products!$B:$B,MATCH(A78,Products!$A:$A,0)),"ID not found"))</f>
        <v/>
      </c>
      <c r="D78" s="20" t="str">
        <f aca="false">IF(B78="","",IFERROR(INDEX(Dimensions!$B:$B,MATCH(B78,Dimensions!$A:$A,0)),"ID not found"))</f>
        <v/>
      </c>
      <c r="E78" s="30"/>
      <c r="F78" s="20" t="str">
        <f aca="false">IF(E78="","",IFERROR(INDEX(Tables!$B:$B,MATCH(E78,Tables!$A:$A,0)),"ID not found"))</f>
        <v/>
      </c>
      <c r="G78" s="20" t="str">
        <f aca="false">IF(OR(B78="",E78=""),"",IF(IFERROR(INDEX(Dimensions!$C:$C,MATCH(B78,Dimensions!$A:$A,0)),"")="","No agreed source",IF(INDEX(Dimensions!$C:$C,MATCH(B78,Dimensions!$A:$A,0))=E78,"Yes","No")))</f>
        <v/>
      </c>
      <c r="H78" s="30"/>
      <c r="I78" s="30"/>
      <c r="J78" s="30"/>
      <c r="K78" s="34" t="str">
        <f aca="false">IF(AND(A78&lt;&gt;"",G78="No"),COUNTIF($G$5:G78,"No"),"")</f>
        <v/>
      </c>
    </row>
    <row r="79" customFormat="false" ht="15" hidden="false" customHeight="false" outlineLevel="0" collapsed="false">
      <c r="A79" s="29"/>
      <c r="B79" s="29"/>
      <c r="C79" s="20" t="str">
        <f aca="false">IF(A79="","",IFERROR(INDEX(Products!$B:$B,MATCH(A79,Products!$A:$A,0)),"ID not found"))</f>
        <v/>
      </c>
      <c r="D79" s="20" t="str">
        <f aca="false">IF(B79="","",IFERROR(INDEX(Dimensions!$B:$B,MATCH(B79,Dimensions!$A:$A,0)),"ID not found"))</f>
        <v/>
      </c>
      <c r="E79" s="30"/>
      <c r="F79" s="20" t="str">
        <f aca="false">IF(E79="","",IFERROR(INDEX(Tables!$B:$B,MATCH(E79,Tables!$A:$A,0)),"ID not found"))</f>
        <v/>
      </c>
      <c r="G79" s="20" t="str">
        <f aca="false">IF(OR(B79="",E79=""),"",IF(IFERROR(INDEX(Dimensions!$C:$C,MATCH(B79,Dimensions!$A:$A,0)),"")="","No agreed source",IF(INDEX(Dimensions!$C:$C,MATCH(B79,Dimensions!$A:$A,0))=E79,"Yes","No")))</f>
        <v/>
      </c>
      <c r="H79" s="30"/>
      <c r="I79" s="30"/>
      <c r="J79" s="30"/>
      <c r="K79" s="34" t="str">
        <f aca="false">IF(AND(A79&lt;&gt;"",G79="No"),COUNTIF($G$5:G79,"No"),"")</f>
        <v/>
      </c>
    </row>
    <row r="80" customFormat="false" ht="15" hidden="false" customHeight="false" outlineLevel="0" collapsed="false">
      <c r="A80" s="29"/>
      <c r="B80" s="29"/>
      <c r="C80" s="20" t="str">
        <f aca="false">IF(A80="","",IFERROR(INDEX(Products!$B:$B,MATCH(A80,Products!$A:$A,0)),"ID not found"))</f>
        <v/>
      </c>
      <c r="D80" s="20" t="str">
        <f aca="false">IF(B80="","",IFERROR(INDEX(Dimensions!$B:$B,MATCH(B80,Dimensions!$A:$A,0)),"ID not found"))</f>
        <v/>
      </c>
      <c r="E80" s="30"/>
      <c r="F80" s="20" t="str">
        <f aca="false">IF(E80="","",IFERROR(INDEX(Tables!$B:$B,MATCH(E80,Tables!$A:$A,0)),"ID not found"))</f>
        <v/>
      </c>
      <c r="G80" s="20" t="str">
        <f aca="false">IF(OR(B80="",E80=""),"",IF(IFERROR(INDEX(Dimensions!$C:$C,MATCH(B80,Dimensions!$A:$A,0)),"")="","No agreed source",IF(INDEX(Dimensions!$C:$C,MATCH(B80,Dimensions!$A:$A,0))=E80,"Yes","No")))</f>
        <v/>
      </c>
      <c r="H80" s="30"/>
      <c r="I80" s="30"/>
      <c r="J80" s="30"/>
      <c r="K80" s="34" t="str">
        <f aca="false">IF(AND(A80&lt;&gt;"",G80="No"),COUNTIF($G$5:G80,"No"),"")</f>
        <v/>
      </c>
    </row>
    <row r="81" customFormat="false" ht="15" hidden="false" customHeight="false" outlineLevel="0" collapsed="false">
      <c r="A81" s="29"/>
      <c r="B81" s="29"/>
      <c r="C81" s="20" t="str">
        <f aca="false">IF(A81="","",IFERROR(INDEX(Products!$B:$B,MATCH(A81,Products!$A:$A,0)),"ID not found"))</f>
        <v/>
      </c>
      <c r="D81" s="20" t="str">
        <f aca="false">IF(B81="","",IFERROR(INDEX(Dimensions!$B:$B,MATCH(B81,Dimensions!$A:$A,0)),"ID not found"))</f>
        <v/>
      </c>
      <c r="E81" s="30"/>
      <c r="F81" s="20" t="str">
        <f aca="false">IF(E81="","",IFERROR(INDEX(Tables!$B:$B,MATCH(E81,Tables!$A:$A,0)),"ID not found"))</f>
        <v/>
      </c>
      <c r="G81" s="20" t="str">
        <f aca="false">IF(OR(B81="",E81=""),"",IF(IFERROR(INDEX(Dimensions!$C:$C,MATCH(B81,Dimensions!$A:$A,0)),"")="","No agreed source",IF(INDEX(Dimensions!$C:$C,MATCH(B81,Dimensions!$A:$A,0))=E81,"Yes","No")))</f>
        <v/>
      </c>
      <c r="H81" s="30"/>
      <c r="I81" s="30"/>
      <c r="J81" s="30"/>
      <c r="K81" s="34" t="str">
        <f aca="false">IF(AND(A81&lt;&gt;"",G81="No"),COUNTIF($G$5:G81,"No"),"")</f>
        <v/>
      </c>
    </row>
    <row r="82" customFormat="false" ht="15" hidden="false" customHeight="false" outlineLevel="0" collapsed="false">
      <c r="A82" s="29"/>
      <c r="B82" s="29"/>
      <c r="C82" s="20" t="str">
        <f aca="false">IF(A82="","",IFERROR(INDEX(Products!$B:$B,MATCH(A82,Products!$A:$A,0)),"ID not found"))</f>
        <v/>
      </c>
      <c r="D82" s="20" t="str">
        <f aca="false">IF(B82="","",IFERROR(INDEX(Dimensions!$B:$B,MATCH(B82,Dimensions!$A:$A,0)),"ID not found"))</f>
        <v/>
      </c>
      <c r="E82" s="30"/>
      <c r="F82" s="20" t="str">
        <f aca="false">IF(E82="","",IFERROR(INDEX(Tables!$B:$B,MATCH(E82,Tables!$A:$A,0)),"ID not found"))</f>
        <v/>
      </c>
      <c r="G82" s="20" t="str">
        <f aca="false">IF(OR(B82="",E82=""),"",IF(IFERROR(INDEX(Dimensions!$C:$C,MATCH(B82,Dimensions!$A:$A,0)),"")="","No agreed source",IF(INDEX(Dimensions!$C:$C,MATCH(B82,Dimensions!$A:$A,0))=E82,"Yes","No")))</f>
        <v/>
      </c>
      <c r="H82" s="30"/>
      <c r="I82" s="30"/>
      <c r="J82" s="30"/>
      <c r="K82" s="34" t="str">
        <f aca="false">IF(AND(A82&lt;&gt;"",G82="No"),COUNTIF($G$5:G82,"No"),"")</f>
        <v/>
      </c>
    </row>
    <row r="83" customFormat="false" ht="15" hidden="false" customHeight="false" outlineLevel="0" collapsed="false">
      <c r="A83" s="29"/>
      <c r="B83" s="29"/>
      <c r="C83" s="20" t="str">
        <f aca="false">IF(A83="","",IFERROR(INDEX(Products!$B:$B,MATCH(A83,Products!$A:$A,0)),"ID not found"))</f>
        <v/>
      </c>
      <c r="D83" s="20" t="str">
        <f aca="false">IF(B83="","",IFERROR(INDEX(Dimensions!$B:$B,MATCH(B83,Dimensions!$A:$A,0)),"ID not found"))</f>
        <v/>
      </c>
      <c r="E83" s="30"/>
      <c r="F83" s="20" t="str">
        <f aca="false">IF(E83="","",IFERROR(INDEX(Tables!$B:$B,MATCH(E83,Tables!$A:$A,0)),"ID not found"))</f>
        <v/>
      </c>
      <c r="G83" s="20" t="str">
        <f aca="false">IF(OR(B83="",E83=""),"",IF(IFERROR(INDEX(Dimensions!$C:$C,MATCH(B83,Dimensions!$A:$A,0)),"")="","No agreed source",IF(INDEX(Dimensions!$C:$C,MATCH(B83,Dimensions!$A:$A,0))=E83,"Yes","No")))</f>
        <v/>
      </c>
      <c r="H83" s="30"/>
      <c r="I83" s="30"/>
      <c r="J83" s="30"/>
      <c r="K83" s="34" t="str">
        <f aca="false">IF(AND(A83&lt;&gt;"",G83="No"),COUNTIF($G$5:G83,"No"),"")</f>
        <v/>
      </c>
    </row>
    <row r="84" customFormat="false" ht="15" hidden="false" customHeight="false" outlineLevel="0" collapsed="false">
      <c r="A84" s="29"/>
      <c r="B84" s="29"/>
      <c r="C84" s="20" t="str">
        <f aca="false">IF(A84="","",IFERROR(INDEX(Products!$B:$B,MATCH(A84,Products!$A:$A,0)),"ID not found"))</f>
        <v/>
      </c>
      <c r="D84" s="20" t="str">
        <f aca="false">IF(B84="","",IFERROR(INDEX(Dimensions!$B:$B,MATCH(B84,Dimensions!$A:$A,0)),"ID not found"))</f>
        <v/>
      </c>
      <c r="E84" s="30"/>
      <c r="F84" s="20" t="str">
        <f aca="false">IF(E84="","",IFERROR(INDEX(Tables!$B:$B,MATCH(E84,Tables!$A:$A,0)),"ID not found"))</f>
        <v/>
      </c>
      <c r="G84" s="20" t="str">
        <f aca="false">IF(OR(B84="",E84=""),"",IF(IFERROR(INDEX(Dimensions!$C:$C,MATCH(B84,Dimensions!$A:$A,0)),"")="","No agreed source",IF(INDEX(Dimensions!$C:$C,MATCH(B84,Dimensions!$A:$A,0))=E84,"Yes","No")))</f>
        <v/>
      </c>
      <c r="H84" s="30"/>
      <c r="I84" s="30"/>
      <c r="J84" s="30"/>
      <c r="K84" s="34" t="str">
        <f aca="false">IF(AND(A84&lt;&gt;"",G84="No"),COUNTIF($G$5:G84,"No"),"")</f>
        <v/>
      </c>
    </row>
    <row r="85" customFormat="false" ht="15" hidden="false" customHeight="false" outlineLevel="0" collapsed="false">
      <c r="A85" s="29"/>
      <c r="B85" s="29"/>
      <c r="C85" s="20" t="str">
        <f aca="false">IF(A85="","",IFERROR(INDEX(Products!$B:$B,MATCH(A85,Products!$A:$A,0)),"ID not found"))</f>
        <v/>
      </c>
      <c r="D85" s="20" t="str">
        <f aca="false">IF(B85="","",IFERROR(INDEX(Dimensions!$B:$B,MATCH(B85,Dimensions!$A:$A,0)),"ID not found"))</f>
        <v/>
      </c>
      <c r="E85" s="30"/>
      <c r="F85" s="20" t="str">
        <f aca="false">IF(E85="","",IFERROR(INDEX(Tables!$B:$B,MATCH(E85,Tables!$A:$A,0)),"ID not found"))</f>
        <v/>
      </c>
      <c r="G85" s="20" t="str">
        <f aca="false">IF(OR(B85="",E85=""),"",IF(IFERROR(INDEX(Dimensions!$C:$C,MATCH(B85,Dimensions!$A:$A,0)),"")="","No agreed source",IF(INDEX(Dimensions!$C:$C,MATCH(B85,Dimensions!$A:$A,0))=E85,"Yes","No")))</f>
        <v/>
      </c>
      <c r="H85" s="30"/>
      <c r="I85" s="30"/>
      <c r="J85" s="30"/>
      <c r="K85" s="34" t="str">
        <f aca="false">IF(AND(A85&lt;&gt;"",G85="No"),COUNTIF($G$5:G85,"No"),"")</f>
        <v/>
      </c>
    </row>
    <row r="86" customFormat="false" ht="15" hidden="false" customHeight="false" outlineLevel="0" collapsed="false">
      <c r="A86" s="29"/>
      <c r="B86" s="29"/>
      <c r="C86" s="20" t="str">
        <f aca="false">IF(A86="","",IFERROR(INDEX(Products!$B:$B,MATCH(A86,Products!$A:$A,0)),"ID not found"))</f>
        <v/>
      </c>
      <c r="D86" s="20" t="str">
        <f aca="false">IF(B86="","",IFERROR(INDEX(Dimensions!$B:$B,MATCH(B86,Dimensions!$A:$A,0)),"ID not found"))</f>
        <v/>
      </c>
      <c r="E86" s="30"/>
      <c r="F86" s="20" t="str">
        <f aca="false">IF(E86="","",IFERROR(INDEX(Tables!$B:$B,MATCH(E86,Tables!$A:$A,0)),"ID not found"))</f>
        <v/>
      </c>
      <c r="G86" s="20" t="str">
        <f aca="false">IF(OR(B86="",E86=""),"",IF(IFERROR(INDEX(Dimensions!$C:$C,MATCH(B86,Dimensions!$A:$A,0)),"")="","No agreed source",IF(INDEX(Dimensions!$C:$C,MATCH(B86,Dimensions!$A:$A,0))=E86,"Yes","No")))</f>
        <v/>
      </c>
      <c r="H86" s="30"/>
      <c r="I86" s="30"/>
      <c r="J86" s="30"/>
      <c r="K86" s="34" t="str">
        <f aca="false">IF(AND(A86&lt;&gt;"",G86="No"),COUNTIF($G$5:G86,"No"),"")</f>
        <v/>
      </c>
    </row>
    <row r="87" customFormat="false" ht="15" hidden="false" customHeight="false" outlineLevel="0" collapsed="false">
      <c r="A87" s="29"/>
      <c r="B87" s="29"/>
      <c r="C87" s="20" t="str">
        <f aca="false">IF(A87="","",IFERROR(INDEX(Products!$B:$B,MATCH(A87,Products!$A:$A,0)),"ID not found"))</f>
        <v/>
      </c>
      <c r="D87" s="20" t="str">
        <f aca="false">IF(B87="","",IFERROR(INDEX(Dimensions!$B:$B,MATCH(B87,Dimensions!$A:$A,0)),"ID not found"))</f>
        <v/>
      </c>
      <c r="E87" s="30"/>
      <c r="F87" s="20" t="str">
        <f aca="false">IF(E87="","",IFERROR(INDEX(Tables!$B:$B,MATCH(E87,Tables!$A:$A,0)),"ID not found"))</f>
        <v/>
      </c>
      <c r="G87" s="20" t="str">
        <f aca="false">IF(OR(B87="",E87=""),"",IF(IFERROR(INDEX(Dimensions!$C:$C,MATCH(B87,Dimensions!$A:$A,0)),"")="","No agreed source",IF(INDEX(Dimensions!$C:$C,MATCH(B87,Dimensions!$A:$A,0))=E87,"Yes","No")))</f>
        <v/>
      </c>
      <c r="H87" s="30"/>
      <c r="I87" s="30"/>
      <c r="J87" s="30"/>
      <c r="K87" s="34" t="str">
        <f aca="false">IF(AND(A87&lt;&gt;"",G87="No"),COUNTIF($G$5:G87,"No"),"")</f>
        <v/>
      </c>
    </row>
    <row r="88" customFormat="false" ht="15" hidden="false" customHeight="false" outlineLevel="0" collapsed="false">
      <c r="A88" s="29"/>
      <c r="B88" s="29"/>
      <c r="C88" s="20" t="str">
        <f aca="false">IF(A88="","",IFERROR(INDEX(Products!$B:$B,MATCH(A88,Products!$A:$A,0)),"ID not found"))</f>
        <v/>
      </c>
      <c r="D88" s="20" t="str">
        <f aca="false">IF(B88="","",IFERROR(INDEX(Dimensions!$B:$B,MATCH(B88,Dimensions!$A:$A,0)),"ID not found"))</f>
        <v/>
      </c>
      <c r="E88" s="30"/>
      <c r="F88" s="20" t="str">
        <f aca="false">IF(E88="","",IFERROR(INDEX(Tables!$B:$B,MATCH(E88,Tables!$A:$A,0)),"ID not found"))</f>
        <v/>
      </c>
      <c r="G88" s="20" t="str">
        <f aca="false">IF(OR(B88="",E88=""),"",IF(IFERROR(INDEX(Dimensions!$C:$C,MATCH(B88,Dimensions!$A:$A,0)),"")="","No agreed source",IF(INDEX(Dimensions!$C:$C,MATCH(B88,Dimensions!$A:$A,0))=E88,"Yes","No")))</f>
        <v/>
      </c>
      <c r="H88" s="30"/>
      <c r="I88" s="30"/>
      <c r="J88" s="30"/>
      <c r="K88" s="34" t="str">
        <f aca="false">IF(AND(A88&lt;&gt;"",G88="No"),COUNTIF($G$5:G88,"No"),"")</f>
        <v/>
      </c>
    </row>
    <row r="89" customFormat="false" ht="15" hidden="false" customHeight="false" outlineLevel="0" collapsed="false">
      <c r="A89" s="29"/>
      <c r="B89" s="29"/>
      <c r="C89" s="20" t="str">
        <f aca="false">IF(A89="","",IFERROR(INDEX(Products!$B:$B,MATCH(A89,Products!$A:$A,0)),"ID not found"))</f>
        <v/>
      </c>
      <c r="D89" s="20" t="str">
        <f aca="false">IF(B89="","",IFERROR(INDEX(Dimensions!$B:$B,MATCH(B89,Dimensions!$A:$A,0)),"ID not found"))</f>
        <v/>
      </c>
      <c r="E89" s="30"/>
      <c r="F89" s="20" t="str">
        <f aca="false">IF(E89="","",IFERROR(INDEX(Tables!$B:$B,MATCH(E89,Tables!$A:$A,0)),"ID not found"))</f>
        <v/>
      </c>
      <c r="G89" s="20" t="str">
        <f aca="false">IF(OR(B89="",E89=""),"",IF(IFERROR(INDEX(Dimensions!$C:$C,MATCH(B89,Dimensions!$A:$A,0)),"")="","No agreed source",IF(INDEX(Dimensions!$C:$C,MATCH(B89,Dimensions!$A:$A,0))=E89,"Yes","No")))</f>
        <v/>
      </c>
      <c r="H89" s="30"/>
      <c r="I89" s="30"/>
      <c r="J89" s="30"/>
      <c r="K89" s="34" t="str">
        <f aca="false">IF(AND(A89&lt;&gt;"",G89="No"),COUNTIF($G$5:G89,"No"),"")</f>
        <v/>
      </c>
    </row>
    <row r="90" customFormat="false" ht="15" hidden="false" customHeight="false" outlineLevel="0" collapsed="false">
      <c r="A90" s="29"/>
      <c r="B90" s="29"/>
      <c r="C90" s="20" t="str">
        <f aca="false">IF(A90="","",IFERROR(INDEX(Products!$B:$B,MATCH(A90,Products!$A:$A,0)),"ID not found"))</f>
        <v/>
      </c>
      <c r="D90" s="20" t="str">
        <f aca="false">IF(B90="","",IFERROR(INDEX(Dimensions!$B:$B,MATCH(B90,Dimensions!$A:$A,0)),"ID not found"))</f>
        <v/>
      </c>
      <c r="E90" s="30"/>
      <c r="F90" s="20" t="str">
        <f aca="false">IF(E90="","",IFERROR(INDEX(Tables!$B:$B,MATCH(E90,Tables!$A:$A,0)),"ID not found"))</f>
        <v/>
      </c>
      <c r="G90" s="20" t="str">
        <f aca="false">IF(OR(B90="",E90=""),"",IF(IFERROR(INDEX(Dimensions!$C:$C,MATCH(B90,Dimensions!$A:$A,0)),"")="","No agreed source",IF(INDEX(Dimensions!$C:$C,MATCH(B90,Dimensions!$A:$A,0))=E90,"Yes","No")))</f>
        <v/>
      </c>
      <c r="H90" s="30"/>
      <c r="I90" s="30"/>
      <c r="J90" s="30"/>
      <c r="K90" s="34" t="str">
        <f aca="false">IF(AND(A90&lt;&gt;"",G90="No"),COUNTIF($G$5:G90,"No"),"")</f>
        <v/>
      </c>
    </row>
    <row r="91" customFormat="false" ht="15" hidden="false" customHeight="false" outlineLevel="0" collapsed="false">
      <c r="A91" s="29"/>
      <c r="B91" s="29"/>
      <c r="C91" s="20" t="str">
        <f aca="false">IF(A91="","",IFERROR(INDEX(Products!$B:$B,MATCH(A91,Products!$A:$A,0)),"ID not found"))</f>
        <v/>
      </c>
      <c r="D91" s="20" t="str">
        <f aca="false">IF(B91="","",IFERROR(INDEX(Dimensions!$B:$B,MATCH(B91,Dimensions!$A:$A,0)),"ID not found"))</f>
        <v/>
      </c>
      <c r="E91" s="30"/>
      <c r="F91" s="20" t="str">
        <f aca="false">IF(E91="","",IFERROR(INDEX(Tables!$B:$B,MATCH(E91,Tables!$A:$A,0)),"ID not found"))</f>
        <v/>
      </c>
      <c r="G91" s="20" t="str">
        <f aca="false">IF(OR(B91="",E91=""),"",IF(IFERROR(INDEX(Dimensions!$C:$C,MATCH(B91,Dimensions!$A:$A,0)),"")="","No agreed source",IF(INDEX(Dimensions!$C:$C,MATCH(B91,Dimensions!$A:$A,0))=E91,"Yes","No")))</f>
        <v/>
      </c>
      <c r="H91" s="30"/>
      <c r="I91" s="30"/>
      <c r="J91" s="30"/>
      <c r="K91" s="34" t="str">
        <f aca="false">IF(AND(A91&lt;&gt;"",G91="No"),COUNTIF($G$5:G91,"No"),"")</f>
        <v/>
      </c>
    </row>
    <row r="92" customFormat="false" ht="15" hidden="false" customHeight="false" outlineLevel="0" collapsed="false">
      <c r="A92" s="29"/>
      <c r="B92" s="29"/>
      <c r="C92" s="20" t="str">
        <f aca="false">IF(A92="","",IFERROR(INDEX(Products!$B:$B,MATCH(A92,Products!$A:$A,0)),"ID not found"))</f>
        <v/>
      </c>
      <c r="D92" s="20" t="str">
        <f aca="false">IF(B92="","",IFERROR(INDEX(Dimensions!$B:$B,MATCH(B92,Dimensions!$A:$A,0)),"ID not found"))</f>
        <v/>
      </c>
      <c r="E92" s="30"/>
      <c r="F92" s="20" t="str">
        <f aca="false">IF(E92="","",IFERROR(INDEX(Tables!$B:$B,MATCH(E92,Tables!$A:$A,0)),"ID not found"))</f>
        <v/>
      </c>
      <c r="G92" s="20" t="str">
        <f aca="false">IF(OR(B92="",E92=""),"",IF(IFERROR(INDEX(Dimensions!$C:$C,MATCH(B92,Dimensions!$A:$A,0)),"")="","No agreed source",IF(INDEX(Dimensions!$C:$C,MATCH(B92,Dimensions!$A:$A,0))=E92,"Yes","No")))</f>
        <v/>
      </c>
      <c r="H92" s="30"/>
      <c r="I92" s="30"/>
      <c r="J92" s="30"/>
      <c r="K92" s="34" t="str">
        <f aca="false">IF(AND(A92&lt;&gt;"",G92="No"),COUNTIF($G$5:G92,"No"),"")</f>
        <v/>
      </c>
    </row>
    <row r="93" customFormat="false" ht="15" hidden="false" customHeight="false" outlineLevel="0" collapsed="false">
      <c r="A93" s="29"/>
      <c r="B93" s="29"/>
      <c r="C93" s="20" t="str">
        <f aca="false">IF(A93="","",IFERROR(INDEX(Products!$B:$B,MATCH(A93,Products!$A:$A,0)),"ID not found"))</f>
        <v/>
      </c>
      <c r="D93" s="20" t="str">
        <f aca="false">IF(B93="","",IFERROR(INDEX(Dimensions!$B:$B,MATCH(B93,Dimensions!$A:$A,0)),"ID not found"))</f>
        <v/>
      </c>
      <c r="E93" s="30"/>
      <c r="F93" s="20" t="str">
        <f aca="false">IF(E93="","",IFERROR(INDEX(Tables!$B:$B,MATCH(E93,Tables!$A:$A,0)),"ID not found"))</f>
        <v/>
      </c>
      <c r="G93" s="20" t="str">
        <f aca="false">IF(OR(B93="",E93=""),"",IF(IFERROR(INDEX(Dimensions!$C:$C,MATCH(B93,Dimensions!$A:$A,0)),"")="","No agreed source",IF(INDEX(Dimensions!$C:$C,MATCH(B93,Dimensions!$A:$A,0))=E93,"Yes","No")))</f>
        <v/>
      </c>
      <c r="H93" s="30"/>
      <c r="I93" s="30"/>
      <c r="J93" s="30"/>
      <c r="K93" s="34" t="str">
        <f aca="false">IF(AND(A93&lt;&gt;"",G93="No"),COUNTIF($G$5:G93,"No"),"")</f>
        <v/>
      </c>
    </row>
    <row r="94" customFormat="false" ht="15" hidden="false" customHeight="false" outlineLevel="0" collapsed="false">
      <c r="A94" s="29"/>
      <c r="B94" s="29"/>
      <c r="C94" s="20" t="str">
        <f aca="false">IF(A94="","",IFERROR(INDEX(Products!$B:$B,MATCH(A94,Products!$A:$A,0)),"ID not found"))</f>
        <v/>
      </c>
      <c r="D94" s="20" t="str">
        <f aca="false">IF(B94="","",IFERROR(INDEX(Dimensions!$B:$B,MATCH(B94,Dimensions!$A:$A,0)),"ID not found"))</f>
        <v/>
      </c>
      <c r="E94" s="30"/>
      <c r="F94" s="20" t="str">
        <f aca="false">IF(E94="","",IFERROR(INDEX(Tables!$B:$B,MATCH(E94,Tables!$A:$A,0)),"ID not found"))</f>
        <v/>
      </c>
      <c r="G94" s="20" t="str">
        <f aca="false">IF(OR(B94="",E94=""),"",IF(IFERROR(INDEX(Dimensions!$C:$C,MATCH(B94,Dimensions!$A:$A,0)),"")="","No agreed source",IF(INDEX(Dimensions!$C:$C,MATCH(B94,Dimensions!$A:$A,0))=E94,"Yes","No")))</f>
        <v/>
      </c>
      <c r="H94" s="30"/>
      <c r="I94" s="30"/>
      <c r="J94" s="30"/>
      <c r="K94" s="34" t="str">
        <f aca="false">IF(AND(A94&lt;&gt;"",G94="No"),COUNTIF($G$5:G94,"No"),"")</f>
        <v/>
      </c>
    </row>
    <row r="95" customFormat="false" ht="15" hidden="false" customHeight="false" outlineLevel="0" collapsed="false">
      <c r="A95" s="29"/>
      <c r="B95" s="29"/>
      <c r="C95" s="20" t="str">
        <f aca="false">IF(A95="","",IFERROR(INDEX(Products!$B:$B,MATCH(A95,Products!$A:$A,0)),"ID not found"))</f>
        <v/>
      </c>
      <c r="D95" s="20" t="str">
        <f aca="false">IF(B95="","",IFERROR(INDEX(Dimensions!$B:$B,MATCH(B95,Dimensions!$A:$A,0)),"ID not found"))</f>
        <v/>
      </c>
      <c r="E95" s="30"/>
      <c r="F95" s="20" t="str">
        <f aca="false">IF(E95="","",IFERROR(INDEX(Tables!$B:$B,MATCH(E95,Tables!$A:$A,0)),"ID not found"))</f>
        <v/>
      </c>
      <c r="G95" s="20" t="str">
        <f aca="false">IF(OR(B95="",E95=""),"",IF(IFERROR(INDEX(Dimensions!$C:$C,MATCH(B95,Dimensions!$A:$A,0)),"")="","No agreed source",IF(INDEX(Dimensions!$C:$C,MATCH(B95,Dimensions!$A:$A,0))=E95,"Yes","No")))</f>
        <v/>
      </c>
      <c r="H95" s="30"/>
      <c r="I95" s="30"/>
      <c r="J95" s="30"/>
      <c r="K95" s="34" t="str">
        <f aca="false">IF(AND(A95&lt;&gt;"",G95="No"),COUNTIF($G$5:G95,"No"),"")</f>
        <v/>
      </c>
    </row>
    <row r="96" customFormat="false" ht="15" hidden="false" customHeight="false" outlineLevel="0" collapsed="false">
      <c r="A96" s="29"/>
      <c r="B96" s="29"/>
      <c r="C96" s="20" t="str">
        <f aca="false">IF(A96="","",IFERROR(INDEX(Products!$B:$B,MATCH(A96,Products!$A:$A,0)),"ID not found"))</f>
        <v/>
      </c>
      <c r="D96" s="20" t="str">
        <f aca="false">IF(B96="","",IFERROR(INDEX(Dimensions!$B:$B,MATCH(B96,Dimensions!$A:$A,0)),"ID not found"))</f>
        <v/>
      </c>
      <c r="E96" s="30"/>
      <c r="F96" s="20" t="str">
        <f aca="false">IF(E96="","",IFERROR(INDEX(Tables!$B:$B,MATCH(E96,Tables!$A:$A,0)),"ID not found"))</f>
        <v/>
      </c>
      <c r="G96" s="20" t="str">
        <f aca="false">IF(OR(B96="",E96=""),"",IF(IFERROR(INDEX(Dimensions!$C:$C,MATCH(B96,Dimensions!$A:$A,0)),"")="","No agreed source",IF(INDEX(Dimensions!$C:$C,MATCH(B96,Dimensions!$A:$A,0))=E96,"Yes","No")))</f>
        <v/>
      </c>
      <c r="H96" s="30"/>
      <c r="I96" s="30"/>
      <c r="J96" s="30"/>
      <c r="K96" s="34" t="str">
        <f aca="false">IF(AND(A96&lt;&gt;"",G96="No"),COUNTIF($G$5:G96,"No"),"")</f>
        <v/>
      </c>
    </row>
    <row r="97" customFormat="false" ht="15" hidden="false" customHeight="false" outlineLevel="0" collapsed="false">
      <c r="A97" s="29"/>
      <c r="B97" s="29"/>
      <c r="C97" s="20" t="str">
        <f aca="false">IF(A97="","",IFERROR(INDEX(Products!$B:$B,MATCH(A97,Products!$A:$A,0)),"ID not found"))</f>
        <v/>
      </c>
      <c r="D97" s="20" t="str">
        <f aca="false">IF(B97="","",IFERROR(INDEX(Dimensions!$B:$B,MATCH(B97,Dimensions!$A:$A,0)),"ID not found"))</f>
        <v/>
      </c>
      <c r="E97" s="30"/>
      <c r="F97" s="20" t="str">
        <f aca="false">IF(E97="","",IFERROR(INDEX(Tables!$B:$B,MATCH(E97,Tables!$A:$A,0)),"ID not found"))</f>
        <v/>
      </c>
      <c r="G97" s="20" t="str">
        <f aca="false">IF(OR(B97="",E97=""),"",IF(IFERROR(INDEX(Dimensions!$C:$C,MATCH(B97,Dimensions!$A:$A,0)),"")="","No agreed source",IF(INDEX(Dimensions!$C:$C,MATCH(B97,Dimensions!$A:$A,0))=E97,"Yes","No")))</f>
        <v/>
      </c>
      <c r="H97" s="30"/>
      <c r="I97" s="30"/>
      <c r="J97" s="30"/>
      <c r="K97" s="34" t="str">
        <f aca="false">IF(AND(A97&lt;&gt;"",G97="No"),COUNTIF($G$5:G97,"No"),"")</f>
        <v/>
      </c>
    </row>
    <row r="98" customFormat="false" ht="15" hidden="false" customHeight="false" outlineLevel="0" collapsed="false">
      <c r="A98" s="29"/>
      <c r="B98" s="29"/>
      <c r="C98" s="20" t="str">
        <f aca="false">IF(A98="","",IFERROR(INDEX(Products!$B:$B,MATCH(A98,Products!$A:$A,0)),"ID not found"))</f>
        <v/>
      </c>
      <c r="D98" s="20" t="str">
        <f aca="false">IF(B98="","",IFERROR(INDEX(Dimensions!$B:$B,MATCH(B98,Dimensions!$A:$A,0)),"ID not found"))</f>
        <v/>
      </c>
      <c r="E98" s="30"/>
      <c r="F98" s="20" t="str">
        <f aca="false">IF(E98="","",IFERROR(INDEX(Tables!$B:$B,MATCH(E98,Tables!$A:$A,0)),"ID not found"))</f>
        <v/>
      </c>
      <c r="G98" s="20" t="str">
        <f aca="false">IF(OR(B98="",E98=""),"",IF(IFERROR(INDEX(Dimensions!$C:$C,MATCH(B98,Dimensions!$A:$A,0)),"")="","No agreed source",IF(INDEX(Dimensions!$C:$C,MATCH(B98,Dimensions!$A:$A,0))=E98,"Yes","No")))</f>
        <v/>
      </c>
      <c r="H98" s="30"/>
      <c r="I98" s="30"/>
      <c r="J98" s="30"/>
      <c r="K98" s="34" t="str">
        <f aca="false">IF(AND(A98&lt;&gt;"",G98="No"),COUNTIF($G$5:G98,"No"),"")</f>
        <v/>
      </c>
    </row>
    <row r="99" customFormat="false" ht="15" hidden="false" customHeight="false" outlineLevel="0" collapsed="false">
      <c r="A99" s="29"/>
      <c r="B99" s="29"/>
      <c r="C99" s="20" t="str">
        <f aca="false">IF(A99="","",IFERROR(INDEX(Products!$B:$B,MATCH(A99,Products!$A:$A,0)),"ID not found"))</f>
        <v/>
      </c>
      <c r="D99" s="20" t="str">
        <f aca="false">IF(B99="","",IFERROR(INDEX(Dimensions!$B:$B,MATCH(B99,Dimensions!$A:$A,0)),"ID not found"))</f>
        <v/>
      </c>
      <c r="E99" s="30"/>
      <c r="F99" s="20" t="str">
        <f aca="false">IF(E99="","",IFERROR(INDEX(Tables!$B:$B,MATCH(E99,Tables!$A:$A,0)),"ID not found"))</f>
        <v/>
      </c>
      <c r="G99" s="20" t="str">
        <f aca="false">IF(OR(B99="",E99=""),"",IF(IFERROR(INDEX(Dimensions!$C:$C,MATCH(B99,Dimensions!$A:$A,0)),"")="","No agreed source",IF(INDEX(Dimensions!$C:$C,MATCH(B99,Dimensions!$A:$A,0))=E99,"Yes","No")))</f>
        <v/>
      </c>
      <c r="H99" s="30"/>
      <c r="I99" s="30"/>
      <c r="J99" s="30"/>
      <c r="K99" s="34" t="str">
        <f aca="false">IF(AND(A99&lt;&gt;"",G99="No"),COUNTIF($G$5:G99,"No"),"")</f>
        <v/>
      </c>
    </row>
    <row r="100" customFormat="false" ht="15" hidden="false" customHeight="false" outlineLevel="0" collapsed="false">
      <c r="A100" s="29"/>
      <c r="B100" s="29"/>
      <c r="C100" s="20" t="str">
        <f aca="false">IF(A100="","",IFERROR(INDEX(Products!$B:$B,MATCH(A100,Products!$A:$A,0)),"ID not found"))</f>
        <v/>
      </c>
      <c r="D100" s="20" t="str">
        <f aca="false">IF(B100="","",IFERROR(INDEX(Dimensions!$B:$B,MATCH(B100,Dimensions!$A:$A,0)),"ID not found"))</f>
        <v/>
      </c>
      <c r="E100" s="30"/>
      <c r="F100" s="20" t="str">
        <f aca="false">IF(E100="","",IFERROR(INDEX(Tables!$B:$B,MATCH(E100,Tables!$A:$A,0)),"ID not found"))</f>
        <v/>
      </c>
      <c r="G100" s="20" t="str">
        <f aca="false">IF(OR(B100="",E100=""),"",IF(IFERROR(INDEX(Dimensions!$C:$C,MATCH(B100,Dimensions!$A:$A,0)),"")="","No agreed source",IF(INDEX(Dimensions!$C:$C,MATCH(B100,Dimensions!$A:$A,0))=E100,"Yes","No")))</f>
        <v/>
      </c>
      <c r="H100" s="30"/>
      <c r="I100" s="30"/>
      <c r="J100" s="30"/>
      <c r="K100" s="34" t="str">
        <f aca="false">IF(AND(A100&lt;&gt;"",G100="No"),COUNTIF($G$5:G100,"No"),"")</f>
        <v/>
      </c>
    </row>
    <row r="101" customFormat="false" ht="15" hidden="false" customHeight="false" outlineLevel="0" collapsed="false">
      <c r="A101" s="29"/>
      <c r="B101" s="29"/>
      <c r="C101" s="20" t="str">
        <f aca="false">IF(A101="","",IFERROR(INDEX(Products!$B:$B,MATCH(A101,Products!$A:$A,0)),"ID not found"))</f>
        <v/>
      </c>
      <c r="D101" s="20" t="str">
        <f aca="false">IF(B101="","",IFERROR(INDEX(Dimensions!$B:$B,MATCH(B101,Dimensions!$A:$A,0)),"ID not found"))</f>
        <v/>
      </c>
      <c r="E101" s="30"/>
      <c r="F101" s="20" t="str">
        <f aca="false">IF(E101="","",IFERROR(INDEX(Tables!$B:$B,MATCH(E101,Tables!$A:$A,0)),"ID not found"))</f>
        <v/>
      </c>
      <c r="G101" s="20" t="str">
        <f aca="false">IF(OR(B101="",E101=""),"",IF(IFERROR(INDEX(Dimensions!$C:$C,MATCH(B101,Dimensions!$A:$A,0)),"")="","No agreed source",IF(INDEX(Dimensions!$C:$C,MATCH(B101,Dimensions!$A:$A,0))=E101,"Yes","No")))</f>
        <v/>
      </c>
      <c r="H101" s="30"/>
      <c r="I101" s="30"/>
      <c r="J101" s="30"/>
      <c r="K101" s="34" t="str">
        <f aca="false">IF(AND(A101&lt;&gt;"",G101="No"),COUNTIF($G$5:G101,"No"),"")</f>
        <v/>
      </c>
    </row>
    <row r="102" customFormat="false" ht="15" hidden="false" customHeight="false" outlineLevel="0" collapsed="false">
      <c r="A102" s="29"/>
      <c r="B102" s="29"/>
      <c r="C102" s="20" t="str">
        <f aca="false">IF(A102="","",IFERROR(INDEX(Products!$B:$B,MATCH(A102,Products!$A:$A,0)),"ID not found"))</f>
        <v/>
      </c>
      <c r="D102" s="20" t="str">
        <f aca="false">IF(B102="","",IFERROR(INDEX(Dimensions!$B:$B,MATCH(B102,Dimensions!$A:$A,0)),"ID not found"))</f>
        <v/>
      </c>
      <c r="E102" s="30"/>
      <c r="F102" s="20" t="str">
        <f aca="false">IF(E102="","",IFERROR(INDEX(Tables!$B:$B,MATCH(E102,Tables!$A:$A,0)),"ID not found"))</f>
        <v/>
      </c>
      <c r="G102" s="20" t="str">
        <f aca="false">IF(OR(B102="",E102=""),"",IF(IFERROR(INDEX(Dimensions!$C:$C,MATCH(B102,Dimensions!$A:$A,0)),"")="","No agreed source",IF(INDEX(Dimensions!$C:$C,MATCH(B102,Dimensions!$A:$A,0))=E102,"Yes","No")))</f>
        <v/>
      </c>
      <c r="H102" s="30"/>
      <c r="I102" s="30"/>
      <c r="J102" s="30"/>
      <c r="K102" s="34" t="str">
        <f aca="false">IF(AND(A102&lt;&gt;"",G102="No"),COUNTIF($G$5:G102,"No"),"")</f>
        <v/>
      </c>
    </row>
    <row r="103" customFormat="false" ht="15" hidden="false" customHeight="false" outlineLevel="0" collapsed="false">
      <c r="A103" s="29"/>
      <c r="B103" s="29"/>
      <c r="C103" s="20" t="str">
        <f aca="false">IF(A103="","",IFERROR(INDEX(Products!$B:$B,MATCH(A103,Products!$A:$A,0)),"ID not found"))</f>
        <v/>
      </c>
      <c r="D103" s="20" t="str">
        <f aca="false">IF(B103="","",IFERROR(INDEX(Dimensions!$B:$B,MATCH(B103,Dimensions!$A:$A,0)),"ID not found"))</f>
        <v/>
      </c>
      <c r="E103" s="30"/>
      <c r="F103" s="20" t="str">
        <f aca="false">IF(E103="","",IFERROR(INDEX(Tables!$B:$B,MATCH(E103,Tables!$A:$A,0)),"ID not found"))</f>
        <v/>
      </c>
      <c r="G103" s="20" t="str">
        <f aca="false">IF(OR(B103="",E103=""),"",IF(IFERROR(INDEX(Dimensions!$C:$C,MATCH(B103,Dimensions!$A:$A,0)),"")="","No agreed source",IF(INDEX(Dimensions!$C:$C,MATCH(B103,Dimensions!$A:$A,0))=E103,"Yes","No")))</f>
        <v/>
      </c>
      <c r="H103" s="30"/>
      <c r="I103" s="30"/>
      <c r="J103" s="30"/>
      <c r="K103" s="34" t="str">
        <f aca="false">IF(AND(A103&lt;&gt;"",G103="No"),COUNTIF($G$5:G103,"No"),"")</f>
        <v/>
      </c>
    </row>
    <row r="104" customFormat="false" ht="15" hidden="false" customHeight="false" outlineLevel="0" collapsed="false">
      <c r="A104" s="29"/>
      <c r="B104" s="29"/>
      <c r="C104" s="20" t="str">
        <f aca="false">IF(A104="","",IFERROR(INDEX(Products!$B:$B,MATCH(A104,Products!$A:$A,0)),"ID not found"))</f>
        <v/>
      </c>
      <c r="D104" s="20" t="str">
        <f aca="false">IF(B104="","",IFERROR(INDEX(Dimensions!$B:$B,MATCH(B104,Dimensions!$A:$A,0)),"ID not found"))</f>
        <v/>
      </c>
      <c r="E104" s="30"/>
      <c r="F104" s="20" t="str">
        <f aca="false">IF(E104="","",IFERROR(INDEX(Tables!$B:$B,MATCH(E104,Tables!$A:$A,0)),"ID not found"))</f>
        <v/>
      </c>
      <c r="G104" s="20" t="str">
        <f aca="false">IF(OR(B104="",E104=""),"",IF(IFERROR(INDEX(Dimensions!$C:$C,MATCH(B104,Dimensions!$A:$A,0)),"")="","No agreed source",IF(INDEX(Dimensions!$C:$C,MATCH(B104,Dimensions!$A:$A,0))=E104,"Yes","No")))</f>
        <v/>
      </c>
      <c r="H104" s="30"/>
      <c r="I104" s="30"/>
      <c r="J104" s="30"/>
      <c r="K104" s="34" t="str">
        <f aca="false">IF(AND(A104&lt;&gt;"",G104="No"),COUNTIF($G$5:G104,"No"),"")</f>
        <v/>
      </c>
    </row>
    <row r="105" customFormat="false" ht="15" hidden="false" customHeight="false" outlineLevel="0" collapsed="false">
      <c r="A105" s="29"/>
      <c r="B105" s="29"/>
      <c r="C105" s="20" t="str">
        <f aca="false">IF(A105="","",IFERROR(INDEX(Products!$B:$B,MATCH(A105,Products!$A:$A,0)),"ID not found"))</f>
        <v/>
      </c>
      <c r="D105" s="20" t="str">
        <f aca="false">IF(B105="","",IFERROR(INDEX(Dimensions!$B:$B,MATCH(B105,Dimensions!$A:$A,0)),"ID not found"))</f>
        <v/>
      </c>
      <c r="E105" s="30"/>
      <c r="F105" s="20" t="str">
        <f aca="false">IF(E105="","",IFERROR(INDEX(Tables!$B:$B,MATCH(E105,Tables!$A:$A,0)),"ID not found"))</f>
        <v/>
      </c>
      <c r="G105" s="20" t="str">
        <f aca="false">IF(OR(B105="",E105=""),"",IF(IFERROR(INDEX(Dimensions!$C:$C,MATCH(B105,Dimensions!$A:$A,0)),"")="","No agreed source",IF(INDEX(Dimensions!$C:$C,MATCH(B105,Dimensions!$A:$A,0))=E105,"Yes","No")))</f>
        <v/>
      </c>
      <c r="H105" s="30"/>
      <c r="I105" s="30"/>
      <c r="J105" s="30"/>
      <c r="K105" s="34" t="str">
        <f aca="false">IF(AND(A105&lt;&gt;"",G105="No"),COUNTIF($G$5:G105,"No"),"")</f>
        <v/>
      </c>
    </row>
    <row r="106" customFormat="false" ht="15" hidden="false" customHeight="false" outlineLevel="0" collapsed="false">
      <c r="A106" s="29"/>
      <c r="B106" s="29"/>
      <c r="C106" s="20" t="str">
        <f aca="false">IF(A106="","",IFERROR(INDEX(Products!$B:$B,MATCH(A106,Products!$A:$A,0)),"ID not found"))</f>
        <v/>
      </c>
      <c r="D106" s="20" t="str">
        <f aca="false">IF(B106="","",IFERROR(INDEX(Dimensions!$B:$B,MATCH(B106,Dimensions!$A:$A,0)),"ID not found"))</f>
        <v/>
      </c>
      <c r="E106" s="30"/>
      <c r="F106" s="20" t="str">
        <f aca="false">IF(E106="","",IFERROR(INDEX(Tables!$B:$B,MATCH(E106,Tables!$A:$A,0)),"ID not found"))</f>
        <v/>
      </c>
      <c r="G106" s="20" t="str">
        <f aca="false">IF(OR(B106="",E106=""),"",IF(IFERROR(INDEX(Dimensions!$C:$C,MATCH(B106,Dimensions!$A:$A,0)),"")="","No agreed source",IF(INDEX(Dimensions!$C:$C,MATCH(B106,Dimensions!$A:$A,0))=E106,"Yes","No")))</f>
        <v/>
      </c>
      <c r="H106" s="30"/>
      <c r="I106" s="30"/>
      <c r="J106" s="30"/>
      <c r="K106" s="34" t="str">
        <f aca="false">IF(AND(A106&lt;&gt;"",G106="No"),COUNTIF($G$5:G106,"No"),"")</f>
        <v/>
      </c>
    </row>
    <row r="107" customFormat="false" ht="15" hidden="false" customHeight="false" outlineLevel="0" collapsed="false">
      <c r="A107" s="29"/>
      <c r="B107" s="29"/>
      <c r="C107" s="20" t="str">
        <f aca="false">IF(A107="","",IFERROR(INDEX(Products!$B:$B,MATCH(A107,Products!$A:$A,0)),"ID not found"))</f>
        <v/>
      </c>
      <c r="D107" s="20" t="str">
        <f aca="false">IF(B107="","",IFERROR(INDEX(Dimensions!$B:$B,MATCH(B107,Dimensions!$A:$A,0)),"ID not found"))</f>
        <v/>
      </c>
      <c r="E107" s="30"/>
      <c r="F107" s="20" t="str">
        <f aca="false">IF(E107="","",IFERROR(INDEX(Tables!$B:$B,MATCH(E107,Tables!$A:$A,0)),"ID not found"))</f>
        <v/>
      </c>
      <c r="G107" s="20" t="str">
        <f aca="false">IF(OR(B107="",E107=""),"",IF(IFERROR(INDEX(Dimensions!$C:$C,MATCH(B107,Dimensions!$A:$A,0)),"")="","No agreed source",IF(INDEX(Dimensions!$C:$C,MATCH(B107,Dimensions!$A:$A,0))=E107,"Yes","No")))</f>
        <v/>
      </c>
      <c r="H107" s="30"/>
      <c r="I107" s="30"/>
      <c r="J107" s="30"/>
      <c r="K107" s="34" t="str">
        <f aca="false">IF(AND(A107&lt;&gt;"",G107="No"),COUNTIF($G$5:G107,"No"),"")</f>
        <v/>
      </c>
    </row>
    <row r="108" customFormat="false" ht="15" hidden="false" customHeight="false" outlineLevel="0" collapsed="false">
      <c r="A108" s="29"/>
      <c r="B108" s="29"/>
      <c r="C108" s="20" t="str">
        <f aca="false">IF(A108="","",IFERROR(INDEX(Products!$B:$B,MATCH(A108,Products!$A:$A,0)),"ID not found"))</f>
        <v/>
      </c>
      <c r="D108" s="20" t="str">
        <f aca="false">IF(B108="","",IFERROR(INDEX(Dimensions!$B:$B,MATCH(B108,Dimensions!$A:$A,0)),"ID not found"))</f>
        <v/>
      </c>
      <c r="E108" s="30"/>
      <c r="F108" s="20" t="str">
        <f aca="false">IF(E108="","",IFERROR(INDEX(Tables!$B:$B,MATCH(E108,Tables!$A:$A,0)),"ID not found"))</f>
        <v/>
      </c>
      <c r="G108" s="20" t="str">
        <f aca="false">IF(OR(B108="",E108=""),"",IF(IFERROR(INDEX(Dimensions!$C:$C,MATCH(B108,Dimensions!$A:$A,0)),"")="","No agreed source",IF(INDEX(Dimensions!$C:$C,MATCH(B108,Dimensions!$A:$A,0))=E108,"Yes","No")))</f>
        <v/>
      </c>
      <c r="H108" s="30"/>
      <c r="I108" s="30"/>
      <c r="J108" s="30"/>
      <c r="K108" s="34" t="str">
        <f aca="false">IF(AND(A108&lt;&gt;"",G108="No"),COUNTIF($G$5:G108,"No"),"")</f>
        <v/>
      </c>
    </row>
    <row r="109" customFormat="false" ht="15" hidden="false" customHeight="false" outlineLevel="0" collapsed="false">
      <c r="A109" s="29"/>
      <c r="B109" s="29"/>
      <c r="C109" s="20" t="str">
        <f aca="false">IF(A109="","",IFERROR(INDEX(Products!$B:$B,MATCH(A109,Products!$A:$A,0)),"ID not found"))</f>
        <v/>
      </c>
      <c r="D109" s="20" t="str">
        <f aca="false">IF(B109="","",IFERROR(INDEX(Dimensions!$B:$B,MATCH(B109,Dimensions!$A:$A,0)),"ID not found"))</f>
        <v/>
      </c>
      <c r="E109" s="30"/>
      <c r="F109" s="20" t="str">
        <f aca="false">IF(E109="","",IFERROR(INDEX(Tables!$B:$B,MATCH(E109,Tables!$A:$A,0)),"ID not found"))</f>
        <v/>
      </c>
      <c r="G109" s="20" t="str">
        <f aca="false">IF(OR(B109="",E109=""),"",IF(IFERROR(INDEX(Dimensions!$C:$C,MATCH(B109,Dimensions!$A:$A,0)),"")="","No agreed source",IF(INDEX(Dimensions!$C:$C,MATCH(B109,Dimensions!$A:$A,0))=E109,"Yes","No")))</f>
        <v/>
      </c>
      <c r="H109" s="30"/>
      <c r="I109" s="30"/>
      <c r="J109" s="30"/>
      <c r="K109" s="34" t="str">
        <f aca="false">IF(AND(A109&lt;&gt;"",G109="No"),COUNTIF($G$5:G109,"No"),"")</f>
        <v/>
      </c>
    </row>
    <row r="110" customFormat="false" ht="15" hidden="false" customHeight="false" outlineLevel="0" collapsed="false">
      <c r="A110" s="29"/>
      <c r="B110" s="29"/>
      <c r="C110" s="20" t="str">
        <f aca="false">IF(A110="","",IFERROR(INDEX(Products!$B:$B,MATCH(A110,Products!$A:$A,0)),"ID not found"))</f>
        <v/>
      </c>
      <c r="D110" s="20" t="str">
        <f aca="false">IF(B110="","",IFERROR(INDEX(Dimensions!$B:$B,MATCH(B110,Dimensions!$A:$A,0)),"ID not found"))</f>
        <v/>
      </c>
      <c r="E110" s="30"/>
      <c r="F110" s="20" t="str">
        <f aca="false">IF(E110="","",IFERROR(INDEX(Tables!$B:$B,MATCH(E110,Tables!$A:$A,0)),"ID not found"))</f>
        <v/>
      </c>
      <c r="G110" s="20" t="str">
        <f aca="false">IF(OR(B110="",E110=""),"",IF(IFERROR(INDEX(Dimensions!$C:$C,MATCH(B110,Dimensions!$A:$A,0)),"")="","No agreed source",IF(INDEX(Dimensions!$C:$C,MATCH(B110,Dimensions!$A:$A,0))=E110,"Yes","No")))</f>
        <v/>
      </c>
      <c r="H110" s="30"/>
      <c r="I110" s="30"/>
      <c r="J110" s="30"/>
      <c r="K110" s="34" t="str">
        <f aca="false">IF(AND(A110&lt;&gt;"",G110="No"),COUNTIF($G$5:G110,"No"),"")</f>
        <v/>
      </c>
    </row>
    <row r="111" customFormat="false" ht="15" hidden="false" customHeight="false" outlineLevel="0" collapsed="false">
      <c r="A111" s="29"/>
      <c r="B111" s="29"/>
      <c r="C111" s="20" t="str">
        <f aca="false">IF(A111="","",IFERROR(INDEX(Products!$B:$B,MATCH(A111,Products!$A:$A,0)),"ID not found"))</f>
        <v/>
      </c>
      <c r="D111" s="20" t="str">
        <f aca="false">IF(B111="","",IFERROR(INDEX(Dimensions!$B:$B,MATCH(B111,Dimensions!$A:$A,0)),"ID not found"))</f>
        <v/>
      </c>
      <c r="E111" s="30"/>
      <c r="F111" s="20" t="str">
        <f aca="false">IF(E111="","",IFERROR(INDEX(Tables!$B:$B,MATCH(E111,Tables!$A:$A,0)),"ID not found"))</f>
        <v/>
      </c>
      <c r="G111" s="20" t="str">
        <f aca="false">IF(OR(B111="",E111=""),"",IF(IFERROR(INDEX(Dimensions!$C:$C,MATCH(B111,Dimensions!$A:$A,0)),"")="","No agreed source",IF(INDEX(Dimensions!$C:$C,MATCH(B111,Dimensions!$A:$A,0))=E111,"Yes","No")))</f>
        <v/>
      </c>
      <c r="H111" s="30"/>
      <c r="I111" s="30"/>
      <c r="J111" s="30"/>
      <c r="K111" s="34" t="str">
        <f aca="false">IF(AND(A111&lt;&gt;"",G111="No"),COUNTIF($G$5:G111,"No"),"")</f>
        <v/>
      </c>
    </row>
    <row r="112" customFormat="false" ht="15" hidden="false" customHeight="false" outlineLevel="0" collapsed="false">
      <c r="A112" s="29"/>
      <c r="B112" s="29"/>
      <c r="C112" s="20" t="str">
        <f aca="false">IF(A112="","",IFERROR(INDEX(Products!$B:$B,MATCH(A112,Products!$A:$A,0)),"ID not found"))</f>
        <v/>
      </c>
      <c r="D112" s="20" t="str">
        <f aca="false">IF(B112="","",IFERROR(INDEX(Dimensions!$B:$B,MATCH(B112,Dimensions!$A:$A,0)),"ID not found"))</f>
        <v/>
      </c>
      <c r="E112" s="30"/>
      <c r="F112" s="20" t="str">
        <f aca="false">IF(E112="","",IFERROR(INDEX(Tables!$B:$B,MATCH(E112,Tables!$A:$A,0)),"ID not found"))</f>
        <v/>
      </c>
      <c r="G112" s="20" t="str">
        <f aca="false">IF(OR(B112="",E112=""),"",IF(IFERROR(INDEX(Dimensions!$C:$C,MATCH(B112,Dimensions!$A:$A,0)),"")="","No agreed source",IF(INDEX(Dimensions!$C:$C,MATCH(B112,Dimensions!$A:$A,0))=E112,"Yes","No")))</f>
        <v/>
      </c>
      <c r="H112" s="30"/>
      <c r="I112" s="30"/>
      <c r="J112" s="30"/>
      <c r="K112" s="34" t="str">
        <f aca="false">IF(AND(A112&lt;&gt;"",G112="No"),COUNTIF($G$5:G112,"No"),"")</f>
        <v/>
      </c>
    </row>
    <row r="113" customFormat="false" ht="15" hidden="false" customHeight="false" outlineLevel="0" collapsed="false">
      <c r="A113" s="29"/>
      <c r="B113" s="29"/>
      <c r="C113" s="20" t="str">
        <f aca="false">IF(A113="","",IFERROR(INDEX(Products!$B:$B,MATCH(A113,Products!$A:$A,0)),"ID not found"))</f>
        <v/>
      </c>
      <c r="D113" s="20" t="str">
        <f aca="false">IF(B113="","",IFERROR(INDEX(Dimensions!$B:$B,MATCH(B113,Dimensions!$A:$A,0)),"ID not found"))</f>
        <v/>
      </c>
      <c r="E113" s="30"/>
      <c r="F113" s="20" t="str">
        <f aca="false">IF(E113="","",IFERROR(INDEX(Tables!$B:$B,MATCH(E113,Tables!$A:$A,0)),"ID not found"))</f>
        <v/>
      </c>
      <c r="G113" s="20" t="str">
        <f aca="false">IF(OR(B113="",E113=""),"",IF(IFERROR(INDEX(Dimensions!$C:$C,MATCH(B113,Dimensions!$A:$A,0)),"")="","No agreed source",IF(INDEX(Dimensions!$C:$C,MATCH(B113,Dimensions!$A:$A,0))=E113,"Yes","No")))</f>
        <v/>
      </c>
      <c r="H113" s="30"/>
      <c r="I113" s="30"/>
      <c r="J113" s="30"/>
      <c r="K113" s="34" t="str">
        <f aca="false">IF(AND(A113&lt;&gt;"",G113="No"),COUNTIF($G$5:G113,"No"),"")</f>
        <v/>
      </c>
    </row>
    <row r="114" customFormat="false" ht="15" hidden="false" customHeight="false" outlineLevel="0" collapsed="false">
      <c r="A114" s="29"/>
      <c r="B114" s="29"/>
      <c r="C114" s="20" t="str">
        <f aca="false">IF(A114="","",IFERROR(INDEX(Products!$B:$B,MATCH(A114,Products!$A:$A,0)),"ID not found"))</f>
        <v/>
      </c>
      <c r="D114" s="20" t="str">
        <f aca="false">IF(B114="","",IFERROR(INDEX(Dimensions!$B:$B,MATCH(B114,Dimensions!$A:$A,0)),"ID not found"))</f>
        <v/>
      </c>
      <c r="E114" s="30"/>
      <c r="F114" s="20" t="str">
        <f aca="false">IF(E114="","",IFERROR(INDEX(Tables!$B:$B,MATCH(E114,Tables!$A:$A,0)),"ID not found"))</f>
        <v/>
      </c>
      <c r="G114" s="20" t="str">
        <f aca="false">IF(OR(B114="",E114=""),"",IF(IFERROR(INDEX(Dimensions!$C:$C,MATCH(B114,Dimensions!$A:$A,0)),"")="","No agreed source",IF(INDEX(Dimensions!$C:$C,MATCH(B114,Dimensions!$A:$A,0))=E114,"Yes","No")))</f>
        <v/>
      </c>
      <c r="H114" s="30"/>
      <c r="I114" s="30"/>
      <c r="J114" s="30"/>
      <c r="K114" s="34" t="str">
        <f aca="false">IF(AND(A114&lt;&gt;"",G114="No"),COUNTIF($G$5:G114,"No"),"")</f>
        <v/>
      </c>
    </row>
    <row r="115" customFormat="false" ht="15" hidden="false" customHeight="false" outlineLevel="0" collapsed="false">
      <c r="A115" s="29"/>
      <c r="B115" s="29"/>
      <c r="C115" s="20" t="str">
        <f aca="false">IF(A115="","",IFERROR(INDEX(Products!$B:$B,MATCH(A115,Products!$A:$A,0)),"ID not found"))</f>
        <v/>
      </c>
      <c r="D115" s="20" t="str">
        <f aca="false">IF(B115="","",IFERROR(INDEX(Dimensions!$B:$B,MATCH(B115,Dimensions!$A:$A,0)),"ID not found"))</f>
        <v/>
      </c>
      <c r="E115" s="30"/>
      <c r="F115" s="20" t="str">
        <f aca="false">IF(E115="","",IFERROR(INDEX(Tables!$B:$B,MATCH(E115,Tables!$A:$A,0)),"ID not found"))</f>
        <v/>
      </c>
      <c r="G115" s="20" t="str">
        <f aca="false">IF(OR(B115="",E115=""),"",IF(IFERROR(INDEX(Dimensions!$C:$C,MATCH(B115,Dimensions!$A:$A,0)),"")="","No agreed source",IF(INDEX(Dimensions!$C:$C,MATCH(B115,Dimensions!$A:$A,0))=E115,"Yes","No")))</f>
        <v/>
      </c>
      <c r="H115" s="30"/>
      <c r="I115" s="30"/>
      <c r="J115" s="30"/>
      <c r="K115" s="34" t="str">
        <f aca="false">IF(AND(A115&lt;&gt;"",G115="No"),COUNTIF($G$5:G115,"No"),"")</f>
        <v/>
      </c>
    </row>
    <row r="116" customFormat="false" ht="15" hidden="false" customHeight="false" outlineLevel="0" collapsed="false">
      <c r="A116" s="29"/>
      <c r="B116" s="29"/>
      <c r="C116" s="20" t="str">
        <f aca="false">IF(A116="","",IFERROR(INDEX(Products!$B:$B,MATCH(A116,Products!$A:$A,0)),"ID not found"))</f>
        <v/>
      </c>
      <c r="D116" s="20" t="str">
        <f aca="false">IF(B116="","",IFERROR(INDEX(Dimensions!$B:$B,MATCH(B116,Dimensions!$A:$A,0)),"ID not found"))</f>
        <v/>
      </c>
      <c r="E116" s="30"/>
      <c r="F116" s="20" t="str">
        <f aca="false">IF(E116="","",IFERROR(INDEX(Tables!$B:$B,MATCH(E116,Tables!$A:$A,0)),"ID not found"))</f>
        <v/>
      </c>
      <c r="G116" s="20" t="str">
        <f aca="false">IF(OR(B116="",E116=""),"",IF(IFERROR(INDEX(Dimensions!$C:$C,MATCH(B116,Dimensions!$A:$A,0)),"")="","No agreed source",IF(INDEX(Dimensions!$C:$C,MATCH(B116,Dimensions!$A:$A,0))=E116,"Yes","No")))</f>
        <v/>
      </c>
      <c r="H116" s="30"/>
      <c r="I116" s="30"/>
      <c r="J116" s="30"/>
      <c r="K116" s="34" t="str">
        <f aca="false">IF(AND(A116&lt;&gt;"",G116="No"),COUNTIF($G$5:G116,"No"),"")</f>
        <v/>
      </c>
    </row>
    <row r="117" customFormat="false" ht="15" hidden="false" customHeight="false" outlineLevel="0" collapsed="false">
      <c r="A117" s="29"/>
      <c r="B117" s="29"/>
      <c r="C117" s="20" t="str">
        <f aca="false">IF(A117="","",IFERROR(INDEX(Products!$B:$B,MATCH(A117,Products!$A:$A,0)),"ID not found"))</f>
        <v/>
      </c>
      <c r="D117" s="20" t="str">
        <f aca="false">IF(B117="","",IFERROR(INDEX(Dimensions!$B:$B,MATCH(B117,Dimensions!$A:$A,0)),"ID not found"))</f>
        <v/>
      </c>
      <c r="E117" s="30"/>
      <c r="F117" s="20" t="str">
        <f aca="false">IF(E117="","",IFERROR(INDEX(Tables!$B:$B,MATCH(E117,Tables!$A:$A,0)),"ID not found"))</f>
        <v/>
      </c>
      <c r="G117" s="20" t="str">
        <f aca="false">IF(OR(B117="",E117=""),"",IF(IFERROR(INDEX(Dimensions!$C:$C,MATCH(B117,Dimensions!$A:$A,0)),"")="","No agreed source",IF(INDEX(Dimensions!$C:$C,MATCH(B117,Dimensions!$A:$A,0))=E117,"Yes","No")))</f>
        <v/>
      </c>
      <c r="H117" s="30"/>
      <c r="I117" s="30"/>
      <c r="J117" s="30"/>
      <c r="K117" s="34" t="str">
        <f aca="false">IF(AND(A117&lt;&gt;"",G117="No"),COUNTIF($G$5:G117,"No"),"")</f>
        <v/>
      </c>
    </row>
    <row r="118" customFormat="false" ht="15" hidden="false" customHeight="false" outlineLevel="0" collapsed="false">
      <c r="A118" s="29"/>
      <c r="B118" s="29"/>
      <c r="C118" s="20" t="str">
        <f aca="false">IF(A118="","",IFERROR(INDEX(Products!$B:$B,MATCH(A118,Products!$A:$A,0)),"ID not found"))</f>
        <v/>
      </c>
      <c r="D118" s="20" t="str">
        <f aca="false">IF(B118="","",IFERROR(INDEX(Dimensions!$B:$B,MATCH(B118,Dimensions!$A:$A,0)),"ID not found"))</f>
        <v/>
      </c>
      <c r="E118" s="30"/>
      <c r="F118" s="20" t="str">
        <f aca="false">IF(E118="","",IFERROR(INDEX(Tables!$B:$B,MATCH(E118,Tables!$A:$A,0)),"ID not found"))</f>
        <v/>
      </c>
      <c r="G118" s="20" t="str">
        <f aca="false">IF(OR(B118="",E118=""),"",IF(IFERROR(INDEX(Dimensions!$C:$C,MATCH(B118,Dimensions!$A:$A,0)),"")="","No agreed source",IF(INDEX(Dimensions!$C:$C,MATCH(B118,Dimensions!$A:$A,0))=E118,"Yes","No")))</f>
        <v/>
      </c>
      <c r="H118" s="30"/>
      <c r="I118" s="30"/>
      <c r="J118" s="30"/>
      <c r="K118" s="34" t="str">
        <f aca="false">IF(AND(A118&lt;&gt;"",G118="No"),COUNTIF($G$5:G118,"No"),"")</f>
        <v/>
      </c>
    </row>
    <row r="119" customFormat="false" ht="15" hidden="false" customHeight="false" outlineLevel="0" collapsed="false">
      <c r="A119" s="29"/>
      <c r="B119" s="29"/>
      <c r="C119" s="20" t="str">
        <f aca="false">IF(A119="","",IFERROR(INDEX(Products!$B:$B,MATCH(A119,Products!$A:$A,0)),"ID not found"))</f>
        <v/>
      </c>
      <c r="D119" s="20" t="str">
        <f aca="false">IF(B119="","",IFERROR(INDEX(Dimensions!$B:$B,MATCH(B119,Dimensions!$A:$A,0)),"ID not found"))</f>
        <v/>
      </c>
      <c r="E119" s="30"/>
      <c r="F119" s="20" t="str">
        <f aca="false">IF(E119="","",IFERROR(INDEX(Tables!$B:$B,MATCH(E119,Tables!$A:$A,0)),"ID not found"))</f>
        <v/>
      </c>
      <c r="G119" s="20" t="str">
        <f aca="false">IF(OR(B119="",E119=""),"",IF(IFERROR(INDEX(Dimensions!$C:$C,MATCH(B119,Dimensions!$A:$A,0)),"")="","No agreed source",IF(INDEX(Dimensions!$C:$C,MATCH(B119,Dimensions!$A:$A,0))=E119,"Yes","No")))</f>
        <v/>
      </c>
      <c r="H119" s="30"/>
      <c r="I119" s="30"/>
      <c r="J119" s="30"/>
      <c r="K119" s="34" t="str">
        <f aca="false">IF(AND(A119&lt;&gt;"",G119="No"),COUNTIF($G$5:G119,"No"),"")</f>
        <v/>
      </c>
    </row>
    <row r="120" customFormat="false" ht="15" hidden="false" customHeight="false" outlineLevel="0" collapsed="false">
      <c r="A120" s="29"/>
      <c r="B120" s="29"/>
      <c r="C120" s="20" t="str">
        <f aca="false">IF(A120="","",IFERROR(INDEX(Products!$B:$B,MATCH(A120,Products!$A:$A,0)),"ID not found"))</f>
        <v/>
      </c>
      <c r="D120" s="20" t="str">
        <f aca="false">IF(B120="","",IFERROR(INDEX(Dimensions!$B:$B,MATCH(B120,Dimensions!$A:$A,0)),"ID not found"))</f>
        <v/>
      </c>
      <c r="E120" s="30"/>
      <c r="F120" s="20" t="str">
        <f aca="false">IF(E120="","",IFERROR(INDEX(Tables!$B:$B,MATCH(E120,Tables!$A:$A,0)),"ID not found"))</f>
        <v/>
      </c>
      <c r="G120" s="20" t="str">
        <f aca="false">IF(OR(B120="",E120=""),"",IF(IFERROR(INDEX(Dimensions!$C:$C,MATCH(B120,Dimensions!$A:$A,0)),"")="","No agreed source",IF(INDEX(Dimensions!$C:$C,MATCH(B120,Dimensions!$A:$A,0))=E120,"Yes","No")))</f>
        <v/>
      </c>
      <c r="H120" s="30"/>
      <c r="I120" s="30"/>
      <c r="J120" s="30"/>
      <c r="K120" s="34" t="str">
        <f aca="false">IF(AND(A120&lt;&gt;"",G120="No"),COUNTIF($G$5:G120,"No"),"")</f>
        <v/>
      </c>
    </row>
    <row r="121" customFormat="false" ht="15" hidden="false" customHeight="false" outlineLevel="0" collapsed="false">
      <c r="A121" s="29"/>
      <c r="B121" s="29"/>
      <c r="C121" s="20" t="str">
        <f aca="false">IF(A121="","",IFERROR(INDEX(Products!$B:$B,MATCH(A121,Products!$A:$A,0)),"ID not found"))</f>
        <v/>
      </c>
      <c r="D121" s="20" t="str">
        <f aca="false">IF(B121="","",IFERROR(INDEX(Dimensions!$B:$B,MATCH(B121,Dimensions!$A:$A,0)),"ID not found"))</f>
        <v/>
      </c>
      <c r="E121" s="30"/>
      <c r="F121" s="20" t="str">
        <f aca="false">IF(E121="","",IFERROR(INDEX(Tables!$B:$B,MATCH(E121,Tables!$A:$A,0)),"ID not found"))</f>
        <v/>
      </c>
      <c r="G121" s="20" t="str">
        <f aca="false">IF(OR(B121="",E121=""),"",IF(IFERROR(INDEX(Dimensions!$C:$C,MATCH(B121,Dimensions!$A:$A,0)),"")="","No agreed source",IF(INDEX(Dimensions!$C:$C,MATCH(B121,Dimensions!$A:$A,0))=E121,"Yes","No")))</f>
        <v/>
      </c>
      <c r="H121" s="30"/>
      <c r="I121" s="30"/>
      <c r="J121" s="30"/>
      <c r="K121" s="34" t="str">
        <f aca="false">IF(AND(A121&lt;&gt;"",G121="No"),COUNTIF($G$5:G121,"No"),"")</f>
        <v/>
      </c>
    </row>
    <row r="122" customFormat="false" ht="15" hidden="false" customHeight="false" outlineLevel="0" collapsed="false">
      <c r="A122" s="29"/>
      <c r="B122" s="29"/>
      <c r="C122" s="20" t="str">
        <f aca="false">IF(A122="","",IFERROR(INDEX(Products!$B:$B,MATCH(A122,Products!$A:$A,0)),"ID not found"))</f>
        <v/>
      </c>
      <c r="D122" s="20" t="str">
        <f aca="false">IF(B122="","",IFERROR(INDEX(Dimensions!$B:$B,MATCH(B122,Dimensions!$A:$A,0)),"ID not found"))</f>
        <v/>
      </c>
      <c r="E122" s="30"/>
      <c r="F122" s="20" t="str">
        <f aca="false">IF(E122="","",IFERROR(INDEX(Tables!$B:$B,MATCH(E122,Tables!$A:$A,0)),"ID not found"))</f>
        <v/>
      </c>
      <c r="G122" s="20" t="str">
        <f aca="false">IF(OR(B122="",E122=""),"",IF(IFERROR(INDEX(Dimensions!$C:$C,MATCH(B122,Dimensions!$A:$A,0)),"")="","No agreed source",IF(INDEX(Dimensions!$C:$C,MATCH(B122,Dimensions!$A:$A,0))=E122,"Yes","No")))</f>
        <v/>
      </c>
      <c r="H122" s="30"/>
      <c r="I122" s="30"/>
      <c r="J122" s="30"/>
      <c r="K122" s="34" t="str">
        <f aca="false">IF(AND(A122&lt;&gt;"",G122="No"),COUNTIF($G$5:G122,"No"),"")</f>
        <v/>
      </c>
    </row>
    <row r="123" customFormat="false" ht="15" hidden="false" customHeight="false" outlineLevel="0" collapsed="false">
      <c r="A123" s="29"/>
      <c r="B123" s="29"/>
      <c r="C123" s="20" t="str">
        <f aca="false">IF(A123="","",IFERROR(INDEX(Products!$B:$B,MATCH(A123,Products!$A:$A,0)),"ID not found"))</f>
        <v/>
      </c>
      <c r="D123" s="20" t="str">
        <f aca="false">IF(B123="","",IFERROR(INDEX(Dimensions!$B:$B,MATCH(B123,Dimensions!$A:$A,0)),"ID not found"))</f>
        <v/>
      </c>
      <c r="E123" s="30"/>
      <c r="F123" s="20" t="str">
        <f aca="false">IF(E123="","",IFERROR(INDEX(Tables!$B:$B,MATCH(E123,Tables!$A:$A,0)),"ID not found"))</f>
        <v/>
      </c>
      <c r="G123" s="20" t="str">
        <f aca="false">IF(OR(B123="",E123=""),"",IF(IFERROR(INDEX(Dimensions!$C:$C,MATCH(B123,Dimensions!$A:$A,0)),"")="","No agreed source",IF(INDEX(Dimensions!$C:$C,MATCH(B123,Dimensions!$A:$A,0))=E123,"Yes","No")))</f>
        <v/>
      </c>
      <c r="H123" s="30"/>
      <c r="I123" s="30"/>
      <c r="J123" s="30"/>
      <c r="K123" s="34" t="str">
        <f aca="false">IF(AND(A123&lt;&gt;"",G123="No"),COUNTIF($G$5:G123,"No"),"")</f>
        <v/>
      </c>
    </row>
    <row r="124" customFormat="false" ht="15" hidden="false" customHeight="false" outlineLevel="0" collapsed="false">
      <c r="A124" s="29"/>
      <c r="B124" s="29"/>
      <c r="C124" s="20" t="str">
        <f aca="false">IF(A124="","",IFERROR(INDEX(Products!$B:$B,MATCH(A124,Products!$A:$A,0)),"ID not found"))</f>
        <v/>
      </c>
      <c r="D124" s="20" t="str">
        <f aca="false">IF(B124="","",IFERROR(INDEX(Dimensions!$B:$B,MATCH(B124,Dimensions!$A:$A,0)),"ID not found"))</f>
        <v/>
      </c>
      <c r="E124" s="30"/>
      <c r="F124" s="20" t="str">
        <f aca="false">IF(E124="","",IFERROR(INDEX(Tables!$B:$B,MATCH(E124,Tables!$A:$A,0)),"ID not found"))</f>
        <v/>
      </c>
      <c r="G124" s="20" t="str">
        <f aca="false">IF(OR(B124="",E124=""),"",IF(IFERROR(INDEX(Dimensions!$C:$C,MATCH(B124,Dimensions!$A:$A,0)),"")="","No agreed source",IF(INDEX(Dimensions!$C:$C,MATCH(B124,Dimensions!$A:$A,0))=E124,"Yes","No")))</f>
        <v/>
      </c>
      <c r="H124" s="30"/>
      <c r="I124" s="30"/>
      <c r="J124" s="30"/>
      <c r="K124" s="34" t="str">
        <f aca="false">IF(AND(A124&lt;&gt;"",G124="No"),COUNTIF($G$5:G124,"No"),"")</f>
        <v/>
      </c>
    </row>
    <row r="125" customFormat="false" ht="15" hidden="false" customHeight="false" outlineLevel="0" collapsed="false">
      <c r="A125" s="29"/>
      <c r="B125" s="29"/>
      <c r="C125" s="20" t="str">
        <f aca="false">IF(A125="","",IFERROR(INDEX(Products!$B:$B,MATCH(A125,Products!$A:$A,0)),"ID not found"))</f>
        <v/>
      </c>
      <c r="D125" s="20" t="str">
        <f aca="false">IF(B125="","",IFERROR(INDEX(Dimensions!$B:$B,MATCH(B125,Dimensions!$A:$A,0)),"ID not found"))</f>
        <v/>
      </c>
      <c r="E125" s="30"/>
      <c r="F125" s="20" t="str">
        <f aca="false">IF(E125="","",IFERROR(INDEX(Tables!$B:$B,MATCH(E125,Tables!$A:$A,0)),"ID not found"))</f>
        <v/>
      </c>
      <c r="G125" s="20" t="str">
        <f aca="false">IF(OR(B125="",E125=""),"",IF(IFERROR(INDEX(Dimensions!$C:$C,MATCH(B125,Dimensions!$A:$A,0)),"")="","No agreed source",IF(INDEX(Dimensions!$C:$C,MATCH(B125,Dimensions!$A:$A,0))=E125,"Yes","No")))</f>
        <v/>
      </c>
      <c r="H125" s="30"/>
      <c r="I125" s="30"/>
      <c r="J125" s="30"/>
      <c r="K125" s="34" t="str">
        <f aca="false">IF(AND(A125&lt;&gt;"",G125="No"),COUNTIF($G$5:G125,"No"),"")</f>
        <v/>
      </c>
    </row>
    <row r="126" customFormat="false" ht="15" hidden="false" customHeight="false" outlineLevel="0" collapsed="false">
      <c r="A126" s="29"/>
      <c r="B126" s="29"/>
      <c r="C126" s="20" t="str">
        <f aca="false">IF(A126="","",IFERROR(INDEX(Products!$B:$B,MATCH(A126,Products!$A:$A,0)),"ID not found"))</f>
        <v/>
      </c>
      <c r="D126" s="20" t="str">
        <f aca="false">IF(B126="","",IFERROR(INDEX(Dimensions!$B:$B,MATCH(B126,Dimensions!$A:$A,0)),"ID not found"))</f>
        <v/>
      </c>
      <c r="E126" s="30"/>
      <c r="F126" s="20" t="str">
        <f aca="false">IF(E126="","",IFERROR(INDEX(Tables!$B:$B,MATCH(E126,Tables!$A:$A,0)),"ID not found"))</f>
        <v/>
      </c>
      <c r="G126" s="20" t="str">
        <f aca="false">IF(OR(B126="",E126=""),"",IF(IFERROR(INDEX(Dimensions!$C:$C,MATCH(B126,Dimensions!$A:$A,0)),"")="","No agreed source",IF(INDEX(Dimensions!$C:$C,MATCH(B126,Dimensions!$A:$A,0))=E126,"Yes","No")))</f>
        <v/>
      </c>
      <c r="H126" s="30"/>
      <c r="I126" s="30"/>
      <c r="J126" s="30"/>
      <c r="K126" s="34" t="str">
        <f aca="false">IF(AND(A126&lt;&gt;"",G126="No"),COUNTIF($G$5:G126,"No"),"")</f>
        <v/>
      </c>
    </row>
    <row r="127" customFormat="false" ht="15" hidden="false" customHeight="false" outlineLevel="0" collapsed="false">
      <c r="A127" s="29"/>
      <c r="B127" s="29"/>
      <c r="C127" s="20" t="str">
        <f aca="false">IF(A127="","",IFERROR(INDEX(Products!$B:$B,MATCH(A127,Products!$A:$A,0)),"ID not found"))</f>
        <v/>
      </c>
      <c r="D127" s="20" t="str">
        <f aca="false">IF(B127="","",IFERROR(INDEX(Dimensions!$B:$B,MATCH(B127,Dimensions!$A:$A,0)),"ID not found"))</f>
        <v/>
      </c>
      <c r="E127" s="30"/>
      <c r="F127" s="20" t="str">
        <f aca="false">IF(E127="","",IFERROR(INDEX(Tables!$B:$B,MATCH(E127,Tables!$A:$A,0)),"ID not found"))</f>
        <v/>
      </c>
      <c r="G127" s="20" t="str">
        <f aca="false">IF(OR(B127="",E127=""),"",IF(IFERROR(INDEX(Dimensions!$C:$C,MATCH(B127,Dimensions!$A:$A,0)),"")="","No agreed source",IF(INDEX(Dimensions!$C:$C,MATCH(B127,Dimensions!$A:$A,0))=E127,"Yes","No")))</f>
        <v/>
      </c>
      <c r="H127" s="30"/>
      <c r="I127" s="30"/>
      <c r="J127" s="30"/>
      <c r="K127" s="34" t="str">
        <f aca="false">IF(AND(A127&lt;&gt;"",G127="No"),COUNTIF($G$5:G127,"No"),"")</f>
        <v/>
      </c>
    </row>
    <row r="128" customFormat="false" ht="15" hidden="false" customHeight="false" outlineLevel="0" collapsed="false">
      <c r="A128" s="29"/>
      <c r="B128" s="29"/>
      <c r="C128" s="20" t="str">
        <f aca="false">IF(A128="","",IFERROR(INDEX(Products!$B:$B,MATCH(A128,Products!$A:$A,0)),"ID not found"))</f>
        <v/>
      </c>
      <c r="D128" s="20" t="str">
        <f aca="false">IF(B128="","",IFERROR(INDEX(Dimensions!$B:$B,MATCH(B128,Dimensions!$A:$A,0)),"ID not found"))</f>
        <v/>
      </c>
      <c r="E128" s="30"/>
      <c r="F128" s="20" t="str">
        <f aca="false">IF(E128="","",IFERROR(INDEX(Tables!$B:$B,MATCH(E128,Tables!$A:$A,0)),"ID not found"))</f>
        <v/>
      </c>
      <c r="G128" s="20" t="str">
        <f aca="false">IF(OR(B128="",E128=""),"",IF(IFERROR(INDEX(Dimensions!$C:$C,MATCH(B128,Dimensions!$A:$A,0)),"")="","No agreed source",IF(INDEX(Dimensions!$C:$C,MATCH(B128,Dimensions!$A:$A,0))=E128,"Yes","No")))</f>
        <v/>
      </c>
      <c r="H128" s="30"/>
      <c r="I128" s="30"/>
      <c r="J128" s="30"/>
      <c r="K128" s="34" t="str">
        <f aca="false">IF(AND(A128&lt;&gt;"",G128="No"),COUNTIF($G$5:G128,"No"),"")</f>
        <v/>
      </c>
    </row>
    <row r="129" customFormat="false" ht="15" hidden="false" customHeight="false" outlineLevel="0" collapsed="false">
      <c r="A129" s="29"/>
      <c r="B129" s="29"/>
      <c r="C129" s="20" t="str">
        <f aca="false">IF(A129="","",IFERROR(INDEX(Products!$B:$B,MATCH(A129,Products!$A:$A,0)),"ID not found"))</f>
        <v/>
      </c>
      <c r="D129" s="20" t="str">
        <f aca="false">IF(B129="","",IFERROR(INDEX(Dimensions!$B:$B,MATCH(B129,Dimensions!$A:$A,0)),"ID not found"))</f>
        <v/>
      </c>
      <c r="E129" s="30"/>
      <c r="F129" s="20" t="str">
        <f aca="false">IF(E129="","",IFERROR(INDEX(Tables!$B:$B,MATCH(E129,Tables!$A:$A,0)),"ID not found"))</f>
        <v/>
      </c>
      <c r="G129" s="20" t="str">
        <f aca="false">IF(OR(B129="",E129=""),"",IF(IFERROR(INDEX(Dimensions!$C:$C,MATCH(B129,Dimensions!$A:$A,0)),"")="","No agreed source",IF(INDEX(Dimensions!$C:$C,MATCH(B129,Dimensions!$A:$A,0))=E129,"Yes","No")))</f>
        <v/>
      </c>
      <c r="H129" s="30"/>
      <c r="I129" s="30"/>
      <c r="J129" s="30"/>
      <c r="K129" s="34" t="str">
        <f aca="false">IF(AND(A129&lt;&gt;"",G129="No"),COUNTIF($G$5:G129,"No"),"")</f>
        <v/>
      </c>
    </row>
    <row r="130" customFormat="false" ht="15" hidden="false" customHeight="false" outlineLevel="0" collapsed="false">
      <c r="A130" s="29"/>
      <c r="B130" s="29"/>
      <c r="C130" s="20" t="str">
        <f aca="false">IF(A130="","",IFERROR(INDEX(Products!$B:$B,MATCH(A130,Products!$A:$A,0)),"ID not found"))</f>
        <v/>
      </c>
      <c r="D130" s="20" t="str">
        <f aca="false">IF(B130="","",IFERROR(INDEX(Dimensions!$B:$B,MATCH(B130,Dimensions!$A:$A,0)),"ID not found"))</f>
        <v/>
      </c>
      <c r="E130" s="30"/>
      <c r="F130" s="20" t="str">
        <f aca="false">IF(E130="","",IFERROR(INDEX(Tables!$B:$B,MATCH(E130,Tables!$A:$A,0)),"ID not found"))</f>
        <v/>
      </c>
      <c r="G130" s="20" t="str">
        <f aca="false">IF(OR(B130="",E130=""),"",IF(IFERROR(INDEX(Dimensions!$C:$C,MATCH(B130,Dimensions!$A:$A,0)),"")="","No agreed source",IF(INDEX(Dimensions!$C:$C,MATCH(B130,Dimensions!$A:$A,0))=E130,"Yes","No")))</f>
        <v/>
      </c>
      <c r="H130" s="30"/>
      <c r="I130" s="30"/>
      <c r="J130" s="30"/>
      <c r="K130" s="34" t="str">
        <f aca="false">IF(AND(A130&lt;&gt;"",G130="No"),COUNTIF($G$5:G130,"No"),"")</f>
        <v/>
      </c>
    </row>
    <row r="131" customFormat="false" ht="15" hidden="false" customHeight="false" outlineLevel="0" collapsed="false">
      <c r="A131" s="29"/>
      <c r="B131" s="29"/>
      <c r="C131" s="20" t="str">
        <f aca="false">IF(A131="","",IFERROR(INDEX(Products!$B:$B,MATCH(A131,Products!$A:$A,0)),"ID not found"))</f>
        <v/>
      </c>
      <c r="D131" s="20" t="str">
        <f aca="false">IF(B131="","",IFERROR(INDEX(Dimensions!$B:$B,MATCH(B131,Dimensions!$A:$A,0)),"ID not found"))</f>
        <v/>
      </c>
      <c r="E131" s="30"/>
      <c r="F131" s="20" t="str">
        <f aca="false">IF(E131="","",IFERROR(INDEX(Tables!$B:$B,MATCH(E131,Tables!$A:$A,0)),"ID not found"))</f>
        <v/>
      </c>
      <c r="G131" s="20" t="str">
        <f aca="false">IF(OR(B131="",E131=""),"",IF(IFERROR(INDEX(Dimensions!$C:$C,MATCH(B131,Dimensions!$A:$A,0)),"")="","No agreed source",IF(INDEX(Dimensions!$C:$C,MATCH(B131,Dimensions!$A:$A,0))=E131,"Yes","No")))</f>
        <v/>
      </c>
      <c r="H131" s="30"/>
      <c r="I131" s="30"/>
      <c r="J131" s="30"/>
      <c r="K131" s="34" t="str">
        <f aca="false">IF(AND(A131&lt;&gt;"",G131="No"),COUNTIF($G$5:G131,"No"),"")</f>
        <v/>
      </c>
    </row>
    <row r="132" customFormat="false" ht="15" hidden="false" customHeight="false" outlineLevel="0" collapsed="false">
      <c r="A132" s="29"/>
      <c r="B132" s="29"/>
      <c r="C132" s="20" t="str">
        <f aca="false">IF(A132="","",IFERROR(INDEX(Products!$B:$B,MATCH(A132,Products!$A:$A,0)),"ID not found"))</f>
        <v/>
      </c>
      <c r="D132" s="20" t="str">
        <f aca="false">IF(B132="","",IFERROR(INDEX(Dimensions!$B:$B,MATCH(B132,Dimensions!$A:$A,0)),"ID not found"))</f>
        <v/>
      </c>
      <c r="E132" s="30"/>
      <c r="F132" s="20" t="str">
        <f aca="false">IF(E132="","",IFERROR(INDEX(Tables!$B:$B,MATCH(E132,Tables!$A:$A,0)),"ID not found"))</f>
        <v/>
      </c>
      <c r="G132" s="20" t="str">
        <f aca="false">IF(OR(B132="",E132=""),"",IF(IFERROR(INDEX(Dimensions!$C:$C,MATCH(B132,Dimensions!$A:$A,0)),"")="","No agreed source",IF(INDEX(Dimensions!$C:$C,MATCH(B132,Dimensions!$A:$A,0))=E132,"Yes","No")))</f>
        <v/>
      </c>
      <c r="H132" s="30"/>
      <c r="I132" s="30"/>
      <c r="J132" s="30"/>
      <c r="K132" s="34" t="str">
        <f aca="false">IF(AND(A132&lt;&gt;"",G132="No"),COUNTIF($G$5:G132,"No"),"")</f>
        <v/>
      </c>
    </row>
    <row r="133" customFormat="false" ht="15" hidden="false" customHeight="false" outlineLevel="0" collapsed="false">
      <c r="A133" s="29"/>
      <c r="B133" s="29"/>
      <c r="C133" s="20" t="str">
        <f aca="false">IF(A133="","",IFERROR(INDEX(Products!$B:$B,MATCH(A133,Products!$A:$A,0)),"ID not found"))</f>
        <v/>
      </c>
      <c r="D133" s="20" t="str">
        <f aca="false">IF(B133="","",IFERROR(INDEX(Dimensions!$B:$B,MATCH(B133,Dimensions!$A:$A,0)),"ID not found"))</f>
        <v/>
      </c>
      <c r="E133" s="30"/>
      <c r="F133" s="20" t="str">
        <f aca="false">IF(E133="","",IFERROR(INDEX(Tables!$B:$B,MATCH(E133,Tables!$A:$A,0)),"ID not found"))</f>
        <v/>
      </c>
      <c r="G133" s="20" t="str">
        <f aca="false">IF(OR(B133="",E133=""),"",IF(IFERROR(INDEX(Dimensions!$C:$C,MATCH(B133,Dimensions!$A:$A,0)),"")="","No agreed source",IF(INDEX(Dimensions!$C:$C,MATCH(B133,Dimensions!$A:$A,0))=E133,"Yes","No")))</f>
        <v/>
      </c>
      <c r="H133" s="30"/>
      <c r="I133" s="30"/>
      <c r="J133" s="30"/>
      <c r="K133" s="34" t="str">
        <f aca="false">IF(AND(A133&lt;&gt;"",G133="No"),COUNTIF($G$5:G133,"No"),"")</f>
        <v/>
      </c>
    </row>
    <row r="134" customFormat="false" ht="15" hidden="false" customHeight="false" outlineLevel="0" collapsed="false">
      <c r="A134" s="29"/>
      <c r="B134" s="29"/>
      <c r="C134" s="20" t="str">
        <f aca="false">IF(A134="","",IFERROR(INDEX(Products!$B:$B,MATCH(A134,Products!$A:$A,0)),"ID not found"))</f>
        <v/>
      </c>
      <c r="D134" s="20" t="str">
        <f aca="false">IF(B134="","",IFERROR(INDEX(Dimensions!$B:$B,MATCH(B134,Dimensions!$A:$A,0)),"ID not found"))</f>
        <v/>
      </c>
      <c r="E134" s="30"/>
      <c r="F134" s="20" t="str">
        <f aca="false">IF(E134="","",IFERROR(INDEX(Tables!$B:$B,MATCH(E134,Tables!$A:$A,0)),"ID not found"))</f>
        <v/>
      </c>
      <c r="G134" s="20" t="str">
        <f aca="false">IF(OR(B134="",E134=""),"",IF(IFERROR(INDEX(Dimensions!$C:$C,MATCH(B134,Dimensions!$A:$A,0)),"")="","No agreed source",IF(INDEX(Dimensions!$C:$C,MATCH(B134,Dimensions!$A:$A,0))=E134,"Yes","No")))</f>
        <v/>
      </c>
      <c r="H134" s="30"/>
      <c r="I134" s="30"/>
      <c r="J134" s="30"/>
      <c r="K134" s="34" t="str">
        <f aca="false">IF(AND(A134&lt;&gt;"",G134="No"),COUNTIF($G$5:G134,"No"),"")</f>
        <v/>
      </c>
    </row>
    <row r="135" customFormat="false" ht="15" hidden="false" customHeight="false" outlineLevel="0" collapsed="false">
      <c r="A135" s="29"/>
      <c r="B135" s="29"/>
      <c r="C135" s="20" t="str">
        <f aca="false">IF(A135="","",IFERROR(INDEX(Products!$B:$B,MATCH(A135,Products!$A:$A,0)),"ID not found"))</f>
        <v/>
      </c>
      <c r="D135" s="20" t="str">
        <f aca="false">IF(B135="","",IFERROR(INDEX(Dimensions!$B:$B,MATCH(B135,Dimensions!$A:$A,0)),"ID not found"))</f>
        <v/>
      </c>
      <c r="E135" s="30"/>
      <c r="F135" s="20" t="str">
        <f aca="false">IF(E135="","",IFERROR(INDEX(Tables!$B:$B,MATCH(E135,Tables!$A:$A,0)),"ID not found"))</f>
        <v/>
      </c>
      <c r="G135" s="20" t="str">
        <f aca="false">IF(OR(B135="",E135=""),"",IF(IFERROR(INDEX(Dimensions!$C:$C,MATCH(B135,Dimensions!$A:$A,0)),"")="","No agreed source",IF(INDEX(Dimensions!$C:$C,MATCH(B135,Dimensions!$A:$A,0))=E135,"Yes","No")))</f>
        <v/>
      </c>
      <c r="H135" s="30"/>
      <c r="I135" s="30"/>
      <c r="J135" s="30"/>
      <c r="K135" s="34" t="str">
        <f aca="false">IF(AND(A135&lt;&gt;"",G135="No"),COUNTIF($G$5:G135,"No"),"")</f>
        <v/>
      </c>
    </row>
    <row r="136" customFormat="false" ht="15" hidden="false" customHeight="false" outlineLevel="0" collapsed="false">
      <c r="A136" s="29"/>
      <c r="B136" s="29"/>
      <c r="C136" s="20" t="str">
        <f aca="false">IF(A136="","",IFERROR(INDEX(Products!$B:$B,MATCH(A136,Products!$A:$A,0)),"ID not found"))</f>
        <v/>
      </c>
      <c r="D136" s="20" t="str">
        <f aca="false">IF(B136="","",IFERROR(INDEX(Dimensions!$B:$B,MATCH(B136,Dimensions!$A:$A,0)),"ID not found"))</f>
        <v/>
      </c>
      <c r="E136" s="30"/>
      <c r="F136" s="20" t="str">
        <f aca="false">IF(E136="","",IFERROR(INDEX(Tables!$B:$B,MATCH(E136,Tables!$A:$A,0)),"ID not found"))</f>
        <v/>
      </c>
      <c r="G136" s="20" t="str">
        <f aca="false">IF(OR(B136="",E136=""),"",IF(IFERROR(INDEX(Dimensions!$C:$C,MATCH(B136,Dimensions!$A:$A,0)),"")="","No agreed source",IF(INDEX(Dimensions!$C:$C,MATCH(B136,Dimensions!$A:$A,0))=E136,"Yes","No")))</f>
        <v/>
      </c>
      <c r="H136" s="30"/>
      <c r="I136" s="30"/>
      <c r="J136" s="30"/>
      <c r="K136" s="34" t="str">
        <f aca="false">IF(AND(A136&lt;&gt;"",G136="No"),COUNTIF($G$5:G136,"No"),"")</f>
        <v/>
      </c>
    </row>
    <row r="137" customFormat="false" ht="15" hidden="false" customHeight="false" outlineLevel="0" collapsed="false">
      <c r="A137" s="29"/>
      <c r="B137" s="29"/>
      <c r="C137" s="20" t="str">
        <f aca="false">IF(A137="","",IFERROR(INDEX(Products!$B:$B,MATCH(A137,Products!$A:$A,0)),"ID not found"))</f>
        <v/>
      </c>
      <c r="D137" s="20" t="str">
        <f aca="false">IF(B137="","",IFERROR(INDEX(Dimensions!$B:$B,MATCH(B137,Dimensions!$A:$A,0)),"ID not found"))</f>
        <v/>
      </c>
      <c r="E137" s="30"/>
      <c r="F137" s="20" t="str">
        <f aca="false">IF(E137="","",IFERROR(INDEX(Tables!$B:$B,MATCH(E137,Tables!$A:$A,0)),"ID not found"))</f>
        <v/>
      </c>
      <c r="G137" s="20" t="str">
        <f aca="false">IF(OR(B137="",E137=""),"",IF(IFERROR(INDEX(Dimensions!$C:$C,MATCH(B137,Dimensions!$A:$A,0)),"")="","No agreed source",IF(INDEX(Dimensions!$C:$C,MATCH(B137,Dimensions!$A:$A,0))=E137,"Yes","No")))</f>
        <v/>
      </c>
      <c r="H137" s="30"/>
      <c r="I137" s="30"/>
      <c r="J137" s="30"/>
      <c r="K137" s="34" t="str">
        <f aca="false">IF(AND(A137&lt;&gt;"",G137="No"),COUNTIF($G$5:G137,"No"),"")</f>
        <v/>
      </c>
    </row>
    <row r="138" customFormat="false" ht="15" hidden="false" customHeight="false" outlineLevel="0" collapsed="false">
      <c r="A138" s="29"/>
      <c r="B138" s="29"/>
      <c r="C138" s="20" t="str">
        <f aca="false">IF(A138="","",IFERROR(INDEX(Products!$B:$B,MATCH(A138,Products!$A:$A,0)),"ID not found"))</f>
        <v/>
      </c>
      <c r="D138" s="20" t="str">
        <f aca="false">IF(B138="","",IFERROR(INDEX(Dimensions!$B:$B,MATCH(B138,Dimensions!$A:$A,0)),"ID not found"))</f>
        <v/>
      </c>
      <c r="E138" s="30"/>
      <c r="F138" s="20" t="str">
        <f aca="false">IF(E138="","",IFERROR(INDEX(Tables!$B:$B,MATCH(E138,Tables!$A:$A,0)),"ID not found"))</f>
        <v/>
      </c>
      <c r="G138" s="20" t="str">
        <f aca="false">IF(OR(B138="",E138=""),"",IF(IFERROR(INDEX(Dimensions!$C:$C,MATCH(B138,Dimensions!$A:$A,0)),"")="","No agreed source",IF(INDEX(Dimensions!$C:$C,MATCH(B138,Dimensions!$A:$A,0))=E138,"Yes","No")))</f>
        <v/>
      </c>
      <c r="H138" s="30"/>
      <c r="I138" s="30"/>
      <c r="J138" s="30"/>
      <c r="K138" s="34" t="str">
        <f aca="false">IF(AND(A138&lt;&gt;"",G138="No"),COUNTIF($G$5:G138,"No"),"")</f>
        <v/>
      </c>
    </row>
    <row r="139" customFormat="false" ht="15" hidden="false" customHeight="false" outlineLevel="0" collapsed="false">
      <c r="A139" s="29"/>
      <c r="B139" s="29"/>
      <c r="C139" s="20" t="str">
        <f aca="false">IF(A139="","",IFERROR(INDEX(Products!$B:$B,MATCH(A139,Products!$A:$A,0)),"ID not found"))</f>
        <v/>
      </c>
      <c r="D139" s="20" t="str">
        <f aca="false">IF(B139="","",IFERROR(INDEX(Dimensions!$B:$B,MATCH(B139,Dimensions!$A:$A,0)),"ID not found"))</f>
        <v/>
      </c>
      <c r="E139" s="30"/>
      <c r="F139" s="20" t="str">
        <f aca="false">IF(E139="","",IFERROR(INDEX(Tables!$B:$B,MATCH(E139,Tables!$A:$A,0)),"ID not found"))</f>
        <v/>
      </c>
      <c r="G139" s="20" t="str">
        <f aca="false">IF(OR(B139="",E139=""),"",IF(IFERROR(INDEX(Dimensions!$C:$C,MATCH(B139,Dimensions!$A:$A,0)),"")="","No agreed source",IF(INDEX(Dimensions!$C:$C,MATCH(B139,Dimensions!$A:$A,0))=E139,"Yes","No")))</f>
        <v/>
      </c>
      <c r="H139" s="30"/>
      <c r="I139" s="30"/>
      <c r="J139" s="30"/>
      <c r="K139" s="34" t="str">
        <f aca="false">IF(AND(A139&lt;&gt;"",G139="No"),COUNTIF($G$5:G139,"No"),"")</f>
        <v/>
      </c>
    </row>
    <row r="140" customFormat="false" ht="15" hidden="false" customHeight="false" outlineLevel="0" collapsed="false">
      <c r="A140" s="29"/>
      <c r="B140" s="29"/>
      <c r="C140" s="20" t="str">
        <f aca="false">IF(A140="","",IFERROR(INDEX(Products!$B:$B,MATCH(A140,Products!$A:$A,0)),"ID not found"))</f>
        <v/>
      </c>
      <c r="D140" s="20" t="str">
        <f aca="false">IF(B140="","",IFERROR(INDEX(Dimensions!$B:$B,MATCH(B140,Dimensions!$A:$A,0)),"ID not found"))</f>
        <v/>
      </c>
      <c r="E140" s="30"/>
      <c r="F140" s="20" t="str">
        <f aca="false">IF(E140="","",IFERROR(INDEX(Tables!$B:$B,MATCH(E140,Tables!$A:$A,0)),"ID not found"))</f>
        <v/>
      </c>
      <c r="G140" s="20" t="str">
        <f aca="false">IF(OR(B140="",E140=""),"",IF(IFERROR(INDEX(Dimensions!$C:$C,MATCH(B140,Dimensions!$A:$A,0)),"")="","No agreed source",IF(INDEX(Dimensions!$C:$C,MATCH(B140,Dimensions!$A:$A,0))=E140,"Yes","No")))</f>
        <v/>
      </c>
      <c r="H140" s="30"/>
      <c r="I140" s="30"/>
      <c r="J140" s="30"/>
      <c r="K140" s="34" t="str">
        <f aca="false">IF(AND(A140&lt;&gt;"",G140="No"),COUNTIF($G$5:G140,"No"),"")</f>
        <v/>
      </c>
    </row>
    <row r="141" customFormat="false" ht="15" hidden="false" customHeight="false" outlineLevel="0" collapsed="false">
      <c r="A141" s="29"/>
      <c r="B141" s="29"/>
      <c r="C141" s="20" t="str">
        <f aca="false">IF(A141="","",IFERROR(INDEX(Products!$B:$B,MATCH(A141,Products!$A:$A,0)),"ID not found"))</f>
        <v/>
      </c>
      <c r="D141" s="20" t="str">
        <f aca="false">IF(B141="","",IFERROR(INDEX(Dimensions!$B:$B,MATCH(B141,Dimensions!$A:$A,0)),"ID not found"))</f>
        <v/>
      </c>
      <c r="E141" s="30"/>
      <c r="F141" s="20" t="str">
        <f aca="false">IF(E141="","",IFERROR(INDEX(Tables!$B:$B,MATCH(E141,Tables!$A:$A,0)),"ID not found"))</f>
        <v/>
      </c>
      <c r="G141" s="20" t="str">
        <f aca="false">IF(OR(B141="",E141=""),"",IF(IFERROR(INDEX(Dimensions!$C:$C,MATCH(B141,Dimensions!$A:$A,0)),"")="","No agreed source",IF(INDEX(Dimensions!$C:$C,MATCH(B141,Dimensions!$A:$A,0))=E141,"Yes","No")))</f>
        <v/>
      </c>
      <c r="H141" s="30"/>
      <c r="I141" s="30"/>
      <c r="J141" s="30"/>
      <c r="K141" s="34" t="str">
        <f aca="false">IF(AND(A141&lt;&gt;"",G141="No"),COUNTIF($G$5:G141,"No"),"")</f>
        <v/>
      </c>
    </row>
    <row r="142" customFormat="false" ht="15" hidden="false" customHeight="false" outlineLevel="0" collapsed="false">
      <c r="A142" s="29"/>
      <c r="B142" s="29"/>
      <c r="C142" s="20" t="str">
        <f aca="false">IF(A142="","",IFERROR(INDEX(Products!$B:$B,MATCH(A142,Products!$A:$A,0)),"ID not found"))</f>
        <v/>
      </c>
      <c r="D142" s="20" t="str">
        <f aca="false">IF(B142="","",IFERROR(INDEX(Dimensions!$B:$B,MATCH(B142,Dimensions!$A:$A,0)),"ID not found"))</f>
        <v/>
      </c>
      <c r="E142" s="30"/>
      <c r="F142" s="20" t="str">
        <f aca="false">IF(E142="","",IFERROR(INDEX(Tables!$B:$B,MATCH(E142,Tables!$A:$A,0)),"ID not found"))</f>
        <v/>
      </c>
      <c r="G142" s="20" t="str">
        <f aca="false">IF(OR(B142="",E142=""),"",IF(IFERROR(INDEX(Dimensions!$C:$C,MATCH(B142,Dimensions!$A:$A,0)),"")="","No agreed source",IF(INDEX(Dimensions!$C:$C,MATCH(B142,Dimensions!$A:$A,0))=E142,"Yes","No")))</f>
        <v/>
      </c>
      <c r="H142" s="30"/>
      <c r="I142" s="30"/>
      <c r="J142" s="30"/>
      <c r="K142" s="34" t="str">
        <f aca="false">IF(AND(A142&lt;&gt;"",G142="No"),COUNTIF($G$5:G142,"No"),"")</f>
        <v/>
      </c>
    </row>
    <row r="143" customFormat="false" ht="15" hidden="false" customHeight="false" outlineLevel="0" collapsed="false">
      <c r="A143" s="29"/>
      <c r="B143" s="29"/>
      <c r="C143" s="20" t="str">
        <f aca="false">IF(A143="","",IFERROR(INDEX(Products!$B:$B,MATCH(A143,Products!$A:$A,0)),"ID not found"))</f>
        <v/>
      </c>
      <c r="D143" s="20" t="str">
        <f aca="false">IF(B143="","",IFERROR(INDEX(Dimensions!$B:$B,MATCH(B143,Dimensions!$A:$A,0)),"ID not found"))</f>
        <v/>
      </c>
      <c r="E143" s="30"/>
      <c r="F143" s="20" t="str">
        <f aca="false">IF(E143="","",IFERROR(INDEX(Tables!$B:$B,MATCH(E143,Tables!$A:$A,0)),"ID not found"))</f>
        <v/>
      </c>
      <c r="G143" s="20" t="str">
        <f aca="false">IF(OR(B143="",E143=""),"",IF(IFERROR(INDEX(Dimensions!$C:$C,MATCH(B143,Dimensions!$A:$A,0)),"")="","No agreed source",IF(INDEX(Dimensions!$C:$C,MATCH(B143,Dimensions!$A:$A,0))=E143,"Yes","No")))</f>
        <v/>
      </c>
      <c r="H143" s="30"/>
      <c r="I143" s="30"/>
      <c r="J143" s="30"/>
      <c r="K143" s="34" t="str">
        <f aca="false">IF(AND(A143&lt;&gt;"",G143="No"),COUNTIF($G$5:G143,"No"),"")</f>
        <v/>
      </c>
    </row>
    <row r="144" customFormat="false" ht="15" hidden="false" customHeight="false" outlineLevel="0" collapsed="false">
      <c r="A144" s="29"/>
      <c r="B144" s="29"/>
      <c r="C144" s="20" t="str">
        <f aca="false">IF(A144="","",IFERROR(INDEX(Products!$B:$B,MATCH(A144,Products!$A:$A,0)),"ID not found"))</f>
        <v/>
      </c>
      <c r="D144" s="20" t="str">
        <f aca="false">IF(B144="","",IFERROR(INDEX(Dimensions!$B:$B,MATCH(B144,Dimensions!$A:$A,0)),"ID not found"))</f>
        <v/>
      </c>
      <c r="E144" s="30"/>
      <c r="F144" s="20" t="str">
        <f aca="false">IF(E144="","",IFERROR(INDEX(Tables!$B:$B,MATCH(E144,Tables!$A:$A,0)),"ID not found"))</f>
        <v/>
      </c>
      <c r="G144" s="20" t="str">
        <f aca="false">IF(OR(B144="",E144=""),"",IF(IFERROR(INDEX(Dimensions!$C:$C,MATCH(B144,Dimensions!$A:$A,0)),"")="","No agreed source",IF(INDEX(Dimensions!$C:$C,MATCH(B144,Dimensions!$A:$A,0))=E144,"Yes","No")))</f>
        <v/>
      </c>
      <c r="H144" s="30"/>
      <c r="I144" s="30"/>
      <c r="J144" s="30"/>
      <c r="K144" s="34" t="str">
        <f aca="false">IF(AND(A144&lt;&gt;"",G144="No"),COUNTIF($G$5:G144,"No"),"")</f>
        <v/>
      </c>
    </row>
    <row r="145" customFormat="false" ht="15" hidden="false" customHeight="false" outlineLevel="0" collapsed="false">
      <c r="A145" s="29"/>
      <c r="B145" s="29"/>
      <c r="C145" s="20" t="str">
        <f aca="false">IF(A145="","",IFERROR(INDEX(Products!$B:$B,MATCH(A145,Products!$A:$A,0)),"ID not found"))</f>
        <v/>
      </c>
      <c r="D145" s="20" t="str">
        <f aca="false">IF(B145="","",IFERROR(INDEX(Dimensions!$B:$B,MATCH(B145,Dimensions!$A:$A,0)),"ID not found"))</f>
        <v/>
      </c>
      <c r="E145" s="30"/>
      <c r="F145" s="20" t="str">
        <f aca="false">IF(E145="","",IFERROR(INDEX(Tables!$B:$B,MATCH(E145,Tables!$A:$A,0)),"ID not found"))</f>
        <v/>
      </c>
      <c r="G145" s="20" t="str">
        <f aca="false">IF(OR(B145="",E145=""),"",IF(IFERROR(INDEX(Dimensions!$C:$C,MATCH(B145,Dimensions!$A:$A,0)),"")="","No agreed source",IF(INDEX(Dimensions!$C:$C,MATCH(B145,Dimensions!$A:$A,0))=E145,"Yes","No")))</f>
        <v/>
      </c>
      <c r="H145" s="30"/>
      <c r="I145" s="30"/>
      <c r="J145" s="30"/>
      <c r="K145" s="34" t="str">
        <f aca="false">IF(AND(A145&lt;&gt;"",G145="No"),COUNTIF($G$5:G145,"No"),"")</f>
        <v/>
      </c>
    </row>
    <row r="146" customFormat="false" ht="15" hidden="false" customHeight="false" outlineLevel="0" collapsed="false">
      <c r="A146" s="29"/>
      <c r="B146" s="29"/>
      <c r="C146" s="20" t="str">
        <f aca="false">IF(A146="","",IFERROR(INDEX(Products!$B:$B,MATCH(A146,Products!$A:$A,0)),"ID not found"))</f>
        <v/>
      </c>
      <c r="D146" s="20" t="str">
        <f aca="false">IF(B146="","",IFERROR(INDEX(Dimensions!$B:$B,MATCH(B146,Dimensions!$A:$A,0)),"ID not found"))</f>
        <v/>
      </c>
      <c r="E146" s="30"/>
      <c r="F146" s="20" t="str">
        <f aca="false">IF(E146="","",IFERROR(INDEX(Tables!$B:$B,MATCH(E146,Tables!$A:$A,0)),"ID not found"))</f>
        <v/>
      </c>
      <c r="G146" s="20" t="str">
        <f aca="false">IF(OR(B146="",E146=""),"",IF(IFERROR(INDEX(Dimensions!$C:$C,MATCH(B146,Dimensions!$A:$A,0)),"")="","No agreed source",IF(INDEX(Dimensions!$C:$C,MATCH(B146,Dimensions!$A:$A,0))=E146,"Yes","No")))</f>
        <v/>
      </c>
      <c r="H146" s="30"/>
      <c r="I146" s="30"/>
      <c r="J146" s="30"/>
      <c r="K146" s="34" t="str">
        <f aca="false">IF(AND(A146&lt;&gt;"",G146="No"),COUNTIF($G$5:G146,"No"),"")</f>
        <v/>
      </c>
    </row>
    <row r="147" customFormat="false" ht="15" hidden="false" customHeight="false" outlineLevel="0" collapsed="false">
      <c r="A147" s="29"/>
      <c r="B147" s="29"/>
      <c r="C147" s="20" t="str">
        <f aca="false">IF(A147="","",IFERROR(INDEX(Products!$B:$B,MATCH(A147,Products!$A:$A,0)),"ID not found"))</f>
        <v/>
      </c>
      <c r="D147" s="20" t="str">
        <f aca="false">IF(B147="","",IFERROR(INDEX(Dimensions!$B:$B,MATCH(B147,Dimensions!$A:$A,0)),"ID not found"))</f>
        <v/>
      </c>
      <c r="E147" s="30"/>
      <c r="F147" s="20" t="str">
        <f aca="false">IF(E147="","",IFERROR(INDEX(Tables!$B:$B,MATCH(E147,Tables!$A:$A,0)),"ID not found"))</f>
        <v/>
      </c>
      <c r="G147" s="20" t="str">
        <f aca="false">IF(OR(B147="",E147=""),"",IF(IFERROR(INDEX(Dimensions!$C:$C,MATCH(B147,Dimensions!$A:$A,0)),"")="","No agreed source",IF(INDEX(Dimensions!$C:$C,MATCH(B147,Dimensions!$A:$A,0))=E147,"Yes","No")))</f>
        <v/>
      </c>
      <c r="H147" s="30"/>
      <c r="I147" s="30"/>
      <c r="J147" s="30"/>
      <c r="K147" s="34" t="str">
        <f aca="false">IF(AND(A147&lt;&gt;"",G147="No"),COUNTIF($G$5:G147,"No"),"")</f>
        <v/>
      </c>
    </row>
    <row r="148" customFormat="false" ht="15" hidden="false" customHeight="false" outlineLevel="0" collapsed="false">
      <c r="A148" s="29"/>
      <c r="B148" s="29"/>
      <c r="C148" s="20" t="str">
        <f aca="false">IF(A148="","",IFERROR(INDEX(Products!$B:$B,MATCH(A148,Products!$A:$A,0)),"ID not found"))</f>
        <v/>
      </c>
      <c r="D148" s="20" t="str">
        <f aca="false">IF(B148="","",IFERROR(INDEX(Dimensions!$B:$B,MATCH(B148,Dimensions!$A:$A,0)),"ID not found"))</f>
        <v/>
      </c>
      <c r="E148" s="30"/>
      <c r="F148" s="20" t="str">
        <f aca="false">IF(E148="","",IFERROR(INDEX(Tables!$B:$B,MATCH(E148,Tables!$A:$A,0)),"ID not found"))</f>
        <v/>
      </c>
      <c r="G148" s="20" t="str">
        <f aca="false">IF(OR(B148="",E148=""),"",IF(IFERROR(INDEX(Dimensions!$C:$C,MATCH(B148,Dimensions!$A:$A,0)),"")="","No agreed source",IF(INDEX(Dimensions!$C:$C,MATCH(B148,Dimensions!$A:$A,0))=E148,"Yes","No")))</f>
        <v/>
      </c>
      <c r="H148" s="30"/>
      <c r="I148" s="30"/>
      <c r="J148" s="30"/>
      <c r="K148" s="34" t="str">
        <f aca="false">IF(AND(A148&lt;&gt;"",G148="No"),COUNTIF($G$5:G148,"No"),"")</f>
        <v/>
      </c>
    </row>
    <row r="149" customFormat="false" ht="15" hidden="false" customHeight="false" outlineLevel="0" collapsed="false">
      <c r="A149" s="29"/>
      <c r="B149" s="29"/>
      <c r="C149" s="20" t="str">
        <f aca="false">IF(A149="","",IFERROR(INDEX(Products!$B:$B,MATCH(A149,Products!$A:$A,0)),"ID not found"))</f>
        <v/>
      </c>
      <c r="D149" s="20" t="str">
        <f aca="false">IF(B149="","",IFERROR(INDEX(Dimensions!$B:$B,MATCH(B149,Dimensions!$A:$A,0)),"ID not found"))</f>
        <v/>
      </c>
      <c r="E149" s="30"/>
      <c r="F149" s="20" t="str">
        <f aca="false">IF(E149="","",IFERROR(INDEX(Tables!$B:$B,MATCH(E149,Tables!$A:$A,0)),"ID not found"))</f>
        <v/>
      </c>
      <c r="G149" s="20" t="str">
        <f aca="false">IF(OR(B149="",E149=""),"",IF(IFERROR(INDEX(Dimensions!$C:$C,MATCH(B149,Dimensions!$A:$A,0)),"")="","No agreed source",IF(INDEX(Dimensions!$C:$C,MATCH(B149,Dimensions!$A:$A,0))=E149,"Yes","No")))</f>
        <v/>
      </c>
      <c r="H149" s="30"/>
      <c r="I149" s="30"/>
      <c r="J149" s="30"/>
      <c r="K149" s="34" t="str">
        <f aca="false">IF(AND(A149&lt;&gt;"",G149="No"),COUNTIF($G$5:G149,"No"),"")</f>
        <v/>
      </c>
    </row>
    <row r="150" customFormat="false" ht="15" hidden="false" customHeight="false" outlineLevel="0" collapsed="false">
      <c r="A150" s="29"/>
      <c r="B150" s="29"/>
      <c r="C150" s="20" t="str">
        <f aca="false">IF(A150="","",IFERROR(INDEX(Products!$B:$B,MATCH(A150,Products!$A:$A,0)),"ID not found"))</f>
        <v/>
      </c>
      <c r="D150" s="20" t="str">
        <f aca="false">IF(B150="","",IFERROR(INDEX(Dimensions!$B:$B,MATCH(B150,Dimensions!$A:$A,0)),"ID not found"))</f>
        <v/>
      </c>
      <c r="E150" s="30"/>
      <c r="F150" s="20" t="str">
        <f aca="false">IF(E150="","",IFERROR(INDEX(Tables!$B:$B,MATCH(E150,Tables!$A:$A,0)),"ID not found"))</f>
        <v/>
      </c>
      <c r="G150" s="20" t="str">
        <f aca="false">IF(OR(B150="",E150=""),"",IF(IFERROR(INDEX(Dimensions!$C:$C,MATCH(B150,Dimensions!$A:$A,0)),"")="","No agreed source",IF(INDEX(Dimensions!$C:$C,MATCH(B150,Dimensions!$A:$A,0))=E150,"Yes","No")))</f>
        <v/>
      </c>
      <c r="H150" s="30"/>
      <c r="I150" s="30"/>
      <c r="J150" s="30"/>
      <c r="K150" s="34" t="str">
        <f aca="false">IF(AND(A150&lt;&gt;"",G150="No"),COUNTIF($G$5:G150,"No"),"")</f>
        <v/>
      </c>
    </row>
    <row r="151" customFormat="false" ht="15" hidden="false" customHeight="false" outlineLevel="0" collapsed="false">
      <c r="A151" s="29"/>
      <c r="B151" s="29"/>
      <c r="C151" s="20" t="str">
        <f aca="false">IF(A151="","",IFERROR(INDEX(Products!$B:$B,MATCH(A151,Products!$A:$A,0)),"ID not found"))</f>
        <v/>
      </c>
      <c r="D151" s="20" t="str">
        <f aca="false">IF(B151="","",IFERROR(INDEX(Dimensions!$B:$B,MATCH(B151,Dimensions!$A:$A,0)),"ID not found"))</f>
        <v/>
      </c>
      <c r="E151" s="30"/>
      <c r="F151" s="20" t="str">
        <f aca="false">IF(E151="","",IFERROR(INDEX(Tables!$B:$B,MATCH(E151,Tables!$A:$A,0)),"ID not found"))</f>
        <v/>
      </c>
      <c r="G151" s="20" t="str">
        <f aca="false">IF(OR(B151="",E151=""),"",IF(IFERROR(INDEX(Dimensions!$C:$C,MATCH(B151,Dimensions!$A:$A,0)),"")="","No agreed source",IF(INDEX(Dimensions!$C:$C,MATCH(B151,Dimensions!$A:$A,0))=E151,"Yes","No")))</f>
        <v/>
      </c>
      <c r="H151" s="30"/>
      <c r="I151" s="30"/>
      <c r="J151" s="30"/>
      <c r="K151" s="34" t="str">
        <f aca="false">IF(AND(A151&lt;&gt;"",G151="No"),COUNTIF($G$5:G151,"No"),"")</f>
        <v/>
      </c>
    </row>
    <row r="152" customFormat="false" ht="15" hidden="false" customHeight="false" outlineLevel="0" collapsed="false">
      <c r="A152" s="29"/>
      <c r="B152" s="29"/>
      <c r="C152" s="20" t="str">
        <f aca="false">IF(A152="","",IFERROR(INDEX(Products!$B:$B,MATCH(A152,Products!$A:$A,0)),"ID not found"))</f>
        <v/>
      </c>
      <c r="D152" s="20" t="str">
        <f aca="false">IF(B152="","",IFERROR(INDEX(Dimensions!$B:$B,MATCH(B152,Dimensions!$A:$A,0)),"ID not found"))</f>
        <v/>
      </c>
      <c r="E152" s="30"/>
      <c r="F152" s="20" t="str">
        <f aca="false">IF(E152="","",IFERROR(INDEX(Tables!$B:$B,MATCH(E152,Tables!$A:$A,0)),"ID not found"))</f>
        <v/>
      </c>
      <c r="G152" s="20" t="str">
        <f aca="false">IF(OR(B152="",E152=""),"",IF(IFERROR(INDEX(Dimensions!$C:$C,MATCH(B152,Dimensions!$A:$A,0)),"")="","No agreed source",IF(INDEX(Dimensions!$C:$C,MATCH(B152,Dimensions!$A:$A,0))=E152,"Yes","No")))</f>
        <v/>
      </c>
      <c r="H152" s="30"/>
      <c r="I152" s="30"/>
      <c r="J152" s="30"/>
      <c r="K152" s="34" t="str">
        <f aca="false">IF(AND(A152&lt;&gt;"",G152="No"),COUNTIF($G$5:G152,"No"),"")</f>
        <v/>
      </c>
    </row>
    <row r="153" customFormat="false" ht="15" hidden="false" customHeight="false" outlineLevel="0" collapsed="false">
      <c r="A153" s="29"/>
      <c r="B153" s="29"/>
      <c r="C153" s="20" t="str">
        <f aca="false">IF(A153="","",IFERROR(INDEX(Products!$B:$B,MATCH(A153,Products!$A:$A,0)),"ID not found"))</f>
        <v/>
      </c>
      <c r="D153" s="20" t="str">
        <f aca="false">IF(B153="","",IFERROR(INDEX(Dimensions!$B:$B,MATCH(B153,Dimensions!$A:$A,0)),"ID not found"))</f>
        <v/>
      </c>
      <c r="E153" s="30"/>
      <c r="F153" s="20" t="str">
        <f aca="false">IF(E153="","",IFERROR(INDEX(Tables!$B:$B,MATCH(E153,Tables!$A:$A,0)),"ID not found"))</f>
        <v/>
      </c>
      <c r="G153" s="20" t="str">
        <f aca="false">IF(OR(B153="",E153=""),"",IF(IFERROR(INDEX(Dimensions!$C:$C,MATCH(B153,Dimensions!$A:$A,0)),"")="","No agreed source",IF(INDEX(Dimensions!$C:$C,MATCH(B153,Dimensions!$A:$A,0))=E153,"Yes","No")))</f>
        <v/>
      </c>
      <c r="H153" s="30"/>
      <c r="I153" s="30"/>
      <c r="J153" s="30"/>
      <c r="K153" s="34" t="str">
        <f aca="false">IF(AND(A153&lt;&gt;"",G153="No"),COUNTIF($G$5:G153,"No"),"")</f>
        <v/>
      </c>
    </row>
    <row r="154" customFormat="false" ht="15" hidden="false" customHeight="false" outlineLevel="0" collapsed="false">
      <c r="A154" s="29"/>
      <c r="B154" s="29"/>
      <c r="C154" s="20" t="str">
        <f aca="false">IF(A154="","",IFERROR(INDEX(Products!$B:$B,MATCH(A154,Products!$A:$A,0)),"ID not found"))</f>
        <v/>
      </c>
      <c r="D154" s="20" t="str">
        <f aca="false">IF(B154="","",IFERROR(INDEX(Dimensions!$B:$B,MATCH(B154,Dimensions!$A:$A,0)),"ID not found"))</f>
        <v/>
      </c>
      <c r="E154" s="30"/>
      <c r="F154" s="20" t="str">
        <f aca="false">IF(E154="","",IFERROR(INDEX(Tables!$B:$B,MATCH(E154,Tables!$A:$A,0)),"ID not found"))</f>
        <v/>
      </c>
      <c r="G154" s="20" t="str">
        <f aca="false">IF(OR(B154="",E154=""),"",IF(IFERROR(INDEX(Dimensions!$C:$C,MATCH(B154,Dimensions!$A:$A,0)),"")="","No agreed source",IF(INDEX(Dimensions!$C:$C,MATCH(B154,Dimensions!$A:$A,0))=E154,"Yes","No")))</f>
        <v/>
      </c>
      <c r="H154" s="30"/>
      <c r="I154" s="30"/>
      <c r="J154" s="30"/>
      <c r="K154" s="34" t="str">
        <f aca="false">IF(AND(A154&lt;&gt;"",G154="No"),COUNTIF($G$5:G154,"No"),"")</f>
        <v/>
      </c>
    </row>
    <row r="155" customFormat="false" ht="15" hidden="false" customHeight="false" outlineLevel="0" collapsed="false">
      <c r="A155" s="29"/>
      <c r="B155" s="29"/>
      <c r="C155" s="20" t="str">
        <f aca="false">IF(A155="","",IFERROR(INDEX(Products!$B:$B,MATCH(A155,Products!$A:$A,0)),"ID not found"))</f>
        <v/>
      </c>
      <c r="D155" s="20" t="str">
        <f aca="false">IF(B155="","",IFERROR(INDEX(Dimensions!$B:$B,MATCH(B155,Dimensions!$A:$A,0)),"ID not found"))</f>
        <v/>
      </c>
      <c r="E155" s="30"/>
      <c r="F155" s="20" t="str">
        <f aca="false">IF(E155="","",IFERROR(INDEX(Tables!$B:$B,MATCH(E155,Tables!$A:$A,0)),"ID not found"))</f>
        <v/>
      </c>
      <c r="G155" s="20" t="str">
        <f aca="false">IF(OR(B155="",E155=""),"",IF(IFERROR(INDEX(Dimensions!$C:$C,MATCH(B155,Dimensions!$A:$A,0)),"")="","No agreed source",IF(INDEX(Dimensions!$C:$C,MATCH(B155,Dimensions!$A:$A,0))=E155,"Yes","No")))</f>
        <v/>
      </c>
      <c r="H155" s="30"/>
      <c r="I155" s="30"/>
      <c r="J155" s="30"/>
      <c r="K155" s="34" t="str">
        <f aca="false">IF(AND(A155&lt;&gt;"",G155="No"),COUNTIF($G$5:G155,"No"),"")</f>
        <v/>
      </c>
    </row>
    <row r="156" customFormat="false" ht="15" hidden="false" customHeight="false" outlineLevel="0" collapsed="false">
      <c r="A156" s="29"/>
      <c r="B156" s="29"/>
      <c r="C156" s="20" t="str">
        <f aca="false">IF(A156="","",IFERROR(INDEX(Products!$B:$B,MATCH(A156,Products!$A:$A,0)),"ID not found"))</f>
        <v/>
      </c>
      <c r="D156" s="20" t="str">
        <f aca="false">IF(B156="","",IFERROR(INDEX(Dimensions!$B:$B,MATCH(B156,Dimensions!$A:$A,0)),"ID not found"))</f>
        <v/>
      </c>
      <c r="E156" s="30"/>
      <c r="F156" s="20" t="str">
        <f aca="false">IF(E156="","",IFERROR(INDEX(Tables!$B:$B,MATCH(E156,Tables!$A:$A,0)),"ID not found"))</f>
        <v/>
      </c>
      <c r="G156" s="20" t="str">
        <f aca="false">IF(OR(B156="",E156=""),"",IF(IFERROR(INDEX(Dimensions!$C:$C,MATCH(B156,Dimensions!$A:$A,0)),"")="","No agreed source",IF(INDEX(Dimensions!$C:$C,MATCH(B156,Dimensions!$A:$A,0))=E156,"Yes","No")))</f>
        <v/>
      </c>
      <c r="H156" s="30"/>
      <c r="I156" s="30"/>
      <c r="J156" s="30"/>
      <c r="K156" s="34" t="str">
        <f aca="false">IF(AND(A156&lt;&gt;"",G156="No"),COUNTIF($G$5:G156,"No"),"")</f>
        <v/>
      </c>
    </row>
    <row r="157" customFormat="false" ht="15" hidden="false" customHeight="false" outlineLevel="0" collapsed="false">
      <c r="A157" s="29"/>
      <c r="B157" s="29"/>
      <c r="C157" s="20" t="str">
        <f aca="false">IF(A157="","",IFERROR(INDEX(Products!$B:$B,MATCH(A157,Products!$A:$A,0)),"ID not found"))</f>
        <v/>
      </c>
      <c r="D157" s="20" t="str">
        <f aca="false">IF(B157="","",IFERROR(INDEX(Dimensions!$B:$B,MATCH(B157,Dimensions!$A:$A,0)),"ID not found"))</f>
        <v/>
      </c>
      <c r="E157" s="30"/>
      <c r="F157" s="20" t="str">
        <f aca="false">IF(E157="","",IFERROR(INDEX(Tables!$B:$B,MATCH(E157,Tables!$A:$A,0)),"ID not found"))</f>
        <v/>
      </c>
      <c r="G157" s="20" t="str">
        <f aca="false">IF(OR(B157="",E157=""),"",IF(IFERROR(INDEX(Dimensions!$C:$C,MATCH(B157,Dimensions!$A:$A,0)),"")="","No agreed source",IF(INDEX(Dimensions!$C:$C,MATCH(B157,Dimensions!$A:$A,0))=E157,"Yes","No")))</f>
        <v/>
      </c>
      <c r="H157" s="30"/>
      <c r="I157" s="30"/>
      <c r="J157" s="30"/>
      <c r="K157" s="34" t="str">
        <f aca="false">IF(AND(A157&lt;&gt;"",G157="No"),COUNTIF($G$5:G157,"No"),"")</f>
        <v/>
      </c>
    </row>
    <row r="158" customFormat="false" ht="15" hidden="false" customHeight="false" outlineLevel="0" collapsed="false">
      <c r="A158" s="29"/>
      <c r="B158" s="29"/>
      <c r="C158" s="20" t="str">
        <f aca="false">IF(A158="","",IFERROR(INDEX(Products!$B:$B,MATCH(A158,Products!$A:$A,0)),"ID not found"))</f>
        <v/>
      </c>
      <c r="D158" s="20" t="str">
        <f aca="false">IF(B158="","",IFERROR(INDEX(Dimensions!$B:$B,MATCH(B158,Dimensions!$A:$A,0)),"ID not found"))</f>
        <v/>
      </c>
      <c r="E158" s="30"/>
      <c r="F158" s="20" t="str">
        <f aca="false">IF(E158="","",IFERROR(INDEX(Tables!$B:$B,MATCH(E158,Tables!$A:$A,0)),"ID not found"))</f>
        <v/>
      </c>
      <c r="G158" s="20" t="str">
        <f aca="false">IF(OR(B158="",E158=""),"",IF(IFERROR(INDEX(Dimensions!$C:$C,MATCH(B158,Dimensions!$A:$A,0)),"")="","No agreed source",IF(INDEX(Dimensions!$C:$C,MATCH(B158,Dimensions!$A:$A,0))=E158,"Yes","No")))</f>
        <v/>
      </c>
      <c r="H158" s="30"/>
      <c r="I158" s="30"/>
      <c r="J158" s="30"/>
      <c r="K158" s="34" t="str">
        <f aca="false">IF(AND(A158&lt;&gt;"",G158="No"),COUNTIF($G$5:G158,"No"),"")</f>
        <v/>
      </c>
    </row>
    <row r="159" customFormat="false" ht="15" hidden="false" customHeight="false" outlineLevel="0" collapsed="false">
      <c r="A159" s="29"/>
      <c r="B159" s="29"/>
      <c r="C159" s="20" t="str">
        <f aca="false">IF(A159="","",IFERROR(INDEX(Products!$B:$B,MATCH(A159,Products!$A:$A,0)),"ID not found"))</f>
        <v/>
      </c>
      <c r="D159" s="20" t="str">
        <f aca="false">IF(B159="","",IFERROR(INDEX(Dimensions!$B:$B,MATCH(B159,Dimensions!$A:$A,0)),"ID not found"))</f>
        <v/>
      </c>
      <c r="E159" s="30"/>
      <c r="F159" s="20" t="str">
        <f aca="false">IF(E159="","",IFERROR(INDEX(Tables!$B:$B,MATCH(E159,Tables!$A:$A,0)),"ID not found"))</f>
        <v/>
      </c>
      <c r="G159" s="20" t="str">
        <f aca="false">IF(OR(B159="",E159=""),"",IF(IFERROR(INDEX(Dimensions!$C:$C,MATCH(B159,Dimensions!$A:$A,0)),"")="","No agreed source",IF(INDEX(Dimensions!$C:$C,MATCH(B159,Dimensions!$A:$A,0))=E159,"Yes","No")))</f>
        <v/>
      </c>
      <c r="H159" s="30"/>
      <c r="I159" s="30"/>
      <c r="J159" s="30"/>
      <c r="K159" s="34" t="str">
        <f aca="false">IF(AND(A159&lt;&gt;"",G159="No"),COUNTIF($G$5:G159,"No"),"")</f>
        <v/>
      </c>
    </row>
    <row r="160" customFormat="false" ht="15" hidden="false" customHeight="false" outlineLevel="0" collapsed="false">
      <c r="A160" s="29"/>
      <c r="B160" s="29"/>
      <c r="C160" s="20" t="str">
        <f aca="false">IF(A160="","",IFERROR(INDEX(Products!$B:$B,MATCH(A160,Products!$A:$A,0)),"ID not found"))</f>
        <v/>
      </c>
      <c r="D160" s="20" t="str">
        <f aca="false">IF(B160="","",IFERROR(INDEX(Dimensions!$B:$B,MATCH(B160,Dimensions!$A:$A,0)),"ID not found"))</f>
        <v/>
      </c>
      <c r="E160" s="30"/>
      <c r="F160" s="20" t="str">
        <f aca="false">IF(E160="","",IFERROR(INDEX(Tables!$B:$B,MATCH(E160,Tables!$A:$A,0)),"ID not found"))</f>
        <v/>
      </c>
      <c r="G160" s="20" t="str">
        <f aca="false">IF(OR(B160="",E160=""),"",IF(IFERROR(INDEX(Dimensions!$C:$C,MATCH(B160,Dimensions!$A:$A,0)),"")="","No agreed source",IF(INDEX(Dimensions!$C:$C,MATCH(B160,Dimensions!$A:$A,0))=E160,"Yes","No")))</f>
        <v/>
      </c>
      <c r="H160" s="30"/>
      <c r="I160" s="30"/>
      <c r="J160" s="30"/>
      <c r="K160" s="34" t="str">
        <f aca="false">IF(AND(A160&lt;&gt;"",G160="No"),COUNTIF($G$5:G160,"No"),"")</f>
        <v/>
      </c>
    </row>
    <row r="161" customFormat="false" ht="15" hidden="false" customHeight="false" outlineLevel="0" collapsed="false">
      <c r="A161" s="29"/>
      <c r="B161" s="29"/>
      <c r="C161" s="20" t="str">
        <f aca="false">IF(A161="","",IFERROR(INDEX(Products!$B:$B,MATCH(A161,Products!$A:$A,0)),"ID not found"))</f>
        <v/>
      </c>
      <c r="D161" s="20" t="str">
        <f aca="false">IF(B161="","",IFERROR(INDEX(Dimensions!$B:$B,MATCH(B161,Dimensions!$A:$A,0)),"ID not found"))</f>
        <v/>
      </c>
      <c r="E161" s="30"/>
      <c r="F161" s="20" t="str">
        <f aca="false">IF(E161="","",IFERROR(INDEX(Tables!$B:$B,MATCH(E161,Tables!$A:$A,0)),"ID not found"))</f>
        <v/>
      </c>
      <c r="G161" s="20" t="str">
        <f aca="false">IF(OR(B161="",E161=""),"",IF(IFERROR(INDEX(Dimensions!$C:$C,MATCH(B161,Dimensions!$A:$A,0)),"")="","No agreed source",IF(INDEX(Dimensions!$C:$C,MATCH(B161,Dimensions!$A:$A,0))=E161,"Yes","No")))</f>
        <v/>
      </c>
      <c r="H161" s="30"/>
      <c r="I161" s="30"/>
      <c r="J161" s="30"/>
      <c r="K161" s="34" t="str">
        <f aca="false">IF(AND(A161&lt;&gt;"",G161="No"),COUNTIF($G$5:G161,"No"),"")</f>
        <v/>
      </c>
    </row>
    <row r="162" customFormat="false" ht="15" hidden="false" customHeight="false" outlineLevel="0" collapsed="false">
      <c r="A162" s="29"/>
      <c r="B162" s="29"/>
      <c r="C162" s="20" t="str">
        <f aca="false">IF(A162="","",IFERROR(INDEX(Products!$B:$B,MATCH(A162,Products!$A:$A,0)),"ID not found"))</f>
        <v/>
      </c>
      <c r="D162" s="20" t="str">
        <f aca="false">IF(B162="","",IFERROR(INDEX(Dimensions!$B:$B,MATCH(B162,Dimensions!$A:$A,0)),"ID not found"))</f>
        <v/>
      </c>
      <c r="E162" s="30"/>
      <c r="F162" s="20" t="str">
        <f aca="false">IF(E162="","",IFERROR(INDEX(Tables!$B:$B,MATCH(E162,Tables!$A:$A,0)),"ID not found"))</f>
        <v/>
      </c>
      <c r="G162" s="20" t="str">
        <f aca="false">IF(OR(B162="",E162=""),"",IF(IFERROR(INDEX(Dimensions!$C:$C,MATCH(B162,Dimensions!$A:$A,0)),"")="","No agreed source",IF(INDEX(Dimensions!$C:$C,MATCH(B162,Dimensions!$A:$A,0))=E162,"Yes","No")))</f>
        <v/>
      </c>
      <c r="H162" s="30"/>
      <c r="I162" s="30"/>
      <c r="J162" s="30"/>
      <c r="K162" s="34" t="str">
        <f aca="false">IF(AND(A162&lt;&gt;"",G162="No"),COUNTIF($G$5:G162,"No"),"")</f>
        <v/>
      </c>
    </row>
    <row r="163" customFormat="false" ht="15" hidden="false" customHeight="false" outlineLevel="0" collapsed="false">
      <c r="A163" s="29"/>
      <c r="B163" s="29"/>
      <c r="C163" s="20" t="str">
        <f aca="false">IF(A163="","",IFERROR(INDEX(Products!$B:$B,MATCH(A163,Products!$A:$A,0)),"ID not found"))</f>
        <v/>
      </c>
      <c r="D163" s="20" t="str">
        <f aca="false">IF(B163="","",IFERROR(INDEX(Dimensions!$B:$B,MATCH(B163,Dimensions!$A:$A,0)),"ID not found"))</f>
        <v/>
      </c>
      <c r="E163" s="30"/>
      <c r="F163" s="20" t="str">
        <f aca="false">IF(E163="","",IFERROR(INDEX(Tables!$B:$B,MATCH(E163,Tables!$A:$A,0)),"ID not found"))</f>
        <v/>
      </c>
      <c r="G163" s="20" t="str">
        <f aca="false">IF(OR(B163="",E163=""),"",IF(IFERROR(INDEX(Dimensions!$C:$C,MATCH(B163,Dimensions!$A:$A,0)),"")="","No agreed source",IF(INDEX(Dimensions!$C:$C,MATCH(B163,Dimensions!$A:$A,0))=E163,"Yes","No")))</f>
        <v/>
      </c>
      <c r="H163" s="30"/>
      <c r="I163" s="30"/>
      <c r="J163" s="30"/>
      <c r="K163" s="34" t="str">
        <f aca="false">IF(AND(A163&lt;&gt;"",G163="No"),COUNTIF($G$5:G163,"No"),"")</f>
        <v/>
      </c>
    </row>
    <row r="164" customFormat="false" ht="15" hidden="false" customHeight="false" outlineLevel="0" collapsed="false">
      <c r="A164" s="29"/>
      <c r="B164" s="29"/>
      <c r="C164" s="20" t="str">
        <f aca="false">IF(A164="","",IFERROR(INDEX(Products!$B:$B,MATCH(A164,Products!$A:$A,0)),"ID not found"))</f>
        <v/>
      </c>
      <c r="D164" s="20" t="str">
        <f aca="false">IF(B164="","",IFERROR(INDEX(Dimensions!$B:$B,MATCH(B164,Dimensions!$A:$A,0)),"ID not found"))</f>
        <v/>
      </c>
      <c r="E164" s="30"/>
      <c r="F164" s="20" t="str">
        <f aca="false">IF(E164="","",IFERROR(INDEX(Tables!$B:$B,MATCH(E164,Tables!$A:$A,0)),"ID not found"))</f>
        <v/>
      </c>
      <c r="G164" s="20" t="str">
        <f aca="false">IF(OR(B164="",E164=""),"",IF(IFERROR(INDEX(Dimensions!$C:$C,MATCH(B164,Dimensions!$A:$A,0)),"")="","No agreed source",IF(INDEX(Dimensions!$C:$C,MATCH(B164,Dimensions!$A:$A,0))=E164,"Yes","No")))</f>
        <v/>
      </c>
      <c r="H164" s="30"/>
      <c r="I164" s="30"/>
      <c r="J164" s="30"/>
      <c r="K164" s="34" t="str">
        <f aca="false">IF(AND(A164&lt;&gt;"",G164="No"),COUNTIF($G$5:G164,"No"),"")</f>
        <v/>
      </c>
    </row>
    <row r="165" customFormat="false" ht="15" hidden="false" customHeight="false" outlineLevel="0" collapsed="false">
      <c r="A165" s="29"/>
      <c r="B165" s="29"/>
      <c r="C165" s="20" t="str">
        <f aca="false">IF(A165="","",IFERROR(INDEX(Products!$B:$B,MATCH(A165,Products!$A:$A,0)),"ID not found"))</f>
        <v/>
      </c>
      <c r="D165" s="20" t="str">
        <f aca="false">IF(B165="","",IFERROR(INDEX(Dimensions!$B:$B,MATCH(B165,Dimensions!$A:$A,0)),"ID not found"))</f>
        <v/>
      </c>
      <c r="E165" s="30"/>
      <c r="F165" s="20" t="str">
        <f aca="false">IF(E165="","",IFERROR(INDEX(Tables!$B:$B,MATCH(E165,Tables!$A:$A,0)),"ID not found"))</f>
        <v/>
      </c>
      <c r="G165" s="20" t="str">
        <f aca="false">IF(OR(B165="",E165=""),"",IF(IFERROR(INDEX(Dimensions!$C:$C,MATCH(B165,Dimensions!$A:$A,0)),"")="","No agreed source",IF(INDEX(Dimensions!$C:$C,MATCH(B165,Dimensions!$A:$A,0))=E165,"Yes","No")))</f>
        <v/>
      </c>
      <c r="H165" s="30"/>
      <c r="I165" s="30"/>
      <c r="J165" s="30"/>
      <c r="K165" s="34" t="str">
        <f aca="false">IF(AND(A165&lt;&gt;"",G165="No"),COUNTIF($G$5:G165,"No"),"")</f>
        <v/>
      </c>
    </row>
    <row r="166" customFormat="false" ht="15" hidden="false" customHeight="false" outlineLevel="0" collapsed="false">
      <c r="A166" s="29"/>
      <c r="B166" s="29"/>
      <c r="C166" s="20" t="str">
        <f aca="false">IF(A166="","",IFERROR(INDEX(Products!$B:$B,MATCH(A166,Products!$A:$A,0)),"ID not found"))</f>
        <v/>
      </c>
      <c r="D166" s="20" t="str">
        <f aca="false">IF(B166="","",IFERROR(INDEX(Dimensions!$B:$B,MATCH(B166,Dimensions!$A:$A,0)),"ID not found"))</f>
        <v/>
      </c>
      <c r="E166" s="30"/>
      <c r="F166" s="20" t="str">
        <f aca="false">IF(E166="","",IFERROR(INDEX(Tables!$B:$B,MATCH(E166,Tables!$A:$A,0)),"ID not found"))</f>
        <v/>
      </c>
      <c r="G166" s="20" t="str">
        <f aca="false">IF(OR(B166="",E166=""),"",IF(IFERROR(INDEX(Dimensions!$C:$C,MATCH(B166,Dimensions!$A:$A,0)),"")="","No agreed source",IF(INDEX(Dimensions!$C:$C,MATCH(B166,Dimensions!$A:$A,0))=E166,"Yes","No")))</f>
        <v/>
      </c>
      <c r="H166" s="30"/>
      <c r="I166" s="30"/>
      <c r="J166" s="30"/>
      <c r="K166" s="34" t="str">
        <f aca="false">IF(AND(A166&lt;&gt;"",G166="No"),COUNTIF($G$5:G166,"No"),"")</f>
        <v/>
      </c>
    </row>
    <row r="167" customFormat="false" ht="15" hidden="false" customHeight="false" outlineLevel="0" collapsed="false">
      <c r="A167" s="29"/>
      <c r="B167" s="29"/>
      <c r="C167" s="20" t="str">
        <f aca="false">IF(A167="","",IFERROR(INDEX(Products!$B:$B,MATCH(A167,Products!$A:$A,0)),"ID not found"))</f>
        <v/>
      </c>
      <c r="D167" s="20" t="str">
        <f aca="false">IF(B167="","",IFERROR(INDEX(Dimensions!$B:$B,MATCH(B167,Dimensions!$A:$A,0)),"ID not found"))</f>
        <v/>
      </c>
      <c r="E167" s="30"/>
      <c r="F167" s="20" t="str">
        <f aca="false">IF(E167="","",IFERROR(INDEX(Tables!$B:$B,MATCH(E167,Tables!$A:$A,0)),"ID not found"))</f>
        <v/>
      </c>
      <c r="G167" s="20" t="str">
        <f aca="false">IF(OR(B167="",E167=""),"",IF(IFERROR(INDEX(Dimensions!$C:$C,MATCH(B167,Dimensions!$A:$A,0)),"")="","No agreed source",IF(INDEX(Dimensions!$C:$C,MATCH(B167,Dimensions!$A:$A,0))=E167,"Yes","No")))</f>
        <v/>
      </c>
      <c r="H167" s="30"/>
      <c r="I167" s="30"/>
      <c r="J167" s="30"/>
      <c r="K167" s="34" t="str">
        <f aca="false">IF(AND(A167&lt;&gt;"",G167="No"),COUNTIF($G$5:G167,"No"),"")</f>
        <v/>
      </c>
    </row>
    <row r="168" customFormat="false" ht="15" hidden="false" customHeight="false" outlineLevel="0" collapsed="false">
      <c r="A168" s="29"/>
      <c r="B168" s="29"/>
      <c r="C168" s="20" t="str">
        <f aca="false">IF(A168="","",IFERROR(INDEX(Products!$B:$B,MATCH(A168,Products!$A:$A,0)),"ID not found"))</f>
        <v/>
      </c>
      <c r="D168" s="20" t="str">
        <f aca="false">IF(B168="","",IFERROR(INDEX(Dimensions!$B:$B,MATCH(B168,Dimensions!$A:$A,0)),"ID not found"))</f>
        <v/>
      </c>
      <c r="E168" s="30"/>
      <c r="F168" s="20" t="str">
        <f aca="false">IF(E168="","",IFERROR(INDEX(Tables!$B:$B,MATCH(E168,Tables!$A:$A,0)),"ID not found"))</f>
        <v/>
      </c>
      <c r="G168" s="20" t="str">
        <f aca="false">IF(OR(B168="",E168=""),"",IF(IFERROR(INDEX(Dimensions!$C:$C,MATCH(B168,Dimensions!$A:$A,0)),"")="","No agreed source",IF(INDEX(Dimensions!$C:$C,MATCH(B168,Dimensions!$A:$A,0))=E168,"Yes","No")))</f>
        <v/>
      </c>
      <c r="H168" s="30"/>
      <c r="I168" s="30"/>
      <c r="J168" s="30"/>
      <c r="K168" s="34" t="str">
        <f aca="false">IF(AND(A168&lt;&gt;"",G168="No"),COUNTIF($G$5:G168,"No"),"")</f>
        <v/>
      </c>
    </row>
    <row r="169" customFormat="false" ht="15" hidden="false" customHeight="false" outlineLevel="0" collapsed="false">
      <c r="A169" s="29"/>
      <c r="B169" s="29"/>
      <c r="C169" s="20" t="str">
        <f aca="false">IF(A169="","",IFERROR(INDEX(Products!$B:$B,MATCH(A169,Products!$A:$A,0)),"ID not found"))</f>
        <v/>
      </c>
      <c r="D169" s="20" t="str">
        <f aca="false">IF(B169="","",IFERROR(INDEX(Dimensions!$B:$B,MATCH(B169,Dimensions!$A:$A,0)),"ID not found"))</f>
        <v/>
      </c>
      <c r="E169" s="30"/>
      <c r="F169" s="20" t="str">
        <f aca="false">IF(E169="","",IFERROR(INDEX(Tables!$B:$B,MATCH(E169,Tables!$A:$A,0)),"ID not found"))</f>
        <v/>
      </c>
      <c r="G169" s="20" t="str">
        <f aca="false">IF(OR(B169="",E169=""),"",IF(IFERROR(INDEX(Dimensions!$C:$C,MATCH(B169,Dimensions!$A:$A,0)),"")="","No agreed source",IF(INDEX(Dimensions!$C:$C,MATCH(B169,Dimensions!$A:$A,0))=E169,"Yes","No")))</f>
        <v/>
      </c>
      <c r="H169" s="30"/>
      <c r="I169" s="30"/>
      <c r="J169" s="30"/>
      <c r="K169" s="34" t="str">
        <f aca="false">IF(AND(A169&lt;&gt;"",G169="No"),COUNTIF($G$5:G169,"No"),"")</f>
        <v/>
      </c>
    </row>
    <row r="170" customFormat="false" ht="15" hidden="false" customHeight="false" outlineLevel="0" collapsed="false">
      <c r="A170" s="29"/>
      <c r="B170" s="29"/>
      <c r="C170" s="20" t="str">
        <f aca="false">IF(A170="","",IFERROR(INDEX(Products!$B:$B,MATCH(A170,Products!$A:$A,0)),"ID not found"))</f>
        <v/>
      </c>
      <c r="D170" s="20" t="str">
        <f aca="false">IF(B170="","",IFERROR(INDEX(Dimensions!$B:$B,MATCH(B170,Dimensions!$A:$A,0)),"ID not found"))</f>
        <v/>
      </c>
      <c r="E170" s="30"/>
      <c r="F170" s="20" t="str">
        <f aca="false">IF(E170="","",IFERROR(INDEX(Tables!$B:$B,MATCH(E170,Tables!$A:$A,0)),"ID not found"))</f>
        <v/>
      </c>
      <c r="G170" s="20" t="str">
        <f aca="false">IF(OR(B170="",E170=""),"",IF(IFERROR(INDEX(Dimensions!$C:$C,MATCH(B170,Dimensions!$A:$A,0)),"")="","No agreed source",IF(INDEX(Dimensions!$C:$C,MATCH(B170,Dimensions!$A:$A,0))=E170,"Yes","No")))</f>
        <v/>
      </c>
      <c r="H170" s="30"/>
      <c r="I170" s="30"/>
      <c r="J170" s="30"/>
      <c r="K170" s="34" t="str">
        <f aca="false">IF(AND(A170&lt;&gt;"",G170="No"),COUNTIF($G$5:G170,"No"),"")</f>
        <v/>
      </c>
    </row>
    <row r="171" customFormat="false" ht="15" hidden="false" customHeight="false" outlineLevel="0" collapsed="false">
      <c r="A171" s="29"/>
      <c r="B171" s="29"/>
      <c r="C171" s="20" t="str">
        <f aca="false">IF(A171="","",IFERROR(INDEX(Products!$B:$B,MATCH(A171,Products!$A:$A,0)),"ID not found"))</f>
        <v/>
      </c>
      <c r="D171" s="20" t="str">
        <f aca="false">IF(B171="","",IFERROR(INDEX(Dimensions!$B:$B,MATCH(B171,Dimensions!$A:$A,0)),"ID not found"))</f>
        <v/>
      </c>
      <c r="E171" s="30"/>
      <c r="F171" s="20" t="str">
        <f aca="false">IF(E171="","",IFERROR(INDEX(Tables!$B:$B,MATCH(E171,Tables!$A:$A,0)),"ID not found"))</f>
        <v/>
      </c>
      <c r="G171" s="20" t="str">
        <f aca="false">IF(OR(B171="",E171=""),"",IF(IFERROR(INDEX(Dimensions!$C:$C,MATCH(B171,Dimensions!$A:$A,0)),"")="","No agreed source",IF(INDEX(Dimensions!$C:$C,MATCH(B171,Dimensions!$A:$A,0))=E171,"Yes","No")))</f>
        <v/>
      </c>
      <c r="H171" s="30"/>
      <c r="I171" s="30"/>
      <c r="J171" s="30"/>
      <c r="K171" s="34" t="str">
        <f aca="false">IF(AND(A171&lt;&gt;"",G171="No"),COUNTIF($G$5:G171,"No"),"")</f>
        <v/>
      </c>
    </row>
    <row r="172" customFormat="false" ht="15" hidden="false" customHeight="false" outlineLevel="0" collapsed="false">
      <c r="A172" s="29"/>
      <c r="B172" s="29"/>
      <c r="C172" s="20" t="str">
        <f aca="false">IF(A172="","",IFERROR(INDEX(Products!$B:$B,MATCH(A172,Products!$A:$A,0)),"ID not found"))</f>
        <v/>
      </c>
      <c r="D172" s="20" t="str">
        <f aca="false">IF(B172="","",IFERROR(INDEX(Dimensions!$B:$B,MATCH(B172,Dimensions!$A:$A,0)),"ID not found"))</f>
        <v/>
      </c>
      <c r="E172" s="30"/>
      <c r="F172" s="20" t="str">
        <f aca="false">IF(E172="","",IFERROR(INDEX(Tables!$B:$B,MATCH(E172,Tables!$A:$A,0)),"ID not found"))</f>
        <v/>
      </c>
      <c r="G172" s="20" t="str">
        <f aca="false">IF(OR(B172="",E172=""),"",IF(IFERROR(INDEX(Dimensions!$C:$C,MATCH(B172,Dimensions!$A:$A,0)),"")="","No agreed source",IF(INDEX(Dimensions!$C:$C,MATCH(B172,Dimensions!$A:$A,0))=E172,"Yes","No")))</f>
        <v/>
      </c>
      <c r="H172" s="30"/>
      <c r="I172" s="30"/>
      <c r="J172" s="30"/>
      <c r="K172" s="34" t="str">
        <f aca="false">IF(AND(A172&lt;&gt;"",G172="No"),COUNTIF($G$5:G172,"No"),"")</f>
        <v/>
      </c>
    </row>
    <row r="173" customFormat="false" ht="15" hidden="false" customHeight="false" outlineLevel="0" collapsed="false">
      <c r="A173" s="29"/>
      <c r="B173" s="29"/>
      <c r="C173" s="20" t="str">
        <f aca="false">IF(A173="","",IFERROR(INDEX(Products!$B:$B,MATCH(A173,Products!$A:$A,0)),"ID not found"))</f>
        <v/>
      </c>
      <c r="D173" s="20" t="str">
        <f aca="false">IF(B173="","",IFERROR(INDEX(Dimensions!$B:$B,MATCH(B173,Dimensions!$A:$A,0)),"ID not found"))</f>
        <v/>
      </c>
      <c r="E173" s="30"/>
      <c r="F173" s="20" t="str">
        <f aca="false">IF(E173="","",IFERROR(INDEX(Tables!$B:$B,MATCH(E173,Tables!$A:$A,0)),"ID not found"))</f>
        <v/>
      </c>
      <c r="G173" s="20" t="str">
        <f aca="false">IF(OR(B173="",E173=""),"",IF(IFERROR(INDEX(Dimensions!$C:$C,MATCH(B173,Dimensions!$A:$A,0)),"")="","No agreed source",IF(INDEX(Dimensions!$C:$C,MATCH(B173,Dimensions!$A:$A,0))=E173,"Yes","No")))</f>
        <v/>
      </c>
      <c r="H173" s="30"/>
      <c r="I173" s="30"/>
      <c r="J173" s="30"/>
      <c r="K173" s="34" t="str">
        <f aca="false">IF(AND(A173&lt;&gt;"",G173="No"),COUNTIF($G$5:G173,"No"),"")</f>
        <v/>
      </c>
    </row>
    <row r="174" customFormat="false" ht="15" hidden="false" customHeight="false" outlineLevel="0" collapsed="false">
      <c r="A174" s="29"/>
      <c r="B174" s="29"/>
      <c r="C174" s="20" t="str">
        <f aca="false">IF(A174="","",IFERROR(INDEX(Products!$B:$B,MATCH(A174,Products!$A:$A,0)),"ID not found"))</f>
        <v/>
      </c>
      <c r="D174" s="20" t="str">
        <f aca="false">IF(B174="","",IFERROR(INDEX(Dimensions!$B:$B,MATCH(B174,Dimensions!$A:$A,0)),"ID not found"))</f>
        <v/>
      </c>
      <c r="E174" s="30"/>
      <c r="F174" s="20" t="str">
        <f aca="false">IF(E174="","",IFERROR(INDEX(Tables!$B:$B,MATCH(E174,Tables!$A:$A,0)),"ID not found"))</f>
        <v/>
      </c>
      <c r="G174" s="20" t="str">
        <f aca="false">IF(OR(B174="",E174=""),"",IF(IFERROR(INDEX(Dimensions!$C:$C,MATCH(B174,Dimensions!$A:$A,0)),"")="","No agreed source",IF(INDEX(Dimensions!$C:$C,MATCH(B174,Dimensions!$A:$A,0))=E174,"Yes","No")))</f>
        <v/>
      </c>
      <c r="H174" s="30"/>
      <c r="I174" s="30"/>
      <c r="J174" s="30"/>
      <c r="K174" s="34" t="str">
        <f aca="false">IF(AND(A174&lt;&gt;"",G174="No"),COUNTIF($G$5:G174,"No"),"")</f>
        <v/>
      </c>
    </row>
    <row r="175" customFormat="false" ht="15" hidden="false" customHeight="false" outlineLevel="0" collapsed="false">
      <c r="A175" s="29"/>
      <c r="B175" s="29"/>
      <c r="C175" s="20" t="str">
        <f aca="false">IF(A175="","",IFERROR(INDEX(Products!$B:$B,MATCH(A175,Products!$A:$A,0)),"ID not found"))</f>
        <v/>
      </c>
      <c r="D175" s="20" t="str">
        <f aca="false">IF(B175="","",IFERROR(INDEX(Dimensions!$B:$B,MATCH(B175,Dimensions!$A:$A,0)),"ID not found"))</f>
        <v/>
      </c>
      <c r="E175" s="30"/>
      <c r="F175" s="20" t="str">
        <f aca="false">IF(E175="","",IFERROR(INDEX(Tables!$B:$B,MATCH(E175,Tables!$A:$A,0)),"ID not found"))</f>
        <v/>
      </c>
      <c r="G175" s="20" t="str">
        <f aca="false">IF(OR(B175="",E175=""),"",IF(IFERROR(INDEX(Dimensions!$C:$C,MATCH(B175,Dimensions!$A:$A,0)),"")="","No agreed source",IF(INDEX(Dimensions!$C:$C,MATCH(B175,Dimensions!$A:$A,0))=E175,"Yes","No")))</f>
        <v/>
      </c>
      <c r="H175" s="30"/>
      <c r="I175" s="30"/>
      <c r="J175" s="30"/>
      <c r="K175" s="34" t="str">
        <f aca="false">IF(AND(A175&lt;&gt;"",G175="No"),COUNTIF($G$5:G175,"No"),"")</f>
        <v/>
      </c>
    </row>
    <row r="176" customFormat="false" ht="15" hidden="false" customHeight="false" outlineLevel="0" collapsed="false">
      <c r="A176" s="29"/>
      <c r="B176" s="29"/>
      <c r="C176" s="20" t="str">
        <f aca="false">IF(A176="","",IFERROR(INDEX(Products!$B:$B,MATCH(A176,Products!$A:$A,0)),"ID not found"))</f>
        <v/>
      </c>
      <c r="D176" s="20" t="str">
        <f aca="false">IF(B176="","",IFERROR(INDEX(Dimensions!$B:$B,MATCH(B176,Dimensions!$A:$A,0)),"ID not found"))</f>
        <v/>
      </c>
      <c r="E176" s="30"/>
      <c r="F176" s="20" t="str">
        <f aca="false">IF(E176="","",IFERROR(INDEX(Tables!$B:$B,MATCH(E176,Tables!$A:$A,0)),"ID not found"))</f>
        <v/>
      </c>
      <c r="G176" s="20" t="str">
        <f aca="false">IF(OR(B176="",E176=""),"",IF(IFERROR(INDEX(Dimensions!$C:$C,MATCH(B176,Dimensions!$A:$A,0)),"")="","No agreed source",IF(INDEX(Dimensions!$C:$C,MATCH(B176,Dimensions!$A:$A,0))=E176,"Yes","No")))</f>
        <v/>
      </c>
      <c r="H176" s="30"/>
      <c r="I176" s="30"/>
      <c r="J176" s="30"/>
      <c r="K176" s="34" t="str">
        <f aca="false">IF(AND(A176&lt;&gt;"",G176="No"),COUNTIF($G$5:G176,"No"),"")</f>
        <v/>
      </c>
    </row>
    <row r="177" customFormat="false" ht="15" hidden="false" customHeight="false" outlineLevel="0" collapsed="false">
      <c r="A177" s="29"/>
      <c r="B177" s="29"/>
      <c r="C177" s="20" t="str">
        <f aca="false">IF(A177="","",IFERROR(INDEX(Products!$B:$B,MATCH(A177,Products!$A:$A,0)),"ID not found"))</f>
        <v/>
      </c>
      <c r="D177" s="20" t="str">
        <f aca="false">IF(B177="","",IFERROR(INDEX(Dimensions!$B:$B,MATCH(B177,Dimensions!$A:$A,0)),"ID not found"))</f>
        <v/>
      </c>
      <c r="E177" s="30"/>
      <c r="F177" s="20" t="str">
        <f aca="false">IF(E177="","",IFERROR(INDEX(Tables!$B:$B,MATCH(E177,Tables!$A:$A,0)),"ID not found"))</f>
        <v/>
      </c>
      <c r="G177" s="20" t="str">
        <f aca="false">IF(OR(B177="",E177=""),"",IF(IFERROR(INDEX(Dimensions!$C:$C,MATCH(B177,Dimensions!$A:$A,0)),"")="","No agreed source",IF(INDEX(Dimensions!$C:$C,MATCH(B177,Dimensions!$A:$A,0))=E177,"Yes","No")))</f>
        <v/>
      </c>
      <c r="H177" s="30"/>
      <c r="I177" s="30"/>
      <c r="J177" s="30"/>
      <c r="K177" s="34" t="str">
        <f aca="false">IF(AND(A177&lt;&gt;"",G177="No"),COUNTIF($G$5:G177,"No"),"")</f>
        <v/>
      </c>
    </row>
    <row r="178" customFormat="false" ht="15" hidden="false" customHeight="false" outlineLevel="0" collapsed="false">
      <c r="A178" s="29"/>
      <c r="B178" s="29"/>
      <c r="C178" s="20" t="str">
        <f aca="false">IF(A178="","",IFERROR(INDEX(Products!$B:$B,MATCH(A178,Products!$A:$A,0)),"ID not found"))</f>
        <v/>
      </c>
      <c r="D178" s="20" t="str">
        <f aca="false">IF(B178="","",IFERROR(INDEX(Dimensions!$B:$B,MATCH(B178,Dimensions!$A:$A,0)),"ID not found"))</f>
        <v/>
      </c>
      <c r="E178" s="30"/>
      <c r="F178" s="20" t="str">
        <f aca="false">IF(E178="","",IFERROR(INDEX(Tables!$B:$B,MATCH(E178,Tables!$A:$A,0)),"ID not found"))</f>
        <v/>
      </c>
      <c r="G178" s="20" t="str">
        <f aca="false">IF(OR(B178="",E178=""),"",IF(IFERROR(INDEX(Dimensions!$C:$C,MATCH(B178,Dimensions!$A:$A,0)),"")="","No agreed source",IF(INDEX(Dimensions!$C:$C,MATCH(B178,Dimensions!$A:$A,0))=E178,"Yes","No")))</f>
        <v/>
      </c>
      <c r="H178" s="30"/>
      <c r="I178" s="30"/>
      <c r="J178" s="30"/>
      <c r="K178" s="34" t="str">
        <f aca="false">IF(AND(A178&lt;&gt;"",G178="No"),COUNTIF($G$5:G178,"No"),"")</f>
        <v/>
      </c>
    </row>
    <row r="179" customFormat="false" ht="15" hidden="false" customHeight="false" outlineLevel="0" collapsed="false">
      <c r="A179" s="29"/>
      <c r="B179" s="29"/>
      <c r="C179" s="20" t="str">
        <f aca="false">IF(A179="","",IFERROR(INDEX(Products!$B:$B,MATCH(A179,Products!$A:$A,0)),"ID not found"))</f>
        <v/>
      </c>
      <c r="D179" s="20" t="str">
        <f aca="false">IF(B179="","",IFERROR(INDEX(Dimensions!$B:$B,MATCH(B179,Dimensions!$A:$A,0)),"ID not found"))</f>
        <v/>
      </c>
      <c r="E179" s="30"/>
      <c r="F179" s="20" t="str">
        <f aca="false">IF(E179="","",IFERROR(INDEX(Tables!$B:$B,MATCH(E179,Tables!$A:$A,0)),"ID not found"))</f>
        <v/>
      </c>
      <c r="G179" s="20" t="str">
        <f aca="false">IF(OR(B179="",E179=""),"",IF(IFERROR(INDEX(Dimensions!$C:$C,MATCH(B179,Dimensions!$A:$A,0)),"")="","No agreed source",IF(INDEX(Dimensions!$C:$C,MATCH(B179,Dimensions!$A:$A,0))=E179,"Yes","No")))</f>
        <v/>
      </c>
      <c r="H179" s="30"/>
      <c r="I179" s="30"/>
      <c r="J179" s="30"/>
      <c r="K179" s="34" t="str">
        <f aca="false">IF(AND(A179&lt;&gt;"",G179="No"),COUNTIF($G$5:G179,"No"),"")</f>
        <v/>
      </c>
    </row>
    <row r="180" customFormat="false" ht="15" hidden="false" customHeight="false" outlineLevel="0" collapsed="false">
      <c r="A180" s="29"/>
      <c r="B180" s="29"/>
      <c r="C180" s="20" t="str">
        <f aca="false">IF(A180="","",IFERROR(INDEX(Products!$B:$B,MATCH(A180,Products!$A:$A,0)),"ID not found"))</f>
        <v/>
      </c>
      <c r="D180" s="20" t="str">
        <f aca="false">IF(B180="","",IFERROR(INDEX(Dimensions!$B:$B,MATCH(B180,Dimensions!$A:$A,0)),"ID not found"))</f>
        <v/>
      </c>
      <c r="E180" s="30"/>
      <c r="F180" s="20" t="str">
        <f aca="false">IF(E180="","",IFERROR(INDEX(Tables!$B:$B,MATCH(E180,Tables!$A:$A,0)),"ID not found"))</f>
        <v/>
      </c>
      <c r="G180" s="20" t="str">
        <f aca="false">IF(OR(B180="",E180=""),"",IF(IFERROR(INDEX(Dimensions!$C:$C,MATCH(B180,Dimensions!$A:$A,0)),"")="","No agreed source",IF(INDEX(Dimensions!$C:$C,MATCH(B180,Dimensions!$A:$A,0))=E180,"Yes","No")))</f>
        <v/>
      </c>
      <c r="H180" s="30"/>
      <c r="I180" s="30"/>
      <c r="J180" s="30"/>
      <c r="K180" s="34" t="str">
        <f aca="false">IF(AND(A180&lt;&gt;"",G180="No"),COUNTIF($G$5:G180,"No"),"")</f>
        <v/>
      </c>
    </row>
    <row r="181" customFormat="false" ht="15" hidden="false" customHeight="false" outlineLevel="0" collapsed="false">
      <c r="A181" s="29"/>
      <c r="B181" s="29"/>
      <c r="C181" s="20" t="str">
        <f aca="false">IF(A181="","",IFERROR(INDEX(Products!$B:$B,MATCH(A181,Products!$A:$A,0)),"ID not found"))</f>
        <v/>
      </c>
      <c r="D181" s="20" t="str">
        <f aca="false">IF(B181="","",IFERROR(INDEX(Dimensions!$B:$B,MATCH(B181,Dimensions!$A:$A,0)),"ID not found"))</f>
        <v/>
      </c>
      <c r="E181" s="30"/>
      <c r="F181" s="20" t="str">
        <f aca="false">IF(E181="","",IFERROR(INDEX(Tables!$B:$B,MATCH(E181,Tables!$A:$A,0)),"ID not found"))</f>
        <v/>
      </c>
      <c r="G181" s="20" t="str">
        <f aca="false">IF(OR(B181="",E181=""),"",IF(IFERROR(INDEX(Dimensions!$C:$C,MATCH(B181,Dimensions!$A:$A,0)),"")="","No agreed source",IF(INDEX(Dimensions!$C:$C,MATCH(B181,Dimensions!$A:$A,0))=E181,"Yes","No")))</f>
        <v/>
      </c>
      <c r="H181" s="30"/>
      <c r="I181" s="30"/>
      <c r="J181" s="30"/>
      <c r="K181" s="34" t="str">
        <f aca="false">IF(AND(A181&lt;&gt;"",G181="No"),COUNTIF($G$5:G181,"No"),"")</f>
        <v/>
      </c>
    </row>
    <row r="182" customFormat="false" ht="15" hidden="false" customHeight="false" outlineLevel="0" collapsed="false">
      <c r="A182" s="29"/>
      <c r="B182" s="29"/>
      <c r="C182" s="20" t="str">
        <f aca="false">IF(A182="","",IFERROR(INDEX(Products!$B:$B,MATCH(A182,Products!$A:$A,0)),"ID not found"))</f>
        <v/>
      </c>
      <c r="D182" s="20" t="str">
        <f aca="false">IF(B182="","",IFERROR(INDEX(Dimensions!$B:$B,MATCH(B182,Dimensions!$A:$A,0)),"ID not found"))</f>
        <v/>
      </c>
      <c r="E182" s="30"/>
      <c r="F182" s="20" t="str">
        <f aca="false">IF(E182="","",IFERROR(INDEX(Tables!$B:$B,MATCH(E182,Tables!$A:$A,0)),"ID not found"))</f>
        <v/>
      </c>
      <c r="G182" s="20" t="str">
        <f aca="false">IF(OR(B182="",E182=""),"",IF(IFERROR(INDEX(Dimensions!$C:$C,MATCH(B182,Dimensions!$A:$A,0)),"")="","No agreed source",IF(INDEX(Dimensions!$C:$C,MATCH(B182,Dimensions!$A:$A,0))=E182,"Yes","No")))</f>
        <v/>
      </c>
      <c r="H182" s="30"/>
      <c r="I182" s="30"/>
      <c r="J182" s="30"/>
      <c r="K182" s="34" t="str">
        <f aca="false">IF(AND(A182&lt;&gt;"",G182="No"),COUNTIF($G$5:G182,"No"),"")</f>
        <v/>
      </c>
    </row>
    <row r="183" customFormat="false" ht="15" hidden="false" customHeight="false" outlineLevel="0" collapsed="false">
      <c r="A183" s="29"/>
      <c r="B183" s="29"/>
      <c r="C183" s="20" t="str">
        <f aca="false">IF(A183="","",IFERROR(INDEX(Products!$B:$B,MATCH(A183,Products!$A:$A,0)),"ID not found"))</f>
        <v/>
      </c>
      <c r="D183" s="20" t="str">
        <f aca="false">IF(B183="","",IFERROR(INDEX(Dimensions!$B:$B,MATCH(B183,Dimensions!$A:$A,0)),"ID not found"))</f>
        <v/>
      </c>
      <c r="E183" s="30"/>
      <c r="F183" s="20" t="str">
        <f aca="false">IF(E183="","",IFERROR(INDEX(Tables!$B:$B,MATCH(E183,Tables!$A:$A,0)),"ID not found"))</f>
        <v/>
      </c>
      <c r="G183" s="20" t="str">
        <f aca="false">IF(OR(B183="",E183=""),"",IF(IFERROR(INDEX(Dimensions!$C:$C,MATCH(B183,Dimensions!$A:$A,0)),"")="","No agreed source",IF(INDEX(Dimensions!$C:$C,MATCH(B183,Dimensions!$A:$A,0))=E183,"Yes","No")))</f>
        <v/>
      </c>
      <c r="H183" s="30"/>
      <c r="I183" s="30"/>
      <c r="J183" s="30"/>
      <c r="K183" s="34" t="str">
        <f aca="false">IF(AND(A183&lt;&gt;"",G183="No"),COUNTIF($G$5:G183,"No"),"")</f>
        <v/>
      </c>
    </row>
    <row r="184" customFormat="false" ht="15" hidden="false" customHeight="false" outlineLevel="0" collapsed="false">
      <c r="A184" s="29"/>
      <c r="B184" s="29"/>
      <c r="C184" s="20" t="str">
        <f aca="false">IF(A184="","",IFERROR(INDEX(Products!$B:$B,MATCH(A184,Products!$A:$A,0)),"ID not found"))</f>
        <v/>
      </c>
      <c r="D184" s="20" t="str">
        <f aca="false">IF(B184="","",IFERROR(INDEX(Dimensions!$B:$B,MATCH(B184,Dimensions!$A:$A,0)),"ID not found"))</f>
        <v/>
      </c>
      <c r="E184" s="30"/>
      <c r="F184" s="20" t="str">
        <f aca="false">IF(E184="","",IFERROR(INDEX(Tables!$B:$B,MATCH(E184,Tables!$A:$A,0)),"ID not found"))</f>
        <v/>
      </c>
      <c r="G184" s="20" t="str">
        <f aca="false">IF(OR(B184="",E184=""),"",IF(IFERROR(INDEX(Dimensions!$C:$C,MATCH(B184,Dimensions!$A:$A,0)),"")="","No agreed source",IF(INDEX(Dimensions!$C:$C,MATCH(B184,Dimensions!$A:$A,0))=E184,"Yes","No")))</f>
        <v/>
      </c>
      <c r="H184" s="30"/>
      <c r="I184" s="30"/>
      <c r="J184" s="30"/>
      <c r="K184" s="34" t="str">
        <f aca="false">IF(AND(A184&lt;&gt;"",G184="No"),COUNTIF($G$5:G184,"No"),"")</f>
        <v/>
      </c>
    </row>
    <row r="185" customFormat="false" ht="15" hidden="false" customHeight="false" outlineLevel="0" collapsed="false">
      <c r="A185" s="29"/>
      <c r="B185" s="29"/>
      <c r="C185" s="20" t="str">
        <f aca="false">IF(A185="","",IFERROR(INDEX(Products!$B:$B,MATCH(A185,Products!$A:$A,0)),"ID not found"))</f>
        <v/>
      </c>
      <c r="D185" s="20" t="str">
        <f aca="false">IF(B185="","",IFERROR(INDEX(Dimensions!$B:$B,MATCH(B185,Dimensions!$A:$A,0)),"ID not found"))</f>
        <v/>
      </c>
      <c r="E185" s="30"/>
      <c r="F185" s="20" t="str">
        <f aca="false">IF(E185="","",IFERROR(INDEX(Tables!$B:$B,MATCH(E185,Tables!$A:$A,0)),"ID not found"))</f>
        <v/>
      </c>
      <c r="G185" s="20" t="str">
        <f aca="false">IF(OR(B185="",E185=""),"",IF(IFERROR(INDEX(Dimensions!$C:$C,MATCH(B185,Dimensions!$A:$A,0)),"")="","No agreed source",IF(INDEX(Dimensions!$C:$C,MATCH(B185,Dimensions!$A:$A,0))=E185,"Yes","No")))</f>
        <v/>
      </c>
      <c r="H185" s="30"/>
      <c r="I185" s="30"/>
      <c r="J185" s="30"/>
      <c r="K185" s="34" t="str">
        <f aca="false">IF(AND(A185&lt;&gt;"",G185="No"),COUNTIF($G$5:G185,"No"),"")</f>
        <v/>
      </c>
    </row>
    <row r="186" customFormat="false" ht="15" hidden="false" customHeight="false" outlineLevel="0" collapsed="false">
      <c r="A186" s="29"/>
      <c r="B186" s="29"/>
      <c r="C186" s="20" t="str">
        <f aca="false">IF(A186="","",IFERROR(INDEX(Products!$B:$B,MATCH(A186,Products!$A:$A,0)),"ID not found"))</f>
        <v/>
      </c>
      <c r="D186" s="20" t="str">
        <f aca="false">IF(B186="","",IFERROR(INDEX(Dimensions!$B:$B,MATCH(B186,Dimensions!$A:$A,0)),"ID not found"))</f>
        <v/>
      </c>
      <c r="E186" s="30"/>
      <c r="F186" s="20" t="str">
        <f aca="false">IF(E186="","",IFERROR(INDEX(Tables!$B:$B,MATCH(E186,Tables!$A:$A,0)),"ID not found"))</f>
        <v/>
      </c>
      <c r="G186" s="20" t="str">
        <f aca="false">IF(OR(B186="",E186=""),"",IF(IFERROR(INDEX(Dimensions!$C:$C,MATCH(B186,Dimensions!$A:$A,0)),"")="","No agreed source",IF(INDEX(Dimensions!$C:$C,MATCH(B186,Dimensions!$A:$A,0))=E186,"Yes","No")))</f>
        <v/>
      </c>
      <c r="H186" s="30"/>
      <c r="I186" s="30"/>
      <c r="J186" s="30"/>
      <c r="K186" s="34" t="str">
        <f aca="false">IF(AND(A186&lt;&gt;"",G186="No"),COUNTIF($G$5:G186,"No"),"")</f>
        <v/>
      </c>
    </row>
    <row r="187" customFormat="false" ht="15" hidden="false" customHeight="false" outlineLevel="0" collapsed="false">
      <c r="A187" s="29"/>
      <c r="B187" s="29"/>
      <c r="C187" s="20" t="str">
        <f aca="false">IF(A187="","",IFERROR(INDEX(Products!$B:$B,MATCH(A187,Products!$A:$A,0)),"ID not found"))</f>
        <v/>
      </c>
      <c r="D187" s="20" t="str">
        <f aca="false">IF(B187="","",IFERROR(INDEX(Dimensions!$B:$B,MATCH(B187,Dimensions!$A:$A,0)),"ID not found"))</f>
        <v/>
      </c>
      <c r="E187" s="30"/>
      <c r="F187" s="20" t="str">
        <f aca="false">IF(E187="","",IFERROR(INDEX(Tables!$B:$B,MATCH(E187,Tables!$A:$A,0)),"ID not found"))</f>
        <v/>
      </c>
      <c r="G187" s="20" t="str">
        <f aca="false">IF(OR(B187="",E187=""),"",IF(IFERROR(INDEX(Dimensions!$C:$C,MATCH(B187,Dimensions!$A:$A,0)),"")="","No agreed source",IF(INDEX(Dimensions!$C:$C,MATCH(B187,Dimensions!$A:$A,0))=E187,"Yes","No")))</f>
        <v/>
      </c>
      <c r="H187" s="30"/>
      <c r="I187" s="30"/>
      <c r="J187" s="30"/>
      <c r="K187" s="34" t="str">
        <f aca="false">IF(AND(A187&lt;&gt;"",G187="No"),COUNTIF($G$5:G187,"No"),"")</f>
        <v/>
      </c>
    </row>
    <row r="188" customFormat="false" ht="15" hidden="false" customHeight="false" outlineLevel="0" collapsed="false">
      <c r="A188" s="29"/>
      <c r="B188" s="29"/>
      <c r="C188" s="20" t="str">
        <f aca="false">IF(A188="","",IFERROR(INDEX(Products!$B:$B,MATCH(A188,Products!$A:$A,0)),"ID not found"))</f>
        <v/>
      </c>
      <c r="D188" s="20" t="str">
        <f aca="false">IF(B188="","",IFERROR(INDEX(Dimensions!$B:$B,MATCH(B188,Dimensions!$A:$A,0)),"ID not found"))</f>
        <v/>
      </c>
      <c r="E188" s="30"/>
      <c r="F188" s="20" t="str">
        <f aca="false">IF(E188="","",IFERROR(INDEX(Tables!$B:$B,MATCH(E188,Tables!$A:$A,0)),"ID not found"))</f>
        <v/>
      </c>
      <c r="G188" s="20" t="str">
        <f aca="false">IF(OR(B188="",E188=""),"",IF(IFERROR(INDEX(Dimensions!$C:$C,MATCH(B188,Dimensions!$A:$A,0)),"")="","No agreed source",IF(INDEX(Dimensions!$C:$C,MATCH(B188,Dimensions!$A:$A,0))=E188,"Yes","No")))</f>
        <v/>
      </c>
      <c r="H188" s="30"/>
      <c r="I188" s="30"/>
      <c r="J188" s="30"/>
      <c r="K188" s="34" t="str">
        <f aca="false">IF(AND(A188&lt;&gt;"",G188="No"),COUNTIF($G$5:G188,"No"),"")</f>
        <v/>
      </c>
    </row>
    <row r="189" customFormat="false" ht="15" hidden="false" customHeight="false" outlineLevel="0" collapsed="false">
      <c r="A189" s="29"/>
      <c r="B189" s="29"/>
      <c r="C189" s="20" t="str">
        <f aca="false">IF(A189="","",IFERROR(INDEX(Products!$B:$B,MATCH(A189,Products!$A:$A,0)),"ID not found"))</f>
        <v/>
      </c>
      <c r="D189" s="20" t="str">
        <f aca="false">IF(B189="","",IFERROR(INDEX(Dimensions!$B:$B,MATCH(B189,Dimensions!$A:$A,0)),"ID not found"))</f>
        <v/>
      </c>
      <c r="E189" s="30"/>
      <c r="F189" s="20" t="str">
        <f aca="false">IF(E189="","",IFERROR(INDEX(Tables!$B:$B,MATCH(E189,Tables!$A:$A,0)),"ID not found"))</f>
        <v/>
      </c>
      <c r="G189" s="20" t="str">
        <f aca="false">IF(OR(B189="",E189=""),"",IF(IFERROR(INDEX(Dimensions!$C:$C,MATCH(B189,Dimensions!$A:$A,0)),"")="","No agreed source",IF(INDEX(Dimensions!$C:$C,MATCH(B189,Dimensions!$A:$A,0))=E189,"Yes","No")))</f>
        <v/>
      </c>
      <c r="H189" s="30"/>
      <c r="I189" s="30"/>
      <c r="J189" s="30"/>
      <c r="K189" s="34" t="str">
        <f aca="false">IF(AND(A189&lt;&gt;"",G189="No"),COUNTIF($G$5:G189,"No"),"")</f>
        <v/>
      </c>
    </row>
    <row r="190" customFormat="false" ht="15" hidden="false" customHeight="false" outlineLevel="0" collapsed="false">
      <c r="A190" s="29"/>
      <c r="B190" s="29"/>
      <c r="C190" s="20" t="str">
        <f aca="false">IF(A190="","",IFERROR(INDEX(Products!$B:$B,MATCH(A190,Products!$A:$A,0)),"ID not found"))</f>
        <v/>
      </c>
      <c r="D190" s="20" t="str">
        <f aca="false">IF(B190="","",IFERROR(INDEX(Dimensions!$B:$B,MATCH(B190,Dimensions!$A:$A,0)),"ID not found"))</f>
        <v/>
      </c>
      <c r="E190" s="30"/>
      <c r="F190" s="20" t="str">
        <f aca="false">IF(E190="","",IFERROR(INDEX(Tables!$B:$B,MATCH(E190,Tables!$A:$A,0)),"ID not found"))</f>
        <v/>
      </c>
      <c r="G190" s="20" t="str">
        <f aca="false">IF(OR(B190="",E190=""),"",IF(IFERROR(INDEX(Dimensions!$C:$C,MATCH(B190,Dimensions!$A:$A,0)),"")="","No agreed source",IF(INDEX(Dimensions!$C:$C,MATCH(B190,Dimensions!$A:$A,0))=E190,"Yes","No")))</f>
        <v/>
      </c>
      <c r="H190" s="30"/>
      <c r="I190" s="30"/>
      <c r="J190" s="30"/>
      <c r="K190" s="34" t="str">
        <f aca="false">IF(AND(A190&lt;&gt;"",G190="No"),COUNTIF($G$5:G190,"No"),"")</f>
        <v/>
      </c>
    </row>
    <row r="191" customFormat="false" ht="15" hidden="false" customHeight="false" outlineLevel="0" collapsed="false">
      <c r="A191" s="29"/>
      <c r="B191" s="29"/>
      <c r="C191" s="20" t="str">
        <f aca="false">IF(A191="","",IFERROR(INDEX(Products!$B:$B,MATCH(A191,Products!$A:$A,0)),"ID not found"))</f>
        <v/>
      </c>
      <c r="D191" s="20" t="str">
        <f aca="false">IF(B191="","",IFERROR(INDEX(Dimensions!$B:$B,MATCH(B191,Dimensions!$A:$A,0)),"ID not found"))</f>
        <v/>
      </c>
      <c r="E191" s="30"/>
      <c r="F191" s="20" t="str">
        <f aca="false">IF(E191="","",IFERROR(INDEX(Tables!$B:$B,MATCH(E191,Tables!$A:$A,0)),"ID not found"))</f>
        <v/>
      </c>
      <c r="G191" s="20" t="str">
        <f aca="false">IF(OR(B191="",E191=""),"",IF(IFERROR(INDEX(Dimensions!$C:$C,MATCH(B191,Dimensions!$A:$A,0)),"")="","No agreed source",IF(INDEX(Dimensions!$C:$C,MATCH(B191,Dimensions!$A:$A,0))=E191,"Yes","No")))</f>
        <v/>
      </c>
      <c r="H191" s="30"/>
      <c r="I191" s="30"/>
      <c r="J191" s="30"/>
      <c r="K191" s="34" t="str">
        <f aca="false">IF(AND(A191&lt;&gt;"",G191="No"),COUNTIF($G$5:G191,"No"),"")</f>
        <v/>
      </c>
    </row>
    <row r="192" customFormat="false" ht="15" hidden="false" customHeight="false" outlineLevel="0" collapsed="false">
      <c r="A192" s="29"/>
      <c r="B192" s="29"/>
      <c r="C192" s="20" t="str">
        <f aca="false">IF(A192="","",IFERROR(INDEX(Products!$B:$B,MATCH(A192,Products!$A:$A,0)),"ID not found"))</f>
        <v/>
      </c>
      <c r="D192" s="20" t="str">
        <f aca="false">IF(B192="","",IFERROR(INDEX(Dimensions!$B:$B,MATCH(B192,Dimensions!$A:$A,0)),"ID not found"))</f>
        <v/>
      </c>
      <c r="E192" s="30"/>
      <c r="F192" s="20" t="str">
        <f aca="false">IF(E192="","",IFERROR(INDEX(Tables!$B:$B,MATCH(E192,Tables!$A:$A,0)),"ID not found"))</f>
        <v/>
      </c>
      <c r="G192" s="20" t="str">
        <f aca="false">IF(OR(B192="",E192=""),"",IF(IFERROR(INDEX(Dimensions!$C:$C,MATCH(B192,Dimensions!$A:$A,0)),"")="","No agreed source",IF(INDEX(Dimensions!$C:$C,MATCH(B192,Dimensions!$A:$A,0))=E192,"Yes","No")))</f>
        <v/>
      </c>
      <c r="H192" s="30"/>
      <c r="I192" s="30"/>
      <c r="J192" s="30"/>
      <c r="K192" s="34" t="str">
        <f aca="false">IF(AND(A192&lt;&gt;"",G192="No"),COUNTIF($G$5:G192,"No"),"")</f>
        <v/>
      </c>
    </row>
    <row r="193" customFormat="false" ht="15" hidden="false" customHeight="false" outlineLevel="0" collapsed="false">
      <c r="A193" s="29"/>
      <c r="B193" s="29"/>
      <c r="C193" s="20" t="str">
        <f aca="false">IF(A193="","",IFERROR(INDEX(Products!$B:$B,MATCH(A193,Products!$A:$A,0)),"ID not found"))</f>
        <v/>
      </c>
      <c r="D193" s="20" t="str">
        <f aca="false">IF(B193="","",IFERROR(INDEX(Dimensions!$B:$B,MATCH(B193,Dimensions!$A:$A,0)),"ID not found"))</f>
        <v/>
      </c>
      <c r="E193" s="30"/>
      <c r="F193" s="20" t="str">
        <f aca="false">IF(E193="","",IFERROR(INDEX(Tables!$B:$B,MATCH(E193,Tables!$A:$A,0)),"ID not found"))</f>
        <v/>
      </c>
      <c r="G193" s="20" t="str">
        <f aca="false">IF(OR(B193="",E193=""),"",IF(IFERROR(INDEX(Dimensions!$C:$C,MATCH(B193,Dimensions!$A:$A,0)),"")="","No agreed source",IF(INDEX(Dimensions!$C:$C,MATCH(B193,Dimensions!$A:$A,0))=E193,"Yes","No")))</f>
        <v/>
      </c>
      <c r="H193" s="30"/>
      <c r="I193" s="30"/>
      <c r="J193" s="30"/>
      <c r="K193" s="34" t="str">
        <f aca="false">IF(AND(A193&lt;&gt;"",G193="No"),COUNTIF($G$5:G193,"No"),"")</f>
        <v/>
      </c>
    </row>
    <row r="194" customFormat="false" ht="15" hidden="false" customHeight="false" outlineLevel="0" collapsed="false">
      <c r="A194" s="29"/>
      <c r="B194" s="29"/>
      <c r="C194" s="20" t="str">
        <f aca="false">IF(A194="","",IFERROR(INDEX(Products!$B:$B,MATCH(A194,Products!$A:$A,0)),"ID not found"))</f>
        <v/>
      </c>
      <c r="D194" s="20" t="str">
        <f aca="false">IF(B194="","",IFERROR(INDEX(Dimensions!$B:$B,MATCH(B194,Dimensions!$A:$A,0)),"ID not found"))</f>
        <v/>
      </c>
      <c r="E194" s="30"/>
      <c r="F194" s="20" t="str">
        <f aca="false">IF(E194="","",IFERROR(INDEX(Tables!$B:$B,MATCH(E194,Tables!$A:$A,0)),"ID not found"))</f>
        <v/>
      </c>
      <c r="G194" s="20" t="str">
        <f aca="false">IF(OR(B194="",E194=""),"",IF(IFERROR(INDEX(Dimensions!$C:$C,MATCH(B194,Dimensions!$A:$A,0)),"")="","No agreed source",IF(INDEX(Dimensions!$C:$C,MATCH(B194,Dimensions!$A:$A,0))=E194,"Yes","No")))</f>
        <v/>
      </c>
      <c r="H194" s="30"/>
      <c r="I194" s="30"/>
      <c r="J194" s="30"/>
      <c r="K194" s="34" t="str">
        <f aca="false">IF(AND(A194&lt;&gt;"",G194="No"),COUNTIF($G$5:G194,"No"),"")</f>
        <v/>
      </c>
    </row>
    <row r="195" customFormat="false" ht="15" hidden="false" customHeight="false" outlineLevel="0" collapsed="false">
      <c r="A195" s="29"/>
      <c r="B195" s="29"/>
      <c r="C195" s="20" t="str">
        <f aca="false">IF(A195="","",IFERROR(INDEX(Products!$B:$B,MATCH(A195,Products!$A:$A,0)),"ID not found"))</f>
        <v/>
      </c>
      <c r="D195" s="20" t="str">
        <f aca="false">IF(B195="","",IFERROR(INDEX(Dimensions!$B:$B,MATCH(B195,Dimensions!$A:$A,0)),"ID not found"))</f>
        <v/>
      </c>
      <c r="E195" s="30"/>
      <c r="F195" s="20" t="str">
        <f aca="false">IF(E195="","",IFERROR(INDEX(Tables!$B:$B,MATCH(E195,Tables!$A:$A,0)),"ID not found"))</f>
        <v/>
      </c>
      <c r="G195" s="20" t="str">
        <f aca="false">IF(OR(B195="",E195=""),"",IF(IFERROR(INDEX(Dimensions!$C:$C,MATCH(B195,Dimensions!$A:$A,0)),"")="","No agreed source",IF(INDEX(Dimensions!$C:$C,MATCH(B195,Dimensions!$A:$A,0))=E195,"Yes","No")))</f>
        <v/>
      </c>
      <c r="H195" s="30"/>
      <c r="I195" s="30"/>
      <c r="J195" s="30"/>
      <c r="K195" s="34" t="str">
        <f aca="false">IF(AND(A195&lt;&gt;"",G195="No"),COUNTIF($G$5:G195,"No"),"")</f>
        <v/>
      </c>
    </row>
    <row r="196" customFormat="false" ht="15" hidden="false" customHeight="false" outlineLevel="0" collapsed="false">
      <c r="A196" s="29"/>
      <c r="B196" s="29"/>
      <c r="C196" s="20" t="str">
        <f aca="false">IF(A196="","",IFERROR(INDEX(Products!$B:$B,MATCH(A196,Products!$A:$A,0)),"ID not found"))</f>
        <v/>
      </c>
      <c r="D196" s="20" t="str">
        <f aca="false">IF(B196="","",IFERROR(INDEX(Dimensions!$B:$B,MATCH(B196,Dimensions!$A:$A,0)),"ID not found"))</f>
        <v/>
      </c>
      <c r="E196" s="30"/>
      <c r="F196" s="20" t="str">
        <f aca="false">IF(E196="","",IFERROR(INDEX(Tables!$B:$B,MATCH(E196,Tables!$A:$A,0)),"ID not found"))</f>
        <v/>
      </c>
      <c r="G196" s="20" t="str">
        <f aca="false">IF(OR(B196="",E196=""),"",IF(IFERROR(INDEX(Dimensions!$C:$C,MATCH(B196,Dimensions!$A:$A,0)),"")="","No agreed source",IF(INDEX(Dimensions!$C:$C,MATCH(B196,Dimensions!$A:$A,0))=E196,"Yes","No")))</f>
        <v/>
      </c>
      <c r="H196" s="30"/>
      <c r="I196" s="30"/>
      <c r="J196" s="30"/>
      <c r="K196" s="34" t="str">
        <f aca="false">IF(AND(A196&lt;&gt;"",G196="No"),COUNTIF($G$5:G196,"No"),"")</f>
        <v/>
      </c>
    </row>
    <row r="197" customFormat="false" ht="15" hidden="false" customHeight="false" outlineLevel="0" collapsed="false">
      <c r="A197" s="29"/>
      <c r="B197" s="29"/>
      <c r="C197" s="20" t="str">
        <f aca="false">IF(A197="","",IFERROR(INDEX(Products!$B:$B,MATCH(A197,Products!$A:$A,0)),"ID not found"))</f>
        <v/>
      </c>
      <c r="D197" s="20" t="str">
        <f aca="false">IF(B197="","",IFERROR(INDEX(Dimensions!$B:$B,MATCH(B197,Dimensions!$A:$A,0)),"ID not found"))</f>
        <v/>
      </c>
      <c r="E197" s="30"/>
      <c r="F197" s="20" t="str">
        <f aca="false">IF(E197="","",IFERROR(INDEX(Tables!$B:$B,MATCH(E197,Tables!$A:$A,0)),"ID not found"))</f>
        <v/>
      </c>
      <c r="G197" s="20" t="str">
        <f aca="false">IF(OR(B197="",E197=""),"",IF(IFERROR(INDEX(Dimensions!$C:$C,MATCH(B197,Dimensions!$A:$A,0)),"")="","No agreed source",IF(INDEX(Dimensions!$C:$C,MATCH(B197,Dimensions!$A:$A,0))=E197,"Yes","No")))</f>
        <v/>
      </c>
      <c r="H197" s="30"/>
      <c r="I197" s="30"/>
      <c r="J197" s="30"/>
      <c r="K197" s="34" t="str">
        <f aca="false">IF(AND(A197&lt;&gt;"",G197="No"),COUNTIF($G$5:G197,"No"),"")</f>
        <v/>
      </c>
    </row>
    <row r="198" customFormat="false" ht="15" hidden="false" customHeight="false" outlineLevel="0" collapsed="false">
      <c r="A198" s="29"/>
      <c r="B198" s="29"/>
      <c r="C198" s="20" t="str">
        <f aca="false">IF(A198="","",IFERROR(INDEX(Products!$B:$B,MATCH(A198,Products!$A:$A,0)),"ID not found"))</f>
        <v/>
      </c>
      <c r="D198" s="20" t="str">
        <f aca="false">IF(B198="","",IFERROR(INDEX(Dimensions!$B:$B,MATCH(B198,Dimensions!$A:$A,0)),"ID not found"))</f>
        <v/>
      </c>
      <c r="E198" s="30"/>
      <c r="F198" s="20" t="str">
        <f aca="false">IF(E198="","",IFERROR(INDEX(Tables!$B:$B,MATCH(E198,Tables!$A:$A,0)),"ID not found"))</f>
        <v/>
      </c>
      <c r="G198" s="20" t="str">
        <f aca="false">IF(OR(B198="",E198=""),"",IF(IFERROR(INDEX(Dimensions!$C:$C,MATCH(B198,Dimensions!$A:$A,0)),"")="","No agreed source",IF(INDEX(Dimensions!$C:$C,MATCH(B198,Dimensions!$A:$A,0))=E198,"Yes","No")))</f>
        <v/>
      </c>
      <c r="H198" s="30"/>
      <c r="I198" s="30"/>
      <c r="J198" s="30"/>
      <c r="K198" s="34" t="str">
        <f aca="false">IF(AND(A198&lt;&gt;"",G198="No"),COUNTIF($G$5:G198,"No"),"")</f>
        <v/>
      </c>
    </row>
    <row r="199" customFormat="false" ht="15" hidden="false" customHeight="false" outlineLevel="0" collapsed="false">
      <c r="A199" s="29"/>
      <c r="B199" s="29"/>
      <c r="C199" s="20" t="str">
        <f aca="false">IF(A199="","",IFERROR(INDEX(Products!$B:$B,MATCH(A199,Products!$A:$A,0)),"ID not found"))</f>
        <v/>
      </c>
      <c r="D199" s="20" t="str">
        <f aca="false">IF(B199="","",IFERROR(INDEX(Dimensions!$B:$B,MATCH(B199,Dimensions!$A:$A,0)),"ID not found"))</f>
        <v/>
      </c>
      <c r="E199" s="30"/>
      <c r="F199" s="20" t="str">
        <f aca="false">IF(E199="","",IFERROR(INDEX(Tables!$B:$B,MATCH(E199,Tables!$A:$A,0)),"ID not found"))</f>
        <v/>
      </c>
      <c r="G199" s="20" t="str">
        <f aca="false">IF(OR(B199="",E199=""),"",IF(IFERROR(INDEX(Dimensions!$C:$C,MATCH(B199,Dimensions!$A:$A,0)),"")="","No agreed source",IF(INDEX(Dimensions!$C:$C,MATCH(B199,Dimensions!$A:$A,0))=E199,"Yes","No")))</f>
        <v/>
      </c>
      <c r="H199" s="30"/>
      <c r="I199" s="30"/>
      <c r="J199" s="30"/>
      <c r="K199" s="34" t="str">
        <f aca="false">IF(AND(A199&lt;&gt;"",G199="No"),COUNTIF($G$5:G199,"No"),"")</f>
        <v/>
      </c>
    </row>
    <row r="200" customFormat="false" ht="15" hidden="false" customHeight="false" outlineLevel="0" collapsed="false">
      <c r="A200" s="29"/>
      <c r="B200" s="29"/>
      <c r="C200" s="20" t="str">
        <f aca="false">IF(A200="","",IFERROR(INDEX(Products!$B:$B,MATCH(A200,Products!$A:$A,0)),"ID not found"))</f>
        <v/>
      </c>
      <c r="D200" s="20" t="str">
        <f aca="false">IF(B200="","",IFERROR(INDEX(Dimensions!$B:$B,MATCH(B200,Dimensions!$A:$A,0)),"ID not found"))</f>
        <v/>
      </c>
      <c r="E200" s="30"/>
      <c r="F200" s="20" t="str">
        <f aca="false">IF(E200="","",IFERROR(INDEX(Tables!$B:$B,MATCH(E200,Tables!$A:$A,0)),"ID not found"))</f>
        <v/>
      </c>
      <c r="G200" s="20" t="str">
        <f aca="false">IF(OR(B200="",E200=""),"",IF(IFERROR(INDEX(Dimensions!$C:$C,MATCH(B200,Dimensions!$A:$A,0)),"")="","No agreed source",IF(INDEX(Dimensions!$C:$C,MATCH(B200,Dimensions!$A:$A,0))=E200,"Yes","No")))</f>
        <v/>
      </c>
      <c r="H200" s="30"/>
      <c r="I200" s="30"/>
      <c r="J200" s="30"/>
      <c r="K200" s="34" t="str">
        <f aca="false">IF(AND(A200&lt;&gt;"",G200="No"),COUNTIF($G$5:G200,"No"),"")</f>
        <v/>
      </c>
    </row>
    <row r="201" customFormat="false" ht="15" hidden="false" customHeight="false" outlineLevel="0" collapsed="false">
      <c r="A201" s="29"/>
      <c r="B201" s="29"/>
      <c r="C201" s="20" t="str">
        <f aca="false">IF(A201="","",IFERROR(INDEX(Products!$B:$B,MATCH(A201,Products!$A:$A,0)),"ID not found"))</f>
        <v/>
      </c>
      <c r="D201" s="20" t="str">
        <f aca="false">IF(B201="","",IFERROR(INDEX(Dimensions!$B:$B,MATCH(B201,Dimensions!$A:$A,0)),"ID not found"))</f>
        <v/>
      </c>
      <c r="E201" s="30"/>
      <c r="F201" s="20" t="str">
        <f aca="false">IF(E201="","",IFERROR(INDEX(Tables!$B:$B,MATCH(E201,Tables!$A:$A,0)),"ID not found"))</f>
        <v/>
      </c>
      <c r="G201" s="20" t="str">
        <f aca="false">IF(OR(B201="",E201=""),"",IF(IFERROR(INDEX(Dimensions!$C:$C,MATCH(B201,Dimensions!$A:$A,0)),"")="","No agreed source",IF(INDEX(Dimensions!$C:$C,MATCH(B201,Dimensions!$A:$A,0))=E201,"Yes","No")))</f>
        <v/>
      </c>
      <c r="H201" s="30"/>
      <c r="I201" s="30"/>
      <c r="J201" s="30"/>
      <c r="K201" s="34" t="str">
        <f aca="false">IF(AND(A201&lt;&gt;"",G201="No"),COUNTIF($G$5:G201,"No"),"")</f>
        <v/>
      </c>
    </row>
    <row r="202" customFormat="false" ht="15" hidden="false" customHeight="false" outlineLevel="0" collapsed="false">
      <c r="A202" s="29"/>
      <c r="B202" s="29"/>
      <c r="C202" s="20" t="str">
        <f aca="false">IF(A202="","",IFERROR(INDEX(Products!$B:$B,MATCH(A202,Products!$A:$A,0)),"ID not found"))</f>
        <v/>
      </c>
      <c r="D202" s="20" t="str">
        <f aca="false">IF(B202="","",IFERROR(INDEX(Dimensions!$B:$B,MATCH(B202,Dimensions!$A:$A,0)),"ID not found"))</f>
        <v/>
      </c>
      <c r="E202" s="30"/>
      <c r="F202" s="20" t="str">
        <f aca="false">IF(E202="","",IFERROR(INDEX(Tables!$B:$B,MATCH(E202,Tables!$A:$A,0)),"ID not found"))</f>
        <v/>
      </c>
      <c r="G202" s="20" t="str">
        <f aca="false">IF(OR(B202="",E202=""),"",IF(IFERROR(INDEX(Dimensions!$C:$C,MATCH(B202,Dimensions!$A:$A,0)),"")="","No agreed source",IF(INDEX(Dimensions!$C:$C,MATCH(B202,Dimensions!$A:$A,0))=E202,"Yes","No")))</f>
        <v/>
      </c>
      <c r="H202" s="30"/>
      <c r="I202" s="30"/>
      <c r="J202" s="30"/>
      <c r="K202" s="34" t="str">
        <f aca="false">IF(AND(A202&lt;&gt;"",G202="No"),COUNTIF($G$5:G202,"No"),"")</f>
        <v/>
      </c>
    </row>
    <row r="203" customFormat="false" ht="15" hidden="false" customHeight="false" outlineLevel="0" collapsed="false">
      <c r="A203" s="29"/>
      <c r="B203" s="29"/>
      <c r="C203" s="20" t="str">
        <f aca="false">IF(A203="","",IFERROR(INDEX(Products!$B:$B,MATCH(A203,Products!$A:$A,0)),"ID not found"))</f>
        <v/>
      </c>
      <c r="D203" s="20" t="str">
        <f aca="false">IF(B203="","",IFERROR(INDEX(Dimensions!$B:$B,MATCH(B203,Dimensions!$A:$A,0)),"ID not found"))</f>
        <v/>
      </c>
      <c r="E203" s="30"/>
      <c r="F203" s="20" t="str">
        <f aca="false">IF(E203="","",IFERROR(INDEX(Tables!$B:$B,MATCH(E203,Tables!$A:$A,0)),"ID not found"))</f>
        <v/>
      </c>
      <c r="G203" s="20" t="str">
        <f aca="false">IF(OR(B203="",E203=""),"",IF(IFERROR(INDEX(Dimensions!$C:$C,MATCH(B203,Dimensions!$A:$A,0)),"")="","No agreed source",IF(INDEX(Dimensions!$C:$C,MATCH(B203,Dimensions!$A:$A,0))=E203,"Yes","No")))</f>
        <v/>
      </c>
      <c r="H203" s="30"/>
      <c r="I203" s="30"/>
      <c r="J203" s="30"/>
      <c r="K203" s="34" t="str">
        <f aca="false">IF(AND(A203&lt;&gt;"",G203="No"),COUNTIF($G$5:G203,"No"),"")</f>
        <v/>
      </c>
    </row>
    <row r="204" customFormat="false" ht="15" hidden="false" customHeight="false" outlineLevel="0" collapsed="false">
      <c r="A204" s="29"/>
      <c r="B204" s="29"/>
      <c r="C204" s="20" t="str">
        <f aca="false">IF(A204="","",IFERROR(INDEX(Products!$B:$B,MATCH(A204,Products!$A:$A,0)),"ID not found"))</f>
        <v/>
      </c>
      <c r="D204" s="20" t="str">
        <f aca="false">IF(B204="","",IFERROR(INDEX(Dimensions!$B:$B,MATCH(B204,Dimensions!$A:$A,0)),"ID not found"))</f>
        <v/>
      </c>
      <c r="E204" s="30"/>
      <c r="F204" s="20" t="str">
        <f aca="false">IF(E204="","",IFERROR(INDEX(Tables!$B:$B,MATCH(E204,Tables!$A:$A,0)),"ID not found"))</f>
        <v/>
      </c>
      <c r="G204" s="20" t="str">
        <f aca="false">IF(OR(B204="",E204=""),"",IF(IFERROR(INDEX(Dimensions!$C:$C,MATCH(B204,Dimensions!$A:$A,0)),"")="","No agreed source",IF(INDEX(Dimensions!$C:$C,MATCH(B204,Dimensions!$A:$A,0))=E204,"Yes","No")))</f>
        <v/>
      </c>
      <c r="H204" s="30"/>
      <c r="I204" s="30"/>
      <c r="J204" s="30"/>
      <c r="K204" s="34" t="str">
        <f aca="false">IF(AND(A204&lt;&gt;"",G204="No"),COUNTIF($G$5:G204,"No"),"")</f>
        <v/>
      </c>
    </row>
    <row r="205" customFormat="false" ht="15" hidden="false" customHeight="false" outlineLevel="0" collapsed="false">
      <c r="A205" s="29"/>
      <c r="B205" s="29"/>
      <c r="C205" s="20" t="str">
        <f aca="false">IF(A205="","",IFERROR(INDEX(Products!$B:$B,MATCH(A205,Products!$A:$A,0)),"ID not found"))</f>
        <v/>
      </c>
      <c r="D205" s="20" t="str">
        <f aca="false">IF(B205="","",IFERROR(INDEX(Dimensions!$B:$B,MATCH(B205,Dimensions!$A:$A,0)),"ID not found"))</f>
        <v/>
      </c>
      <c r="E205" s="30"/>
      <c r="F205" s="20" t="str">
        <f aca="false">IF(E205="","",IFERROR(INDEX(Tables!$B:$B,MATCH(E205,Tables!$A:$A,0)),"ID not found"))</f>
        <v/>
      </c>
      <c r="G205" s="20" t="str">
        <f aca="false">IF(OR(B205="",E205=""),"",IF(IFERROR(INDEX(Dimensions!$C:$C,MATCH(B205,Dimensions!$A:$A,0)),"")="","No agreed source",IF(INDEX(Dimensions!$C:$C,MATCH(B205,Dimensions!$A:$A,0))=E205,"Yes","No")))</f>
        <v/>
      </c>
      <c r="H205" s="30"/>
      <c r="I205" s="30"/>
      <c r="J205" s="30"/>
      <c r="K205" s="34" t="str">
        <f aca="false">IF(AND(A205&lt;&gt;"",G205="No"),COUNTIF($G$5:G205,"No"),"")</f>
        <v/>
      </c>
    </row>
    <row r="206" customFormat="false" ht="15" hidden="false" customHeight="false" outlineLevel="0" collapsed="false">
      <c r="A206" s="29"/>
      <c r="B206" s="29"/>
      <c r="C206" s="20" t="str">
        <f aca="false">IF(A206="","",IFERROR(INDEX(Products!$B:$B,MATCH(A206,Products!$A:$A,0)),"ID not found"))</f>
        <v/>
      </c>
      <c r="D206" s="20" t="str">
        <f aca="false">IF(B206="","",IFERROR(INDEX(Dimensions!$B:$B,MATCH(B206,Dimensions!$A:$A,0)),"ID not found"))</f>
        <v/>
      </c>
      <c r="E206" s="30"/>
      <c r="F206" s="20" t="str">
        <f aca="false">IF(E206="","",IFERROR(INDEX(Tables!$B:$B,MATCH(E206,Tables!$A:$A,0)),"ID not found"))</f>
        <v/>
      </c>
      <c r="G206" s="20" t="str">
        <f aca="false">IF(OR(B206="",E206=""),"",IF(IFERROR(INDEX(Dimensions!$C:$C,MATCH(B206,Dimensions!$A:$A,0)),"")="","No agreed source",IF(INDEX(Dimensions!$C:$C,MATCH(B206,Dimensions!$A:$A,0))=E206,"Yes","No")))</f>
        <v/>
      </c>
      <c r="H206" s="30"/>
      <c r="I206" s="30"/>
      <c r="J206" s="30"/>
      <c r="K206" s="34" t="str">
        <f aca="false">IF(AND(A206&lt;&gt;"",G206="No"),COUNTIF($G$5:G206,"No"),"")</f>
        <v/>
      </c>
    </row>
    <row r="207" customFormat="false" ht="15" hidden="false" customHeight="false" outlineLevel="0" collapsed="false">
      <c r="A207" s="29"/>
      <c r="B207" s="29"/>
      <c r="C207" s="20" t="str">
        <f aca="false">IF(A207="","",IFERROR(INDEX(Products!$B:$B,MATCH(A207,Products!$A:$A,0)),"ID not found"))</f>
        <v/>
      </c>
      <c r="D207" s="20" t="str">
        <f aca="false">IF(B207="","",IFERROR(INDEX(Dimensions!$B:$B,MATCH(B207,Dimensions!$A:$A,0)),"ID not found"))</f>
        <v/>
      </c>
      <c r="E207" s="30"/>
      <c r="F207" s="20" t="str">
        <f aca="false">IF(E207="","",IFERROR(INDEX(Tables!$B:$B,MATCH(E207,Tables!$A:$A,0)),"ID not found"))</f>
        <v/>
      </c>
      <c r="G207" s="20" t="str">
        <f aca="false">IF(OR(B207="",E207=""),"",IF(IFERROR(INDEX(Dimensions!$C:$C,MATCH(B207,Dimensions!$A:$A,0)),"")="","No agreed source",IF(INDEX(Dimensions!$C:$C,MATCH(B207,Dimensions!$A:$A,0))=E207,"Yes","No")))</f>
        <v/>
      </c>
      <c r="H207" s="30"/>
      <c r="I207" s="30"/>
      <c r="J207" s="30"/>
      <c r="K207" s="34" t="str">
        <f aca="false">IF(AND(A207&lt;&gt;"",G207="No"),COUNTIF($G$5:G207,"No"),"")</f>
        <v/>
      </c>
    </row>
    <row r="208" customFormat="false" ht="15" hidden="false" customHeight="false" outlineLevel="0" collapsed="false">
      <c r="A208" s="29"/>
      <c r="B208" s="29"/>
      <c r="C208" s="20" t="str">
        <f aca="false">IF(A208="","",IFERROR(INDEX(Products!$B:$B,MATCH(A208,Products!$A:$A,0)),"ID not found"))</f>
        <v/>
      </c>
      <c r="D208" s="20" t="str">
        <f aca="false">IF(B208="","",IFERROR(INDEX(Dimensions!$B:$B,MATCH(B208,Dimensions!$A:$A,0)),"ID not found"))</f>
        <v/>
      </c>
      <c r="E208" s="30"/>
      <c r="F208" s="20" t="str">
        <f aca="false">IF(E208="","",IFERROR(INDEX(Tables!$B:$B,MATCH(E208,Tables!$A:$A,0)),"ID not found"))</f>
        <v/>
      </c>
      <c r="G208" s="20" t="str">
        <f aca="false">IF(OR(B208="",E208=""),"",IF(IFERROR(INDEX(Dimensions!$C:$C,MATCH(B208,Dimensions!$A:$A,0)),"")="","No agreed source",IF(INDEX(Dimensions!$C:$C,MATCH(B208,Dimensions!$A:$A,0))=E208,"Yes","No")))</f>
        <v/>
      </c>
      <c r="H208" s="30"/>
      <c r="I208" s="30"/>
      <c r="J208" s="30"/>
      <c r="K208" s="34" t="str">
        <f aca="false">IF(AND(A208&lt;&gt;"",G208="No"),COUNTIF($G$5:G208,"No"),"")</f>
        <v/>
      </c>
    </row>
    <row r="209" customFormat="false" ht="15" hidden="false" customHeight="false" outlineLevel="0" collapsed="false">
      <c r="A209" s="29"/>
      <c r="B209" s="29"/>
      <c r="C209" s="20" t="str">
        <f aca="false">IF(A209="","",IFERROR(INDEX(Products!$B:$B,MATCH(A209,Products!$A:$A,0)),"ID not found"))</f>
        <v/>
      </c>
      <c r="D209" s="20" t="str">
        <f aca="false">IF(B209="","",IFERROR(INDEX(Dimensions!$B:$B,MATCH(B209,Dimensions!$A:$A,0)),"ID not found"))</f>
        <v/>
      </c>
      <c r="E209" s="30"/>
      <c r="F209" s="20" t="str">
        <f aca="false">IF(E209="","",IFERROR(INDEX(Tables!$B:$B,MATCH(E209,Tables!$A:$A,0)),"ID not found"))</f>
        <v/>
      </c>
      <c r="G209" s="20" t="str">
        <f aca="false">IF(OR(B209="",E209=""),"",IF(IFERROR(INDEX(Dimensions!$C:$C,MATCH(B209,Dimensions!$A:$A,0)),"")="","No agreed source",IF(INDEX(Dimensions!$C:$C,MATCH(B209,Dimensions!$A:$A,0))=E209,"Yes","No")))</f>
        <v/>
      </c>
      <c r="H209" s="30"/>
      <c r="I209" s="30"/>
      <c r="J209" s="30"/>
      <c r="K209" s="34" t="str">
        <f aca="false">IF(AND(A209&lt;&gt;"",G209="No"),COUNTIF($G$5:G209,"No"),"")</f>
        <v/>
      </c>
    </row>
    <row r="210" customFormat="false" ht="15" hidden="false" customHeight="false" outlineLevel="0" collapsed="false">
      <c r="A210" s="29"/>
      <c r="B210" s="29"/>
      <c r="C210" s="20" t="str">
        <f aca="false">IF(A210="","",IFERROR(INDEX(Products!$B:$B,MATCH(A210,Products!$A:$A,0)),"ID not found"))</f>
        <v/>
      </c>
      <c r="D210" s="20" t="str">
        <f aca="false">IF(B210="","",IFERROR(INDEX(Dimensions!$B:$B,MATCH(B210,Dimensions!$A:$A,0)),"ID not found"))</f>
        <v/>
      </c>
      <c r="E210" s="30"/>
      <c r="F210" s="20" t="str">
        <f aca="false">IF(E210="","",IFERROR(INDEX(Tables!$B:$B,MATCH(E210,Tables!$A:$A,0)),"ID not found"))</f>
        <v/>
      </c>
      <c r="G210" s="20" t="str">
        <f aca="false">IF(OR(B210="",E210=""),"",IF(IFERROR(INDEX(Dimensions!$C:$C,MATCH(B210,Dimensions!$A:$A,0)),"")="","No agreed source",IF(INDEX(Dimensions!$C:$C,MATCH(B210,Dimensions!$A:$A,0))=E210,"Yes","No")))</f>
        <v/>
      </c>
      <c r="H210" s="30"/>
      <c r="I210" s="30"/>
      <c r="J210" s="30"/>
      <c r="K210" s="34" t="str">
        <f aca="false">IF(AND(A210&lt;&gt;"",G210="No"),COUNTIF($G$5:G210,"No"),"")</f>
        <v/>
      </c>
    </row>
    <row r="211" customFormat="false" ht="15" hidden="false" customHeight="false" outlineLevel="0" collapsed="false">
      <c r="A211" s="29"/>
      <c r="B211" s="29"/>
      <c r="C211" s="20" t="str">
        <f aca="false">IF(A211="","",IFERROR(INDEX(Products!$B:$B,MATCH(A211,Products!$A:$A,0)),"ID not found"))</f>
        <v/>
      </c>
      <c r="D211" s="20" t="str">
        <f aca="false">IF(B211="","",IFERROR(INDEX(Dimensions!$B:$B,MATCH(B211,Dimensions!$A:$A,0)),"ID not found"))</f>
        <v/>
      </c>
      <c r="E211" s="30"/>
      <c r="F211" s="20" t="str">
        <f aca="false">IF(E211="","",IFERROR(INDEX(Tables!$B:$B,MATCH(E211,Tables!$A:$A,0)),"ID not found"))</f>
        <v/>
      </c>
      <c r="G211" s="20" t="str">
        <f aca="false">IF(OR(B211="",E211=""),"",IF(IFERROR(INDEX(Dimensions!$C:$C,MATCH(B211,Dimensions!$A:$A,0)),"")="","No agreed source",IF(INDEX(Dimensions!$C:$C,MATCH(B211,Dimensions!$A:$A,0))=E211,"Yes","No")))</f>
        <v/>
      </c>
      <c r="H211" s="30"/>
      <c r="I211" s="30"/>
      <c r="J211" s="30"/>
      <c r="K211" s="34" t="str">
        <f aca="false">IF(AND(A211&lt;&gt;"",G211="No"),COUNTIF($G$5:G211,"No"),"")</f>
        <v/>
      </c>
    </row>
    <row r="212" customFormat="false" ht="15" hidden="false" customHeight="false" outlineLevel="0" collapsed="false">
      <c r="A212" s="29"/>
      <c r="B212" s="29"/>
      <c r="C212" s="20" t="str">
        <f aca="false">IF(A212="","",IFERROR(INDEX(Products!$B:$B,MATCH(A212,Products!$A:$A,0)),"ID not found"))</f>
        <v/>
      </c>
      <c r="D212" s="20" t="str">
        <f aca="false">IF(B212="","",IFERROR(INDEX(Dimensions!$B:$B,MATCH(B212,Dimensions!$A:$A,0)),"ID not found"))</f>
        <v/>
      </c>
      <c r="E212" s="30"/>
      <c r="F212" s="20" t="str">
        <f aca="false">IF(E212="","",IFERROR(INDEX(Tables!$B:$B,MATCH(E212,Tables!$A:$A,0)),"ID not found"))</f>
        <v/>
      </c>
      <c r="G212" s="20" t="str">
        <f aca="false">IF(OR(B212="",E212=""),"",IF(IFERROR(INDEX(Dimensions!$C:$C,MATCH(B212,Dimensions!$A:$A,0)),"")="","No agreed source",IF(INDEX(Dimensions!$C:$C,MATCH(B212,Dimensions!$A:$A,0))=E212,"Yes","No")))</f>
        <v/>
      </c>
      <c r="H212" s="30"/>
      <c r="I212" s="30"/>
      <c r="J212" s="30"/>
      <c r="K212" s="34" t="str">
        <f aca="false">IF(AND(A212&lt;&gt;"",G212="No"),COUNTIF($G$5:G212,"No"),"")</f>
        <v/>
      </c>
    </row>
    <row r="213" customFormat="false" ht="15" hidden="false" customHeight="false" outlineLevel="0" collapsed="false">
      <c r="A213" s="29"/>
      <c r="B213" s="29"/>
      <c r="C213" s="20" t="str">
        <f aca="false">IF(A213="","",IFERROR(INDEX(Products!$B:$B,MATCH(A213,Products!$A:$A,0)),"ID not found"))</f>
        <v/>
      </c>
      <c r="D213" s="20" t="str">
        <f aca="false">IF(B213="","",IFERROR(INDEX(Dimensions!$B:$B,MATCH(B213,Dimensions!$A:$A,0)),"ID not found"))</f>
        <v/>
      </c>
      <c r="E213" s="30"/>
      <c r="F213" s="20" t="str">
        <f aca="false">IF(E213="","",IFERROR(INDEX(Tables!$B:$B,MATCH(E213,Tables!$A:$A,0)),"ID not found"))</f>
        <v/>
      </c>
      <c r="G213" s="20" t="str">
        <f aca="false">IF(OR(B213="",E213=""),"",IF(IFERROR(INDEX(Dimensions!$C:$C,MATCH(B213,Dimensions!$A:$A,0)),"")="","No agreed source",IF(INDEX(Dimensions!$C:$C,MATCH(B213,Dimensions!$A:$A,0))=E213,"Yes","No")))</f>
        <v/>
      </c>
      <c r="H213" s="30"/>
      <c r="I213" s="30"/>
      <c r="J213" s="30"/>
      <c r="K213" s="34" t="str">
        <f aca="false">IF(AND(A213&lt;&gt;"",G213="No"),COUNTIF($G$5:G213,"No"),"")</f>
        <v/>
      </c>
    </row>
    <row r="214" customFormat="false" ht="15" hidden="false" customHeight="false" outlineLevel="0" collapsed="false">
      <c r="A214" s="29"/>
      <c r="B214" s="29"/>
      <c r="C214" s="20" t="str">
        <f aca="false">IF(A214="","",IFERROR(INDEX(Products!$B:$B,MATCH(A214,Products!$A:$A,0)),"ID not found"))</f>
        <v/>
      </c>
      <c r="D214" s="20" t="str">
        <f aca="false">IF(B214="","",IFERROR(INDEX(Dimensions!$B:$B,MATCH(B214,Dimensions!$A:$A,0)),"ID not found"))</f>
        <v/>
      </c>
      <c r="E214" s="30"/>
      <c r="F214" s="20" t="str">
        <f aca="false">IF(E214="","",IFERROR(INDEX(Tables!$B:$B,MATCH(E214,Tables!$A:$A,0)),"ID not found"))</f>
        <v/>
      </c>
      <c r="G214" s="20" t="str">
        <f aca="false">IF(OR(B214="",E214=""),"",IF(IFERROR(INDEX(Dimensions!$C:$C,MATCH(B214,Dimensions!$A:$A,0)),"")="","No agreed source",IF(INDEX(Dimensions!$C:$C,MATCH(B214,Dimensions!$A:$A,0))=E214,"Yes","No")))</f>
        <v/>
      </c>
      <c r="H214" s="30"/>
      <c r="I214" s="30"/>
      <c r="J214" s="30"/>
      <c r="K214" s="34" t="str">
        <f aca="false">IF(AND(A214&lt;&gt;"",G214="No"),COUNTIF($G$5:G214,"No"),"")</f>
        <v/>
      </c>
    </row>
    <row r="215" customFormat="false" ht="15" hidden="false" customHeight="false" outlineLevel="0" collapsed="false">
      <c r="A215" s="29"/>
      <c r="B215" s="29"/>
      <c r="C215" s="20" t="str">
        <f aca="false">IF(A215="","",IFERROR(INDEX(Products!$B:$B,MATCH(A215,Products!$A:$A,0)),"ID not found"))</f>
        <v/>
      </c>
      <c r="D215" s="20" t="str">
        <f aca="false">IF(B215="","",IFERROR(INDEX(Dimensions!$B:$B,MATCH(B215,Dimensions!$A:$A,0)),"ID not found"))</f>
        <v/>
      </c>
      <c r="E215" s="30"/>
      <c r="F215" s="20" t="str">
        <f aca="false">IF(E215="","",IFERROR(INDEX(Tables!$B:$B,MATCH(E215,Tables!$A:$A,0)),"ID not found"))</f>
        <v/>
      </c>
      <c r="G215" s="20" t="str">
        <f aca="false">IF(OR(B215="",E215=""),"",IF(IFERROR(INDEX(Dimensions!$C:$C,MATCH(B215,Dimensions!$A:$A,0)),"")="","No agreed source",IF(INDEX(Dimensions!$C:$C,MATCH(B215,Dimensions!$A:$A,0))=E215,"Yes","No")))</f>
        <v/>
      </c>
      <c r="H215" s="30"/>
      <c r="I215" s="30"/>
      <c r="J215" s="30"/>
      <c r="K215" s="34" t="str">
        <f aca="false">IF(AND(A215&lt;&gt;"",G215="No"),COUNTIF($G$5:G215,"No"),"")</f>
        <v/>
      </c>
    </row>
    <row r="216" customFormat="false" ht="15" hidden="false" customHeight="false" outlineLevel="0" collapsed="false">
      <c r="A216" s="29"/>
      <c r="B216" s="29"/>
      <c r="C216" s="20" t="str">
        <f aca="false">IF(A216="","",IFERROR(INDEX(Products!$B:$B,MATCH(A216,Products!$A:$A,0)),"ID not found"))</f>
        <v/>
      </c>
      <c r="D216" s="20" t="str">
        <f aca="false">IF(B216="","",IFERROR(INDEX(Dimensions!$B:$B,MATCH(B216,Dimensions!$A:$A,0)),"ID not found"))</f>
        <v/>
      </c>
      <c r="E216" s="30"/>
      <c r="F216" s="20" t="str">
        <f aca="false">IF(E216="","",IFERROR(INDEX(Tables!$B:$B,MATCH(E216,Tables!$A:$A,0)),"ID not found"))</f>
        <v/>
      </c>
      <c r="G216" s="20" t="str">
        <f aca="false">IF(OR(B216="",E216=""),"",IF(IFERROR(INDEX(Dimensions!$C:$C,MATCH(B216,Dimensions!$A:$A,0)),"")="","No agreed source",IF(INDEX(Dimensions!$C:$C,MATCH(B216,Dimensions!$A:$A,0))=E216,"Yes","No")))</f>
        <v/>
      </c>
      <c r="H216" s="30"/>
      <c r="I216" s="30"/>
      <c r="J216" s="30"/>
      <c r="K216" s="34" t="str">
        <f aca="false">IF(AND(A216&lt;&gt;"",G216="No"),COUNTIF($G$5:G216,"No"),"")</f>
        <v/>
      </c>
    </row>
    <row r="217" customFormat="false" ht="15" hidden="false" customHeight="false" outlineLevel="0" collapsed="false">
      <c r="A217" s="29"/>
      <c r="B217" s="29"/>
      <c r="C217" s="20" t="str">
        <f aca="false">IF(A217="","",IFERROR(INDEX(Products!$B:$B,MATCH(A217,Products!$A:$A,0)),"ID not found"))</f>
        <v/>
      </c>
      <c r="D217" s="20" t="str">
        <f aca="false">IF(B217="","",IFERROR(INDEX(Dimensions!$B:$B,MATCH(B217,Dimensions!$A:$A,0)),"ID not found"))</f>
        <v/>
      </c>
      <c r="E217" s="30"/>
      <c r="F217" s="20" t="str">
        <f aca="false">IF(E217="","",IFERROR(INDEX(Tables!$B:$B,MATCH(E217,Tables!$A:$A,0)),"ID not found"))</f>
        <v/>
      </c>
      <c r="G217" s="20" t="str">
        <f aca="false">IF(OR(B217="",E217=""),"",IF(IFERROR(INDEX(Dimensions!$C:$C,MATCH(B217,Dimensions!$A:$A,0)),"")="","No agreed source",IF(INDEX(Dimensions!$C:$C,MATCH(B217,Dimensions!$A:$A,0))=E217,"Yes","No")))</f>
        <v/>
      </c>
      <c r="H217" s="30"/>
      <c r="I217" s="30"/>
      <c r="J217" s="30"/>
      <c r="K217" s="34" t="str">
        <f aca="false">IF(AND(A217&lt;&gt;"",G217="No"),COUNTIF($G$5:G217,"No"),"")</f>
        <v/>
      </c>
    </row>
    <row r="218" customFormat="false" ht="15" hidden="false" customHeight="false" outlineLevel="0" collapsed="false">
      <c r="A218" s="29"/>
      <c r="B218" s="29"/>
      <c r="C218" s="20" t="str">
        <f aca="false">IF(A218="","",IFERROR(INDEX(Products!$B:$B,MATCH(A218,Products!$A:$A,0)),"ID not found"))</f>
        <v/>
      </c>
      <c r="D218" s="20" t="str">
        <f aca="false">IF(B218="","",IFERROR(INDEX(Dimensions!$B:$B,MATCH(B218,Dimensions!$A:$A,0)),"ID not found"))</f>
        <v/>
      </c>
      <c r="E218" s="30"/>
      <c r="F218" s="20" t="str">
        <f aca="false">IF(E218="","",IFERROR(INDEX(Tables!$B:$B,MATCH(E218,Tables!$A:$A,0)),"ID not found"))</f>
        <v/>
      </c>
      <c r="G218" s="20" t="str">
        <f aca="false">IF(OR(B218="",E218=""),"",IF(IFERROR(INDEX(Dimensions!$C:$C,MATCH(B218,Dimensions!$A:$A,0)),"")="","No agreed source",IF(INDEX(Dimensions!$C:$C,MATCH(B218,Dimensions!$A:$A,0))=E218,"Yes","No")))</f>
        <v/>
      </c>
      <c r="H218" s="30"/>
      <c r="I218" s="30"/>
      <c r="J218" s="30"/>
      <c r="K218" s="34" t="str">
        <f aca="false">IF(AND(A218&lt;&gt;"",G218="No"),COUNTIF($G$5:G218,"No"),"")</f>
        <v/>
      </c>
    </row>
    <row r="219" customFormat="false" ht="15" hidden="false" customHeight="false" outlineLevel="0" collapsed="false">
      <c r="A219" s="29"/>
      <c r="B219" s="29"/>
      <c r="C219" s="20" t="str">
        <f aca="false">IF(A219="","",IFERROR(INDEX(Products!$B:$B,MATCH(A219,Products!$A:$A,0)),"ID not found"))</f>
        <v/>
      </c>
      <c r="D219" s="20" t="str">
        <f aca="false">IF(B219="","",IFERROR(INDEX(Dimensions!$B:$B,MATCH(B219,Dimensions!$A:$A,0)),"ID not found"))</f>
        <v/>
      </c>
      <c r="E219" s="30"/>
      <c r="F219" s="20" t="str">
        <f aca="false">IF(E219="","",IFERROR(INDEX(Tables!$B:$B,MATCH(E219,Tables!$A:$A,0)),"ID not found"))</f>
        <v/>
      </c>
      <c r="G219" s="20" t="str">
        <f aca="false">IF(OR(B219="",E219=""),"",IF(IFERROR(INDEX(Dimensions!$C:$C,MATCH(B219,Dimensions!$A:$A,0)),"")="","No agreed source",IF(INDEX(Dimensions!$C:$C,MATCH(B219,Dimensions!$A:$A,0))=E219,"Yes","No")))</f>
        <v/>
      </c>
      <c r="H219" s="30"/>
      <c r="I219" s="30"/>
      <c r="J219" s="30"/>
      <c r="K219" s="34" t="str">
        <f aca="false">IF(AND(A219&lt;&gt;"",G219="No"),COUNTIF($G$5:G219,"No"),"")</f>
        <v/>
      </c>
    </row>
    <row r="220" customFormat="false" ht="15" hidden="false" customHeight="false" outlineLevel="0" collapsed="false">
      <c r="A220" s="29"/>
      <c r="B220" s="29"/>
      <c r="C220" s="20" t="str">
        <f aca="false">IF(A220="","",IFERROR(INDEX(Products!$B:$B,MATCH(A220,Products!$A:$A,0)),"ID not found"))</f>
        <v/>
      </c>
      <c r="D220" s="20" t="str">
        <f aca="false">IF(B220="","",IFERROR(INDEX(Dimensions!$B:$B,MATCH(B220,Dimensions!$A:$A,0)),"ID not found"))</f>
        <v/>
      </c>
      <c r="E220" s="30"/>
      <c r="F220" s="20" t="str">
        <f aca="false">IF(E220="","",IFERROR(INDEX(Tables!$B:$B,MATCH(E220,Tables!$A:$A,0)),"ID not found"))</f>
        <v/>
      </c>
      <c r="G220" s="20" t="str">
        <f aca="false">IF(OR(B220="",E220=""),"",IF(IFERROR(INDEX(Dimensions!$C:$C,MATCH(B220,Dimensions!$A:$A,0)),"")="","No agreed source",IF(INDEX(Dimensions!$C:$C,MATCH(B220,Dimensions!$A:$A,0))=E220,"Yes","No")))</f>
        <v/>
      </c>
      <c r="H220" s="30"/>
      <c r="I220" s="30"/>
      <c r="J220" s="30"/>
      <c r="K220" s="34" t="str">
        <f aca="false">IF(AND(A220&lt;&gt;"",G220="No"),COUNTIF($G$5:G220,"No"),"")</f>
        <v/>
      </c>
    </row>
    <row r="221" customFormat="false" ht="15" hidden="false" customHeight="false" outlineLevel="0" collapsed="false">
      <c r="A221" s="29"/>
      <c r="B221" s="29"/>
      <c r="C221" s="20" t="str">
        <f aca="false">IF(A221="","",IFERROR(INDEX(Products!$B:$B,MATCH(A221,Products!$A:$A,0)),"ID not found"))</f>
        <v/>
      </c>
      <c r="D221" s="20" t="str">
        <f aca="false">IF(B221="","",IFERROR(INDEX(Dimensions!$B:$B,MATCH(B221,Dimensions!$A:$A,0)),"ID not found"))</f>
        <v/>
      </c>
      <c r="E221" s="30"/>
      <c r="F221" s="20" t="str">
        <f aca="false">IF(E221="","",IFERROR(INDEX(Tables!$B:$B,MATCH(E221,Tables!$A:$A,0)),"ID not found"))</f>
        <v/>
      </c>
      <c r="G221" s="20" t="str">
        <f aca="false">IF(OR(B221="",E221=""),"",IF(IFERROR(INDEX(Dimensions!$C:$C,MATCH(B221,Dimensions!$A:$A,0)),"")="","No agreed source",IF(INDEX(Dimensions!$C:$C,MATCH(B221,Dimensions!$A:$A,0))=E221,"Yes","No")))</f>
        <v/>
      </c>
      <c r="H221" s="30"/>
      <c r="I221" s="30"/>
      <c r="J221" s="30"/>
      <c r="K221" s="34" t="str">
        <f aca="false">IF(AND(A221&lt;&gt;"",G221="No"),COUNTIF($G$5:G221,"No"),"")</f>
        <v/>
      </c>
    </row>
    <row r="222" customFormat="false" ht="15" hidden="false" customHeight="false" outlineLevel="0" collapsed="false">
      <c r="A222" s="29"/>
      <c r="B222" s="29"/>
      <c r="C222" s="20" t="str">
        <f aca="false">IF(A222="","",IFERROR(INDEX(Products!$B:$B,MATCH(A222,Products!$A:$A,0)),"ID not found"))</f>
        <v/>
      </c>
      <c r="D222" s="20" t="str">
        <f aca="false">IF(B222="","",IFERROR(INDEX(Dimensions!$B:$B,MATCH(B222,Dimensions!$A:$A,0)),"ID not found"))</f>
        <v/>
      </c>
      <c r="E222" s="30"/>
      <c r="F222" s="20" t="str">
        <f aca="false">IF(E222="","",IFERROR(INDEX(Tables!$B:$B,MATCH(E222,Tables!$A:$A,0)),"ID not found"))</f>
        <v/>
      </c>
      <c r="G222" s="20" t="str">
        <f aca="false">IF(OR(B222="",E222=""),"",IF(IFERROR(INDEX(Dimensions!$C:$C,MATCH(B222,Dimensions!$A:$A,0)),"")="","No agreed source",IF(INDEX(Dimensions!$C:$C,MATCH(B222,Dimensions!$A:$A,0))=E222,"Yes","No")))</f>
        <v/>
      </c>
      <c r="H222" s="30"/>
      <c r="I222" s="30"/>
      <c r="J222" s="30"/>
      <c r="K222" s="34" t="str">
        <f aca="false">IF(AND(A222&lt;&gt;"",G222="No"),COUNTIF($G$5:G222,"No"),"")</f>
        <v/>
      </c>
    </row>
    <row r="223" customFormat="false" ht="15" hidden="false" customHeight="false" outlineLevel="0" collapsed="false">
      <c r="A223" s="29"/>
      <c r="B223" s="29"/>
      <c r="C223" s="20" t="str">
        <f aca="false">IF(A223="","",IFERROR(INDEX(Products!$B:$B,MATCH(A223,Products!$A:$A,0)),"ID not found"))</f>
        <v/>
      </c>
      <c r="D223" s="20" t="str">
        <f aca="false">IF(B223="","",IFERROR(INDEX(Dimensions!$B:$B,MATCH(B223,Dimensions!$A:$A,0)),"ID not found"))</f>
        <v/>
      </c>
      <c r="E223" s="30"/>
      <c r="F223" s="20" t="str">
        <f aca="false">IF(E223="","",IFERROR(INDEX(Tables!$B:$B,MATCH(E223,Tables!$A:$A,0)),"ID not found"))</f>
        <v/>
      </c>
      <c r="G223" s="20" t="str">
        <f aca="false">IF(OR(B223="",E223=""),"",IF(IFERROR(INDEX(Dimensions!$C:$C,MATCH(B223,Dimensions!$A:$A,0)),"")="","No agreed source",IF(INDEX(Dimensions!$C:$C,MATCH(B223,Dimensions!$A:$A,0))=E223,"Yes","No")))</f>
        <v/>
      </c>
      <c r="H223" s="30"/>
      <c r="I223" s="30"/>
      <c r="J223" s="30"/>
      <c r="K223" s="34" t="str">
        <f aca="false">IF(AND(A223&lt;&gt;"",G223="No"),COUNTIF($G$5:G223,"No"),"")</f>
        <v/>
      </c>
    </row>
    <row r="224" customFormat="false" ht="15" hidden="false" customHeight="false" outlineLevel="0" collapsed="false">
      <c r="A224" s="29"/>
      <c r="B224" s="29"/>
      <c r="C224" s="20" t="str">
        <f aca="false">IF(A224="","",IFERROR(INDEX(Products!$B:$B,MATCH(A224,Products!$A:$A,0)),"ID not found"))</f>
        <v/>
      </c>
      <c r="D224" s="20" t="str">
        <f aca="false">IF(B224="","",IFERROR(INDEX(Dimensions!$B:$B,MATCH(B224,Dimensions!$A:$A,0)),"ID not found"))</f>
        <v/>
      </c>
      <c r="E224" s="30"/>
      <c r="F224" s="20" t="str">
        <f aca="false">IF(E224="","",IFERROR(INDEX(Tables!$B:$B,MATCH(E224,Tables!$A:$A,0)),"ID not found"))</f>
        <v/>
      </c>
      <c r="G224" s="20" t="str">
        <f aca="false">IF(OR(B224="",E224=""),"",IF(IFERROR(INDEX(Dimensions!$C:$C,MATCH(B224,Dimensions!$A:$A,0)),"")="","No agreed source",IF(INDEX(Dimensions!$C:$C,MATCH(B224,Dimensions!$A:$A,0))=E224,"Yes","No")))</f>
        <v/>
      </c>
      <c r="H224" s="30"/>
      <c r="I224" s="30"/>
      <c r="J224" s="30"/>
      <c r="K224" s="34" t="str">
        <f aca="false">IF(AND(A224&lt;&gt;"",G224="No"),COUNTIF($G$5:G224,"No"),"")</f>
        <v/>
      </c>
    </row>
    <row r="225" customFormat="false" ht="15" hidden="false" customHeight="false" outlineLevel="0" collapsed="false">
      <c r="A225" s="29"/>
      <c r="B225" s="29"/>
      <c r="C225" s="20" t="str">
        <f aca="false">IF(A225="","",IFERROR(INDEX(Products!$B:$B,MATCH(A225,Products!$A:$A,0)),"ID not found"))</f>
        <v/>
      </c>
      <c r="D225" s="20" t="str">
        <f aca="false">IF(B225="","",IFERROR(INDEX(Dimensions!$B:$B,MATCH(B225,Dimensions!$A:$A,0)),"ID not found"))</f>
        <v/>
      </c>
      <c r="E225" s="30"/>
      <c r="F225" s="20" t="str">
        <f aca="false">IF(E225="","",IFERROR(INDEX(Tables!$B:$B,MATCH(E225,Tables!$A:$A,0)),"ID not found"))</f>
        <v/>
      </c>
      <c r="G225" s="20" t="str">
        <f aca="false">IF(OR(B225="",E225=""),"",IF(IFERROR(INDEX(Dimensions!$C:$C,MATCH(B225,Dimensions!$A:$A,0)),"")="","No agreed source",IF(INDEX(Dimensions!$C:$C,MATCH(B225,Dimensions!$A:$A,0))=E225,"Yes","No")))</f>
        <v/>
      </c>
      <c r="H225" s="30"/>
      <c r="I225" s="30"/>
      <c r="J225" s="30"/>
      <c r="K225" s="34" t="str">
        <f aca="false">IF(AND(A225&lt;&gt;"",G225="No"),COUNTIF($G$5:G225,"No"),"")</f>
        <v/>
      </c>
    </row>
    <row r="226" customFormat="false" ht="15" hidden="false" customHeight="false" outlineLevel="0" collapsed="false">
      <c r="A226" s="29"/>
      <c r="B226" s="29"/>
      <c r="C226" s="20" t="str">
        <f aca="false">IF(A226="","",IFERROR(INDEX(Products!$B:$B,MATCH(A226,Products!$A:$A,0)),"ID not found"))</f>
        <v/>
      </c>
      <c r="D226" s="20" t="str">
        <f aca="false">IF(B226="","",IFERROR(INDEX(Dimensions!$B:$B,MATCH(B226,Dimensions!$A:$A,0)),"ID not found"))</f>
        <v/>
      </c>
      <c r="E226" s="30"/>
      <c r="F226" s="20" t="str">
        <f aca="false">IF(E226="","",IFERROR(INDEX(Tables!$B:$B,MATCH(E226,Tables!$A:$A,0)),"ID not found"))</f>
        <v/>
      </c>
      <c r="G226" s="20" t="str">
        <f aca="false">IF(OR(B226="",E226=""),"",IF(IFERROR(INDEX(Dimensions!$C:$C,MATCH(B226,Dimensions!$A:$A,0)),"")="","No agreed source",IF(INDEX(Dimensions!$C:$C,MATCH(B226,Dimensions!$A:$A,0))=E226,"Yes","No")))</f>
        <v/>
      </c>
      <c r="H226" s="30"/>
      <c r="I226" s="30"/>
      <c r="J226" s="30"/>
      <c r="K226" s="34" t="str">
        <f aca="false">IF(AND(A226&lt;&gt;"",G226="No"),COUNTIF($G$5:G226,"No"),"")</f>
        <v/>
      </c>
    </row>
    <row r="227" customFormat="false" ht="15" hidden="false" customHeight="false" outlineLevel="0" collapsed="false">
      <c r="A227" s="29"/>
      <c r="B227" s="29"/>
      <c r="C227" s="20" t="str">
        <f aca="false">IF(A227="","",IFERROR(INDEX(Products!$B:$B,MATCH(A227,Products!$A:$A,0)),"ID not found"))</f>
        <v/>
      </c>
      <c r="D227" s="20" t="str">
        <f aca="false">IF(B227="","",IFERROR(INDEX(Dimensions!$B:$B,MATCH(B227,Dimensions!$A:$A,0)),"ID not found"))</f>
        <v/>
      </c>
      <c r="E227" s="30"/>
      <c r="F227" s="20" t="str">
        <f aca="false">IF(E227="","",IFERROR(INDEX(Tables!$B:$B,MATCH(E227,Tables!$A:$A,0)),"ID not found"))</f>
        <v/>
      </c>
      <c r="G227" s="20" t="str">
        <f aca="false">IF(OR(B227="",E227=""),"",IF(IFERROR(INDEX(Dimensions!$C:$C,MATCH(B227,Dimensions!$A:$A,0)),"")="","No agreed source",IF(INDEX(Dimensions!$C:$C,MATCH(B227,Dimensions!$A:$A,0))=E227,"Yes","No")))</f>
        <v/>
      </c>
      <c r="H227" s="30"/>
      <c r="I227" s="30"/>
      <c r="J227" s="30"/>
      <c r="K227" s="34" t="str">
        <f aca="false">IF(AND(A227&lt;&gt;"",G227="No"),COUNTIF($G$5:G227,"No"),"")</f>
        <v/>
      </c>
    </row>
    <row r="228" customFormat="false" ht="15" hidden="false" customHeight="false" outlineLevel="0" collapsed="false">
      <c r="A228" s="29"/>
      <c r="B228" s="29"/>
      <c r="C228" s="20" t="str">
        <f aca="false">IF(A228="","",IFERROR(INDEX(Products!$B:$B,MATCH(A228,Products!$A:$A,0)),"ID not found"))</f>
        <v/>
      </c>
      <c r="D228" s="20" t="str">
        <f aca="false">IF(B228="","",IFERROR(INDEX(Dimensions!$B:$B,MATCH(B228,Dimensions!$A:$A,0)),"ID not found"))</f>
        <v/>
      </c>
      <c r="E228" s="30"/>
      <c r="F228" s="20" t="str">
        <f aca="false">IF(E228="","",IFERROR(INDEX(Tables!$B:$B,MATCH(E228,Tables!$A:$A,0)),"ID not found"))</f>
        <v/>
      </c>
      <c r="G228" s="20" t="str">
        <f aca="false">IF(OR(B228="",E228=""),"",IF(IFERROR(INDEX(Dimensions!$C:$C,MATCH(B228,Dimensions!$A:$A,0)),"")="","No agreed source",IF(INDEX(Dimensions!$C:$C,MATCH(B228,Dimensions!$A:$A,0))=E228,"Yes","No")))</f>
        <v/>
      </c>
      <c r="H228" s="30"/>
      <c r="I228" s="30"/>
      <c r="J228" s="30"/>
      <c r="K228" s="34" t="str">
        <f aca="false">IF(AND(A228&lt;&gt;"",G228="No"),COUNTIF($G$5:G228,"No"),"")</f>
        <v/>
      </c>
    </row>
    <row r="229" customFormat="false" ht="15" hidden="false" customHeight="false" outlineLevel="0" collapsed="false">
      <c r="A229" s="29"/>
      <c r="B229" s="29"/>
      <c r="C229" s="20" t="str">
        <f aca="false">IF(A229="","",IFERROR(INDEX(Products!$B:$B,MATCH(A229,Products!$A:$A,0)),"ID not found"))</f>
        <v/>
      </c>
      <c r="D229" s="20" t="str">
        <f aca="false">IF(B229="","",IFERROR(INDEX(Dimensions!$B:$B,MATCH(B229,Dimensions!$A:$A,0)),"ID not found"))</f>
        <v/>
      </c>
      <c r="E229" s="30"/>
      <c r="F229" s="20" t="str">
        <f aca="false">IF(E229="","",IFERROR(INDEX(Tables!$B:$B,MATCH(E229,Tables!$A:$A,0)),"ID not found"))</f>
        <v/>
      </c>
      <c r="G229" s="20" t="str">
        <f aca="false">IF(OR(B229="",E229=""),"",IF(IFERROR(INDEX(Dimensions!$C:$C,MATCH(B229,Dimensions!$A:$A,0)),"")="","No agreed source",IF(INDEX(Dimensions!$C:$C,MATCH(B229,Dimensions!$A:$A,0))=E229,"Yes","No")))</f>
        <v/>
      </c>
      <c r="H229" s="30"/>
      <c r="I229" s="30"/>
      <c r="J229" s="30"/>
      <c r="K229" s="34" t="str">
        <f aca="false">IF(AND(A229&lt;&gt;"",G229="No"),COUNTIF($G$5:G229,"No"),"")</f>
        <v/>
      </c>
    </row>
    <row r="230" customFormat="false" ht="15" hidden="false" customHeight="false" outlineLevel="0" collapsed="false">
      <c r="A230" s="29"/>
      <c r="B230" s="29"/>
      <c r="C230" s="20" t="str">
        <f aca="false">IF(A230="","",IFERROR(INDEX(Products!$B:$B,MATCH(A230,Products!$A:$A,0)),"ID not found"))</f>
        <v/>
      </c>
      <c r="D230" s="20" t="str">
        <f aca="false">IF(B230="","",IFERROR(INDEX(Dimensions!$B:$B,MATCH(B230,Dimensions!$A:$A,0)),"ID not found"))</f>
        <v/>
      </c>
      <c r="E230" s="30"/>
      <c r="F230" s="20" t="str">
        <f aca="false">IF(E230="","",IFERROR(INDEX(Tables!$B:$B,MATCH(E230,Tables!$A:$A,0)),"ID not found"))</f>
        <v/>
      </c>
      <c r="G230" s="20" t="str">
        <f aca="false">IF(OR(B230="",E230=""),"",IF(IFERROR(INDEX(Dimensions!$C:$C,MATCH(B230,Dimensions!$A:$A,0)),"")="","No agreed source",IF(INDEX(Dimensions!$C:$C,MATCH(B230,Dimensions!$A:$A,0))=E230,"Yes","No")))</f>
        <v/>
      </c>
      <c r="H230" s="30"/>
      <c r="I230" s="30"/>
      <c r="J230" s="30"/>
      <c r="K230" s="34" t="str">
        <f aca="false">IF(AND(A230&lt;&gt;"",G230="No"),COUNTIF($G$5:G230,"No"),"")</f>
        <v/>
      </c>
    </row>
    <row r="231" customFormat="false" ht="15" hidden="false" customHeight="false" outlineLevel="0" collapsed="false">
      <c r="A231" s="29"/>
      <c r="B231" s="29"/>
      <c r="C231" s="20" t="str">
        <f aca="false">IF(A231="","",IFERROR(INDEX(Products!$B:$B,MATCH(A231,Products!$A:$A,0)),"ID not found"))</f>
        <v/>
      </c>
      <c r="D231" s="20" t="str">
        <f aca="false">IF(B231="","",IFERROR(INDEX(Dimensions!$B:$B,MATCH(B231,Dimensions!$A:$A,0)),"ID not found"))</f>
        <v/>
      </c>
      <c r="E231" s="30"/>
      <c r="F231" s="20" t="str">
        <f aca="false">IF(E231="","",IFERROR(INDEX(Tables!$B:$B,MATCH(E231,Tables!$A:$A,0)),"ID not found"))</f>
        <v/>
      </c>
      <c r="G231" s="20" t="str">
        <f aca="false">IF(OR(B231="",E231=""),"",IF(IFERROR(INDEX(Dimensions!$C:$C,MATCH(B231,Dimensions!$A:$A,0)),"")="","No agreed source",IF(INDEX(Dimensions!$C:$C,MATCH(B231,Dimensions!$A:$A,0))=E231,"Yes","No")))</f>
        <v/>
      </c>
      <c r="H231" s="30"/>
      <c r="I231" s="30"/>
      <c r="J231" s="30"/>
      <c r="K231" s="34" t="str">
        <f aca="false">IF(AND(A231&lt;&gt;"",G231="No"),COUNTIF($G$5:G231,"No"),"")</f>
        <v/>
      </c>
    </row>
    <row r="232" customFormat="false" ht="15" hidden="false" customHeight="false" outlineLevel="0" collapsed="false">
      <c r="A232" s="29"/>
      <c r="B232" s="29"/>
      <c r="C232" s="20" t="str">
        <f aca="false">IF(A232="","",IFERROR(INDEX(Products!$B:$B,MATCH(A232,Products!$A:$A,0)),"ID not found"))</f>
        <v/>
      </c>
      <c r="D232" s="20" t="str">
        <f aca="false">IF(B232="","",IFERROR(INDEX(Dimensions!$B:$B,MATCH(B232,Dimensions!$A:$A,0)),"ID not found"))</f>
        <v/>
      </c>
      <c r="E232" s="30"/>
      <c r="F232" s="20" t="str">
        <f aca="false">IF(E232="","",IFERROR(INDEX(Tables!$B:$B,MATCH(E232,Tables!$A:$A,0)),"ID not found"))</f>
        <v/>
      </c>
      <c r="G232" s="20" t="str">
        <f aca="false">IF(OR(B232="",E232=""),"",IF(IFERROR(INDEX(Dimensions!$C:$C,MATCH(B232,Dimensions!$A:$A,0)),"")="","No agreed source",IF(INDEX(Dimensions!$C:$C,MATCH(B232,Dimensions!$A:$A,0))=E232,"Yes","No")))</f>
        <v/>
      </c>
      <c r="H232" s="30"/>
      <c r="I232" s="30"/>
      <c r="J232" s="30"/>
      <c r="K232" s="34" t="str">
        <f aca="false">IF(AND(A232&lt;&gt;"",G232="No"),COUNTIF($G$5:G232,"No"),"")</f>
        <v/>
      </c>
    </row>
    <row r="233" customFormat="false" ht="15" hidden="false" customHeight="false" outlineLevel="0" collapsed="false">
      <c r="A233" s="29"/>
      <c r="B233" s="29"/>
      <c r="C233" s="20" t="str">
        <f aca="false">IF(A233="","",IFERROR(INDEX(Products!$B:$B,MATCH(A233,Products!$A:$A,0)),"ID not found"))</f>
        <v/>
      </c>
      <c r="D233" s="20" t="str">
        <f aca="false">IF(B233="","",IFERROR(INDEX(Dimensions!$B:$B,MATCH(B233,Dimensions!$A:$A,0)),"ID not found"))</f>
        <v/>
      </c>
      <c r="E233" s="30"/>
      <c r="F233" s="20" t="str">
        <f aca="false">IF(E233="","",IFERROR(INDEX(Tables!$B:$B,MATCH(E233,Tables!$A:$A,0)),"ID not found"))</f>
        <v/>
      </c>
      <c r="G233" s="20" t="str">
        <f aca="false">IF(OR(B233="",E233=""),"",IF(IFERROR(INDEX(Dimensions!$C:$C,MATCH(B233,Dimensions!$A:$A,0)),"")="","No agreed source",IF(INDEX(Dimensions!$C:$C,MATCH(B233,Dimensions!$A:$A,0))=E233,"Yes","No")))</f>
        <v/>
      </c>
      <c r="H233" s="30"/>
      <c r="I233" s="30"/>
      <c r="J233" s="30"/>
      <c r="K233" s="34" t="str">
        <f aca="false">IF(AND(A233&lt;&gt;"",G233="No"),COUNTIF($G$5:G233,"No"),"")</f>
        <v/>
      </c>
    </row>
    <row r="234" customFormat="false" ht="15" hidden="false" customHeight="false" outlineLevel="0" collapsed="false">
      <c r="A234" s="29"/>
      <c r="B234" s="29"/>
      <c r="C234" s="20" t="str">
        <f aca="false">IF(A234="","",IFERROR(INDEX(Products!$B:$B,MATCH(A234,Products!$A:$A,0)),"ID not found"))</f>
        <v/>
      </c>
      <c r="D234" s="20" t="str">
        <f aca="false">IF(B234="","",IFERROR(INDEX(Dimensions!$B:$B,MATCH(B234,Dimensions!$A:$A,0)),"ID not found"))</f>
        <v/>
      </c>
      <c r="E234" s="30"/>
      <c r="F234" s="20" t="str">
        <f aca="false">IF(E234="","",IFERROR(INDEX(Tables!$B:$B,MATCH(E234,Tables!$A:$A,0)),"ID not found"))</f>
        <v/>
      </c>
      <c r="G234" s="20" t="str">
        <f aca="false">IF(OR(B234="",E234=""),"",IF(IFERROR(INDEX(Dimensions!$C:$C,MATCH(B234,Dimensions!$A:$A,0)),"")="","No agreed source",IF(INDEX(Dimensions!$C:$C,MATCH(B234,Dimensions!$A:$A,0))=E234,"Yes","No")))</f>
        <v/>
      </c>
      <c r="H234" s="30"/>
      <c r="I234" s="30"/>
      <c r="J234" s="30"/>
      <c r="K234" s="34" t="str">
        <f aca="false">IF(AND(A234&lt;&gt;"",G234="No"),COUNTIF($G$5:G234,"No"),"")</f>
        <v/>
      </c>
    </row>
    <row r="235" customFormat="false" ht="15" hidden="false" customHeight="false" outlineLevel="0" collapsed="false">
      <c r="A235" s="29"/>
      <c r="B235" s="29"/>
      <c r="C235" s="20" t="str">
        <f aca="false">IF(A235="","",IFERROR(INDEX(Products!$B:$B,MATCH(A235,Products!$A:$A,0)),"ID not found"))</f>
        <v/>
      </c>
      <c r="D235" s="20" t="str">
        <f aca="false">IF(B235="","",IFERROR(INDEX(Dimensions!$B:$B,MATCH(B235,Dimensions!$A:$A,0)),"ID not found"))</f>
        <v/>
      </c>
      <c r="E235" s="30"/>
      <c r="F235" s="20" t="str">
        <f aca="false">IF(E235="","",IFERROR(INDEX(Tables!$B:$B,MATCH(E235,Tables!$A:$A,0)),"ID not found"))</f>
        <v/>
      </c>
      <c r="G235" s="20" t="str">
        <f aca="false">IF(OR(B235="",E235=""),"",IF(IFERROR(INDEX(Dimensions!$C:$C,MATCH(B235,Dimensions!$A:$A,0)),"")="","No agreed source",IF(INDEX(Dimensions!$C:$C,MATCH(B235,Dimensions!$A:$A,0))=E235,"Yes","No")))</f>
        <v/>
      </c>
      <c r="H235" s="30"/>
      <c r="I235" s="30"/>
      <c r="J235" s="30"/>
      <c r="K235" s="34" t="str">
        <f aca="false">IF(AND(A235&lt;&gt;"",G235="No"),COUNTIF($G$5:G235,"No"),"")</f>
        <v/>
      </c>
    </row>
    <row r="236" customFormat="false" ht="15" hidden="false" customHeight="false" outlineLevel="0" collapsed="false">
      <c r="A236" s="29"/>
      <c r="B236" s="29"/>
      <c r="C236" s="20" t="str">
        <f aca="false">IF(A236="","",IFERROR(INDEX(Products!$B:$B,MATCH(A236,Products!$A:$A,0)),"ID not found"))</f>
        <v/>
      </c>
      <c r="D236" s="20" t="str">
        <f aca="false">IF(B236="","",IFERROR(INDEX(Dimensions!$B:$B,MATCH(B236,Dimensions!$A:$A,0)),"ID not found"))</f>
        <v/>
      </c>
      <c r="E236" s="30"/>
      <c r="F236" s="20" t="str">
        <f aca="false">IF(E236="","",IFERROR(INDEX(Tables!$B:$B,MATCH(E236,Tables!$A:$A,0)),"ID not found"))</f>
        <v/>
      </c>
      <c r="G236" s="20" t="str">
        <f aca="false">IF(OR(B236="",E236=""),"",IF(IFERROR(INDEX(Dimensions!$C:$C,MATCH(B236,Dimensions!$A:$A,0)),"")="","No agreed source",IF(INDEX(Dimensions!$C:$C,MATCH(B236,Dimensions!$A:$A,0))=E236,"Yes","No")))</f>
        <v/>
      </c>
      <c r="H236" s="30"/>
      <c r="I236" s="30"/>
      <c r="J236" s="30"/>
      <c r="K236" s="34" t="str">
        <f aca="false">IF(AND(A236&lt;&gt;"",G236="No"),COUNTIF($G$5:G236,"No"),"")</f>
        <v/>
      </c>
    </row>
    <row r="237" customFormat="false" ht="15" hidden="false" customHeight="false" outlineLevel="0" collapsed="false">
      <c r="A237" s="29"/>
      <c r="B237" s="29"/>
      <c r="C237" s="20" t="str">
        <f aca="false">IF(A237="","",IFERROR(INDEX(Products!$B:$B,MATCH(A237,Products!$A:$A,0)),"ID not found"))</f>
        <v/>
      </c>
      <c r="D237" s="20" t="str">
        <f aca="false">IF(B237="","",IFERROR(INDEX(Dimensions!$B:$B,MATCH(B237,Dimensions!$A:$A,0)),"ID not found"))</f>
        <v/>
      </c>
      <c r="E237" s="30"/>
      <c r="F237" s="20" t="str">
        <f aca="false">IF(E237="","",IFERROR(INDEX(Tables!$B:$B,MATCH(E237,Tables!$A:$A,0)),"ID not found"))</f>
        <v/>
      </c>
      <c r="G237" s="20" t="str">
        <f aca="false">IF(OR(B237="",E237=""),"",IF(IFERROR(INDEX(Dimensions!$C:$C,MATCH(B237,Dimensions!$A:$A,0)),"")="","No agreed source",IF(INDEX(Dimensions!$C:$C,MATCH(B237,Dimensions!$A:$A,0))=E237,"Yes","No")))</f>
        <v/>
      </c>
      <c r="H237" s="30"/>
      <c r="I237" s="30"/>
      <c r="J237" s="30"/>
      <c r="K237" s="34" t="str">
        <f aca="false">IF(AND(A237&lt;&gt;"",G237="No"),COUNTIF($G$5:G237,"No"),"")</f>
        <v/>
      </c>
    </row>
    <row r="238" customFormat="false" ht="15" hidden="false" customHeight="false" outlineLevel="0" collapsed="false">
      <c r="A238" s="29"/>
      <c r="B238" s="29"/>
      <c r="C238" s="20" t="str">
        <f aca="false">IF(A238="","",IFERROR(INDEX(Products!$B:$B,MATCH(A238,Products!$A:$A,0)),"ID not found"))</f>
        <v/>
      </c>
      <c r="D238" s="20" t="str">
        <f aca="false">IF(B238="","",IFERROR(INDEX(Dimensions!$B:$B,MATCH(B238,Dimensions!$A:$A,0)),"ID not found"))</f>
        <v/>
      </c>
      <c r="E238" s="30"/>
      <c r="F238" s="20" t="str">
        <f aca="false">IF(E238="","",IFERROR(INDEX(Tables!$B:$B,MATCH(E238,Tables!$A:$A,0)),"ID not found"))</f>
        <v/>
      </c>
      <c r="G238" s="20" t="str">
        <f aca="false">IF(OR(B238="",E238=""),"",IF(IFERROR(INDEX(Dimensions!$C:$C,MATCH(B238,Dimensions!$A:$A,0)),"")="","No agreed source",IF(INDEX(Dimensions!$C:$C,MATCH(B238,Dimensions!$A:$A,0))=E238,"Yes","No")))</f>
        <v/>
      </c>
      <c r="H238" s="30"/>
      <c r="I238" s="30"/>
      <c r="J238" s="30"/>
      <c r="K238" s="34" t="str">
        <f aca="false">IF(AND(A238&lt;&gt;"",G238="No"),COUNTIF($G$5:G238,"No"),"")</f>
        <v/>
      </c>
    </row>
    <row r="239" customFormat="false" ht="15" hidden="false" customHeight="false" outlineLevel="0" collapsed="false">
      <c r="A239" s="29"/>
      <c r="B239" s="29"/>
      <c r="C239" s="20" t="str">
        <f aca="false">IF(A239="","",IFERROR(INDEX(Products!$B:$B,MATCH(A239,Products!$A:$A,0)),"ID not found"))</f>
        <v/>
      </c>
      <c r="D239" s="20" t="str">
        <f aca="false">IF(B239="","",IFERROR(INDEX(Dimensions!$B:$B,MATCH(B239,Dimensions!$A:$A,0)),"ID not found"))</f>
        <v/>
      </c>
      <c r="E239" s="30"/>
      <c r="F239" s="20" t="str">
        <f aca="false">IF(E239="","",IFERROR(INDEX(Tables!$B:$B,MATCH(E239,Tables!$A:$A,0)),"ID not found"))</f>
        <v/>
      </c>
      <c r="G239" s="20" t="str">
        <f aca="false">IF(OR(B239="",E239=""),"",IF(IFERROR(INDEX(Dimensions!$C:$C,MATCH(B239,Dimensions!$A:$A,0)),"")="","No agreed source",IF(INDEX(Dimensions!$C:$C,MATCH(B239,Dimensions!$A:$A,0))=E239,"Yes","No")))</f>
        <v/>
      </c>
      <c r="H239" s="30"/>
      <c r="I239" s="30"/>
      <c r="J239" s="30"/>
      <c r="K239" s="34" t="str">
        <f aca="false">IF(AND(A239&lt;&gt;"",G239="No"),COUNTIF($G$5:G239,"No"),"")</f>
        <v/>
      </c>
    </row>
    <row r="240" customFormat="false" ht="15" hidden="false" customHeight="false" outlineLevel="0" collapsed="false">
      <c r="A240" s="29"/>
      <c r="B240" s="29"/>
      <c r="C240" s="20" t="str">
        <f aca="false">IF(A240="","",IFERROR(INDEX(Products!$B:$B,MATCH(A240,Products!$A:$A,0)),"ID not found"))</f>
        <v/>
      </c>
      <c r="D240" s="20" t="str">
        <f aca="false">IF(B240="","",IFERROR(INDEX(Dimensions!$B:$B,MATCH(B240,Dimensions!$A:$A,0)),"ID not found"))</f>
        <v/>
      </c>
      <c r="E240" s="30"/>
      <c r="F240" s="20" t="str">
        <f aca="false">IF(E240="","",IFERROR(INDEX(Tables!$B:$B,MATCH(E240,Tables!$A:$A,0)),"ID not found"))</f>
        <v/>
      </c>
      <c r="G240" s="20" t="str">
        <f aca="false">IF(OR(B240="",E240=""),"",IF(IFERROR(INDEX(Dimensions!$C:$C,MATCH(B240,Dimensions!$A:$A,0)),"")="","No agreed source",IF(INDEX(Dimensions!$C:$C,MATCH(B240,Dimensions!$A:$A,0))=E240,"Yes","No")))</f>
        <v/>
      </c>
      <c r="H240" s="30"/>
      <c r="I240" s="30"/>
      <c r="J240" s="30"/>
      <c r="K240" s="34" t="str">
        <f aca="false">IF(AND(A240&lt;&gt;"",G240="No"),COUNTIF($G$5:G240,"No"),"")</f>
        <v/>
      </c>
    </row>
    <row r="241" customFormat="false" ht="15" hidden="false" customHeight="false" outlineLevel="0" collapsed="false">
      <c r="A241" s="29"/>
      <c r="B241" s="29"/>
      <c r="C241" s="20" t="str">
        <f aca="false">IF(A241="","",IFERROR(INDEX(Products!$B:$B,MATCH(A241,Products!$A:$A,0)),"ID not found"))</f>
        <v/>
      </c>
      <c r="D241" s="20" t="str">
        <f aca="false">IF(B241="","",IFERROR(INDEX(Dimensions!$B:$B,MATCH(B241,Dimensions!$A:$A,0)),"ID not found"))</f>
        <v/>
      </c>
      <c r="E241" s="30"/>
      <c r="F241" s="20" t="str">
        <f aca="false">IF(E241="","",IFERROR(INDEX(Tables!$B:$B,MATCH(E241,Tables!$A:$A,0)),"ID not found"))</f>
        <v/>
      </c>
      <c r="G241" s="20" t="str">
        <f aca="false">IF(OR(B241="",E241=""),"",IF(IFERROR(INDEX(Dimensions!$C:$C,MATCH(B241,Dimensions!$A:$A,0)),"")="","No agreed source",IF(INDEX(Dimensions!$C:$C,MATCH(B241,Dimensions!$A:$A,0))=E241,"Yes","No")))</f>
        <v/>
      </c>
      <c r="H241" s="30"/>
      <c r="I241" s="30"/>
      <c r="J241" s="30"/>
      <c r="K241" s="34" t="str">
        <f aca="false">IF(AND(A241&lt;&gt;"",G241="No"),COUNTIF($G$5:G241,"No"),"")</f>
        <v/>
      </c>
    </row>
    <row r="242" customFormat="false" ht="15" hidden="false" customHeight="false" outlineLevel="0" collapsed="false">
      <c r="A242" s="29"/>
      <c r="B242" s="29"/>
      <c r="C242" s="20" t="str">
        <f aca="false">IF(A242="","",IFERROR(INDEX(Products!$B:$B,MATCH(A242,Products!$A:$A,0)),"ID not found"))</f>
        <v/>
      </c>
      <c r="D242" s="20" t="str">
        <f aca="false">IF(B242="","",IFERROR(INDEX(Dimensions!$B:$B,MATCH(B242,Dimensions!$A:$A,0)),"ID not found"))</f>
        <v/>
      </c>
      <c r="E242" s="30"/>
      <c r="F242" s="20" t="str">
        <f aca="false">IF(E242="","",IFERROR(INDEX(Tables!$B:$B,MATCH(E242,Tables!$A:$A,0)),"ID not found"))</f>
        <v/>
      </c>
      <c r="G242" s="20" t="str">
        <f aca="false">IF(OR(B242="",E242=""),"",IF(IFERROR(INDEX(Dimensions!$C:$C,MATCH(B242,Dimensions!$A:$A,0)),"")="","No agreed source",IF(INDEX(Dimensions!$C:$C,MATCH(B242,Dimensions!$A:$A,0))=E242,"Yes","No")))</f>
        <v/>
      </c>
      <c r="H242" s="30"/>
      <c r="I242" s="30"/>
      <c r="J242" s="30"/>
      <c r="K242" s="34" t="str">
        <f aca="false">IF(AND(A242&lt;&gt;"",G242="No"),COUNTIF($G$5:G242,"No"),"")</f>
        <v/>
      </c>
    </row>
    <row r="243" customFormat="false" ht="15" hidden="false" customHeight="false" outlineLevel="0" collapsed="false">
      <c r="A243" s="29"/>
      <c r="B243" s="29"/>
      <c r="C243" s="20" t="str">
        <f aca="false">IF(A243="","",IFERROR(INDEX(Products!$B:$B,MATCH(A243,Products!$A:$A,0)),"ID not found"))</f>
        <v/>
      </c>
      <c r="D243" s="20" t="str">
        <f aca="false">IF(B243="","",IFERROR(INDEX(Dimensions!$B:$B,MATCH(B243,Dimensions!$A:$A,0)),"ID not found"))</f>
        <v/>
      </c>
      <c r="E243" s="30"/>
      <c r="F243" s="20" t="str">
        <f aca="false">IF(E243="","",IFERROR(INDEX(Tables!$B:$B,MATCH(E243,Tables!$A:$A,0)),"ID not found"))</f>
        <v/>
      </c>
      <c r="G243" s="20" t="str">
        <f aca="false">IF(OR(B243="",E243=""),"",IF(IFERROR(INDEX(Dimensions!$C:$C,MATCH(B243,Dimensions!$A:$A,0)),"")="","No agreed source",IF(INDEX(Dimensions!$C:$C,MATCH(B243,Dimensions!$A:$A,0))=E243,"Yes","No")))</f>
        <v/>
      </c>
      <c r="H243" s="30"/>
      <c r="I243" s="30"/>
      <c r="J243" s="30"/>
      <c r="K243" s="34" t="str">
        <f aca="false">IF(AND(A243&lt;&gt;"",G243="No"),COUNTIF($G$5:G243,"No"),"")</f>
        <v/>
      </c>
    </row>
    <row r="244" customFormat="false" ht="15" hidden="false" customHeight="false" outlineLevel="0" collapsed="false">
      <c r="A244" s="29"/>
      <c r="B244" s="29"/>
      <c r="C244" s="20" t="str">
        <f aca="false">IF(A244="","",IFERROR(INDEX(Products!$B:$B,MATCH(A244,Products!$A:$A,0)),"ID not found"))</f>
        <v/>
      </c>
      <c r="D244" s="20" t="str">
        <f aca="false">IF(B244="","",IFERROR(INDEX(Dimensions!$B:$B,MATCH(B244,Dimensions!$A:$A,0)),"ID not found"))</f>
        <v/>
      </c>
      <c r="E244" s="30"/>
      <c r="F244" s="20" t="str">
        <f aca="false">IF(E244="","",IFERROR(INDEX(Tables!$B:$B,MATCH(E244,Tables!$A:$A,0)),"ID not found"))</f>
        <v/>
      </c>
      <c r="G244" s="20" t="str">
        <f aca="false">IF(OR(B244="",E244=""),"",IF(IFERROR(INDEX(Dimensions!$C:$C,MATCH(B244,Dimensions!$A:$A,0)),"")="","No agreed source",IF(INDEX(Dimensions!$C:$C,MATCH(B244,Dimensions!$A:$A,0))=E244,"Yes","No")))</f>
        <v/>
      </c>
      <c r="H244" s="30"/>
      <c r="I244" s="30"/>
      <c r="J244" s="30"/>
      <c r="K244" s="34" t="str">
        <f aca="false">IF(AND(A244&lt;&gt;"",G244="No"),COUNTIF($G$5:G244,"No"),"")</f>
        <v/>
      </c>
    </row>
    <row r="245" customFormat="false" ht="15" hidden="false" customHeight="false" outlineLevel="0" collapsed="false">
      <c r="A245" s="29"/>
      <c r="B245" s="29"/>
      <c r="C245" s="20" t="str">
        <f aca="false">IF(A245="","",IFERROR(INDEX(Products!$B:$B,MATCH(A245,Products!$A:$A,0)),"ID not found"))</f>
        <v/>
      </c>
      <c r="D245" s="20" t="str">
        <f aca="false">IF(B245="","",IFERROR(INDEX(Dimensions!$B:$B,MATCH(B245,Dimensions!$A:$A,0)),"ID not found"))</f>
        <v/>
      </c>
      <c r="E245" s="30"/>
      <c r="F245" s="20" t="str">
        <f aca="false">IF(E245="","",IFERROR(INDEX(Tables!$B:$B,MATCH(E245,Tables!$A:$A,0)),"ID not found"))</f>
        <v/>
      </c>
      <c r="G245" s="20" t="str">
        <f aca="false">IF(OR(B245="",E245=""),"",IF(IFERROR(INDEX(Dimensions!$C:$C,MATCH(B245,Dimensions!$A:$A,0)),"")="","No agreed source",IF(INDEX(Dimensions!$C:$C,MATCH(B245,Dimensions!$A:$A,0))=E245,"Yes","No")))</f>
        <v/>
      </c>
      <c r="H245" s="30"/>
      <c r="I245" s="30"/>
      <c r="J245" s="30"/>
      <c r="K245" s="34" t="str">
        <f aca="false">IF(AND(A245&lt;&gt;"",G245="No"),COUNTIF($G$5:G245,"No"),"")</f>
        <v/>
      </c>
    </row>
    <row r="246" customFormat="false" ht="15" hidden="false" customHeight="false" outlineLevel="0" collapsed="false">
      <c r="A246" s="29"/>
      <c r="B246" s="29"/>
      <c r="C246" s="20" t="str">
        <f aca="false">IF(A246="","",IFERROR(INDEX(Products!$B:$B,MATCH(A246,Products!$A:$A,0)),"ID not found"))</f>
        <v/>
      </c>
      <c r="D246" s="20" t="str">
        <f aca="false">IF(B246="","",IFERROR(INDEX(Dimensions!$B:$B,MATCH(B246,Dimensions!$A:$A,0)),"ID not found"))</f>
        <v/>
      </c>
      <c r="E246" s="30"/>
      <c r="F246" s="20" t="str">
        <f aca="false">IF(E246="","",IFERROR(INDEX(Tables!$B:$B,MATCH(E246,Tables!$A:$A,0)),"ID not found"))</f>
        <v/>
      </c>
      <c r="G246" s="20" t="str">
        <f aca="false">IF(OR(B246="",E246=""),"",IF(IFERROR(INDEX(Dimensions!$C:$C,MATCH(B246,Dimensions!$A:$A,0)),"")="","No agreed source",IF(INDEX(Dimensions!$C:$C,MATCH(B246,Dimensions!$A:$A,0))=E246,"Yes","No")))</f>
        <v/>
      </c>
      <c r="H246" s="30"/>
      <c r="I246" s="30"/>
      <c r="J246" s="30"/>
      <c r="K246" s="34" t="str">
        <f aca="false">IF(AND(A246&lt;&gt;"",G246="No"),COUNTIF($G$5:G246,"No"),"")</f>
        <v/>
      </c>
    </row>
    <row r="247" customFormat="false" ht="15" hidden="false" customHeight="false" outlineLevel="0" collapsed="false">
      <c r="A247" s="29"/>
      <c r="B247" s="29"/>
      <c r="C247" s="20" t="str">
        <f aca="false">IF(A247="","",IFERROR(INDEX(Products!$B:$B,MATCH(A247,Products!$A:$A,0)),"ID not found"))</f>
        <v/>
      </c>
      <c r="D247" s="20" t="str">
        <f aca="false">IF(B247="","",IFERROR(INDEX(Dimensions!$B:$B,MATCH(B247,Dimensions!$A:$A,0)),"ID not found"))</f>
        <v/>
      </c>
      <c r="E247" s="30"/>
      <c r="F247" s="20" t="str">
        <f aca="false">IF(E247="","",IFERROR(INDEX(Tables!$B:$B,MATCH(E247,Tables!$A:$A,0)),"ID not found"))</f>
        <v/>
      </c>
      <c r="G247" s="20" t="str">
        <f aca="false">IF(OR(B247="",E247=""),"",IF(IFERROR(INDEX(Dimensions!$C:$C,MATCH(B247,Dimensions!$A:$A,0)),"")="","No agreed source",IF(INDEX(Dimensions!$C:$C,MATCH(B247,Dimensions!$A:$A,0))=E247,"Yes","No")))</f>
        <v/>
      </c>
      <c r="H247" s="30"/>
      <c r="I247" s="30"/>
      <c r="J247" s="30"/>
      <c r="K247" s="34" t="str">
        <f aca="false">IF(AND(A247&lt;&gt;"",G247="No"),COUNTIF($G$5:G247,"No"),"")</f>
        <v/>
      </c>
    </row>
    <row r="248" customFormat="false" ht="15" hidden="false" customHeight="false" outlineLevel="0" collapsed="false">
      <c r="A248" s="29"/>
      <c r="B248" s="29"/>
      <c r="C248" s="20" t="str">
        <f aca="false">IF(A248="","",IFERROR(INDEX(Products!$B:$B,MATCH(A248,Products!$A:$A,0)),"ID not found"))</f>
        <v/>
      </c>
      <c r="D248" s="20" t="str">
        <f aca="false">IF(B248="","",IFERROR(INDEX(Dimensions!$B:$B,MATCH(B248,Dimensions!$A:$A,0)),"ID not found"))</f>
        <v/>
      </c>
      <c r="E248" s="30"/>
      <c r="F248" s="20" t="str">
        <f aca="false">IF(E248="","",IFERROR(INDEX(Tables!$B:$B,MATCH(E248,Tables!$A:$A,0)),"ID not found"))</f>
        <v/>
      </c>
      <c r="G248" s="20" t="str">
        <f aca="false">IF(OR(B248="",E248=""),"",IF(IFERROR(INDEX(Dimensions!$C:$C,MATCH(B248,Dimensions!$A:$A,0)),"")="","No agreed source",IF(INDEX(Dimensions!$C:$C,MATCH(B248,Dimensions!$A:$A,0))=E248,"Yes","No")))</f>
        <v/>
      </c>
      <c r="H248" s="30"/>
      <c r="I248" s="30"/>
      <c r="J248" s="30"/>
      <c r="K248" s="34" t="str">
        <f aca="false">IF(AND(A248&lt;&gt;"",G248="No"),COUNTIF($G$5:G248,"No"),"")</f>
        <v/>
      </c>
    </row>
    <row r="249" customFormat="false" ht="15" hidden="false" customHeight="false" outlineLevel="0" collapsed="false">
      <c r="A249" s="29"/>
      <c r="B249" s="29"/>
      <c r="C249" s="20" t="str">
        <f aca="false">IF(A249="","",IFERROR(INDEX(Products!$B:$B,MATCH(A249,Products!$A:$A,0)),"ID not found"))</f>
        <v/>
      </c>
      <c r="D249" s="20" t="str">
        <f aca="false">IF(B249="","",IFERROR(INDEX(Dimensions!$B:$B,MATCH(B249,Dimensions!$A:$A,0)),"ID not found"))</f>
        <v/>
      </c>
      <c r="E249" s="30"/>
      <c r="F249" s="20" t="str">
        <f aca="false">IF(E249="","",IFERROR(INDEX(Tables!$B:$B,MATCH(E249,Tables!$A:$A,0)),"ID not found"))</f>
        <v/>
      </c>
      <c r="G249" s="20" t="str">
        <f aca="false">IF(OR(B249="",E249=""),"",IF(IFERROR(INDEX(Dimensions!$C:$C,MATCH(B249,Dimensions!$A:$A,0)),"")="","No agreed source",IF(INDEX(Dimensions!$C:$C,MATCH(B249,Dimensions!$A:$A,0))=E249,"Yes","No")))</f>
        <v/>
      </c>
      <c r="H249" s="30"/>
      <c r="I249" s="30"/>
      <c r="J249" s="30"/>
      <c r="K249" s="34" t="str">
        <f aca="false">IF(AND(A249&lt;&gt;"",G249="No"),COUNTIF($G$5:G249,"No"),"")</f>
        <v/>
      </c>
    </row>
    <row r="250" customFormat="false" ht="15" hidden="false" customHeight="false" outlineLevel="0" collapsed="false">
      <c r="A250" s="29"/>
      <c r="B250" s="29"/>
      <c r="C250" s="20" t="str">
        <f aca="false">IF(A250="","",IFERROR(INDEX(Products!$B:$B,MATCH(A250,Products!$A:$A,0)),"ID not found"))</f>
        <v/>
      </c>
      <c r="D250" s="20" t="str">
        <f aca="false">IF(B250="","",IFERROR(INDEX(Dimensions!$B:$B,MATCH(B250,Dimensions!$A:$A,0)),"ID not found"))</f>
        <v/>
      </c>
      <c r="E250" s="30"/>
      <c r="F250" s="20" t="str">
        <f aca="false">IF(E250="","",IFERROR(INDEX(Tables!$B:$B,MATCH(E250,Tables!$A:$A,0)),"ID not found"))</f>
        <v/>
      </c>
      <c r="G250" s="20" t="str">
        <f aca="false">IF(OR(B250="",E250=""),"",IF(IFERROR(INDEX(Dimensions!$C:$C,MATCH(B250,Dimensions!$A:$A,0)),"")="","No agreed source",IF(INDEX(Dimensions!$C:$C,MATCH(B250,Dimensions!$A:$A,0))=E250,"Yes","No")))</f>
        <v/>
      </c>
      <c r="H250" s="30"/>
      <c r="I250" s="30"/>
      <c r="J250" s="30"/>
      <c r="K250" s="34" t="str">
        <f aca="false">IF(AND(A250&lt;&gt;"",G250="No"),COUNTIF($G$5:G250,"No"),"")</f>
        <v/>
      </c>
    </row>
    <row r="251" customFormat="false" ht="15" hidden="false" customHeight="false" outlineLevel="0" collapsed="false">
      <c r="A251" s="29"/>
      <c r="B251" s="29"/>
      <c r="C251" s="20" t="str">
        <f aca="false">IF(A251="","",IFERROR(INDEX(Products!$B:$B,MATCH(A251,Products!$A:$A,0)),"ID not found"))</f>
        <v/>
      </c>
      <c r="D251" s="20" t="str">
        <f aca="false">IF(B251="","",IFERROR(INDEX(Dimensions!$B:$B,MATCH(B251,Dimensions!$A:$A,0)),"ID not found"))</f>
        <v/>
      </c>
      <c r="E251" s="30"/>
      <c r="F251" s="20" t="str">
        <f aca="false">IF(E251="","",IFERROR(INDEX(Tables!$B:$B,MATCH(E251,Tables!$A:$A,0)),"ID not found"))</f>
        <v/>
      </c>
      <c r="G251" s="20" t="str">
        <f aca="false">IF(OR(B251="",E251=""),"",IF(IFERROR(INDEX(Dimensions!$C:$C,MATCH(B251,Dimensions!$A:$A,0)),"")="","No agreed source",IF(INDEX(Dimensions!$C:$C,MATCH(B251,Dimensions!$A:$A,0))=E251,"Yes","No")))</f>
        <v/>
      </c>
      <c r="H251" s="30"/>
      <c r="I251" s="30"/>
      <c r="J251" s="30"/>
      <c r="K251" s="34" t="str">
        <f aca="false">IF(AND(A251&lt;&gt;"",G251="No"),COUNTIF($G$5:G251,"No"),"")</f>
        <v/>
      </c>
    </row>
    <row r="252" customFormat="false" ht="15" hidden="false" customHeight="false" outlineLevel="0" collapsed="false">
      <c r="A252" s="29"/>
      <c r="B252" s="29"/>
      <c r="C252" s="20" t="str">
        <f aca="false">IF(A252="","",IFERROR(INDEX(Products!$B:$B,MATCH(A252,Products!$A:$A,0)),"ID not found"))</f>
        <v/>
      </c>
      <c r="D252" s="20" t="str">
        <f aca="false">IF(B252="","",IFERROR(INDEX(Dimensions!$B:$B,MATCH(B252,Dimensions!$A:$A,0)),"ID not found"))</f>
        <v/>
      </c>
      <c r="E252" s="30"/>
      <c r="F252" s="20" t="str">
        <f aca="false">IF(E252="","",IFERROR(INDEX(Tables!$B:$B,MATCH(E252,Tables!$A:$A,0)),"ID not found"))</f>
        <v/>
      </c>
      <c r="G252" s="20" t="str">
        <f aca="false">IF(OR(B252="",E252=""),"",IF(IFERROR(INDEX(Dimensions!$C:$C,MATCH(B252,Dimensions!$A:$A,0)),"")="","No agreed source",IF(INDEX(Dimensions!$C:$C,MATCH(B252,Dimensions!$A:$A,0))=E252,"Yes","No")))</f>
        <v/>
      </c>
      <c r="H252" s="30"/>
      <c r="I252" s="30"/>
      <c r="J252" s="30"/>
      <c r="K252" s="34" t="str">
        <f aca="false">IF(AND(A252&lt;&gt;"",G252="No"),COUNTIF($G$5:G252,"No"),"")</f>
        <v/>
      </c>
    </row>
    <row r="253" customFormat="false" ht="15" hidden="false" customHeight="false" outlineLevel="0" collapsed="false">
      <c r="A253" s="29"/>
      <c r="B253" s="29"/>
      <c r="C253" s="20" t="str">
        <f aca="false">IF(A253="","",IFERROR(INDEX(Products!$B:$B,MATCH(A253,Products!$A:$A,0)),"ID not found"))</f>
        <v/>
      </c>
      <c r="D253" s="20" t="str">
        <f aca="false">IF(B253="","",IFERROR(INDEX(Dimensions!$B:$B,MATCH(B253,Dimensions!$A:$A,0)),"ID not found"))</f>
        <v/>
      </c>
      <c r="E253" s="30"/>
      <c r="F253" s="20" t="str">
        <f aca="false">IF(E253="","",IFERROR(INDEX(Tables!$B:$B,MATCH(E253,Tables!$A:$A,0)),"ID not found"))</f>
        <v/>
      </c>
      <c r="G253" s="20" t="str">
        <f aca="false">IF(OR(B253="",E253=""),"",IF(IFERROR(INDEX(Dimensions!$C:$C,MATCH(B253,Dimensions!$A:$A,0)),"")="","No agreed source",IF(INDEX(Dimensions!$C:$C,MATCH(B253,Dimensions!$A:$A,0))=E253,"Yes","No")))</f>
        <v/>
      </c>
      <c r="H253" s="30"/>
      <c r="I253" s="30"/>
      <c r="J253" s="30"/>
      <c r="K253" s="34" t="str">
        <f aca="false">IF(AND(A253&lt;&gt;"",G253="No"),COUNTIF($G$5:G253,"No"),"")</f>
        <v/>
      </c>
    </row>
    <row r="254" customFormat="false" ht="15" hidden="false" customHeight="false" outlineLevel="0" collapsed="false">
      <c r="A254" s="29"/>
      <c r="B254" s="29"/>
      <c r="C254" s="20" t="str">
        <f aca="false">IF(A254="","",IFERROR(INDEX(Products!$B:$B,MATCH(A254,Products!$A:$A,0)),"ID not found"))</f>
        <v/>
      </c>
      <c r="D254" s="20" t="str">
        <f aca="false">IF(B254="","",IFERROR(INDEX(Dimensions!$B:$B,MATCH(B254,Dimensions!$A:$A,0)),"ID not found"))</f>
        <v/>
      </c>
      <c r="E254" s="30"/>
      <c r="F254" s="20" t="str">
        <f aca="false">IF(E254="","",IFERROR(INDEX(Tables!$B:$B,MATCH(E254,Tables!$A:$A,0)),"ID not found"))</f>
        <v/>
      </c>
      <c r="G254" s="20" t="str">
        <f aca="false">IF(OR(B254="",E254=""),"",IF(IFERROR(INDEX(Dimensions!$C:$C,MATCH(B254,Dimensions!$A:$A,0)),"")="","No agreed source",IF(INDEX(Dimensions!$C:$C,MATCH(B254,Dimensions!$A:$A,0))=E254,"Yes","No")))</f>
        <v/>
      </c>
      <c r="H254" s="30"/>
      <c r="I254" s="30"/>
      <c r="J254" s="30"/>
      <c r="K254" s="34" t="str">
        <f aca="false">IF(AND(A254&lt;&gt;"",G254="No"),COUNTIF($G$5:G254,"No"),"")</f>
        <v/>
      </c>
    </row>
    <row r="255" customFormat="false" ht="15" hidden="false" customHeight="false" outlineLevel="0" collapsed="false">
      <c r="A255" s="29"/>
      <c r="B255" s="29"/>
      <c r="C255" s="20" t="str">
        <f aca="false">IF(A255="","",IFERROR(INDEX(Products!$B:$B,MATCH(A255,Products!$A:$A,0)),"ID not found"))</f>
        <v/>
      </c>
      <c r="D255" s="20" t="str">
        <f aca="false">IF(B255="","",IFERROR(INDEX(Dimensions!$B:$B,MATCH(B255,Dimensions!$A:$A,0)),"ID not found"))</f>
        <v/>
      </c>
      <c r="E255" s="30"/>
      <c r="F255" s="20" t="str">
        <f aca="false">IF(E255="","",IFERROR(INDEX(Tables!$B:$B,MATCH(E255,Tables!$A:$A,0)),"ID not found"))</f>
        <v/>
      </c>
      <c r="G255" s="20" t="str">
        <f aca="false">IF(OR(B255="",E255=""),"",IF(IFERROR(INDEX(Dimensions!$C:$C,MATCH(B255,Dimensions!$A:$A,0)),"")="","No agreed source",IF(INDEX(Dimensions!$C:$C,MATCH(B255,Dimensions!$A:$A,0))=E255,"Yes","No")))</f>
        <v/>
      </c>
      <c r="H255" s="30"/>
      <c r="I255" s="30"/>
      <c r="J255" s="30"/>
      <c r="K255" s="34" t="str">
        <f aca="false">IF(AND(A255&lt;&gt;"",G255="No"),COUNTIF($G$5:G255,"No"),"")</f>
        <v/>
      </c>
    </row>
    <row r="256" customFormat="false" ht="15" hidden="false" customHeight="false" outlineLevel="0" collapsed="false">
      <c r="A256" s="29"/>
      <c r="B256" s="29"/>
      <c r="C256" s="20" t="str">
        <f aca="false">IF(A256="","",IFERROR(INDEX(Products!$B:$B,MATCH(A256,Products!$A:$A,0)),"ID not found"))</f>
        <v/>
      </c>
      <c r="D256" s="20" t="str">
        <f aca="false">IF(B256="","",IFERROR(INDEX(Dimensions!$B:$B,MATCH(B256,Dimensions!$A:$A,0)),"ID not found"))</f>
        <v/>
      </c>
      <c r="E256" s="30"/>
      <c r="F256" s="20" t="str">
        <f aca="false">IF(E256="","",IFERROR(INDEX(Tables!$B:$B,MATCH(E256,Tables!$A:$A,0)),"ID not found"))</f>
        <v/>
      </c>
      <c r="G256" s="20" t="str">
        <f aca="false">IF(OR(B256="",E256=""),"",IF(IFERROR(INDEX(Dimensions!$C:$C,MATCH(B256,Dimensions!$A:$A,0)),"")="","No agreed source",IF(INDEX(Dimensions!$C:$C,MATCH(B256,Dimensions!$A:$A,0))=E256,"Yes","No")))</f>
        <v/>
      </c>
      <c r="H256" s="30"/>
      <c r="I256" s="30"/>
      <c r="J256" s="30"/>
      <c r="K256" s="34" t="str">
        <f aca="false">IF(AND(A256&lt;&gt;"",G256="No"),COUNTIF($G$5:G256,"No"),"")</f>
        <v/>
      </c>
    </row>
    <row r="257" customFormat="false" ht="15" hidden="false" customHeight="false" outlineLevel="0" collapsed="false">
      <c r="A257" s="29"/>
      <c r="B257" s="29"/>
      <c r="C257" s="20" t="str">
        <f aca="false">IF(A257="","",IFERROR(INDEX(Products!$B:$B,MATCH(A257,Products!$A:$A,0)),"ID not found"))</f>
        <v/>
      </c>
      <c r="D257" s="20" t="str">
        <f aca="false">IF(B257="","",IFERROR(INDEX(Dimensions!$B:$B,MATCH(B257,Dimensions!$A:$A,0)),"ID not found"))</f>
        <v/>
      </c>
      <c r="E257" s="30"/>
      <c r="F257" s="20" t="str">
        <f aca="false">IF(E257="","",IFERROR(INDEX(Tables!$B:$B,MATCH(E257,Tables!$A:$A,0)),"ID not found"))</f>
        <v/>
      </c>
      <c r="G257" s="20" t="str">
        <f aca="false">IF(OR(B257="",E257=""),"",IF(IFERROR(INDEX(Dimensions!$C:$C,MATCH(B257,Dimensions!$A:$A,0)),"")="","No agreed source",IF(INDEX(Dimensions!$C:$C,MATCH(B257,Dimensions!$A:$A,0))=E257,"Yes","No")))</f>
        <v/>
      </c>
      <c r="H257" s="30"/>
      <c r="I257" s="30"/>
      <c r="J257" s="30"/>
      <c r="K257" s="34" t="str">
        <f aca="false">IF(AND(A257&lt;&gt;"",G257="No"),COUNTIF($G$5:G257,"No"),"")</f>
        <v/>
      </c>
    </row>
    <row r="258" customFormat="false" ht="15" hidden="false" customHeight="false" outlineLevel="0" collapsed="false">
      <c r="A258" s="29"/>
      <c r="B258" s="29"/>
      <c r="C258" s="20" t="str">
        <f aca="false">IF(A258="","",IFERROR(INDEX(Products!$B:$B,MATCH(A258,Products!$A:$A,0)),"ID not found"))</f>
        <v/>
      </c>
      <c r="D258" s="20" t="str">
        <f aca="false">IF(B258="","",IFERROR(INDEX(Dimensions!$B:$B,MATCH(B258,Dimensions!$A:$A,0)),"ID not found"))</f>
        <v/>
      </c>
      <c r="E258" s="30"/>
      <c r="F258" s="20" t="str">
        <f aca="false">IF(E258="","",IFERROR(INDEX(Tables!$B:$B,MATCH(E258,Tables!$A:$A,0)),"ID not found"))</f>
        <v/>
      </c>
      <c r="G258" s="20" t="str">
        <f aca="false">IF(OR(B258="",E258=""),"",IF(IFERROR(INDEX(Dimensions!$C:$C,MATCH(B258,Dimensions!$A:$A,0)),"")="","No agreed source",IF(INDEX(Dimensions!$C:$C,MATCH(B258,Dimensions!$A:$A,0))=E258,"Yes","No")))</f>
        <v/>
      </c>
      <c r="H258" s="30"/>
      <c r="I258" s="30"/>
      <c r="J258" s="30"/>
      <c r="K258" s="34" t="str">
        <f aca="false">IF(AND(A258&lt;&gt;"",G258="No"),COUNTIF($G$5:G258,"No"),"")</f>
        <v/>
      </c>
    </row>
    <row r="259" customFormat="false" ht="15" hidden="false" customHeight="false" outlineLevel="0" collapsed="false">
      <c r="A259" s="29"/>
      <c r="B259" s="29"/>
      <c r="C259" s="20" t="str">
        <f aca="false">IF(A259="","",IFERROR(INDEX(Products!$B:$B,MATCH(A259,Products!$A:$A,0)),"ID not found"))</f>
        <v/>
      </c>
      <c r="D259" s="20" t="str">
        <f aca="false">IF(B259="","",IFERROR(INDEX(Dimensions!$B:$B,MATCH(B259,Dimensions!$A:$A,0)),"ID not found"))</f>
        <v/>
      </c>
      <c r="E259" s="30"/>
      <c r="F259" s="20" t="str">
        <f aca="false">IF(E259="","",IFERROR(INDEX(Tables!$B:$B,MATCH(E259,Tables!$A:$A,0)),"ID not found"))</f>
        <v/>
      </c>
      <c r="G259" s="20" t="str">
        <f aca="false">IF(OR(B259="",E259=""),"",IF(IFERROR(INDEX(Dimensions!$C:$C,MATCH(B259,Dimensions!$A:$A,0)),"")="","No agreed source",IF(INDEX(Dimensions!$C:$C,MATCH(B259,Dimensions!$A:$A,0))=E259,"Yes","No")))</f>
        <v/>
      </c>
      <c r="H259" s="30"/>
      <c r="I259" s="30"/>
      <c r="J259" s="30"/>
      <c r="K259" s="34" t="str">
        <f aca="false">IF(AND(A259&lt;&gt;"",G259="No"),COUNTIF($G$5:G259,"No"),"")</f>
        <v/>
      </c>
    </row>
    <row r="260" customFormat="false" ht="15" hidden="false" customHeight="false" outlineLevel="0" collapsed="false">
      <c r="A260" s="29"/>
      <c r="B260" s="29"/>
      <c r="C260" s="20" t="str">
        <f aca="false">IF(A260="","",IFERROR(INDEX(Products!$B:$B,MATCH(A260,Products!$A:$A,0)),"ID not found"))</f>
        <v/>
      </c>
      <c r="D260" s="20" t="str">
        <f aca="false">IF(B260="","",IFERROR(INDEX(Dimensions!$B:$B,MATCH(B260,Dimensions!$A:$A,0)),"ID not found"))</f>
        <v/>
      </c>
      <c r="E260" s="30"/>
      <c r="F260" s="20" t="str">
        <f aca="false">IF(E260="","",IFERROR(INDEX(Tables!$B:$B,MATCH(E260,Tables!$A:$A,0)),"ID not found"))</f>
        <v/>
      </c>
      <c r="G260" s="20" t="str">
        <f aca="false">IF(OR(B260="",E260=""),"",IF(IFERROR(INDEX(Dimensions!$C:$C,MATCH(B260,Dimensions!$A:$A,0)),"")="","No agreed source",IF(INDEX(Dimensions!$C:$C,MATCH(B260,Dimensions!$A:$A,0))=E260,"Yes","No")))</f>
        <v/>
      </c>
      <c r="H260" s="30"/>
      <c r="I260" s="30"/>
      <c r="J260" s="30"/>
      <c r="K260" s="34" t="str">
        <f aca="false">IF(AND(A260&lt;&gt;"",G260="No"),COUNTIF($G$5:G260,"No"),"")</f>
        <v/>
      </c>
    </row>
    <row r="261" customFormat="false" ht="15" hidden="false" customHeight="false" outlineLevel="0" collapsed="false">
      <c r="A261" s="29"/>
      <c r="B261" s="29"/>
      <c r="C261" s="20" t="str">
        <f aca="false">IF(A261="","",IFERROR(INDEX(Products!$B:$B,MATCH(A261,Products!$A:$A,0)),"ID not found"))</f>
        <v/>
      </c>
      <c r="D261" s="20" t="str">
        <f aca="false">IF(B261="","",IFERROR(INDEX(Dimensions!$B:$B,MATCH(B261,Dimensions!$A:$A,0)),"ID not found"))</f>
        <v/>
      </c>
      <c r="E261" s="30"/>
      <c r="F261" s="20" t="str">
        <f aca="false">IF(E261="","",IFERROR(INDEX(Tables!$B:$B,MATCH(E261,Tables!$A:$A,0)),"ID not found"))</f>
        <v/>
      </c>
      <c r="G261" s="20" t="str">
        <f aca="false">IF(OR(B261="",E261=""),"",IF(IFERROR(INDEX(Dimensions!$C:$C,MATCH(B261,Dimensions!$A:$A,0)),"")="","No agreed source",IF(INDEX(Dimensions!$C:$C,MATCH(B261,Dimensions!$A:$A,0))=E261,"Yes","No")))</f>
        <v/>
      </c>
      <c r="H261" s="30"/>
      <c r="I261" s="30"/>
      <c r="J261" s="30"/>
      <c r="K261" s="34" t="str">
        <f aca="false">IF(AND(A261&lt;&gt;"",G261="No"),COUNTIF($G$5:G261,"No"),"")</f>
        <v/>
      </c>
    </row>
    <row r="262" customFormat="false" ht="15" hidden="false" customHeight="false" outlineLevel="0" collapsed="false">
      <c r="A262" s="29"/>
      <c r="B262" s="29"/>
      <c r="C262" s="20" t="str">
        <f aca="false">IF(A262="","",IFERROR(INDEX(Products!$B:$B,MATCH(A262,Products!$A:$A,0)),"ID not found"))</f>
        <v/>
      </c>
      <c r="D262" s="20" t="str">
        <f aca="false">IF(B262="","",IFERROR(INDEX(Dimensions!$B:$B,MATCH(B262,Dimensions!$A:$A,0)),"ID not found"))</f>
        <v/>
      </c>
      <c r="E262" s="30"/>
      <c r="F262" s="20" t="str">
        <f aca="false">IF(E262="","",IFERROR(INDEX(Tables!$B:$B,MATCH(E262,Tables!$A:$A,0)),"ID not found"))</f>
        <v/>
      </c>
      <c r="G262" s="20" t="str">
        <f aca="false">IF(OR(B262="",E262=""),"",IF(IFERROR(INDEX(Dimensions!$C:$C,MATCH(B262,Dimensions!$A:$A,0)),"")="","No agreed source",IF(INDEX(Dimensions!$C:$C,MATCH(B262,Dimensions!$A:$A,0))=E262,"Yes","No")))</f>
        <v/>
      </c>
      <c r="H262" s="30"/>
      <c r="I262" s="30"/>
      <c r="J262" s="30"/>
      <c r="K262" s="34" t="str">
        <f aca="false">IF(AND(A262&lt;&gt;"",G262="No"),COUNTIF($G$5:G262,"No"),"")</f>
        <v/>
      </c>
    </row>
    <row r="263" customFormat="false" ht="15" hidden="false" customHeight="false" outlineLevel="0" collapsed="false">
      <c r="A263" s="29"/>
      <c r="B263" s="29"/>
      <c r="C263" s="20" t="str">
        <f aca="false">IF(A263="","",IFERROR(INDEX(Products!$B:$B,MATCH(A263,Products!$A:$A,0)),"ID not found"))</f>
        <v/>
      </c>
      <c r="D263" s="20" t="str">
        <f aca="false">IF(B263="","",IFERROR(INDEX(Dimensions!$B:$B,MATCH(B263,Dimensions!$A:$A,0)),"ID not found"))</f>
        <v/>
      </c>
      <c r="E263" s="30"/>
      <c r="F263" s="20" t="str">
        <f aca="false">IF(E263="","",IFERROR(INDEX(Tables!$B:$B,MATCH(E263,Tables!$A:$A,0)),"ID not found"))</f>
        <v/>
      </c>
      <c r="G263" s="20" t="str">
        <f aca="false">IF(OR(B263="",E263=""),"",IF(IFERROR(INDEX(Dimensions!$C:$C,MATCH(B263,Dimensions!$A:$A,0)),"")="","No agreed source",IF(INDEX(Dimensions!$C:$C,MATCH(B263,Dimensions!$A:$A,0))=E263,"Yes","No")))</f>
        <v/>
      </c>
      <c r="H263" s="30"/>
      <c r="I263" s="30"/>
      <c r="J263" s="30"/>
      <c r="K263" s="34" t="str">
        <f aca="false">IF(AND(A263&lt;&gt;"",G263="No"),COUNTIF($G$5:G263,"No"),"")</f>
        <v/>
      </c>
    </row>
    <row r="264" customFormat="false" ht="15" hidden="false" customHeight="false" outlineLevel="0" collapsed="false">
      <c r="A264" s="29"/>
      <c r="B264" s="29"/>
      <c r="C264" s="20" t="str">
        <f aca="false">IF(A264="","",IFERROR(INDEX(Products!$B:$B,MATCH(A264,Products!$A:$A,0)),"ID not found"))</f>
        <v/>
      </c>
      <c r="D264" s="20" t="str">
        <f aca="false">IF(B264="","",IFERROR(INDEX(Dimensions!$B:$B,MATCH(B264,Dimensions!$A:$A,0)),"ID not found"))</f>
        <v/>
      </c>
      <c r="E264" s="30"/>
      <c r="F264" s="20" t="str">
        <f aca="false">IF(E264="","",IFERROR(INDEX(Tables!$B:$B,MATCH(E264,Tables!$A:$A,0)),"ID not found"))</f>
        <v/>
      </c>
      <c r="G264" s="20" t="str">
        <f aca="false">IF(OR(B264="",E264=""),"",IF(IFERROR(INDEX(Dimensions!$C:$C,MATCH(B264,Dimensions!$A:$A,0)),"")="","No agreed source",IF(INDEX(Dimensions!$C:$C,MATCH(B264,Dimensions!$A:$A,0))=E264,"Yes","No")))</f>
        <v/>
      </c>
      <c r="H264" s="30"/>
      <c r="I264" s="30"/>
      <c r="J264" s="30"/>
      <c r="K264" s="34" t="str">
        <f aca="false">IF(AND(A264&lt;&gt;"",G264="No"),COUNTIF($G$5:G264,"No"),"")</f>
        <v/>
      </c>
    </row>
    <row r="265" customFormat="false" ht="15" hidden="false" customHeight="false" outlineLevel="0" collapsed="false">
      <c r="A265" s="29"/>
      <c r="B265" s="29"/>
      <c r="C265" s="20" t="str">
        <f aca="false">IF(A265="","",IFERROR(INDEX(Products!$B:$B,MATCH(A265,Products!$A:$A,0)),"ID not found"))</f>
        <v/>
      </c>
      <c r="D265" s="20" t="str">
        <f aca="false">IF(B265="","",IFERROR(INDEX(Dimensions!$B:$B,MATCH(B265,Dimensions!$A:$A,0)),"ID not found"))</f>
        <v/>
      </c>
      <c r="E265" s="30"/>
      <c r="F265" s="20" t="str">
        <f aca="false">IF(E265="","",IFERROR(INDEX(Tables!$B:$B,MATCH(E265,Tables!$A:$A,0)),"ID not found"))</f>
        <v/>
      </c>
      <c r="G265" s="20" t="str">
        <f aca="false">IF(OR(B265="",E265=""),"",IF(IFERROR(INDEX(Dimensions!$C:$C,MATCH(B265,Dimensions!$A:$A,0)),"")="","No agreed source",IF(INDEX(Dimensions!$C:$C,MATCH(B265,Dimensions!$A:$A,0))=E265,"Yes","No")))</f>
        <v/>
      </c>
      <c r="H265" s="30"/>
      <c r="I265" s="30"/>
      <c r="J265" s="30"/>
      <c r="K265" s="34" t="str">
        <f aca="false">IF(AND(A265&lt;&gt;"",G265="No"),COUNTIF($G$5:G265,"No"),"")</f>
        <v/>
      </c>
    </row>
    <row r="266" customFormat="false" ht="15" hidden="false" customHeight="false" outlineLevel="0" collapsed="false">
      <c r="A266" s="29"/>
      <c r="B266" s="29"/>
      <c r="C266" s="20" t="str">
        <f aca="false">IF(A266="","",IFERROR(INDEX(Products!$B:$B,MATCH(A266,Products!$A:$A,0)),"ID not found"))</f>
        <v/>
      </c>
      <c r="D266" s="20" t="str">
        <f aca="false">IF(B266="","",IFERROR(INDEX(Dimensions!$B:$B,MATCH(B266,Dimensions!$A:$A,0)),"ID not found"))</f>
        <v/>
      </c>
      <c r="E266" s="30"/>
      <c r="F266" s="20" t="str">
        <f aca="false">IF(E266="","",IFERROR(INDEX(Tables!$B:$B,MATCH(E266,Tables!$A:$A,0)),"ID not found"))</f>
        <v/>
      </c>
      <c r="G266" s="20" t="str">
        <f aca="false">IF(OR(B266="",E266=""),"",IF(IFERROR(INDEX(Dimensions!$C:$C,MATCH(B266,Dimensions!$A:$A,0)),"")="","No agreed source",IF(INDEX(Dimensions!$C:$C,MATCH(B266,Dimensions!$A:$A,0))=E266,"Yes","No")))</f>
        <v/>
      </c>
      <c r="H266" s="30"/>
      <c r="I266" s="30"/>
      <c r="J266" s="30"/>
      <c r="K266" s="34" t="str">
        <f aca="false">IF(AND(A266&lt;&gt;"",G266="No"),COUNTIF($G$5:G266,"No"),"")</f>
        <v/>
      </c>
    </row>
    <row r="267" customFormat="false" ht="15" hidden="false" customHeight="false" outlineLevel="0" collapsed="false">
      <c r="A267" s="29"/>
      <c r="B267" s="29"/>
      <c r="C267" s="20" t="str">
        <f aca="false">IF(A267="","",IFERROR(INDEX(Products!$B:$B,MATCH(A267,Products!$A:$A,0)),"ID not found"))</f>
        <v/>
      </c>
      <c r="D267" s="20" t="str">
        <f aca="false">IF(B267="","",IFERROR(INDEX(Dimensions!$B:$B,MATCH(B267,Dimensions!$A:$A,0)),"ID not found"))</f>
        <v/>
      </c>
      <c r="E267" s="30"/>
      <c r="F267" s="20" t="str">
        <f aca="false">IF(E267="","",IFERROR(INDEX(Tables!$B:$B,MATCH(E267,Tables!$A:$A,0)),"ID not found"))</f>
        <v/>
      </c>
      <c r="G267" s="20" t="str">
        <f aca="false">IF(OR(B267="",E267=""),"",IF(IFERROR(INDEX(Dimensions!$C:$C,MATCH(B267,Dimensions!$A:$A,0)),"")="","No agreed source",IF(INDEX(Dimensions!$C:$C,MATCH(B267,Dimensions!$A:$A,0))=E267,"Yes","No")))</f>
        <v/>
      </c>
      <c r="H267" s="30"/>
      <c r="I267" s="30"/>
      <c r="J267" s="30"/>
      <c r="K267" s="34" t="str">
        <f aca="false">IF(AND(A267&lt;&gt;"",G267="No"),COUNTIF($G$5:G267,"No"),"")</f>
        <v/>
      </c>
    </row>
    <row r="268" customFormat="false" ht="15" hidden="false" customHeight="false" outlineLevel="0" collapsed="false">
      <c r="A268" s="29"/>
      <c r="B268" s="29"/>
      <c r="C268" s="20" t="str">
        <f aca="false">IF(A268="","",IFERROR(INDEX(Products!$B:$B,MATCH(A268,Products!$A:$A,0)),"ID not found"))</f>
        <v/>
      </c>
      <c r="D268" s="20" t="str">
        <f aca="false">IF(B268="","",IFERROR(INDEX(Dimensions!$B:$B,MATCH(B268,Dimensions!$A:$A,0)),"ID not found"))</f>
        <v/>
      </c>
      <c r="E268" s="30"/>
      <c r="F268" s="20" t="str">
        <f aca="false">IF(E268="","",IFERROR(INDEX(Tables!$B:$B,MATCH(E268,Tables!$A:$A,0)),"ID not found"))</f>
        <v/>
      </c>
      <c r="G268" s="20" t="str">
        <f aca="false">IF(OR(B268="",E268=""),"",IF(IFERROR(INDEX(Dimensions!$C:$C,MATCH(B268,Dimensions!$A:$A,0)),"")="","No agreed source",IF(INDEX(Dimensions!$C:$C,MATCH(B268,Dimensions!$A:$A,0))=E268,"Yes","No")))</f>
        <v/>
      </c>
      <c r="H268" s="30"/>
      <c r="I268" s="30"/>
      <c r="J268" s="30"/>
      <c r="K268" s="34" t="str">
        <f aca="false">IF(AND(A268&lt;&gt;"",G268="No"),COUNTIF($G$5:G268,"No"),"")</f>
        <v/>
      </c>
    </row>
    <row r="269" customFormat="false" ht="15" hidden="false" customHeight="false" outlineLevel="0" collapsed="false">
      <c r="A269" s="29"/>
      <c r="B269" s="29"/>
      <c r="C269" s="20" t="str">
        <f aca="false">IF(A269="","",IFERROR(INDEX(Products!$B:$B,MATCH(A269,Products!$A:$A,0)),"ID not found"))</f>
        <v/>
      </c>
      <c r="D269" s="20" t="str">
        <f aca="false">IF(B269="","",IFERROR(INDEX(Dimensions!$B:$B,MATCH(B269,Dimensions!$A:$A,0)),"ID not found"))</f>
        <v/>
      </c>
      <c r="E269" s="30"/>
      <c r="F269" s="20" t="str">
        <f aca="false">IF(E269="","",IFERROR(INDEX(Tables!$B:$B,MATCH(E269,Tables!$A:$A,0)),"ID not found"))</f>
        <v/>
      </c>
      <c r="G269" s="20" t="str">
        <f aca="false">IF(OR(B269="",E269=""),"",IF(IFERROR(INDEX(Dimensions!$C:$C,MATCH(B269,Dimensions!$A:$A,0)),"")="","No agreed source",IF(INDEX(Dimensions!$C:$C,MATCH(B269,Dimensions!$A:$A,0))=E269,"Yes","No")))</f>
        <v/>
      </c>
      <c r="H269" s="30"/>
      <c r="I269" s="30"/>
      <c r="J269" s="30"/>
      <c r="K269" s="34" t="str">
        <f aca="false">IF(AND(A269&lt;&gt;"",G269="No"),COUNTIF($G$5:G269,"No"),"")</f>
        <v/>
      </c>
    </row>
    <row r="270" customFormat="false" ht="15" hidden="false" customHeight="false" outlineLevel="0" collapsed="false">
      <c r="A270" s="29"/>
      <c r="B270" s="29"/>
      <c r="C270" s="20" t="str">
        <f aca="false">IF(A270="","",IFERROR(INDEX(Products!$B:$B,MATCH(A270,Products!$A:$A,0)),"ID not found"))</f>
        <v/>
      </c>
      <c r="D270" s="20" t="str">
        <f aca="false">IF(B270="","",IFERROR(INDEX(Dimensions!$B:$B,MATCH(B270,Dimensions!$A:$A,0)),"ID not found"))</f>
        <v/>
      </c>
      <c r="E270" s="30"/>
      <c r="F270" s="20" t="str">
        <f aca="false">IF(E270="","",IFERROR(INDEX(Tables!$B:$B,MATCH(E270,Tables!$A:$A,0)),"ID not found"))</f>
        <v/>
      </c>
      <c r="G270" s="20" t="str">
        <f aca="false">IF(OR(B270="",E270=""),"",IF(IFERROR(INDEX(Dimensions!$C:$C,MATCH(B270,Dimensions!$A:$A,0)),"")="","No agreed source",IF(INDEX(Dimensions!$C:$C,MATCH(B270,Dimensions!$A:$A,0))=E270,"Yes","No")))</f>
        <v/>
      </c>
      <c r="H270" s="30"/>
      <c r="I270" s="30"/>
      <c r="J270" s="30"/>
      <c r="K270" s="34" t="str">
        <f aca="false">IF(AND(A270&lt;&gt;"",G270="No"),COUNTIF($G$5:G270,"No"),"")</f>
        <v/>
      </c>
    </row>
    <row r="271" customFormat="false" ht="15" hidden="false" customHeight="false" outlineLevel="0" collapsed="false">
      <c r="A271" s="29"/>
      <c r="B271" s="29"/>
      <c r="C271" s="20" t="str">
        <f aca="false">IF(A271="","",IFERROR(INDEX(Products!$B:$B,MATCH(A271,Products!$A:$A,0)),"ID not found"))</f>
        <v/>
      </c>
      <c r="D271" s="20" t="str">
        <f aca="false">IF(B271="","",IFERROR(INDEX(Dimensions!$B:$B,MATCH(B271,Dimensions!$A:$A,0)),"ID not found"))</f>
        <v/>
      </c>
      <c r="E271" s="30"/>
      <c r="F271" s="20" t="str">
        <f aca="false">IF(E271="","",IFERROR(INDEX(Tables!$B:$B,MATCH(E271,Tables!$A:$A,0)),"ID not found"))</f>
        <v/>
      </c>
      <c r="G271" s="20" t="str">
        <f aca="false">IF(OR(B271="",E271=""),"",IF(IFERROR(INDEX(Dimensions!$C:$C,MATCH(B271,Dimensions!$A:$A,0)),"")="","No agreed source",IF(INDEX(Dimensions!$C:$C,MATCH(B271,Dimensions!$A:$A,0))=E271,"Yes","No")))</f>
        <v/>
      </c>
      <c r="H271" s="30"/>
      <c r="I271" s="30"/>
      <c r="J271" s="30"/>
      <c r="K271" s="34" t="str">
        <f aca="false">IF(AND(A271&lt;&gt;"",G271="No"),COUNTIF($G$5:G271,"No"),"")</f>
        <v/>
      </c>
    </row>
    <row r="272" customFormat="false" ht="15" hidden="false" customHeight="false" outlineLevel="0" collapsed="false">
      <c r="A272" s="29"/>
      <c r="B272" s="29"/>
      <c r="C272" s="20" t="str">
        <f aca="false">IF(A272="","",IFERROR(INDEX(Products!$B:$B,MATCH(A272,Products!$A:$A,0)),"ID not found"))</f>
        <v/>
      </c>
      <c r="D272" s="20" t="str">
        <f aca="false">IF(B272="","",IFERROR(INDEX(Dimensions!$B:$B,MATCH(B272,Dimensions!$A:$A,0)),"ID not found"))</f>
        <v/>
      </c>
      <c r="E272" s="30"/>
      <c r="F272" s="20" t="str">
        <f aca="false">IF(E272="","",IFERROR(INDEX(Tables!$B:$B,MATCH(E272,Tables!$A:$A,0)),"ID not found"))</f>
        <v/>
      </c>
      <c r="G272" s="20" t="str">
        <f aca="false">IF(OR(B272="",E272=""),"",IF(IFERROR(INDEX(Dimensions!$C:$C,MATCH(B272,Dimensions!$A:$A,0)),"")="","No agreed source",IF(INDEX(Dimensions!$C:$C,MATCH(B272,Dimensions!$A:$A,0))=E272,"Yes","No")))</f>
        <v/>
      </c>
      <c r="H272" s="30"/>
      <c r="I272" s="30"/>
      <c r="J272" s="30"/>
      <c r="K272" s="34" t="str">
        <f aca="false">IF(AND(A272&lt;&gt;"",G272="No"),COUNTIF($G$5:G272,"No"),"")</f>
        <v/>
      </c>
    </row>
    <row r="273" customFormat="false" ht="15" hidden="false" customHeight="false" outlineLevel="0" collapsed="false">
      <c r="A273" s="29"/>
      <c r="B273" s="29"/>
      <c r="C273" s="20" t="str">
        <f aca="false">IF(A273="","",IFERROR(INDEX(Products!$B:$B,MATCH(A273,Products!$A:$A,0)),"ID not found"))</f>
        <v/>
      </c>
      <c r="D273" s="20" t="str">
        <f aca="false">IF(B273="","",IFERROR(INDEX(Dimensions!$B:$B,MATCH(B273,Dimensions!$A:$A,0)),"ID not found"))</f>
        <v/>
      </c>
      <c r="E273" s="30"/>
      <c r="F273" s="20" t="str">
        <f aca="false">IF(E273="","",IFERROR(INDEX(Tables!$B:$B,MATCH(E273,Tables!$A:$A,0)),"ID not found"))</f>
        <v/>
      </c>
      <c r="G273" s="20" t="str">
        <f aca="false">IF(OR(B273="",E273=""),"",IF(IFERROR(INDEX(Dimensions!$C:$C,MATCH(B273,Dimensions!$A:$A,0)),"")="","No agreed source",IF(INDEX(Dimensions!$C:$C,MATCH(B273,Dimensions!$A:$A,0))=E273,"Yes","No")))</f>
        <v/>
      </c>
      <c r="H273" s="30"/>
      <c r="I273" s="30"/>
      <c r="J273" s="30"/>
      <c r="K273" s="34" t="str">
        <f aca="false">IF(AND(A273&lt;&gt;"",G273="No"),COUNTIF($G$5:G273,"No"),"")</f>
        <v/>
      </c>
    </row>
    <row r="274" customFormat="false" ht="15" hidden="false" customHeight="false" outlineLevel="0" collapsed="false">
      <c r="A274" s="29"/>
      <c r="B274" s="29"/>
      <c r="C274" s="20" t="str">
        <f aca="false">IF(A274="","",IFERROR(INDEX(Products!$B:$B,MATCH(A274,Products!$A:$A,0)),"ID not found"))</f>
        <v/>
      </c>
      <c r="D274" s="20" t="str">
        <f aca="false">IF(B274="","",IFERROR(INDEX(Dimensions!$B:$B,MATCH(B274,Dimensions!$A:$A,0)),"ID not found"))</f>
        <v/>
      </c>
      <c r="E274" s="30"/>
      <c r="F274" s="20" t="str">
        <f aca="false">IF(E274="","",IFERROR(INDEX(Tables!$B:$B,MATCH(E274,Tables!$A:$A,0)),"ID not found"))</f>
        <v/>
      </c>
      <c r="G274" s="20" t="str">
        <f aca="false">IF(OR(B274="",E274=""),"",IF(IFERROR(INDEX(Dimensions!$C:$C,MATCH(B274,Dimensions!$A:$A,0)),"")="","No agreed source",IF(INDEX(Dimensions!$C:$C,MATCH(B274,Dimensions!$A:$A,0))=E274,"Yes","No")))</f>
        <v/>
      </c>
      <c r="H274" s="30"/>
      <c r="I274" s="30"/>
      <c r="J274" s="30"/>
      <c r="K274" s="34" t="str">
        <f aca="false">IF(AND(A274&lt;&gt;"",G274="No"),COUNTIF($G$5:G274,"No"),"")</f>
        <v/>
      </c>
    </row>
    <row r="275" customFormat="false" ht="15" hidden="false" customHeight="false" outlineLevel="0" collapsed="false">
      <c r="A275" s="29"/>
      <c r="B275" s="29"/>
      <c r="C275" s="20" t="str">
        <f aca="false">IF(A275="","",IFERROR(INDEX(Products!$B:$B,MATCH(A275,Products!$A:$A,0)),"ID not found"))</f>
        <v/>
      </c>
      <c r="D275" s="20" t="str">
        <f aca="false">IF(B275="","",IFERROR(INDEX(Dimensions!$B:$B,MATCH(B275,Dimensions!$A:$A,0)),"ID not found"))</f>
        <v/>
      </c>
      <c r="E275" s="30"/>
      <c r="F275" s="20" t="str">
        <f aca="false">IF(E275="","",IFERROR(INDEX(Tables!$B:$B,MATCH(E275,Tables!$A:$A,0)),"ID not found"))</f>
        <v/>
      </c>
      <c r="G275" s="20" t="str">
        <f aca="false">IF(OR(B275="",E275=""),"",IF(IFERROR(INDEX(Dimensions!$C:$C,MATCH(B275,Dimensions!$A:$A,0)),"")="","No agreed source",IF(INDEX(Dimensions!$C:$C,MATCH(B275,Dimensions!$A:$A,0))=E275,"Yes","No")))</f>
        <v/>
      </c>
      <c r="H275" s="30"/>
      <c r="I275" s="30"/>
      <c r="J275" s="30"/>
      <c r="K275" s="34" t="str">
        <f aca="false">IF(AND(A275&lt;&gt;"",G275="No"),COUNTIF($G$5:G275,"No"),"")</f>
        <v/>
      </c>
    </row>
    <row r="276" customFormat="false" ht="15" hidden="false" customHeight="false" outlineLevel="0" collapsed="false">
      <c r="A276" s="29"/>
      <c r="B276" s="29"/>
      <c r="C276" s="20" t="str">
        <f aca="false">IF(A276="","",IFERROR(INDEX(Products!$B:$B,MATCH(A276,Products!$A:$A,0)),"ID not found"))</f>
        <v/>
      </c>
      <c r="D276" s="20" t="str">
        <f aca="false">IF(B276="","",IFERROR(INDEX(Dimensions!$B:$B,MATCH(B276,Dimensions!$A:$A,0)),"ID not found"))</f>
        <v/>
      </c>
      <c r="E276" s="30"/>
      <c r="F276" s="20" t="str">
        <f aca="false">IF(E276="","",IFERROR(INDEX(Tables!$B:$B,MATCH(E276,Tables!$A:$A,0)),"ID not found"))</f>
        <v/>
      </c>
      <c r="G276" s="20" t="str">
        <f aca="false">IF(OR(B276="",E276=""),"",IF(IFERROR(INDEX(Dimensions!$C:$C,MATCH(B276,Dimensions!$A:$A,0)),"")="","No agreed source",IF(INDEX(Dimensions!$C:$C,MATCH(B276,Dimensions!$A:$A,0))=E276,"Yes","No")))</f>
        <v/>
      </c>
      <c r="H276" s="30"/>
      <c r="I276" s="30"/>
      <c r="J276" s="30"/>
      <c r="K276" s="34" t="str">
        <f aca="false">IF(AND(A276&lt;&gt;"",G276="No"),COUNTIF($G$5:G276,"No"),"")</f>
        <v/>
      </c>
    </row>
    <row r="277" customFormat="false" ht="15" hidden="false" customHeight="false" outlineLevel="0" collapsed="false">
      <c r="A277" s="29"/>
      <c r="B277" s="29"/>
      <c r="C277" s="20" t="str">
        <f aca="false">IF(A277="","",IFERROR(INDEX(Products!$B:$B,MATCH(A277,Products!$A:$A,0)),"ID not found"))</f>
        <v/>
      </c>
      <c r="D277" s="20" t="str">
        <f aca="false">IF(B277="","",IFERROR(INDEX(Dimensions!$B:$B,MATCH(B277,Dimensions!$A:$A,0)),"ID not found"))</f>
        <v/>
      </c>
      <c r="E277" s="30"/>
      <c r="F277" s="20" t="str">
        <f aca="false">IF(E277="","",IFERROR(INDEX(Tables!$B:$B,MATCH(E277,Tables!$A:$A,0)),"ID not found"))</f>
        <v/>
      </c>
      <c r="G277" s="20" t="str">
        <f aca="false">IF(OR(B277="",E277=""),"",IF(IFERROR(INDEX(Dimensions!$C:$C,MATCH(B277,Dimensions!$A:$A,0)),"")="","No agreed source",IF(INDEX(Dimensions!$C:$C,MATCH(B277,Dimensions!$A:$A,0))=E277,"Yes","No")))</f>
        <v/>
      </c>
      <c r="H277" s="30"/>
      <c r="I277" s="30"/>
      <c r="J277" s="30"/>
      <c r="K277" s="34" t="str">
        <f aca="false">IF(AND(A277&lt;&gt;"",G277="No"),COUNTIF($G$5:G277,"No"),"")</f>
        <v/>
      </c>
    </row>
    <row r="278" customFormat="false" ht="15" hidden="false" customHeight="false" outlineLevel="0" collapsed="false">
      <c r="A278" s="29"/>
      <c r="B278" s="29"/>
      <c r="C278" s="20" t="str">
        <f aca="false">IF(A278="","",IFERROR(INDEX(Products!$B:$B,MATCH(A278,Products!$A:$A,0)),"ID not found"))</f>
        <v/>
      </c>
      <c r="D278" s="20" t="str">
        <f aca="false">IF(B278="","",IFERROR(INDEX(Dimensions!$B:$B,MATCH(B278,Dimensions!$A:$A,0)),"ID not found"))</f>
        <v/>
      </c>
      <c r="E278" s="30"/>
      <c r="F278" s="20" t="str">
        <f aca="false">IF(E278="","",IFERROR(INDEX(Tables!$B:$B,MATCH(E278,Tables!$A:$A,0)),"ID not found"))</f>
        <v/>
      </c>
      <c r="G278" s="20" t="str">
        <f aca="false">IF(OR(B278="",E278=""),"",IF(IFERROR(INDEX(Dimensions!$C:$C,MATCH(B278,Dimensions!$A:$A,0)),"")="","No agreed source",IF(INDEX(Dimensions!$C:$C,MATCH(B278,Dimensions!$A:$A,0))=E278,"Yes","No")))</f>
        <v/>
      </c>
      <c r="H278" s="30"/>
      <c r="I278" s="30"/>
      <c r="J278" s="30"/>
      <c r="K278" s="34" t="str">
        <f aca="false">IF(AND(A278&lt;&gt;"",G278="No"),COUNTIF($G$5:G278,"No"),"")</f>
        <v/>
      </c>
    </row>
    <row r="279" customFormat="false" ht="15" hidden="false" customHeight="false" outlineLevel="0" collapsed="false">
      <c r="A279" s="29"/>
      <c r="B279" s="29"/>
      <c r="C279" s="20" t="str">
        <f aca="false">IF(A279="","",IFERROR(INDEX(Products!$B:$B,MATCH(A279,Products!$A:$A,0)),"ID not found"))</f>
        <v/>
      </c>
      <c r="D279" s="20" t="str">
        <f aca="false">IF(B279="","",IFERROR(INDEX(Dimensions!$B:$B,MATCH(B279,Dimensions!$A:$A,0)),"ID not found"))</f>
        <v/>
      </c>
      <c r="E279" s="30"/>
      <c r="F279" s="20" t="str">
        <f aca="false">IF(E279="","",IFERROR(INDEX(Tables!$B:$B,MATCH(E279,Tables!$A:$A,0)),"ID not found"))</f>
        <v/>
      </c>
      <c r="G279" s="20" t="str">
        <f aca="false">IF(OR(B279="",E279=""),"",IF(IFERROR(INDEX(Dimensions!$C:$C,MATCH(B279,Dimensions!$A:$A,0)),"")="","No agreed source",IF(INDEX(Dimensions!$C:$C,MATCH(B279,Dimensions!$A:$A,0))=E279,"Yes","No")))</f>
        <v/>
      </c>
      <c r="H279" s="30"/>
      <c r="I279" s="30"/>
      <c r="J279" s="30"/>
      <c r="K279" s="34" t="str">
        <f aca="false">IF(AND(A279&lt;&gt;"",G279="No"),COUNTIF($G$5:G279,"No"),"")</f>
        <v/>
      </c>
    </row>
    <row r="280" customFormat="false" ht="15" hidden="false" customHeight="false" outlineLevel="0" collapsed="false">
      <c r="A280" s="29"/>
      <c r="B280" s="29"/>
      <c r="C280" s="20" t="str">
        <f aca="false">IF(A280="","",IFERROR(INDEX(Products!$B:$B,MATCH(A280,Products!$A:$A,0)),"ID not found"))</f>
        <v/>
      </c>
      <c r="D280" s="20" t="str">
        <f aca="false">IF(B280="","",IFERROR(INDEX(Dimensions!$B:$B,MATCH(B280,Dimensions!$A:$A,0)),"ID not found"))</f>
        <v/>
      </c>
      <c r="E280" s="30"/>
      <c r="F280" s="20" t="str">
        <f aca="false">IF(E280="","",IFERROR(INDEX(Tables!$B:$B,MATCH(E280,Tables!$A:$A,0)),"ID not found"))</f>
        <v/>
      </c>
      <c r="G280" s="20" t="str">
        <f aca="false">IF(OR(B280="",E280=""),"",IF(IFERROR(INDEX(Dimensions!$C:$C,MATCH(B280,Dimensions!$A:$A,0)),"")="","No agreed source",IF(INDEX(Dimensions!$C:$C,MATCH(B280,Dimensions!$A:$A,0))=E280,"Yes","No")))</f>
        <v/>
      </c>
      <c r="H280" s="30"/>
      <c r="I280" s="30"/>
      <c r="J280" s="30"/>
      <c r="K280" s="34" t="str">
        <f aca="false">IF(AND(A280&lt;&gt;"",G280="No"),COUNTIF($G$5:G280,"No"),"")</f>
        <v/>
      </c>
    </row>
    <row r="281" customFormat="false" ht="15" hidden="false" customHeight="false" outlineLevel="0" collapsed="false">
      <c r="A281" s="29"/>
      <c r="B281" s="29"/>
      <c r="C281" s="20" t="str">
        <f aca="false">IF(A281="","",IFERROR(INDEX(Products!$B:$B,MATCH(A281,Products!$A:$A,0)),"ID not found"))</f>
        <v/>
      </c>
      <c r="D281" s="20" t="str">
        <f aca="false">IF(B281="","",IFERROR(INDEX(Dimensions!$B:$B,MATCH(B281,Dimensions!$A:$A,0)),"ID not found"))</f>
        <v/>
      </c>
      <c r="E281" s="30"/>
      <c r="F281" s="20" t="str">
        <f aca="false">IF(E281="","",IFERROR(INDEX(Tables!$B:$B,MATCH(E281,Tables!$A:$A,0)),"ID not found"))</f>
        <v/>
      </c>
      <c r="G281" s="20" t="str">
        <f aca="false">IF(OR(B281="",E281=""),"",IF(IFERROR(INDEX(Dimensions!$C:$C,MATCH(B281,Dimensions!$A:$A,0)),"")="","No agreed source",IF(INDEX(Dimensions!$C:$C,MATCH(B281,Dimensions!$A:$A,0))=E281,"Yes","No")))</f>
        <v/>
      </c>
      <c r="H281" s="30"/>
      <c r="I281" s="30"/>
      <c r="J281" s="30"/>
      <c r="K281" s="34" t="str">
        <f aca="false">IF(AND(A281&lt;&gt;"",G281="No"),COUNTIF($G$5:G281,"No"),"")</f>
        <v/>
      </c>
    </row>
    <row r="282" customFormat="false" ht="15" hidden="false" customHeight="false" outlineLevel="0" collapsed="false">
      <c r="A282" s="29"/>
      <c r="B282" s="29"/>
      <c r="C282" s="20" t="str">
        <f aca="false">IF(A282="","",IFERROR(INDEX(Products!$B:$B,MATCH(A282,Products!$A:$A,0)),"ID not found"))</f>
        <v/>
      </c>
      <c r="D282" s="20" t="str">
        <f aca="false">IF(B282="","",IFERROR(INDEX(Dimensions!$B:$B,MATCH(B282,Dimensions!$A:$A,0)),"ID not found"))</f>
        <v/>
      </c>
      <c r="E282" s="30"/>
      <c r="F282" s="20" t="str">
        <f aca="false">IF(E282="","",IFERROR(INDEX(Tables!$B:$B,MATCH(E282,Tables!$A:$A,0)),"ID not found"))</f>
        <v/>
      </c>
      <c r="G282" s="20" t="str">
        <f aca="false">IF(OR(B282="",E282=""),"",IF(IFERROR(INDEX(Dimensions!$C:$C,MATCH(B282,Dimensions!$A:$A,0)),"")="","No agreed source",IF(INDEX(Dimensions!$C:$C,MATCH(B282,Dimensions!$A:$A,0))=E282,"Yes","No")))</f>
        <v/>
      </c>
      <c r="H282" s="30"/>
      <c r="I282" s="30"/>
      <c r="J282" s="30"/>
      <c r="K282" s="34" t="str">
        <f aca="false">IF(AND(A282&lt;&gt;"",G282="No"),COUNTIF($G$5:G282,"No"),"")</f>
        <v/>
      </c>
    </row>
    <row r="283" customFormat="false" ht="15" hidden="false" customHeight="false" outlineLevel="0" collapsed="false">
      <c r="A283" s="29"/>
      <c r="B283" s="29"/>
      <c r="C283" s="20" t="str">
        <f aca="false">IF(A283="","",IFERROR(INDEX(Products!$B:$B,MATCH(A283,Products!$A:$A,0)),"ID not found"))</f>
        <v/>
      </c>
      <c r="D283" s="20" t="str">
        <f aca="false">IF(B283="","",IFERROR(INDEX(Dimensions!$B:$B,MATCH(B283,Dimensions!$A:$A,0)),"ID not found"))</f>
        <v/>
      </c>
      <c r="E283" s="30"/>
      <c r="F283" s="20" t="str">
        <f aca="false">IF(E283="","",IFERROR(INDEX(Tables!$B:$B,MATCH(E283,Tables!$A:$A,0)),"ID not found"))</f>
        <v/>
      </c>
      <c r="G283" s="20" t="str">
        <f aca="false">IF(OR(B283="",E283=""),"",IF(IFERROR(INDEX(Dimensions!$C:$C,MATCH(B283,Dimensions!$A:$A,0)),"")="","No agreed source",IF(INDEX(Dimensions!$C:$C,MATCH(B283,Dimensions!$A:$A,0))=E283,"Yes","No")))</f>
        <v/>
      </c>
      <c r="H283" s="30"/>
      <c r="I283" s="30"/>
      <c r="J283" s="30"/>
      <c r="K283" s="34" t="str">
        <f aca="false">IF(AND(A283&lt;&gt;"",G283="No"),COUNTIF($G$5:G283,"No"),"")</f>
        <v/>
      </c>
    </row>
    <row r="284" customFormat="false" ht="15" hidden="false" customHeight="false" outlineLevel="0" collapsed="false">
      <c r="A284" s="29"/>
      <c r="B284" s="29"/>
      <c r="C284" s="20" t="str">
        <f aca="false">IF(A284="","",IFERROR(INDEX(Products!$B:$B,MATCH(A284,Products!$A:$A,0)),"ID not found"))</f>
        <v/>
      </c>
      <c r="D284" s="20" t="str">
        <f aca="false">IF(B284="","",IFERROR(INDEX(Dimensions!$B:$B,MATCH(B284,Dimensions!$A:$A,0)),"ID not found"))</f>
        <v/>
      </c>
      <c r="E284" s="30"/>
      <c r="F284" s="20" t="str">
        <f aca="false">IF(E284="","",IFERROR(INDEX(Tables!$B:$B,MATCH(E284,Tables!$A:$A,0)),"ID not found"))</f>
        <v/>
      </c>
      <c r="G284" s="20" t="str">
        <f aca="false">IF(OR(B284="",E284=""),"",IF(IFERROR(INDEX(Dimensions!$C:$C,MATCH(B284,Dimensions!$A:$A,0)),"")="","No agreed source",IF(INDEX(Dimensions!$C:$C,MATCH(B284,Dimensions!$A:$A,0))=E284,"Yes","No")))</f>
        <v/>
      </c>
      <c r="H284" s="30"/>
      <c r="I284" s="30"/>
      <c r="J284" s="30"/>
      <c r="K284" s="34" t="str">
        <f aca="false">IF(AND(A284&lt;&gt;"",G284="No"),COUNTIF($G$5:G284,"No"),"")</f>
        <v/>
      </c>
    </row>
    <row r="285" customFormat="false" ht="15" hidden="false" customHeight="false" outlineLevel="0" collapsed="false">
      <c r="A285" s="29"/>
      <c r="B285" s="29"/>
      <c r="C285" s="20" t="str">
        <f aca="false">IF(A285="","",IFERROR(INDEX(Products!$B:$B,MATCH(A285,Products!$A:$A,0)),"ID not found"))</f>
        <v/>
      </c>
      <c r="D285" s="20" t="str">
        <f aca="false">IF(B285="","",IFERROR(INDEX(Dimensions!$B:$B,MATCH(B285,Dimensions!$A:$A,0)),"ID not found"))</f>
        <v/>
      </c>
      <c r="E285" s="30"/>
      <c r="F285" s="20" t="str">
        <f aca="false">IF(E285="","",IFERROR(INDEX(Tables!$B:$B,MATCH(E285,Tables!$A:$A,0)),"ID not found"))</f>
        <v/>
      </c>
      <c r="G285" s="20" t="str">
        <f aca="false">IF(OR(B285="",E285=""),"",IF(IFERROR(INDEX(Dimensions!$C:$C,MATCH(B285,Dimensions!$A:$A,0)),"")="","No agreed source",IF(INDEX(Dimensions!$C:$C,MATCH(B285,Dimensions!$A:$A,0))=E285,"Yes","No")))</f>
        <v/>
      </c>
      <c r="H285" s="30"/>
      <c r="I285" s="30"/>
      <c r="J285" s="30"/>
      <c r="K285" s="34" t="str">
        <f aca="false">IF(AND(A285&lt;&gt;"",G285="No"),COUNTIF($G$5:G285,"No"),"")</f>
        <v/>
      </c>
    </row>
    <row r="286" customFormat="false" ht="15" hidden="false" customHeight="false" outlineLevel="0" collapsed="false">
      <c r="A286" s="29"/>
      <c r="B286" s="29"/>
      <c r="C286" s="20" t="str">
        <f aca="false">IF(A286="","",IFERROR(INDEX(Products!$B:$B,MATCH(A286,Products!$A:$A,0)),"ID not found"))</f>
        <v/>
      </c>
      <c r="D286" s="20" t="str">
        <f aca="false">IF(B286="","",IFERROR(INDEX(Dimensions!$B:$B,MATCH(B286,Dimensions!$A:$A,0)),"ID not found"))</f>
        <v/>
      </c>
      <c r="E286" s="30"/>
      <c r="F286" s="20" t="str">
        <f aca="false">IF(E286="","",IFERROR(INDEX(Tables!$B:$B,MATCH(E286,Tables!$A:$A,0)),"ID not found"))</f>
        <v/>
      </c>
      <c r="G286" s="20" t="str">
        <f aca="false">IF(OR(B286="",E286=""),"",IF(IFERROR(INDEX(Dimensions!$C:$C,MATCH(B286,Dimensions!$A:$A,0)),"")="","No agreed source",IF(INDEX(Dimensions!$C:$C,MATCH(B286,Dimensions!$A:$A,0))=E286,"Yes","No")))</f>
        <v/>
      </c>
      <c r="H286" s="30"/>
      <c r="I286" s="30"/>
      <c r="J286" s="30"/>
      <c r="K286" s="34" t="str">
        <f aca="false">IF(AND(A286&lt;&gt;"",G286="No"),COUNTIF($G$5:G286,"No"),"")</f>
        <v/>
      </c>
    </row>
    <row r="287" customFormat="false" ht="15" hidden="false" customHeight="false" outlineLevel="0" collapsed="false">
      <c r="A287" s="29"/>
      <c r="B287" s="29"/>
      <c r="C287" s="20" t="str">
        <f aca="false">IF(A287="","",IFERROR(INDEX(Products!$B:$B,MATCH(A287,Products!$A:$A,0)),"ID not found"))</f>
        <v/>
      </c>
      <c r="D287" s="20" t="str">
        <f aca="false">IF(B287="","",IFERROR(INDEX(Dimensions!$B:$B,MATCH(B287,Dimensions!$A:$A,0)),"ID not found"))</f>
        <v/>
      </c>
      <c r="E287" s="30"/>
      <c r="F287" s="20" t="str">
        <f aca="false">IF(E287="","",IFERROR(INDEX(Tables!$B:$B,MATCH(E287,Tables!$A:$A,0)),"ID not found"))</f>
        <v/>
      </c>
      <c r="G287" s="20" t="str">
        <f aca="false">IF(OR(B287="",E287=""),"",IF(IFERROR(INDEX(Dimensions!$C:$C,MATCH(B287,Dimensions!$A:$A,0)),"")="","No agreed source",IF(INDEX(Dimensions!$C:$C,MATCH(B287,Dimensions!$A:$A,0))=E287,"Yes","No")))</f>
        <v/>
      </c>
      <c r="H287" s="30"/>
      <c r="I287" s="30"/>
      <c r="J287" s="30"/>
      <c r="K287" s="34" t="str">
        <f aca="false">IF(AND(A287&lt;&gt;"",G287="No"),COUNTIF($G$5:G287,"No"),"")</f>
        <v/>
      </c>
    </row>
    <row r="288" customFormat="false" ht="15" hidden="false" customHeight="false" outlineLevel="0" collapsed="false">
      <c r="A288" s="29"/>
      <c r="B288" s="29"/>
      <c r="C288" s="20" t="str">
        <f aca="false">IF(A288="","",IFERROR(INDEX(Products!$B:$B,MATCH(A288,Products!$A:$A,0)),"ID not found"))</f>
        <v/>
      </c>
      <c r="D288" s="20" t="str">
        <f aca="false">IF(B288="","",IFERROR(INDEX(Dimensions!$B:$B,MATCH(B288,Dimensions!$A:$A,0)),"ID not found"))</f>
        <v/>
      </c>
      <c r="E288" s="30"/>
      <c r="F288" s="20" t="str">
        <f aca="false">IF(E288="","",IFERROR(INDEX(Tables!$B:$B,MATCH(E288,Tables!$A:$A,0)),"ID not found"))</f>
        <v/>
      </c>
      <c r="G288" s="20" t="str">
        <f aca="false">IF(OR(B288="",E288=""),"",IF(IFERROR(INDEX(Dimensions!$C:$C,MATCH(B288,Dimensions!$A:$A,0)),"")="","No agreed source",IF(INDEX(Dimensions!$C:$C,MATCH(B288,Dimensions!$A:$A,0))=E288,"Yes","No")))</f>
        <v/>
      </c>
      <c r="H288" s="30"/>
      <c r="I288" s="30"/>
      <c r="J288" s="30"/>
      <c r="K288" s="34" t="str">
        <f aca="false">IF(AND(A288&lt;&gt;"",G288="No"),COUNTIF($G$5:G288,"No"),"")</f>
        <v/>
      </c>
    </row>
    <row r="289" customFormat="false" ht="15" hidden="false" customHeight="false" outlineLevel="0" collapsed="false">
      <c r="A289" s="29"/>
      <c r="B289" s="29"/>
      <c r="C289" s="20" t="str">
        <f aca="false">IF(A289="","",IFERROR(INDEX(Products!$B:$B,MATCH(A289,Products!$A:$A,0)),"ID not found"))</f>
        <v/>
      </c>
      <c r="D289" s="20" t="str">
        <f aca="false">IF(B289="","",IFERROR(INDEX(Dimensions!$B:$B,MATCH(B289,Dimensions!$A:$A,0)),"ID not found"))</f>
        <v/>
      </c>
      <c r="E289" s="30"/>
      <c r="F289" s="20" t="str">
        <f aca="false">IF(E289="","",IFERROR(INDEX(Tables!$B:$B,MATCH(E289,Tables!$A:$A,0)),"ID not found"))</f>
        <v/>
      </c>
      <c r="G289" s="20" t="str">
        <f aca="false">IF(OR(B289="",E289=""),"",IF(IFERROR(INDEX(Dimensions!$C:$C,MATCH(B289,Dimensions!$A:$A,0)),"")="","No agreed source",IF(INDEX(Dimensions!$C:$C,MATCH(B289,Dimensions!$A:$A,0))=E289,"Yes","No")))</f>
        <v/>
      </c>
      <c r="H289" s="30"/>
      <c r="I289" s="30"/>
      <c r="J289" s="30"/>
      <c r="K289" s="34" t="str">
        <f aca="false">IF(AND(A289&lt;&gt;"",G289="No"),COUNTIF($G$5:G289,"No"),"")</f>
        <v/>
      </c>
    </row>
    <row r="290" customFormat="false" ht="15" hidden="false" customHeight="false" outlineLevel="0" collapsed="false">
      <c r="A290" s="29"/>
      <c r="B290" s="29"/>
      <c r="C290" s="20" t="str">
        <f aca="false">IF(A290="","",IFERROR(INDEX(Products!$B:$B,MATCH(A290,Products!$A:$A,0)),"ID not found"))</f>
        <v/>
      </c>
      <c r="D290" s="20" t="str">
        <f aca="false">IF(B290="","",IFERROR(INDEX(Dimensions!$B:$B,MATCH(B290,Dimensions!$A:$A,0)),"ID not found"))</f>
        <v/>
      </c>
      <c r="E290" s="30"/>
      <c r="F290" s="20" t="str">
        <f aca="false">IF(E290="","",IFERROR(INDEX(Tables!$B:$B,MATCH(E290,Tables!$A:$A,0)),"ID not found"))</f>
        <v/>
      </c>
      <c r="G290" s="20" t="str">
        <f aca="false">IF(OR(B290="",E290=""),"",IF(IFERROR(INDEX(Dimensions!$C:$C,MATCH(B290,Dimensions!$A:$A,0)),"")="","No agreed source",IF(INDEX(Dimensions!$C:$C,MATCH(B290,Dimensions!$A:$A,0))=E290,"Yes","No")))</f>
        <v/>
      </c>
      <c r="H290" s="30"/>
      <c r="I290" s="30"/>
      <c r="J290" s="30"/>
      <c r="K290" s="34" t="str">
        <f aca="false">IF(AND(A290&lt;&gt;"",G290="No"),COUNTIF($G$5:G290,"No"),"")</f>
        <v/>
      </c>
    </row>
    <row r="291" customFormat="false" ht="15" hidden="false" customHeight="false" outlineLevel="0" collapsed="false">
      <c r="A291" s="29"/>
      <c r="B291" s="29"/>
      <c r="C291" s="20" t="str">
        <f aca="false">IF(A291="","",IFERROR(INDEX(Products!$B:$B,MATCH(A291,Products!$A:$A,0)),"ID not found"))</f>
        <v/>
      </c>
      <c r="D291" s="20" t="str">
        <f aca="false">IF(B291="","",IFERROR(INDEX(Dimensions!$B:$B,MATCH(B291,Dimensions!$A:$A,0)),"ID not found"))</f>
        <v/>
      </c>
      <c r="E291" s="30"/>
      <c r="F291" s="20" t="str">
        <f aca="false">IF(E291="","",IFERROR(INDEX(Tables!$B:$B,MATCH(E291,Tables!$A:$A,0)),"ID not found"))</f>
        <v/>
      </c>
      <c r="G291" s="20" t="str">
        <f aca="false">IF(OR(B291="",E291=""),"",IF(IFERROR(INDEX(Dimensions!$C:$C,MATCH(B291,Dimensions!$A:$A,0)),"")="","No agreed source",IF(INDEX(Dimensions!$C:$C,MATCH(B291,Dimensions!$A:$A,0))=E291,"Yes","No")))</f>
        <v/>
      </c>
      <c r="H291" s="30"/>
      <c r="I291" s="30"/>
      <c r="J291" s="30"/>
      <c r="K291" s="34" t="str">
        <f aca="false">IF(AND(A291&lt;&gt;"",G291="No"),COUNTIF($G$5:G291,"No"),"")</f>
        <v/>
      </c>
    </row>
    <row r="292" customFormat="false" ht="15" hidden="false" customHeight="false" outlineLevel="0" collapsed="false">
      <c r="A292" s="29"/>
      <c r="B292" s="29"/>
      <c r="C292" s="20" t="str">
        <f aca="false">IF(A292="","",IFERROR(INDEX(Products!$B:$B,MATCH(A292,Products!$A:$A,0)),"ID not found"))</f>
        <v/>
      </c>
      <c r="D292" s="20" t="str">
        <f aca="false">IF(B292="","",IFERROR(INDEX(Dimensions!$B:$B,MATCH(B292,Dimensions!$A:$A,0)),"ID not found"))</f>
        <v/>
      </c>
      <c r="E292" s="30"/>
      <c r="F292" s="20" t="str">
        <f aca="false">IF(E292="","",IFERROR(INDEX(Tables!$B:$B,MATCH(E292,Tables!$A:$A,0)),"ID not found"))</f>
        <v/>
      </c>
      <c r="G292" s="20" t="str">
        <f aca="false">IF(OR(B292="",E292=""),"",IF(IFERROR(INDEX(Dimensions!$C:$C,MATCH(B292,Dimensions!$A:$A,0)),"")="","No agreed source",IF(INDEX(Dimensions!$C:$C,MATCH(B292,Dimensions!$A:$A,0))=E292,"Yes","No")))</f>
        <v/>
      </c>
      <c r="H292" s="30"/>
      <c r="I292" s="30"/>
      <c r="J292" s="30"/>
      <c r="K292" s="34" t="str">
        <f aca="false">IF(AND(A292&lt;&gt;"",G292="No"),COUNTIF($G$5:G292,"No"),"")</f>
        <v/>
      </c>
    </row>
    <row r="293" customFormat="false" ht="15" hidden="false" customHeight="false" outlineLevel="0" collapsed="false">
      <c r="A293" s="29"/>
      <c r="B293" s="29"/>
      <c r="C293" s="20" t="str">
        <f aca="false">IF(A293="","",IFERROR(INDEX(Products!$B:$B,MATCH(A293,Products!$A:$A,0)),"ID not found"))</f>
        <v/>
      </c>
      <c r="D293" s="20" t="str">
        <f aca="false">IF(B293="","",IFERROR(INDEX(Dimensions!$B:$B,MATCH(B293,Dimensions!$A:$A,0)),"ID not found"))</f>
        <v/>
      </c>
      <c r="E293" s="30"/>
      <c r="F293" s="20" t="str">
        <f aca="false">IF(E293="","",IFERROR(INDEX(Tables!$B:$B,MATCH(E293,Tables!$A:$A,0)),"ID not found"))</f>
        <v/>
      </c>
      <c r="G293" s="20" t="str">
        <f aca="false">IF(OR(B293="",E293=""),"",IF(IFERROR(INDEX(Dimensions!$C:$C,MATCH(B293,Dimensions!$A:$A,0)),"")="","No agreed source",IF(INDEX(Dimensions!$C:$C,MATCH(B293,Dimensions!$A:$A,0))=E293,"Yes","No")))</f>
        <v/>
      </c>
      <c r="H293" s="30"/>
      <c r="I293" s="30"/>
      <c r="J293" s="30"/>
      <c r="K293" s="34" t="str">
        <f aca="false">IF(AND(A293&lt;&gt;"",G293="No"),COUNTIF($G$5:G293,"No"),"")</f>
        <v/>
      </c>
    </row>
    <row r="294" customFormat="false" ht="15" hidden="false" customHeight="false" outlineLevel="0" collapsed="false">
      <c r="A294" s="29"/>
      <c r="B294" s="29"/>
      <c r="C294" s="20" t="str">
        <f aca="false">IF(A294="","",IFERROR(INDEX(Products!$B:$B,MATCH(A294,Products!$A:$A,0)),"ID not found"))</f>
        <v/>
      </c>
      <c r="D294" s="20" t="str">
        <f aca="false">IF(B294="","",IFERROR(INDEX(Dimensions!$B:$B,MATCH(B294,Dimensions!$A:$A,0)),"ID not found"))</f>
        <v/>
      </c>
      <c r="E294" s="30"/>
      <c r="F294" s="20" t="str">
        <f aca="false">IF(E294="","",IFERROR(INDEX(Tables!$B:$B,MATCH(E294,Tables!$A:$A,0)),"ID not found"))</f>
        <v/>
      </c>
      <c r="G294" s="20" t="str">
        <f aca="false">IF(OR(B294="",E294=""),"",IF(IFERROR(INDEX(Dimensions!$C:$C,MATCH(B294,Dimensions!$A:$A,0)),"")="","No agreed source",IF(INDEX(Dimensions!$C:$C,MATCH(B294,Dimensions!$A:$A,0))=E294,"Yes","No")))</f>
        <v/>
      </c>
      <c r="H294" s="30"/>
      <c r="I294" s="30"/>
      <c r="J294" s="30"/>
      <c r="K294" s="34" t="str">
        <f aca="false">IF(AND(A294&lt;&gt;"",G294="No"),COUNTIF($G$5:G294,"No"),"")</f>
        <v/>
      </c>
    </row>
    <row r="295" customFormat="false" ht="15" hidden="false" customHeight="false" outlineLevel="0" collapsed="false">
      <c r="A295" s="29"/>
      <c r="B295" s="29"/>
      <c r="C295" s="20" t="str">
        <f aca="false">IF(A295="","",IFERROR(INDEX(Products!$B:$B,MATCH(A295,Products!$A:$A,0)),"ID not found"))</f>
        <v/>
      </c>
      <c r="D295" s="20" t="str">
        <f aca="false">IF(B295="","",IFERROR(INDEX(Dimensions!$B:$B,MATCH(B295,Dimensions!$A:$A,0)),"ID not found"))</f>
        <v/>
      </c>
      <c r="E295" s="30"/>
      <c r="F295" s="20" t="str">
        <f aca="false">IF(E295="","",IFERROR(INDEX(Tables!$B:$B,MATCH(E295,Tables!$A:$A,0)),"ID not found"))</f>
        <v/>
      </c>
      <c r="G295" s="20" t="str">
        <f aca="false">IF(OR(B295="",E295=""),"",IF(IFERROR(INDEX(Dimensions!$C:$C,MATCH(B295,Dimensions!$A:$A,0)),"")="","No agreed source",IF(INDEX(Dimensions!$C:$C,MATCH(B295,Dimensions!$A:$A,0))=E295,"Yes","No")))</f>
        <v/>
      </c>
      <c r="H295" s="30"/>
      <c r="I295" s="30"/>
      <c r="J295" s="30"/>
      <c r="K295" s="34" t="str">
        <f aca="false">IF(AND(A295&lt;&gt;"",G295="No"),COUNTIF($G$5:G295,"No"),"")</f>
        <v/>
      </c>
    </row>
    <row r="296" customFormat="false" ht="15" hidden="false" customHeight="false" outlineLevel="0" collapsed="false">
      <c r="A296" s="29"/>
      <c r="B296" s="29"/>
      <c r="C296" s="20" t="str">
        <f aca="false">IF(A296="","",IFERROR(INDEX(Products!$B:$B,MATCH(A296,Products!$A:$A,0)),"ID not found"))</f>
        <v/>
      </c>
      <c r="D296" s="20" t="str">
        <f aca="false">IF(B296="","",IFERROR(INDEX(Dimensions!$B:$B,MATCH(B296,Dimensions!$A:$A,0)),"ID not found"))</f>
        <v/>
      </c>
      <c r="E296" s="30"/>
      <c r="F296" s="20" t="str">
        <f aca="false">IF(E296="","",IFERROR(INDEX(Tables!$B:$B,MATCH(E296,Tables!$A:$A,0)),"ID not found"))</f>
        <v/>
      </c>
      <c r="G296" s="20" t="str">
        <f aca="false">IF(OR(B296="",E296=""),"",IF(IFERROR(INDEX(Dimensions!$C:$C,MATCH(B296,Dimensions!$A:$A,0)),"")="","No agreed source",IF(INDEX(Dimensions!$C:$C,MATCH(B296,Dimensions!$A:$A,0))=E296,"Yes","No")))</f>
        <v/>
      </c>
      <c r="H296" s="30"/>
      <c r="I296" s="30"/>
      <c r="J296" s="30"/>
      <c r="K296" s="34" t="str">
        <f aca="false">IF(AND(A296&lt;&gt;"",G296="No"),COUNTIF($G$5:G296,"No"),"")</f>
        <v/>
      </c>
    </row>
    <row r="297" customFormat="false" ht="15" hidden="false" customHeight="false" outlineLevel="0" collapsed="false">
      <c r="A297" s="29"/>
      <c r="B297" s="29"/>
      <c r="C297" s="20" t="str">
        <f aca="false">IF(A297="","",IFERROR(INDEX(Products!$B:$B,MATCH(A297,Products!$A:$A,0)),"ID not found"))</f>
        <v/>
      </c>
      <c r="D297" s="20" t="str">
        <f aca="false">IF(B297="","",IFERROR(INDEX(Dimensions!$B:$B,MATCH(B297,Dimensions!$A:$A,0)),"ID not found"))</f>
        <v/>
      </c>
      <c r="E297" s="30"/>
      <c r="F297" s="20" t="str">
        <f aca="false">IF(E297="","",IFERROR(INDEX(Tables!$B:$B,MATCH(E297,Tables!$A:$A,0)),"ID not found"))</f>
        <v/>
      </c>
      <c r="G297" s="20" t="str">
        <f aca="false">IF(OR(B297="",E297=""),"",IF(IFERROR(INDEX(Dimensions!$C:$C,MATCH(B297,Dimensions!$A:$A,0)),"")="","No agreed source",IF(INDEX(Dimensions!$C:$C,MATCH(B297,Dimensions!$A:$A,0))=E297,"Yes","No")))</f>
        <v/>
      </c>
      <c r="H297" s="30"/>
      <c r="I297" s="30"/>
      <c r="J297" s="30"/>
      <c r="K297" s="34" t="str">
        <f aca="false">IF(AND(A297&lt;&gt;"",G297="No"),COUNTIF($G$5:G297,"No"),"")</f>
        <v/>
      </c>
    </row>
    <row r="298" customFormat="false" ht="15" hidden="false" customHeight="false" outlineLevel="0" collapsed="false">
      <c r="A298" s="29"/>
      <c r="B298" s="29"/>
      <c r="C298" s="20" t="str">
        <f aca="false">IF(A298="","",IFERROR(INDEX(Products!$B:$B,MATCH(A298,Products!$A:$A,0)),"ID not found"))</f>
        <v/>
      </c>
      <c r="D298" s="20" t="str">
        <f aca="false">IF(B298="","",IFERROR(INDEX(Dimensions!$B:$B,MATCH(B298,Dimensions!$A:$A,0)),"ID not found"))</f>
        <v/>
      </c>
      <c r="E298" s="30"/>
      <c r="F298" s="20" t="str">
        <f aca="false">IF(E298="","",IFERROR(INDEX(Tables!$B:$B,MATCH(E298,Tables!$A:$A,0)),"ID not found"))</f>
        <v/>
      </c>
      <c r="G298" s="20" t="str">
        <f aca="false">IF(OR(B298="",E298=""),"",IF(IFERROR(INDEX(Dimensions!$C:$C,MATCH(B298,Dimensions!$A:$A,0)),"")="","No agreed source",IF(INDEX(Dimensions!$C:$C,MATCH(B298,Dimensions!$A:$A,0))=E298,"Yes","No")))</f>
        <v/>
      </c>
      <c r="H298" s="30"/>
      <c r="I298" s="30"/>
      <c r="J298" s="30"/>
      <c r="K298" s="34" t="str">
        <f aca="false">IF(AND(A298&lt;&gt;"",G298="No"),COUNTIF($G$5:G298,"No"),"")</f>
        <v/>
      </c>
    </row>
    <row r="299" customFormat="false" ht="15" hidden="false" customHeight="false" outlineLevel="0" collapsed="false">
      <c r="A299" s="29"/>
      <c r="B299" s="29"/>
      <c r="C299" s="20" t="str">
        <f aca="false">IF(A299="","",IFERROR(INDEX(Products!$B:$B,MATCH(A299,Products!$A:$A,0)),"ID not found"))</f>
        <v/>
      </c>
      <c r="D299" s="20" t="str">
        <f aca="false">IF(B299="","",IFERROR(INDEX(Dimensions!$B:$B,MATCH(B299,Dimensions!$A:$A,0)),"ID not found"))</f>
        <v/>
      </c>
      <c r="E299" s="30"/>
      <c r="F299" s="20" t="str">
        <f aca="false">IF(E299="","",IFERROR(INDEX(Tables!$B:$B,MATCH(E299,Tables!$A:$A,0)),"ID not found"))</f>
        <v/>
      </c>
      <c r="G299" s="20" t="str">
        <f aca="false">IF(OR(B299="",E299=""),"",IF(IFERROR(INDEX(Dimensions!$C:$C,MATCH(B299,Dimensions!$A:$A,0)),"")="","No agreed source",IF(INDEX(Dimensions!$C:$C,MATCH(B299,Dimensions!$A:$A,0))=E299,"Yes","No")))</f>
        <v/>
      </c>
      <c r="H299" s="30"/>
      <c r="I299" s="30"/>
      <c r="J299" s="30"/>
      <c r="K299" s="34" t="str">
        <f aca="false">IF(AND(A299&lt;&gt;"",G299="No"),COUNTIF($G$5:G299,"No"),"")</f>
        <v/>
      </c>
    </row>
    <row r="300" customFormat="false" ht="15" hidden="false" customHeight="false" outlineLevel="0" collapsed="false">
      <c r="A300" s="29"/>
      <c r="B300" s="29"/>
      <c r="C300" s="20" t="str">
        <f aca="false">IF(A300="","",IFERROR(INDEX(Products!$B:$B,MATCH(A300,Products!$A:$A,0)),"ID not found"))</f>
        <v/>
      </c>
      <c r="D300" s="20" t="str">
        <f aca="false">IF(B300="","",IFERROR(INDEX(Dimensions!$B:$B,MATCH(B300,Dimensions!$A:$A,0)),"ID not found"))</f>
        <v/>
      </c>
      <c r="E300" s="30"/>
      <c r="F300" s="20" t="str">
        <f aca="false">IF(E300="","",IFERROR(INDEX(Tables!$B:$B,MATCH(E300,Tables!$A:$A,0)),"ID not found"))</f>
        <v/>
      </c>
      <c r="G300" s="20" t="str">
        <f aca="false">IF(OR(B300="",E300=""),"",IF(IFERROR(INDEX(Dimensions!$C:$C,MATCH(B300,Dimensions!$A:$A,0)),"")="","No agreed source",IF(INDEX(Dimensions!$C:$C,MATCH(B300,Dimensions!$A:$A,0))=E300,"Yes","No")))</f>
        <v/>
      </c>
      <c r="H300" s="30"/>
      <c r="I300" s="30"/>
      <c r="J300" s="30"/>
      <c r="K300" s="34" t="str">
        <f aca="false">IF(AND(A300&lt;&gt;"",G300="No"),COUNTIF($G$5:G300,"No"),"")</f>
        <v/>
      </c>
    </row>
    <row r="301" customFormat="false" ht="15" hidden="false" customHeight="false" outlineLevel="0" collapsed="false">
      <c r="A301" s="29"/>
      <c r="B301" s="29"/>
      <c r="C301" s="20" t="str">
        <f aca="false">IF(A301="","",IFERROR(INDEX(Products!$B:$B,MATCH(A301,Products!$A:$A,0)),"ID not found"))</f>
        <v/>
      </c>
      <c r="D301" s="20" t="str">
        <f aca="false">IF(B301="","",IFERROR(INDEX(Dimensions!$B:$B,MATCH(B301,Dimensions!$A:$A,0)),"ID not found"))</f>
        <v/>
      </c>
      <c r="E301" s="30"/>
      <c r="F301" s="20" t="str">
        <f aca="false">IF(E301="","",IFERROR(INDEX(Tables!$B:$B,MATCH(E301,Tables!$A:$A,0)),"ID not found"))</f>
        <v/>
      </c>
      <c r="G301" s="20" t="str">
        <f aca="false">IF(OR(B301="",E301=""),"",IF(IFERROR(INDEX(Dimensions!$C:$C,MATCH(B301,Dimensions!$A:$A,0)),"")="","No agreed source",IF(INDEX(Dimensions!$C:$C,MATCH(B301,Dimensions!$A:$A,0))=E301,"Yes","No")))</f>
        <v/>
      </c>
      <c r="H301" s="30"/>
      <c r="I301" s="30"/>
      <c r="J301" s="30"/>
      <c r="K301" s="34" t="str">
        <f aca="false">IF(AND(A301&lt;&gt;"",G301="No"),COUNTIF($G$5:G301,"No"),"")</f>
        <v/>
      </c>
    </row>
    <row r="302" customFormat="false" ht="15" hidden="false" customHeight="false" outlineLevel="0" collapsed="false">
      <c r="A302" s="29"/>
      <c r="B302" s="29"/>
      <c r="C302" s="20" t="str">
        <f aca="false">IF(A302="","",IFERROR(INDEX(Products!$B:$B,MATCH(A302,Products!$A:$A,0)),"ID not found"))</f>
        <v/>
      </c>
      <c r="D302" s="20" t="str">
        <f aca="false">IF(B302="","",IFERROR(INDEX(Dimensions!$B:$B,MATCH(B302,Dimensions!$A:$A,0)),"ID not found"))</f>
        <v/>
      </c>
      <c r="E302" s="30"/>
      <c r="F302" s="20" t="str">
        <f aca="false">IF(E302="","",IFERROR(INDEX(Tables!$B:$B,MATCH(E302,Tables!$A:$A,0)),"ID not found"))</f>
        <v/>
      </c>
      <c r="G302" s="20" t="str">
        <f aca="false">IF(OR(B302="",E302=""),"",IF(IFERROR(INDEX(Dimensions!$C:$C,MATCH(B302,Dimensions!$A:$A,0)),"")="","No agreed source",IF(INDEX(Dimensions!$C:$C,MATCH(B302,Dimensions!$A:$A,0))=E302,"Yes","No")))</f>
        <v/>
      </c>
      <c r="H302" s="30"/>
      <c r="I302" s="30"/>
      <c r="J302" s="30"/>
      <c r="K302" s="34" t="str">
        <f aca="false">IF(AND(A302&lt;&gt;"",G302="No"),COUNTIF($G$5:G302,"No"),"")</f>
        <v/>
      </c>
    </row>
    <row r="303" customFormat="false" ht="15" hidden="false" customHeight="false" outlineLevel="0" collapsed="false">
      <c r="A303" s="29"/>
      <c r="B303" s="29"/>
      <c r="C303" s="20" t="str">
        <f aca="false">IF(A303="","",IFERROR(INDEX(Products!$B:$B,MATCH(A303,Products!$A:$A,0)),"ID not found"))</f>
        <v/>
      </c>
      <c r="D303" s="20" t="str">
        <f aca="false">IF(B303="","",IFERROR(INDEX(Dimensions!$B:$B,MATCH(B303,Dimensions!$A:$A,0)),"ID not found"))</f>
        <v/>
      </c>
      <c r="E303" s="30"/>
      <c r="F303" s="20" t="str">
        <f aca="false">IF(E303="","",IFERROR(INDEX(Tables!$B:$B,MATCH(E303,Tables!$A:$A,0)),"ID not found"))</f>
        <v/>
      </c>
      <c r="G303" s="20" t="str">
        <f aca="false">IF(OR(B303="",E303=""),"",IF(IFERROR(INDEX(Dimensions!$C:$C,MATCH(B303,Dimensions!$A:$A,0)),"")="","No agreed source",IF(INDEX(Dimensions!$C:$C,MATCH(B303,Dimensions!$A:$A,0))=E303,"Yes","No")))</f>
        <v/>
      </c>
      <c r="H303" s="30"/>
      <c r="I303" s="30"/>
      <c r="J303" s="30"/>
      <c r="K303" s="34" t="str">
        <f aca="false">IF(AND(A303&lt;&gt;"",G303="No"),COUNTIF($G$5:G303,"No"),"")</f>
        <v/>
      </c>
    </row>
    <row r="304" customFormat="false" ht="15" hidden="false" customHeight="false" outlineLevel="0" collapsed="false">
      <c r="A304" s="29"/>
      <c r="B304" s="29"/>
      <c r="C304" s="20" t="str">
        <f aca="false">IF(A304="","",IFERROR(INDEX(Products!$B:$B,MATCH(A304,Products!$A:$A,0)),"ID not found"))</f>
        <v/>
      </c>
      <c r="D304" s="20" t="str">
        <f aca="false">IF(B304="","",IFERROR(INDEX(Dimensions!$B:$B,MATCH(B304,Dimensions!$A:$A,0)),"ID not found"))</f>
        <v/>
      </c>
      <c r="E304" s="30"/>
      <c r="F304" s="20" t="str">
        <f aca="false">IF(E304="","",IFERROR(INDEX(Tables!$B:$B,MATCH(E304,Tables!$A:$A,0)),"ID not found"))</f>
        <v/>
      </c>
      <c r="G304" s="20" t="str">
        <f aca="false">IF(OR(B304="",E304=""),"",IF(IFERROR(INDEX(Dimensions!$C:$C,MATCH(B304,Dimensions!$A:$A,0)),"")="","No agreed source",IF(INDEX(Dimensions!$C:$C,MATCH(B304,Dimensions!$A:$A,0))=E304,"Yes","No")))</f>
        <v/>
      </c>
      <c r="H304" s="30"/>
      <c r="I304" s="30"/>
      <c r="J304" s="30"/>
      <c r="K304" s="34" t="str">
        <f aca="false">IF(AND(A304&lt;&gt;"",G304="No"),COUNTIF($G$5:G304,"No"),"")</f>
        <v/>
      </c>
    </row>
    <row r="305" customFormat="false" ht="15" hidden="false" customHeight="false" outlineLevel="0" collapsed="false">
      <c r="A305" s="29"/>
      <c r="B305" s="29"/>
      <c r="C305" s="20" t="str">
        <f aca="false">IF(A305="","",IFERROR(INDEX(Products!$B:$B,MATCH(A305,Products!$A:$A,0)),"ID not found"))</f>
        <v/>
      </c>
      <c r="D305" s="20" t="str">
        <f aca="false">IF(B305="","",IFERROR(INDEX(Dimensions!$B:$B,MATCH(B305,Dimensions!$A:$A,0)),"ID not found"))</f>
        <v/>
      </c>
      <c r="E305" s="30"/>
      <c r="F305" s="20" t="str">
        <f aca="false">IF(E305="","",IFERROR(INDEX(Tables!$B:$B,MATCH(E305,Tables!$A:$A,0)),"ID not found"))</f>
        <v/>
      </c>
      <c r="G305" s="20" t="str">
        <f aca="false">IF(OR(B305="",E305=""),"",IF(IFERROR(INDEX(Dimensions!$C:$C,MATCH(B305,Dimensions!$A:$A,0)),"")="","No agreed source",IF(INDEX(Dimensions!$C:$C,MATCH(B305,Dimensions!$A:$A,0))=E305,"Yes","No")))</f>
        <v/>
      </c>
      <c r="H305" s="30"/>
      <c r="I305" s="30"/>
      <c r="J305" s="30"/>
      <c r="K305" s="34" t="str">
        <f aca="false">IF(AND(A305&lt;&gt;"",G305="No"),COUNTIF($G$5:G305,"No"),"")</f>
        <v/>
      </c>
    </row>
    <row r="306" customFormat="false" ht="15" hidden="false" customHeight="false" outlineLevel="0" collapsed="false">
      <c r="A306" s="29"/>
      <c r="B306" s="29"/>
      <c r="C306" s="20" t="str">
        <f aca="false">IF(A306="","",IFERROR(INDEX(Products!$B:$B,MATCH(A306,Products!$A:$A,0)),"ID not found"))</f>
        <v/>
      </c>
      <c r="D306" s="20" t="str">
        <f aca="false">IF(B306="","",IFERROR(INDEX(Dimensions!$B:$B,MATCH(B306,Dimensions!$A:$A,0)),"ID not found"))</f>
        <v/>
      </c>
      <c r="E306" s="30"/>
      <c r="F306" s="20" t="str">
        <f aca="false">IF(E306="","",IFERROR(INDEX(Tables!$B:$B,MATCH(E306,Tables!$A:$A,0)),"ID not found"))</f>
        <v/>
      </c>
      <c r="G306" s="20" t="str">
        <f aca="false">IF(OR(B306="",E306=""),"",IF(IFERROR(INDEX(Dimensions!$C:$C,MATCH(B306,Dimensions!$A:$A,0)),"")="","No agreed source",IF(INDEX(Dimensions!$C:$C,MATCH(B306,Dimensions!$A:$A,0))=E306,"Yes","No")))</f>
        <v/>
      </c>
      <c r="H306" s="30"/>
      <c r="I306" s="30"/>
      <c r="J306" s="30"/>
      <c r="K306" s="34" t="str">
        <f aca="false">IF(AND(A306&lt;&gt;"",G306="No"),COUNTIF($G$5:G306,"No"),"")</f>
        <v/>
      </c>
    </row>
    <row r="307" customFormat="false" ht="15" hidden="false" customHeight="false" outlineLevel="0" collapsed="false">
      <c r="A307" s="29"/>
      <c r="B307" s="29"/>
      <c r="C307" s="20" t="str">
        <f aca="false">IF(A307="","",IFERROR(INDEX(Products!$B:$B,MATCH(A307,Products!$A:$A,0)),"ID not found"))</f>
        <v/>
      </c>
      <c r="D307" s="20" t="str">
        <f aca="false">IF(B307="","",IFERROR(INDEX(Dimensions!$B:$B,MATCH(B307,Dimensions!$A:$A,0)),"ID not found"))</f>
        <v/>
      </c>
      <c r="E307" s="30"/>
      <c r="F307" s="20" t="str">
        <f aca="false">IF(E307="","",IFERROR(INDEX(Tables!$B:$B,MATCH(E307,Tables!$A:$A,0)),"ID not found"))</f>
        <v/>
      </c>
      <c r="G307" s="20" t="str">
        <f aca="false">IF(OR(B307="",E307=""),"",IF(IFERROR(INDEX(Dimensions!$C:$C,MATCH(B307,Dimensions!$A:$A,0)),"")="","No agreed source",IF(INDEX(Dimensions!$C:$C,MATCH(B307,Dimensions!$A:$A,0))=E307,"Yes","No")))</f>
        <v/>
      </c>
      <c r="H307" s="30"/>
      <c r="I307" s="30"/>
      <c r="J307" s="30"/>
      <c r="K307" s="34" t="str">
        <f aca="false">IF(AND(A307&lt;&gt;"",G307="No"),COUNTIF($G$5:G307,"No"),"")</f>
        <v/>
      </c>
    </row>
    <row r="308" customFormat="false" ht="15" hidden="false" customHeight="false" outlineLevel="0" collapsed="false">
      <c r="A308" s="29"/>
      <c r="B308" s="29"/>
      <c r="C308" s="20" t="str">
        <f aca="false">IF(A308="","",IFERROR(INDEX(Products!$B:$B,MATCH(A308,Products!$A:$A,0)),"ID not found"))</f>
        <v/>
      </c>
      <c r="D308" s="20" t="str">
        <f aca="false">IF(B308="","",IFERROR(INDEX(Dimensions!$B:$B,MATCH(B308,Dimensions!$A:$A,0)),"ID not found"))</f>
        <v/>
      </c>
      <c r="E308" s="30"/>
      <c r="F308" s="20" t="str">
        <f aca="false">IF(E308="","",IFERROR(INDEX(Tables!$B:$B,MATCH(E308,Tables!$A:$A,0)),"ID not found"))</f>
        <v/>
      </c>
      <c r="G308" s="20" t="str">
        <f aca="false">IF(OR(B308="",E308=""),"",IF(IFERROR(INDEX(Dimensions!$C:$C,MATCH(B308,Dimensions!$A:$A,0)),"")="","No agreed source",IF(INDEX(Dimensions!$C:$C,MATCH(B308,Dimensions!$A:$A,0))=E308,"Yes","No")))</f>
        <v/>
      </c>
      <c r="H308" s="30"/>
      <c r="I308" s="30"/>
      <c r="J308" s="30"/>
      <c r="K308" s="34" t="str">
        <f aca="false">IF(AND(A308&lt;&gt;"",G308="No"),COUNTIF($G$5:G308,"No"),"")</f>
        <v/>
      </c>
    </row>
    <row r="309" customFormat="false" ht="15" hidden="false" customHeight="false" outlineLevel="0" collapsed="false">
      <c r="A309" s="29"/>
      <c r="B309" s="29"/>
      <c r="C309" s="20" t="str">
        <f aca="false">IF(A309="","",IFERROR(INDEX(Products!$B:$B,MATCH(A309,Products!$A:$A,0)),"ID not found"))</f>
        <v/>
      </c>
      <c r="D309" s="20" t="str">
        <f aca="false">IF(B309="","",IFERROR(INDEX(Dimensions!$B:$B,MATCH(B309,Dimensions!$A:$A,0)),"ID not found"))</f>
        <v/>
      </c>
      <c r="E309" s="30"/>
      <c r="F309" s="20" t="str">
        <f aca="false">IF(E309="","",IFERROR(INDEX(Tables!$B:$B,MATCH(E309,Tables!$A:$A,0)),"ID not found"))</f>
        <v/>
      </c>
      <c r="G309" s="20" t="str">
        <f aca="false">IF(OR(B309="",E309=""),"",IF(IFERROR(INDEX(Dimensions!$C:$C,MATCH(B309,Dimensions!$A:$A,0)),"")="","No agreed source",IF(INDEX(Dimensions!$C:$C,MATCH(B309,Dimensions!$A:$A,0))=E309,"Yes","No")))</f>
        <v/>
      </c>
      <c r="H309" s="30"/>
      <c r="I309" s="30"/>
      <c r="J309" s="30"/>
      <c r="K309" s="34" t="str">
        <f aca="false">IF(AND(A309&lt;&gt;"",G309="No"),COUNTIF($G$5:G309,"No"),"")</f>
        <v/>
      </c>
    </row>
    <row r="310" customFormat="false" ht="15" hidden="false" customHeight="false" outlineLevel="0" collapsed="false">
      <c r="A310" s="29"/>
      <c r="B310" s="29"/>
      <c r="C310" s="20" t="str">
        <f aca="false">IF(A310="","",IFERROR(INDEX(Products!$B:$B,MATCH(A310,Products!$A:$A,0)),"ID not found"))</f>
        <v/>
      </c>
      <c r="D310" s="20" t="str">
        <f aca="false">IF(B310="","",IFERROR(INDEX(Dimensions!$B:$B,MATCH(B310,Dimensions!$A:$A,0)),"ID not found"))</f>
        <v/>
      </c>
      <c r="E310" s="30"/>
      <c r="F310" s="20" t="str">
        <f aca="false">IF(E310="","",IFERROR(INDEX(Tables!$B:$B,MATCH(E310,Tables!$A:$A,0)),"ID not found"))</f>
        <v/>
      </c>
      <c r="G310" s="20" t="str">
        <f aca="false">IF(OR(B310="",E310=""),"",IF(IFERROR(INDEX(Dimensions!$C:$C,MATCH(B310,Dimensions!$A:$A,0)),"")="","No agreed source",IF(INDEX(Dimensions!$C:$C,MATCH(B310,Dimensions!$A:$A,0))=E310,"Yes","No")))</f>
        <v/>
      </c>
      <c r="H310" s="30"/>
      <c r="I310" s="30"/>
      <c r="J310" s="30"/>
      <c r="K310" s="34" t="str">
        <f aca="false">IF(AND(A310&lt;&gt;"",G310="No"),COUNTIF($G$5:G310,"No"),"")</f>
        <v/>
      </c>
    </row>
    <row r="311" customFormat="false" ht="15" hidden="false" customHeight="false" outlineLevel="0" collapsed="false">
      <c r="A311" s="29"/>
      <c r="B311" s="29"/>
      <c r="C311" s="20" t="str">
        <f aca="false">IF(A311="","",IFERROR(INDEX(Products!$B:$B,MATCH(A311,Products!$A:$A,0)),"ID not found"))</f>
        <v/>
      </c>
      <c r="D311" s="20" t="str">
        <f aca="false">IF(B311="","",IFERROR(INDEX(Dimensions!$B:$B,MATCH(B311,Dimensions!$A:$A,0)),"ID not found"))</f>
        <v/>
      </c>
      <c r="E311" s="30"/>
      <c r="F311" s="20" t="str">
        <f aca="false">IF(E311="","",IFERROR(INDEX(Tables!$B:$B,MATCH(E311,Tables!$A:$A,0)),"ID not found"))</f>
        <v/>
      </c>
      <c r="G311" s="20" t="str">
        <f aca="false">IF(OR(B311="",E311=""),"",IF(IFERROR(INDEX(Dimensions!$C:$C,MATCH(B311,Dimensions!$A:$A,0)),"")="","No agreed source",IF(INDEX(Dimensions!$C:$C,MATCH(B311,Dimensions!$A:$A,0))=E311,"Yes","No")))</f>
        <v/>
      </c>
      <c r="H311" s="30"/>
      <c r="I311" s="30"/>
      <c r="J311" s="30"/>
      <c r="K311" s="34" t="str">
        <f aca="false">IF(AND(A311&lt;&gt;"",G311="No"),COUNTIF($G$5:G311,"No"),"")</f>
        <v/>
      </c>
    </row>
    <row r="312" customFormat="false" ht="15" hidden="false" customHeight="false" outlineLevel="0" collapsed="false">
      <c r="A312" s="29"/>
      <c r="B312" s="29"/>
      <c r="C312" s="20" t="str">
        <f aca="false">IF(A312="","",IFERROR(INDEX(Products!$B:$B,MATCH(A312,Products!$A:$A,0)),"ID not found"))</f>
        <v/>
      </c>
      <c r="D312" s="20" t="str">
        <f aca="false">IF(B312="","",IFERROR(INDEX(Dimensions!$B:$B,MATCH(B312,Dimensions!$A:$A,0)),"ID not found"))</f>
        <v/>
      </c>
      <c r="E312" s="30"/>
      <c r="F312" s="20" t="str">
        <f aca="false">IF(E312="","",IFERROR(INDEX(Tables!$B:$B,MATCH(E312,Tables!$A:$A,0)),"ID not found"))</f>
        <v/>
      </c>
      <c r="G312" s="20" t="str">
        <f aca="false">IF(OR(B312="",E312=""),"",IF(IFERROR(INDEX(Dimensions!$C:$C,MATCH(B312,Dimensions!$A:$A,0)),"")="","No agreed source",IF(INDEX(Dimensions!$C:$C,MATCH(B312,Dimensions!$A:$A,0))=E312,"Yes","No")))</f>
        <v/>
      </c>
      <c r="H312" s="30"/>
      <c r="I312" s="30"/>
      <c r="J312" s="30"/>
      <c r="K312" s="34" t="str">
        <f aca="false">IF(AND(A312&lt;&gt;"",G312="No"),COUNTIF($G$5:G312,"No"),"")</f>
        <v/>
      </c>
    </row>
    <row r="313" customFormat="false" ht="15" hidden="false" customHeight="false" outlineLevel="0" collapsed="false">
      <c r="A313" s="29"/>
      <c r="B313" s="29"/>
      <c r="C313" s="20" t="str">
        <f aca="false">IF(A313="","",IFERROR(INDEX(Products!$B:$B,MATCH(A313,Products!$A:$A,0)),"ID not found"))</f>
        <v/>
      </c>
      <c r="D313" s="20" t="str">
        <f aca="false">IF(B313="","",IFERROR(INDEX(Dimensions!$B:$B,MATCH(B313,Dimensions!$A:$A,0)),"ID not found"))</f>
        <v/>
      </c>
      <c r="E313" s="30"/>
      <c r="F313" s="20" t="str">
        <f aca="false">IF(E313="","",IFERROR(INDEX(Tables!$B:$B,MATCH(E313,Tables!$A:$A,0)),"ID not found"))</f>
        <v/>
      </c>
      <c r="G313" s="20" t="str">
        <f aca="false">IF(OR(B313="",E313=""),"",IF(IFERROR(INDEX(Dimensions!$C:$C,MATCH(B313,Dimensions!$A:$A,0)),"")="","No agreed source",IF(INDEX(Dimensions!$C:$C,MATCH(B313,Dimensions!$A:$A,0))=E313,"Yes","No")))</f>
        <v/>
      </c>
      <c r="H313" s="30"/>
      <c r="I313" s="30"/>
      <c r="J313" s="30"/>
      <c r="K313" s="34" t="str">
        <f aca="false">IF(AND(A313&lt;&gt;"",G313="No"),COUNTIF($G$5:G313,"No"),"")</f>
        <v/>
      </c>
    </row>
    <row r="314" customFormat="false" ht="15" hidden="false" customHeight="false" outlineLevel="0" collapsed="false">
      <c r="A314" s="29"/>
      <c r="B314" s="29"/>
      <c r="C314" s="20" t="str">
        <f aca="false">IF(A314="","",IFERROR(INDEX(Products!$B:$B,MATCH(A314,Products!$A:$A,0)),"ID not found"))</f>
        <v/>
      </c>
      <c r="D314" s="20" t="str">
        <f aca="false">IF(B314="","",IFERROR(INDEX(Dimensions!$B:$B,MATCH(B314,Dimensions!$A:$A,0)),"ID not found"))</f>
        <v/>
      </c>
      <c r="E314" s="30"/>
      <c r="F314" s="20" t="str">
        <f aca="false">IF(E314="","",IFERROR(INDEX(Tables!$B:$B,MATCH(E314,Tables!$A:$A,0)),"ID not found"))</f>
        <v/>
      </c>
      <c r="G314" s="20" t="str">
        <f aca="false">IF(OR(B314="",E314=""),"",IF(IFERROR(INDEX(Dimensions!$C:$C,MATCH(B314,Dimensions!$A:$A,0)),"")="","No agreed source",IF(INDEX(Dimensions!$C:$C,MATCH(B314,Dimensions!$A:$A,0))=E314,"Yes","No")))</f>
        <v/>
      </c>
      <c r="H314" s="30"/>
      <c r="I314" s="30"/>
      <c r="J314" s="30"/>
      <c r="K314" s="34" t="str">
        <f aca="false">IF(AND(A314&lt;&gt;"",G314="No"),COUNTIF($G$5:G314,"No"),"")</f>
        <v/>
      </c>
    </row>
    <row r="315" customFormat="false" ht="15" hidden="false" customHeight="false" outlineLevel="0" collapsed="false">
      <c r="A315" s="29"/>
      <c r="B315" s="29"/>
      <c r="C315" s="20" t="str">
        <f aca="false">IF(A315="","",IFERROR(INDEX(Products!$B:$B,MATCH(A315,Products!$A:$A,0)),"ID not found"))</f>
        <v/>
      </c>
      <c r="D315" s="20" t="str">
        <f aca="false">IF(B315="","",IFERROR(INDEX(Dimensions!$B:$B,MATCH(B315,Dimensions!$A:$A,0)),"ID not found"))</f>
        <v/>
      </c>
      <c r="E315" s="30"/>
      <c r="F315" s="20" t="str">
        <f aca="false">IF(E315="","",IFERROR(INDEX(Tables!$B:$B,MATCH(E315,Tables!$A:$A,0)),"ID not found"))</f>
        <v/>
      </c>
      <c r="G315" s="20" t="str">
        <f aca="false">IF(OR(B315="",E315=""),"",IF(IFERROR(INDEX(Dimensions!$C:$C,MATCH(B315,Dimensions!$A:$A,0)),"")="","No agreed source",IF(INDEX(Dimensions!$C:$C,MATCH(B315,Dimensions!$A:$A,0))=E315,"Yes","No")))</f>
        <v/>
      </c>
      <c r="H315" s="30"/>
      <c r="I315" s="30"/>
      <c r="J315" s="30"/>
      <c r="K315" s="34" t="str">
        <f aca="false">IF(AND(A315&lt;&gt;"",G315="No"),COUNTIF($G$5:G315,"No"),"")</f>
        <v/>
      </c>
    </row>
    <row r="316" customFormat="false" ht="15" hidden="false" customHeight="false" outlineLevel="0" collapsed="false">
      <c r="A316" s="29"/>
      <c r="B316" s="29"/>
      <c r="C316" s="20" t="str">
        <f aca="false">IF(A316="","",IFERROR(INDEX(Products!$B:$B,MATCH(A316,Products!$A:$A,0)),"ID not found"))</f>
        <v/>
      </c>
      <c r="D316" s="20" t="str">
        <f aca="false">IF(B316="","",IFERROR(INDEX(Dimensions!$B:$B,MATCH(B316,Dimensions!$A:$A,0)),"ID not found"))</f>
        <v/>
      </c>
      <c r="E316" s="30"/>
      <c r="F316" s="20" t="str">
        <f aca="false">IF(E316="","",IFERROR(INDEX(Tables!$B:$B,MATCH(E316,Tables!$A:$A,0)),"ID not found"))</f>
        <v/>
      </c>
      <c r="G316" s="20" t="str">
        <f aca="false">IF(OR(B316="",E316=""),"",IF(IFERROR(INDEX(Dimensions!$C:$C,MATCH(B316,Dimensions!$A:$A,0)),"")="","No agreed source",IF(INDEX(Dimensions!$C:$C,MATCH(B316,Dimensions!$A:$A,0))=E316,"Yes","No")))</f>
        <v/>
      </c>
      <c r="H316" s="30"/>
      <c r="I316" s="30"/>
      <c r="J316" s="30"/>
      <c r="K316" s="34" t="str">
        <f aca="false">IF(AND(A316&lt;&gt;"",G316="No"),COUNTIF($G$5:G316,"No"),"")</f>
        <v/>
      </c>
    </row>
    <row r="317" customFormat="false" ht="15" hidden="false" customHeight="false" outlineLevel="0" collapsed="false">
      <c r="A317" s="29"/>
      <c r="B317" s="29"/>
      <c r="C317" s="20" t="str">
        <f aca="false">IF(A317="","",IFERROR(INDEX(Products!$B:$B,MATCH(A317,Products!$A:$A,0)),"ID not found"))</f>
        <v/>
      </c>
      <c r="D317" s="20" t="str">
        <f aca="false">IF(B317="","",IFERROR(INDEX(Dimensions!$B:$B,MATCH(B317,Dimensions!$A:$A,0)),"ID not found"))</f>
        <v/>
      </c>
      <c r="E317" s="30"/>
      <c r="F317" s="20" t="str">
        <f aca="false">IF(E317="","",IFERROR(INDEX(Tables!$B:$B,MATCH(E317,Tables!$A:$A,0)),"ID not found"))</f>
        <v/>
      </c>
      <c r="G317" s="20" t="str">
        <f aca="false">IF(OR(B317="",E317=""),"",IF(IFERROR(INDEX(Dimensions!$C:$C,MATCH(B317,Dimensions!$A:$A,0)),"")="","No agreed source",IF(INDEX(Dimensions!$C:$C,MATCH(B317,Dimensions!$A:$A,0))=E317,"Yes","No")))</f>
        <v/>
      </c>
      <c r="H317" s="30"/>
      <c r="I317" s="30"/>
      <c r="J317" s="30"/>
      <c r="K317" s="34" t="str">
        <f aca="false">IF(AND(A317&lt;&gt;"",G317="No"),COUNTIF($G$5:G317,"No"),"")</f>
        <v/>
      </c>
    </row>
    <row r="318" customFormat="false" ht="15" hidden="false" customHeight="false" outlineLevel="0" collapsed="false">
      <c r="A318" s="29"/>
      <c r="B318" s="29"/>
      <c r="C318" s="20" t="str">
        <f aca="false">IF(A318="","",IFERROR(INDEX(Products!$B:$B,MATCH(A318,Products!$A:$A,0)),"ID not found"))</f>
        <v/>
      </c>
      <c r="D318" s="20" t="str">
        <f aca="false">IF(B318="","",IFERROR(INDEX(Dimensions!$B:$B,MATCH(B318,Dimensions!$A:$A,0)),"ID not found"))</f>
        <v/>
      </c>
      <c r="E318" s="30"/>
      <c r="F318" s="20" t="str">
        <f aca="false">IF(E318="","",IFERROR(INDEX(Tables!$B:$B,MATCH(E318,Tables!$A:$A,0)),"ID not found"))</f>
        <v/>
      </c>
      <c r="G318" s="20" t="str">
        <f aca="false">IF(OR(B318="",E318=""),"",IF(IFERROR(INDEX(Dimensions!$C:$C,MATCH(B318,Dimensions!$A:$A,0)),"")="","No agreed source",IF(INDEX(Dimensions!$C:$C,MATCH(B318,Dimensions!$A:$A,0))=E318,"Yes","No")))</f>
        <v/>
      </c>
      <c r="H318" s="30"/>
      <c r="I318" s="30"/>
      <c r="J318" s="30"/>
      <c r="K318" s="34" t="str">
        <f aca="false">IF(AND(A318&lt;&gt;"",G318="No"),COUNTIF($G$5:G318,"No"),"")</f>
        <v/>
      </c>
    </row>
    <row r="319" customFormat="false" ht="15" hidden="false" customHeight="false" outlineLevel="0" collapsed="false">
      <c r="A319" s="29"/>
      <c r="B319" s="29"/>
      <c r="C319" s="20" t="str">
        <f aca="false">IF(A319="","",IFERROR(INDEX(Products!$B:$B,MATCH(A319,Products!$A:$A,0)),"ID not found"))</f>
        <v/>
      </c>
      <c r="D319" s="20" t="str">
        <f aca="false">IF(B319="","",IFERROR(INDEX(Dimensions!$B:$B,MATCH(B319,Dimensions!$A:$A,0)),"ID not found"))</f>
        <v/>
      </c>
      <c r="E319" s="30"/>
      <c r="F319" s="20" t="str">
        <f aca="false">IF(E319="","",IFERROR(INDEX(Tables!$B:$B,MATCH(E319,Tables!$A:$A,0)),"ID not found"))</f>
        <v/>
      </c>
      <c r="G319" s="20" t="str">
        <f aca="false">IF(OR(B319="",E319=""),"",IF(IFERROR(INDEX(Dimensions!$C:$C,MATCH(B319,Dimensions!$A:$A,0)),"")="","No agreed source",IF(INDEX(Dimensions!$C:$C,MATCH(B319,Dimensions!$A:$A,0))=E319,"Yes","No")))</f>
        <v/>
      </c>
      <c r="H319" s="30"/>
      <c r="I319" s="30"/>
      <c r="J319" s="30"/>
      <c r="K319" s="34" t="str">
        <f aca="false">IF(AND(A319&lt;&gt;"",G319="No"),COUNTIF($G$5:G319,"No"),"")</f>
        <v/>
      </c>
    </row>
    <row r="320" customFormat="false" ht="15" hidden="false" customHeight="false" outlineLevel="0" collapsed="false">
      <c r="A320" s="29"/>
      <c r="B320" s="29"/>
      <c r="C320" s="20" t="str">
        <f aca="false">IF(A320="","",IFERROR(INDEX(Products!$B:$B,MATCH(A320,Products!$A:$A,0)),"ID not found"))</f>
        <v/>
      </c>
      <c r="D320" s="20" t="str">
        <f aca="false">IF(B320="","",IFERROR(INDEX(Dimensions!$B:$B,MATCH(B320,Dimensions!$A:$A,0)),"ID not found"))</f>
        <v/>
      </c>
      <c r="E320" s="30"/>
      <c r="F320" s="20" t="str">
        <f aca="false">IF(E320="","",IFERROR(INDEX(Tables!$B:$B,MATCH(E320,Tables!$A:$A,0)),"ID not found"))</f>
        <v/>
      </c>
      <c r="G320" s="20" t="str">
        <f aca="false">IF(OR(B320="",E320=""),"",IF(IFERROR(INDEX(Dimensions!$C:$C,MATCH(B320,Dimensions!$A:$A,0)),"")="","No agreed source",IF(INDEX(Dimensions!$C:$C,MATCH(B320,Dimensions!$A:$A,0))=E320,"Yes","No")))</f>
        <v/>
      </c>
      <c r="H320" s="30"/>
      <c r="I320" s="30"/>
      <c r="J320" s="30"/>
      <c r="K320" s="34" t="str">
        <f aca="false">IF(AND(A320&lt;&gt;"",G320="No"),COUNTIF($G$5:G320,"No"),"")</f>
        <v/>
      </c>
    </row>
    <row r="321" customFormat="false" ht="15" hidden="false" customHeight="false" outlineLevel="0" collapsed="false">
      <c r="A321" s="29"/>
      <c r="B321" s="29"/>
      <c r="C321" s="20" t="str">
        <f aca="false">IF(A321="","",IFERROR(INDEX(Products!$B:$B,MATCH(A321,Products!$A:$A,0)),"ID not found"))</f>
        <v/>
      </c>
      <c r="D321" s="20" t="str">
        <f aca="false">IF(B321="","",IFERROR(INDEX(Dimensions!$B:$B,MATCH(B321,Dimensions!$A:$A,0)),"ID not found"))</f>
        <v/>
      </c>
      <c r="E321" s="30"/>
      <c r="F321" s="20" t="str">
        <f aca="false">IF(E321="","",IFERROR(INDEX(Tables!$B:$B,MATCH(E321,Tables!$A:$A,0)),"ID not found"))</f>
        <v/>
      </c>
      <c r="G321" s="20" t="str">
        <f aca="false">IF(OR(B321="",E321=""),"",IF(IFERROR(INDEX(Dimensions!$C:$C,MATCH(B321,Dimensions!$A:$A,0)),"")="","No agreed source",IF(INDEX(Dimensions!$C:$C,MATCH(B321,Dimensions!$A:$A,0))=E321,"Yes","No")))</f>
        <v/>
      </c>
      <c r="H321" s="30"/>
      <c r="I321" s="30"/>
      <c r="J321" s="30"/>
      <c r="K321" s="34" t="str">
        <f aca="false">IF(AND(A321&lt;&gt;"",G321="No"),COUNTIF($G$5:G321,"No"),"")</f>
        <v/>
      </c>
    </row>
    <row r="322" customFormat="false" ht="15" hidden="false" customHeight="false" outlineLevel="0" collapsed="false">
      <c r="A322" s="29"/>
      <c r="B322" s="29"/>
      <c r="C322" s="20" t="str">
        <f aca="false">IF(A322="","",IFERROR(INDEX(Products!$B:$B,MATCH(A322,Products!$A:$A,0)),"ID not found"))</f>
        <v/>
      </c>
      <c r="D322" s="20" t="str">
        <f aca="false">IF(B322="","",IFERROR(INDEX(Dimensions!$B:$B,MATCH(B322,Dimensions!$A:$A,0)),"ID not found"))</f>
        <v/>
      </c>
      <c r="E322" s="30"/>
      <c r="F322" s="20" t="str">
        <f aca="false">IF(E322="","",IFERROR(INDEX(Tables!$B:$B,MATCH(E322,Tables!$A:$A,0)),"ID not found"))</f>
        <v/>
      </c>
      <c r="G322" s="20" t="str">
        <f aca="false">IF(OR(B322="",E322=""),"",IF(IFERROR(INDEX(Dimensions!$C:$C,MATCH(B322,Dimensions!$A:$A,0)),"")="","No agreed source",IF(INDEX(Dimensions!$C:$C,MATCH(B322,Dimensions!$A:$A,0))=E322,"Yes","No")))</f>
        <v/>
      </c>
      <c r="H322" s="30"/>
      <c r="I322" s="30"/>
      <c r="J322" s="30"/>
      <c r="K322" s="34" t="str">
        <f aca="false">IF(AND(A322&lt;&gt;"",G322="No"),COUNTIF($G$5:G322,"No"),"")</f>
        <v/>
      </c>
    </row>
    <row r="323" customFormat="false" ht="15" hidden="false" customHeight="false" outlineLevel="0" collapsed="false">
      <c r="A323" s="29"/>
      <c r="B323" s="29"/>
      <c r="C323" s="20" t="str">
        <f aca="false">IF(A323="","",IFERROR(INDEX(Products!$B:$B,MATCH(A323,Products!$A:$A,0)),"ID not found"))</f>
        <v/>
      </c>
      <c r="D323" s="20" t="str">
        <f aca="false">IF(B323="","",IFERROR(INDEX(Dimensions!$B:$B,MATCH(B323,Dimensions!$A:$A,0)),"ID not found"))</f>
        <v/>
      </c>
      <c r="E323" s="30"/>
      <c r="F323" s="20" t="str">
        <f aca="false">IF(E323="","",IFERROR(INDEX(Tables!$B:$B,MATCH(E323,Tables!$A:$A,0)),"ID not found"))</f>
        <v/>
      </c>
      <c r="G323" s="20" t="str">
        <f aca="false">IF(OR(B323="",E323=""),"",IF(IFERROR(INDEX(Dimensions!$C:$C,MATCH(B323,Dimensions!$A:$A,0)),"")="","No agreed source",IF(INDEX(Dimensions!$C:$C,MATCH(B323,Dimensions!$A:$A,0))=E323,"Yes","No")))</f>
        <v/>
      </c>
      <c r="H323" s="30"/>
      <c r="I323" s="30"/>
      <c r="J323" s="30"/>
      <c r="K323" s="34" t="str">
        <f aca="false">IF(AND(A323&lt;&gt;"",G323="No"),COUNTIF($G$5:G323,"No"),"")</f>
        <v/>
      </c>
    </row>
    <row r="324" customFormat="false" ht="15" hidden="false" customHeight="false" outlineLevel="0" collapsed="false">
      <c r="A324" s="29"/>
      <c r="B324" s="29"/>
      <c r="C324" s="20" t="str">
        <f aca="false">IF(A324="","",IFERROR(INDEX(Products!$B:$B,MATCH(A324,Products!$A:$A,0)),"ID not found"))</f>
        <v/>
      </c>
      <c r="D324" s="20" t="str">
        <f aca="false">IF(B324="","",IFERROR(INDEX(Dimensions!$B:$B,MATCH(B324,Dimensions!$A:$A,0)),"ID not found"))</f>
        <v/>
      </c>
      <c r="E324" s="30"/>
      <c r="F324" s="20" t="str">
        <f aca="false">IF(E324="","",IFERROR(INDEX(Tables!$B:$B,MATCH(E324,Tables!$A:$A,0)),"ID not found"))</f>
        <v/>
      </c>
      <c r="G324" s="20" t="str">
        <f aca="false">IF(OR(B324="",E324=""),"",IF(IFERROR(INDEX(Dimensions!$C:$C,MATCH(B324,Dimensions!$A:$A,0)),"")="","No agreed source",IF(INDEX(Dimensions!$C:$C,MATCH(B324,Dimensions!$A:$A,0))=E324,"Yes","No")))</f>
        <v/>
      </c>
      <c r="H324" s="30"/>
      <c r="I324" s="30"/>
      <c r="J324" s="30"/>
      <c r="K324" s="34" t="str">
        <f aca="false">IF(AND(A324&lt;&gt;"",G324="No"),COUNTIF($G$5:G324,"No"),"")</f>
        <v/>
      </c>
    </row>
    <row r="325" customFormat="false" ht="15" hidden="false" customHeight="false" outlineLevel="0" collapsed="false">
      <c r="A325" s="29"/>
      <c r="B325" s="29"/>
      <c r="C325" s="20" t="str">
        <f aca="false">IF(A325="","",IFERROR(INDEX(Products!$B:$B,MATCH(A325,Products!$A:$A,0)),"ID not found"))</f>
        <v/>
      </c>
      <c r="D325" s="20" t="str">
        <f aca="false">IF(B325="","",IFERROR(INDEX(Dimensions!$B:$B,MATCH(B325,Dimensions!$A:$A,0)),"ID not found"))</f>
        <v/>
      </c>
      <c r="E325" s="30"/>
      <c r="F325" s="20" t="str">
        <f aca="false">IF(E325="","",IFERROR(INDEX(Tables!$B:$B,MATCH(E325,Tables!$A:$A,0)),"ID not found"))</f>
        <v/>
      </c>
      <c r="G325" s="20" t="str">
        <f aca="false">IF(OR(B325="",E325=""),"",IF(IFERROR(INDEX(Dimensions!$C:$C,MATCH(B325,Dimensions!$A:$A,0)),"")="","No agreed source",IF(INDEX(Dimensions!$C:$C,MATCH(B325,Dimensions!$A:$A,0))=E325,"Yes","No")))</f>
        <v/>
      </c>
      <c r="H325" s="30"/>
      <c r="I325" s="30"/>
      <c r="J325" s="30"/>
      <c r="K325" s="34" t="str">
        <f aca="false">IF(AND(A325&lt;&gt;"",G325="No"),COUNTIF($G$5:G325,"No"),"")</f>
        <v/>
      </c>
    </row>
    <row r="326" customFormat="false" ht="15" hidden="false" customHeight="false" outlineLevel="0" collapsed="false">
      <c r="A326" s="29"/>
      <c r="B326" s="29"/>
      <c r="C326" s="20" t="str">
        <f aca="false">IF(A326="","",IFERROR(INDEX(Products!$B:$B,MATCH(A326,Products!$A:$A,0)),"ID not found"))</f>
        <v/>
      </c>
      <c r="D326" s="20" t="str">
        <f aca="false">IF(B326="","",IFERROR(INDEX(Dimensions!$B:$B,MATCH(B326,Dimensions!$A:$A,0)),"ID not found"))</f>
        <v/>
      </c>
      <c r="E326" s="30"/>
      <c r="F326" s="20" t="str">
        <f aca="false">IF(E326="","",IFERROR(INDEX(Tables!$B:$B,MATCH(E326,Tables!$A:$A,0)),"ID not found"))</f>
        <v/>
      </c>
      <c r="G326" s="20" t="str">
        <f aca="false">IF(OR(B326="",E326=""),"",IF(IFERROR(INDEX(Dimensions!$C:$C,MATCH(B326,Dimensions!$A:$A,0)),"")="","No agreed source",IF(INDEX(Dimensions!$C:$C,MATCH(B326,Dimensions!$A:$A,0))=E326,"Yes","No")))</f>
        <v/>
      </c>
      <c r="H326" s="30"/>
      <c r="I326" s="30"/>
      <c r="J326" s="30"/>
      <c r="K326" s="34" t="str">
        <f aca="false">IF(AND(A326&lt;&gt;"",G326="No"),COUNTIF($G$5:G326,"No"),"")</f>
        <v/>
      </c>
    </row>
    <row r="327" customFormat="false" ht="15" hidden="false" customHeight="false" outlineLevel="0" collapsed="false">
      <c r="A327" s="29"/>
      <c r="B327" s="29"/>
      <c r="C327" s="20" t="str">
        <f aca="false">IF(A327="","",IFERROR(INDEX(Products!$B:$B,MATCH(A327,Products!$A:$A,0)),"ID not found"))</f>
        <v/>
      </c>
      <c r="D327" s="20" t="str">
        <f aca="false">IF(B327="","",IFERROR(INDEX(Dimensions!$B:$B,MATCH(B327,Dimensions!$A:$A,0)),"ID not found"))</f>
        <v/>
      </c>
      <c r="E327" s="30"/>
      <c r="F327" s="20" t="str">
        <f aca="false">IF(E327="","",IFERROR(INDEX(Tables!$B:$B,MATCH(E327,Tables!$A:$A,0)),"ID not found"))</f>
        <v/>
      </c>
      <c r="G327" s="20" t="str">
        <f aca="false">IF(OR(B327="",E327=""),"",IF(IFERROR(INDEX(Dimensions!$C:$C,MATCH(B327,Dimensions!$A:$A,0)),"")="","No agreed source",IF(INDEX(Dimensions!$C:$C,MATCH(B327,Dimensions!$A:$A,0))=E327,"Yes","No")))</f>
        <v/>
      </c>
      <c r="H327" s="30"/>
      <c r="I327" s="30"/>
      <c r="J327" s="30"/>
      <c r="K327" s="34" t="str">
        <f aca="false">IF(AND(A327&lt;&gt;"",G327="No"),COUNTIF($G$5:G327,"No"),"")</f>
        <v/>
      </c>
    </row>
    <row r="328" customFormat="false" ht="15" hidden="false" customHeight="false" outlineLevel="0" collapsed="false">
      <c r="A328" s="29"/>
      <c r="B328" s="29"/>
      <c r="C328" s="20" t="str">
        <f aca="false">IF(A328="","",IFERROR(INDEX(Products!$B:$B,MATCH(A328,Products!$A:$A,0)),"ID not found"))</f>
        <v/>
      </c>
      <c r="D328" s="20" t="str">
        <f aca="false">IF(B328="","",IFERROR(INDEX(Dimensions!$B:$B,MATCH(B328,Dimensions!$A:$A,0)),"ID not found"))</f>
        <v/>
      </c>
      <c r="E328" s="30"/>
      <c r="F328" s="20" t="str">
        <f aca="false">IF(E328="","",IFERROR(INDEX(Tables!$B:$B,MATCH(E328,Tables!$A:$A,0)),"ID not found"))</f>
        <v/>
      </c>
      <c r="G328" s="20" t="str">
        <f aca="false">IF(OR(B328="",E328=""),"",IF(IFERROR(INDEX(Dimensions!$C:$C,MATCH(B328,Dimensions!$A:$A,0)),"")="","No agreed source",IF(INDEX(Dimensions!$C:$C,MATCH(B328,Dimensions!$A:$A,0))=E328,"Yes","No")))</f>
        <v/>
      </c>
      <c r="H328" s="30"/>
      <c r="I328" s="30"/>
      <c r="J328" s="30"/>
      <c r="K328" s="34" t="str">
        <f aca="false">IF(AND(A328&lt;&gt;"",G328="No"),COUNTIF($G$5:G328,"No"),"")</f>
        <v/>
      </c>
    </row>
    <row r="329" customFormat="false" ht="15" hidden="false" customHeight="false" outlineLevel="0" collapsed="false">
      <c r="A329" s="29"/>
      <c r="B329" s="29"/>
      <c r="C329" s="20" t="str">
        <f aca="false">IF(A329="","",IFERROR(INDEX(Products!$B:$B,MATCH(A329,Products!$A:$A,0)),"ID not found"))</f>
        <v/>
      </c>
      <c r="D329" s="20" t="str">
        <f aca="false">IF(B329="","",IFERROR(INDEX(Dimensions!$B:$B,MATCH(B329,Dimensions!$A:$A,0)),"ID not found"))</f>
        <v/>
      </c>
      <c r="E329" s="30"/>
      <c r="F329" s="20" t="str">
        <f aca="false">IF(E329="","",IFERROR(INDEX(Tables!$B:$B,MATCH(E329,Tables!$A:$A,0)),"ID not found"))</f>
        <v/>
      </c>
      <c r="G329" s="20" t="str">
        <f aca="false">IF(OR(B329="",E329=""),"",IF(IFERROR(INDEX(Dimensions!$C:$C,MATCH(B329,Dimensions!$A:$A,0)),"")="","No agreed source",IF(INDEX(Dimensions!$C:$C,MATCH(B329,Dimensions!$A:$A,0))=E329,"Yes","No")))</f>
        <v/>
      </c>
      <c r="H329" s="30"/>
      <c r="I329" s="30"/>
      <c r="J329" s="30"/>
      <c r="K329" s="34" t="str">
        <f aca="false">IF(AND(A329&lt;&gt;"",G329="No"),COUNTIF($G$5:G329,"No"),"")</f>
        <v/>
      </c>
    </row>
    <row r="330" customFormat="false" ht="15" hidden="false" customHeight="false" outlineLevel="0" collapsed="false">
      <c r="A330" s="29"/>
      <c r="B330" s="29"/>
      <c r="C330" s="20" t="str">
        <f aca="false">IF(A330="","",IFERROR(INDEX(Products!$B:$B,MATCH(A330,Products!$A:$A,0)),"ID not found"))</f>
        <v/>
      </c>
      <c r="D330" s="20" t="str">
        <f aca="false">IF(B330="","",IFERROR(INDEX(Dimensions!$B:$B,MATCH(B330,Dimensions!$A:$A,0)),"ID not found"))</f>
        <v/>
      </c>
      <c r="E330" s="30"/>
      <c r="F330" s="20" t="str">
        <f aca="false">IF(E330="","",IFERROR(INDEX(Tables!$B:$B,MATCH(E330,Tables!$A:$A,0)),"ID not found"))</f>
        <v/>
      </c>
      <c r="G330" s="20" t="str">
        <f aca="false">IF(OR(B330="",E330=""),"",IF(IFERROR(INDEX(Dimensions!$C:$C,MATCH(B330,Dimensions!$A:$A,0)),"")="","No agreed source",IF(INDEX(Dimensions!$C:$C,MATCH(B330,Dimensions!$A:$A,0))=E330,"Yes","No")))</f>
        <v/>
      </c>
      <c r="H330" s="30"/>
      <c r="I330" s="30"/>
      <c r="J330" s="30"/>
      <c r="K330" s="34" t="str">
        <f aca="false">IF(AND(A330&lt;&gt;"",G330="No"),COUNTIF($G$5:G330,"No"),"")</f>
        <v/>
      </c>
    </row>
    <row r="331" customFormat="false" ht="15" hidden="false" customHeight="false" outlineLevel="0" collapsed="false">
      <c r="A331" s="29"/>
      <c r="B331" s="29"/>
      <c r="C331" s="20" t="str">
        <f aca="false">IF(A331="","",IFERROR(INDEX(Products!$B:$B,MATCH(A331,Products!$A:$A,0)),"ID not found"))</f>
        <v/>
      </c>
      <c r="D331" s="20" t="str">
        <f aca="false">IF(B331="","",IFERROR(INDEX(Dimensions!$B:$B,MATCH(B331,Dimensions!$A:$A,0)),"ID not found"))</f>
        <v/>
      </c>
      <c r="E331" s="30"/>
      <c r="F331" s="20" t="str">
        <f aca="false">IF(E331="","",IFERROR(INDEX(Tables!$B:$B,MATCH(E331,Tables!$A:$A,0)),"ID not found"))</f>
        <v/>
      </c>
      <c r="G331" s="20" t="str">
        <f aca="false">IF(OR(B331="",E331=""),"",IF(IFERROR(INDEX(Dimensions!$C:$C,MATCH(B331,Dimensions!$A:$A,0)),"")="","No agreed source",IF(INDEX(Dimensions!$C:$C,MATCH(B331,Dimensions!$A:$A,0))=E331,"Yes","No")))</f>
        <v/>
      </c>
      <c r="H331" s="30"/>
      <c r="I331" s="30"/>
      <c r="J331" s="30"/>
      <c r="K331" s="34" t="str">
        <f aca="false">IF(AND(A331&lt;&gt;"",G331="No"),COUNTIF($G$5:G331,"No"),"")</f>
        <v/>
      </c>
    </row>
    <row r="332" customFormat="false" ht="15" hidden="false" customHeight="false" outlineLevel="0" collapsed="false">
      <c r="A332" s="29"/>
      <c r="B332" s="29"/>
      <c r="C332" s="20" t="str">
        <f aca="false">IF(A332="","",IFERROR(INDEX(Products!$B:$B,MATCH(A332,Products!$A:$A,0)),"ID not found"))</f>
        <v/>
      </c>
      <c r="D332" s="20" t="str">
        <f aca="false">IF(B332="","",IFERROR(INDEX(Dimensions!$B:$B,MATCH(B332,Dimensions!$A:$A,0)),"ID not found"))</f>
        <v/>
      </c>
      <c r="E332" s="30"/>
      <c r="F332" s="20" t="str">
        <f aca="false">IF(E332="","",IFERROR(INDEX(Tables!$B:$B,MATCH(E332,Tables!$A:$A,0)),"ID not found"))</f>
        <v/>
      </c>
      <c r="G332" s="20" t="str">
        <f aca="false">IF(OR(B332="",E332=""),"",IF(IFERROR(INDEX(Dimensions!$C:$C,MATCH(B332,Dimensions!$A:$A,0)),"")="","No agreed source",IF(INDEX(Dimensions!$C:$C,MATCH(B332,Dimensions!$A:$A,0))=E332,"Yes","No")))</f>
        <v/>
      </c>
      <c r="H332" s="30"/>
      <c r="I332" s="30"/>
      <c r="J332" s="30"/>
      <c r="K332" s="34" t="str">
        <f aca="false">IF(AND(A332&lt;&gt;"",G332="No"),COUNTIF($G$5:G332,"No"),"")</f>
        <v/>
      </c>
    </row>
    <row r="333" customFormat="false" ht="15" hidden="false" customHeight="false" outlineLevel="0" collapsed="false">
      <c r="A333" s="29"/>
      <c r="B333" s="29"/>
      <c r="C333" s="20" t="str">
        <f aca="false">IF(A333="","",IFERROR(INDEX(Products!$B:$B,MATCH(A333,Products!$A:$A,0)),"ID not found"))</f>
        <v/>
      </c>
      <c r="D333" s="20" t="str">
        <f aca="false">IF(B333="","",IFERROR(INDEX(Dimensions!$B:$B,MATCH(B333,Dimensions!$A:$A,0)),"ID not found"))</f>
        <v/>
      </c>
      <c r="E333" s="30"/>
      <c r="F333" s="20" t="str">
        <f aca="false">IF(E333="","",IFERROR(INDEX(Tables!$B:$B,MATCH(E333,Tables!$A:$A,0)),"ID not found"))</f>
        <v/>
      </c>
      <c r="G333" s="20" t="str">
        <f aca="false">IF(OR(B333="",E333=""),"",IF(IFERROR(INDEX(Dimensions!$C:$C,MATCH(B333,Dimensions!$A:$A,0)),"")="","No agreed source",IF(INDEX(Dimensions!$C:$C,MATCH(B333,Dimensions!$A:$A,0))=E333,"Yes","No")))</f>
        <v/>
      </c>
      <c r="H333" s="30"/>
      <c r="I333" s="30"/>
      <c r="J333" s="30"/>
      <c r="K333" s="34" t="str">
        <f aca="false">IF(AND(A333&lt;&gt;"",G333="No"),COUNTIF($G$5:G333,"No"),"")</f>
        <v/>
      </c>
    </row>
    <row r="334" customFormat="false" ht="15" hidden="false" customHeight="false" outlineLevel="0" collapsed="false">
      <c r="A334" s="29"/>
      <c r="B334" s="29"/>
      <c r="C334" s="20" t="str">
        <f aca="false">IF(A334="","",IFERROR(INDEX(Products!$B:$B,MATCH(A334,Products!$A:$A,0)),"ID not found"))</f>
        <v/>
      </c>
      <c r="D334" s="20" t="str">
        <f aca="false">IF(B334="","",IFERROR(INDEX(Dimensions!$B:$B,MATCH(B334,Dimensions!$A:$A,0)),"ID not found"))</f>
        <v/>
      </c>
      <c r="E334" s="30"/>
      <c r="F334" s="20" t="str">
        <f aca="false">IF(E334="","",IFERROR(INDEX(Tables!$B:$B,MATCH(E334,Tables!$A:$A,0)),"ID not found"))</f>
        <v/>
      </c>
      <c r="G334" s="20" t="str">
        <f aca="false">IF(OR(B334="",E334=""),"",IF(IFERROR(INDEX(Dimensions!$C:$C,MATCH(B334,Dimensions!$A:$A,0)),"")="","No agreed source",IF(INDEX(Dimensions!$C:$C,MATCH(B334,Dimensions!$A:$A,0))=E334,"Yes","No")))</f>
        <v/>
      </c>
      <c r="H334" s="30"/>
      <c r="I334" s="30"/>
      <c r="J334" s="30"/>
      <c r="K334" s="34" t="str">
        <f aca="false">IF(AND(A334&lt;&gt;"",G334="No"),COUNTIF($G$5:G334,"No"),"")</f>
        <v/>
      </c>
    </row>
    <row r="335" customFormat="false" ht="15" hidden="false" customHeight="false" outlineLevel="0" collapsed="false">
      <c r="A335" s="29"/>
      <c r="B335" s="29"/>
      <c r="C335" s="20" t="str">
        <f aca="false">IF(A335="","",IFERROR(INDEX(Products!$B:$B,MATCH(A335,Products!$A:$A,0)),"ID not found"))</f>
        <v/>
      </c>
      <c r="D335" s="20" t="str">
        <f aca="false">IF(B335="","",IFERROR(INDEX(Dimensions!$B:$B,MATCH(B335,Dimensions!$A:$A,0)),"ID not found"))</f>
        <v/>
      </c>
      <c r="E335" s="30"/>
      <c r="F335" s="20" t="str">
        <f aca="false">IF(E335="","",IFERROR(INDEX(Tables!$B:$B,MATCH(E335,Tables!$A:$A,0)),"ID not found"))</f>
        <v/>
      </c>
      <c r="G335" s="20" t="str">
        <f aca="false">IF(OR(B335="",E335=""),"",IF(IFERROR(INDEX(Dimensions!$C:$C,MATCH(B335,Dimensions!$A:$A,0)),"")="","No agreed source",IF(INDEX(Dimensions!$C:$C,MATCH(B335,Dimensions!$A:$A,0))=E335,"Yes","No")))</f>
        <v/>
      </c>
      <c r="H335" s="30"/>
      <c r="I335" s="30"/>
      <c r="J335" s="30"/>
      <c r="K335" s="34" t="str">
        <f aca="false">IF(AND(A335&lt;&gt;"",G335="No"),COUNTIF($G$5:G335,"No"),"")</f>
        <v/>
      </c>
    </row>
    <row r="336" customFormat="false" ht="15" hidden="false" customHeight="false" outlineLevel="0" collapsed="false">
      <c r="A336" s="29"/>
      <c r="B336" s="29"/>
      <c r="C336" s="20" t="str">
        <f aca="false">IF(A336="","",IFERROR(INDEX(Products!$B:$B,MATCH(A336,Products!$A:$A,0)),"ID not found"))</f>
        <v/>
      </c>
      <c r="D336" s="20" t="str">
        <f aca="false">IF(B336="","",IFERROR(INDEX(Dimensions!$B:$B,MATCH(B336,Dimensions!$A:$A,0)),"ID not found"))</f>
        <v/>
      </c>
      <c r="E336" s="30"/>
      <c r="F336" s="20" t="str">
        <f aca="false">IF(E336="","",IFERROR(INDEX(Tables!$B:$B,MATCH(E336,Tables!$A:$A,0)),"ID not found"))</f>
        <v/>
      </c>
      <c r="G336" s="20" t="str">
        <f aca="false">IF(OR(B336="",E336=""),"",IF(IFERROR(INDEX(Dimensions!$C:$C,MATCH(B336,Dimensions!$A:$A,0)),"")="","No agreed source",IF(INDEX(Dimensions!$C:$C,MATCH(B336,Dimensions!$A:$A,0))=E336,"Yes","No")))</f>
        <v/>
      </c>
      <c r="H336" s="30"/>
      <c r="I336" s="30"/>
      <c r="J336" s="30"/>
      <c r="K336" s="34" t="str">
        <f aca="false">IF(AND(A336&lt;&gt;"",G336="No"),COUNTIF($G$5:G336,"No"),"")</f>
        <v/>
      </c>
    </row>
    <row r="337" customFormat="false" ht="15" hidden="false" customHeight="false" outlineLevel="0" collapsed="false">
      <c r="A337" s="29"/>
      <c r="B337" s="29"/>
      <c r="C337" s="20" t="str">
        <f aca="false">IF(A337="","",IFERROR(INDEX(Products!$B:$B,MATCH(A337,Products!$A:$A,0)),"ID not found"))</f>
        <v/>
      </c>
      <c r="D337" s="20" t="str">
        <f aca="false">IF(B337="","",IFERROR(INDEX(Dimensions!$B:$B,MATCH(B337,Dimensions!$A:$A,0)),"ID not found"))</f>
        <v/>
      </c>
      <c r="E337" s="30"/>
      <c r="F337" s="20" t="str">
        <f aca="false">IF(E337="","",IFERROR(INDEX(Tables!$B:$B,MATCH(E337,Tables!$A:$A,0)),"ID not found"))</f>
        <v/>
      </c>
      <c r="G337" s="20" t="str">
        <f aca="false">IF(OR(B337="",E337=""),"",IF(IFERROR(INDEX(Dimensions!$C:$C,MATCH(B337,Dimensions!$A:$A,0)),"")="","No agreed source",IF(INDEX(Dimensions!$C:$C,MATCH(B337,Dimensions!$A:$A,0))=E337,"Yes","No")))</f>
        <v/>
      </c>
      <c r="H337" s="30"/>
      <c r="I337" s="30"/>
      <c r="J337" s="30"/>
      <c r="K337" s="34" t="str">
        <f aca="false">IF(AND(A337&lt;&gt;"",G337="No"),COUNTIF($G$5:G337,"No"),"")</f>
        <v/>
      </c>
    </row>
    <row r="338" customFormat="false" ht="15" hidden="false" customHeight="false" outlineLevel="0" collapsed="false">
      <c r="A338" s="29"/>
      <c r="B338" s="29"/>
      <c r="C338" s="20" t="str">
        <f aca="false">IF(A338="","",IFERROR(INDEX(Products!$B:$B,MATCH(A338,Products!$A:$A,0)),"ID not found"))</f>
        <v/>
      </c>
      <c r="D338" s="20" t="str">
        <f aca="false">IF(B338="","",IFERROR(INDEX(Dimensions!$B:$B,MATCH(B338,Dimensions!$A:$A,0)),"ID not found"))</f>
        <v/>
      </c>
      <c r="E338" s="30"/>
      <c r="F338" s="20" t="str">
        <f aca="false">IF(E338="","",IFERROR(INDEX(Tables!$B:$B,MATCH(E338,Tables!$A:$A,0)),"ID not found"))</f>
        <v/>
      </c>
      <c r="G338" s="20" t="str">
        <f aca="false">IF(OR(B338="",E338=""),"",IF(IFERROR(INDEX(Dimensions!$C:$C,MATCH(B338,Dimensions!$A:$A,0)),"")="","No agreed source",IF(INDEX(Dimensions!$C:$C,MATCH(B338,Dimensions!$A:$A,0))=E338,"Yes","No")))</f>
        <v/>
      </c>
      <c r="H338" s="30"/>
      <c r="I338" s="30"/>
      <c r="J338" s="30"/>
      <c r="K338" s="34" t="str">
        <f aca="false">IF(AND(A338&lt;&gt;"",G338="No"),COUNTIF($G$5:G338,"No"),"")</f>
        <v/>
      </c>
    </row>
    <row r="339" customFormat="false" ht="15" hidden="false" customHeight="false" outlineLevel="0" collapsed="false">
      <c r="A339" s="29"/>
      <c r="B339" s="29"/>
      <c r="C339" s="20" t="str">
        <f aca="false">IF(A339="","",IFERROR(INDEX(Products!$B:$B,MATCH(A339,Products!$A:$A,0)),"ID not found"))</f>
        <v/>
      </c>
      <c r="D339" s="20" t="str">
        <f aca="false">IF(B339="","",IFERROR(INDEX(Dimensions!$B:$B,MATCH(B339,Dimensions!$A:$A,0)),"ID not found"))</f>
        <v/>
      </c>
      <c r="E339" s="30"/>
      <c r="F339" s="20" t="str">
        <f aca="false">IF(E339="","",IFERROR(INDEX(Tables!$B:$B,MATCH(E339,Tables!$A:$A,0)),"ID not found"))</f>
        <v/>
      </c>
      <c r="G339" s="20" t="str">
        <f aca="false">IF(OR(B339="",E339=""),"",IF(IFERROR(INDEX(Dimensions!$C:$C,MATCH(B339,Dimensions!$A:$A,0)),"")="","No agreed source",IF(INDEX(Dimensions!$C:$C,MATCH(B339,Dimensions!$A:$A,0))=E339,"Yes","No")))</f>
        <v/>
      </c>
      <c r="H339" s="30"/>
      <c r="I339" s="30"/>
      <c r="J339" s="30"/>
      <c r="K339" s="34" t="str">
        <f aca="false">IF(AND(A339&lt;&gt;"",G339="No"),COUNTIF($G$5:G339,"No"),"")</f>
        <v/>
      </c>
    </row>
    <row r="340" customFormat="false" ht="15" hidden="false" customHeight="false" outlineLevel="0" collapsed="false">
      <c r="A340" s="29"/>
      <c r="B340" s="29"/>
      <c r="C340" s="20" t="str">
        <f aca="false">IF(A340="","",IFERROR(INDEX(Products!$B:$B,MATCH(A340,Products!$A:$A,0)),"ID not found"))</f>
        <v/>
      </c>
      <c r="D340" s="20" t="str">
        <f aca="false">IF(B340="","",IFERROR(INDEX(Dimensions!$B:$B,MATCH(B340,Dimensions!$A:$A,0)),"ID not found"))</f>
        <v/>
      </c>
      <c r="E340" s="30"/>
      <c r="F340" s="20" t="str">
        <f aca="false">IF(E340="","",IFERROR(INDEX(Tables!$B:$B,MATCH(E340,Tables!$A:$A,0)),"ID not found"))</f>
        <v/>
      </c>
      <c r="G340" s="20" t="str">
        <f aca="false">IF(OR(B340="",E340=""),"",IF(IFERROR(INDEX(Dimensions!$C:$C,MATCH(B340,Dimensions!$A:$A,0)),"")="","No agreed source",IF(INDEX(Dimensions!$C:$C,MATCH(B340,Dimensions!$A:$A,0))=E340,"Yes","No")))</f>
        <v/>
      </c>
      <c r="H340" s="30"/>
      <c r="I340" s="30"/>
      <c r="J340" s="30"/>
      <c r="K340" s="34" t="str">
        <f aca="false">IF(AND(A340&lt;&gt;"",G340="No"),COUNTIF($G$5:G340,"No"),"")</f>
        <v/>
      </c>
    </row>
    <row r="341" customFormat="false" ht="15" hidden="false" customHeight="false" outlineLevel="0" collapsed="false">
      <c r="A341" s="29"/>
      <c r="B341" s="29"/>
      <c r="C341" s="20" t="str">
        <f aca="false">IF(A341="","",IFERROR(INDEX(Products!$B:$B,MATCH(A341,Products!$A:$A,0)),"ID not found"))</f>
        <v/>
      </c>
      <c r="D341" s="20" t="str">
        <f aca="false">IF(B341="","",IFERROR(INDEX(Dimensions!$B:$B,MATCH(B341,Dimensions!$A:$A,0)),"ID not found"))</f>
        <v/>
      </c>
      <c r="E341" s="30"/>
      <c r="F341" s="20" t="str">
        <f aca="false">IF(E341="","",IFERROR(INDEX(Tables!$B:$B,MATCH(E341,Tables!$A:$A,0)),"ID not found"))</f>
        <v/>
      </c>
      <c r="G341" s="20" t="str">
        <f aca="false">IF(OR(B341="",E341=""),"",IF(IFERROR(INDEX(Dimensions!$C:$C,MATCH(B341,Dimensions!$A:$A,0)),"")="","No agreed source",IF(INDEX(Dimensions!$C:$C,MATCH(B341,Dimensions!$A:$A,0))=E341,"Yes","No")))</f>
        <v/>
      </c>
      <c r="H341" s="30"/>
      <c r="I341" s="30"/>
      <c r="J341" s="30"/>
      <c r="K341" s="34" t="str">
        <f aca="false">IF(AND(A341&lt;&gt;"",G341="No"),COUNTIF($G$5:G341,"No"),"")</f>
        <v/>
      </c>
    </row>
    <row r="342" customFormat="false" ht="15" hidden="false" customHeight="false" outlineLevel="0" collapsed="false">
      <c r="A342" s="29"/>
      <c r="B342" s="29"/>
      <c r="C342" s="20" t="str">
        <f aca="false">IF(A342="","",IFERROR(INDEX(Products!$B:$B,MATCH(A342,Products!$A:$A,0)),"ID not found"))</f>
        <v/>
      </c>
      <c r="D342" s="20" t="str">
        <f aca="false">IF(B342="","",IFERROR(INDEX(Dimensions!$B:$B,MATCH(B342,Dimensions!$A:$A,0)),"ID not found"))</f>
        <v/>
      </c>
      <c r="E342" s="30"/>
      <c r="F342" s="20" t="str">
        <f aca="false">IF(E342="","",IFERROR(INDEX(Tables!$B:$B,MATCH(E342,Tables!$A:$A,0)),"ID not found"))</f>
        <v/>
      </c>
      <c r="G342" s="20" t="str">
        <f aca="false">IF(OR(B342="",E342=""),"",IF(IFERROR(INDEX(Dimensions!$C:$C,MATCH(B342,Dimensions!$A:$A,0)),"")="","No agreed source",IF(INDEX(Dimensions!$C:$C,MATCH(B342,Dimensions!$A:$A,0))=E342,"Yes","No")))</f>
        <v/>
      </c>
      <c r="H342" s="30"/>
      <c r="I342" s="30"/>
      <c r="J342" s="30"/>
      <c r="K342" s="34" t="str">
        <f aca="false">IF(AND(A342&lt;&gt;"",G342="No"),COUNTIF($G$5:G342,"No"),"")</f>
        <v/>
      </c>
    </row>
    <row r="343" customFormat="false" ht="15" hidden="false" customHeight="false" outlineLevel="0" collapsed="false">
      <c r="A343" s="29"/>
      <c r="B343" s="29"/>
      <c r="C343" s="20" t="str">
        <f aca="false">IF(A343="","",IFERROR(INDEX(Products!$B:$B,MATCH(A343,Products!$A:$A,0)),"ID not found"))</f>
        <v/>
      </c>
      <c r="D343" s="20" t="str">
        <f aca="false">IF(B343="","",IFERROR(INDEX(Dimensions!$B:$B,MATCH(B343,Dimensions!$A:$A,0)),"ID not found"))</f>
        <v/>
      </c>
      <c r="E343" s="30"/>
      <c r="F343" s="20" t="str">
        <f aca="false">IF(E343="","",IFERROR(INDEX(Tables!$B:$B,MATCH(E343,Tables!$A:$A,0)),"ID not found"))</f>
        <v/>
      </c>
      <c r="G343" s="20" t="str">
        <f aca="false">IF(OR(B343="",E343=""),"",IF(IFERROR(INDEX(Dimensions!$C:$C,MATCH(B343,Dimensions!$A:$A,0)),"")="","No agreed source",IF(INDEX(Dimensions!$C:$C,MATCH(B343,Dimensions!$A:$A,0))=E343,"Yes","No")))</f>
        <v/>
      </c>
      <c r="H343" s="30"/>
      <c r="I343" s="30"/>
      <c r="J343" s="30"/>
      <c r="K343" s="34" t="str">
        <f aca="false">IF(AND(A343&lt;&gt;"",G343="No"),COUNTIF($G$5:G343,"No"),"")</f>
        <v/>
      </c>
    </row>
    <row r="344" customFormat="false" ht="15" hidden="false" customHeight="false" outlineLevel="0" collapsed="false">
      <c r="A344" s="29"/>
      <c r="B344" s="29"/>
      <c r="C344" s="20" t="str">
        <f aca="false">IF(A344="","",IFERROR(INDEX(Products!$B:$B,MATCH(A344,Products!$A:$A,0)),"ID not found"))</f>
        <v/>
      </c>
      <c r="D344" s="20" t="str">
        <f aca="false">IF(B344="","",IFERROR(INDEX(Dimensions!$B:$B,MATCH(B344,Dimensions!$A:$A,0)),"ID not found"))</f>
        <v/>
      </c>
      <c r="E344" s="30"/>
      <c r="F344" s="20" t="str">
        <f aca="false">IF(E344="","",IFERROR(INDEX(Tables!$B:$B,MATCH(E344,Tables!$A:$A,0)),"ID not found"))</f>
        <v/>
      </c>
      <c r="G344" s="20" t="str">
        <f aca="false">IF(OR(B344="",E344=""),"",IF(IFERROR(INDEX(Dimensions!$C:$C,MATCH(B344,Dimensions!$A:$A,0)),"")="","No agreed source",IF(INDEX(Dimensions!$C:$C,MATCH(B344,Dimensions!$A:$A,0))=E344,"Yes","No")))</f>
        <v/>
      </c>
      <c r="H344" s="30"/>
      <c r="I344" s="30"/>
      <c r="J344" s="30"/>
      <c r="K344" s="34" t="str">
        <f aca="false">IF(AND(A344&lt;&gt;"",G344="No"),COUNTIF($G$5:G344,"No"),"")</f>
        <v/>
      </c>
    </row>
    <row r="345" customFormat="false" ht="15" hidden="false" customHeight="false" outlineLevel="0" collapsed="false">
      <c r="A345" s="29"/>
      <c r="B345" s="29"/>
      <c r="C345" s="20" t="str">
        <f aca="false">IF(A345="","",IFERROR(INDEX(Products!$B:$B,MATCH(A345,Products!$A:$A,0)),"ID not found"))</f>
        <v/>
      </c>
      <c r="D345" s="20" t="str">
        <f aca="false">IF(B345="","",IFERROR(INDEX(Dimensions!$B:$B,MATCH(B345,Dimensions!$A:$A,0)),"ID not found"))</f>
        <v/>
      </c>
      <c r="E345" s="30"/>
      <c r="F345" s="20" t="str">
        <f aca="false">IF(E345="","",IFERROR(INDEX(Tables!$B:$B,MATCH(E345,Tables!$A:$A,0)),"ID not found"))</f>
        <v/>
      </c>
      <c r="G345" s="20" t="str">
        <f aca="false">IF(OR(B345="",E345=""),"",IF(IFERROR(INDEX(Dimensions!$C:$C,MATCH(B345,Dimensions!$A:$A,0)),"")="","No agreed source",IF(INDEX(Dimensions!$C:$C,MATCH(B345,Dimensions!$A:$A,0))=E345,"Yes","No")))</f>
        <v/>
      </c>
      <c r="H345" s="30"/>
      <c r="I345" s="30"/>
      <c r="J345" s="30"/>
      <c r="K345" s="34" t="str">
        <f aca="false">IF(AND(A345&lt;&gt;"",G345="No"),COUNTIF($G$5:G345,"No"),"")</f>
        <v/>
      </c>
    </row>
    <row r="346" customFormat="false" ht="15" hidden="false" customHeight="false" outlineLevel="0" collapsed="false">
      <c r="A346" s="29"/>
      <c r="B346" s="29"/>
      <c r="C346" s="20" t="str">
        <f aca="false">IF(A346="","",IFERROR(INDEX(Products!$B:$B,MATCH(A346,Products!$A:$A,0)),"ID not found"))</f>
        <v/>
      </c>
      <c r="D346" s="20" t="str">
        <f aca="false">IF(B346="","",IFERROR(INDEX(Dimensions!$B:$B,MATCH(B346,Dimensions!$A:$A,0)),"ID not found"))</f>
        <v/>
      </c>
      <c r="E346" s="30"/>
      <c r="F346" s="20" t="str">
        <f aca="false">IF(E346="","",IFERROR(INDEX(Tables!$B:$B,MATCH(E346,Tables!$A:$A,0)),"ID not found"))</f>
        <v/>
      </c>
      <c r="G346" s="20" t="str">
        <f aca="false">IF(OR(B346="",E346=""),"",IF(IFERROR(INDEX(Dimensions!$C:$C,MATCH(B346,Dimensions!$A:$A,0)),"")="","No agreed source",IF(INDEX(Dimensions!$C:$C,MATCH(B346,Dimensions!$A:$A,0))=E346,"Yes","No")))</f>
        <v/>
      </c>
      <c r="H346" s="30"/>
      <c r="I346" s="30"/>
      <c r="J346" s="30"/>
      <c r="K346" s="34" t="str">
        <f aca="false">IF(AND(A346&lt;&gt;"",G346="No"),COUNTIF($G$5:G346,"No"),"")</f>
        <v/>
      </c>
    </row>
    <row r="347" customFormat="false" ht="15" hidden="false" customHeight="false" outlineLevel="0" collapsed="false">
      <c r="A347" s="29"/>
      <c r="B347" s="29"/>
      <c r="C347" s="20" t="str">
        <f aca="false">IF(A347="","",IFERROR(INDEX(Products!$B:$B,MATCH(A347,Products!$A:$A,0)),"ID not found"))</f>
        <v/>
      </c>
      <c r="D347" s="20" t="str">
        <f aca="false">IF(B347="","",IFERROR(INDEX(Dimensions!$B:$B,MATCH(B347,Dimensions!$A:$A,0)),"ID not found"))</f>
        <v/>
      </c>
      <c r="E347" s="30"/>
      <c r="F347" s="20" t="str">
        <f aca="false">IF(E347="","",IFERROR(INDEX(Tables!$B:$B,MATCH(E347,Tables!$A:$A,0)),"ID not found"))</f>
        <v/>
      </c>
      <c r="G347" s="20" t="str">
        <f aca="false">IF(OR(B347="",E347=""),"",IF(IFERROR(INDEX(Dimensions!$C:$C,MATCH(B347,Dimensions!$A:$A,0)),"")="","No agreed source",IF(INDEX(Dimensions!$C:$C,MATCH(B347,Dimensions!$A:$A,0))=E347,"Yes","No")))</f>
        <v/>
      </c>
      <c r="H347" s="30"/>
      <c r="I347" s="30"/>
      <c r="J347" s="30"/>
      <c r="K347" s="34" t="str">
        <f aca="false">IF(AND(A347&lt;&gt;"",G347="No"),COUNTIF($G$5:G347,"No"),"")</f>
        <v/>
      </c>
    </row>
    <row r="348" customFormat="false" ht="15" hidden="false" customHeight="false" outlineLevel="0" collapsed="false">
      <c r="A348" s="29"/>
      <c r="B348" s="29"/>
      <c r="C348" s="20" t="str">
        <f aca="false">IF(A348="","",IFERROR(INDEX(Products!$B:$B,MATCH(A348,Products!$A:$A,0)),"ID not found"))</f>
        <v/>
      </c>
      <c r="D348" s="20" t="str">
        <f aca="false">IF(B348="","",IFERROR(INDEX(Dimensions!$B:$B,MATCH(B348,Dimensions!$A:$A,0)),"ID not found"))</f>
        <v/>
      </c>
      <c r="E348" s="30"/>
      <c r="F348" s="20" t="str">
        <f aca="false">IF(E348="","",IFERROR(INDEX(Tables!$B:$B,MATCH(E348,Tables!$A:$A,0)),"ID not found"))</f>
        <v/>
      </c>
      <c r="G348" s="20" t="str">
        <f aca="false">IF(OR(B348="",E348=""),"",IF(IFERROR(INDEX(Dimensions!$C:$C,MATCH(B348,Dimensions!$A:$A,0)),"")="","No agreed source",IF(INDEX(Dimensions!$C:$C,MATCH(B348,Dimensions!$A:$A,0))=E348,"Yes","No")))</f>
        <v/>
      </c>
      <c r="H348" s="30"/>
      <c r="I348" s="30"/>
      <c r="J348" s="30"/>
      <c r="K348" s="34" t="str">
        <f aca="false">IF(AND(A348&lt;&gt;"",G348="No"),COUNTIF($G$5:G348,"No"),"")</f>
        <v/>
      </c>
    </row>
    <row r="349" customFormat="false" ht="15" hidden="false" customHeight="false" outlineLevel="0" collapsed="false">
      <c r="A349" s="29"/>
      <c r="B349" s="29"/>
      <c r="C349" s="20" t="str">
        <f aca="false">IF(A349="","",IFERROR(INDEX(Products!$B:$B,MATCH(A349,Products!$A:$A,0)),"ID not found"))</f>
        <v/>
      </c>
      <c r="D349" s="20" t="str">
        <f aca="false">IF(B349="","",IFERROR(INDEX(Dimensions!$B:$B,MATCH(B349,Dimensions!$A:$A,0)),"ID not found"))</f>
        <v/>
      </c>
      <c r="E349" s="30"/>
      <c r="F349" s="20" t="str">
        <f aca="false">IF(E349="","",IFERROR(INDEX(Tables!$B:$B,MATCH(E349,Tables!$A:$A,0)),"ID not found"))</f>
        <v/>
      </c>
      <c r="G349" s="20" t="str">
        <f aca="false">IF(OR(B349="",E349=""),"",IF(IFERROR(INDEX(Dimensions!$C:$C,MATCH(B349,Dimensions!$A:$A,0)),"")="","No agreed source",IF(INDEX(Dimensions!$C:$C,MATCH(B349,Dimensions!$A:$A,0))=E349,"Yes","No")))</f>
        <v/>
      </c>
      <c r="H349" s="30"/>
      <c r="I349" s="30"/>
      <c r="J349" s="30"/>
      <c r="K349" s="34" t="str">
        <f aca="false">IF(AND(A349&lt;&gt;"",G349="No"),COUNTIF($G$5:G349,"No"),"")</f>
        <v/>
      </c>
    </row>
    <row r="350" customFormat="false" ht="15" hidden="false" customHeight="false" outlineLevel="0" collapsed="false">
      <c r="A350" s="29"/>
      <c r="B350" s="29"/>
      <c r="C350" s="20" t="str">
        <f aca="false">IF(A350="","",IFERROR(INDEX(Products!$B:$B,MATCH(A350,Products!$A:$A,0)),"ID not found"))</f>
        <v/>
      </c>
      <c r="D350" s="20" t="str">
        <f aca="false">IF(B350="","",IFERROR(INDEX(Dimensions!$B:$B,MATCH(B350,Dimensions!$A:$A,0)),"ID not found"))</f>
        <v/>
      </c>
      <c r="E350" s="30"/>
      <c r="F350" s="20" t="str">
        <f aca="false">IF(E350="","",IFERROR(INDEX(Tables!$B:$B,MATCH(E350,Tables!$A:$A,0)),"ID not found"))</f>
        <v/>
      </c>
      <c r="G350" s="20" t="str">
        <f aca="false">IF(OR(B350="",E350=""),"",IF(IFERROR(INDEX(Dimensions!$C:$C,MATCH(B350,Dimensions!$A:$A,0)),"")="","No agreed source",IF(INDEX(Dimensions!$C:$C,MATCH(B350,Dimensions!$A:$A,0))=E350,"Yes","No")))</f>
        <v/>
      </c>
      <c r="H350" s="30"/>
      <c r="I350" s="30"/>
      <c r="J350" s="30"/>
      <c r="K350" s="34" t="str">
        <f aca="false">IF(AND(A350&lt;&gt;"",G350="No"),COUNTIF($G$5:G350,"No"),"")</f>
        <v/>
      </c>
    </row>
    <row r="351" customFormat="false" ht="15" hidden="false" customHeight="false" outlineLevel="0" collapsed="false">
      <c r="A351" s="29"/>
      <c r="B351" s="29"/>
      <c r="C351" s="20" t="str">
        <f aca="false">IF(A351="","",IFERROR(INDEX(Products!$B:$B,MATCH(A351,Products!$A:$A,0)),"ID not found"))</f>
        <v/>
      </c>
      <c r="D351" s="20" t="str">
        <f aca="false">IF(B351="","",IFERROR(INDEX(Dimensions!$B:$B,MATCH(B351,Dimensions!$A:$A,0)),"ID not found"))</f>
        <v/>
      </c>
      <c r="E351" s="30"/>
      <c r="F351" s="20" t="str">
        <f aca="false">IF(E351="","",IFERROR(INDEX(Tables!$B:$B,MATCH(E351,Tables!$A:$A,0)),"ID not found"))</f>
        <v/>
      </c>
      <c r="G351" s="20" t="str">
        <f aca="false">IF(OR(B351="",E351=""),"",IF(IFERROR(INDEX(Dimensions!$C:$C,MATCH(B351,Dimensions!$A:$A,0)),"")="","No agreed source",IF(INDEX(Dimensions!$C:$C,MATCH(B351,Dimensions!$A:$A,0))=E351,"Yes","No")))</f>
        <v/>
      </c>
      <c r="H351" s="30"/>
      <c r="I351" s="30"/>
      <c r="J351" s="30"/>
      <c r="K351" s="34" t="str">
        <f aca="false">IF(AND(A351&lt;&gt;"",G351="No"),COUNTIF($G$5:G351,"No"),"")</f>
        <v/>
      </c>
    </row>
    <row r="352" customFormat="false" ht="15" hidden="false" customHeight="false" outlineLevel="0" collapsed="false">
      <c r="A352" s="29"/>
      <c r="B352" s="29"/>
      <c r="C352" s="20" t="str">
        <f aca="false">IF(A352="","",IFERROR(INDEX(Products!$B:$B,MATCH(A352,Products!$A:$A,0)),"ID not found"))</f>
        <v/>
      </c>
      <c r="D352" s="20" t="str">
        <f aca="false">IF(B352="","",IFERROR(INDEX(Dimensions!$B:$B,MATCH(B352,Dimensions!$A:$A,0)),"ID not found"))</f>
        <v/>
      </c>
      <c r="E352" s="30"/>
      <c r="F352" s="20" t="str">
        <f aca="false">IF(E352="","",IFERROR(INDEX(Tables!$B:$B,MATCH(E352,Tables!$A:$A,0)),"ID not found"))</f>
        <v/>
      </c>
      <c r="G352" s="20" t="str">
        <f aca="false">IF(OR(B352="",E352=""),"",IF(IFERROR(INDEX(Dimensions!$C:$C,MATCH(B352,Dimensions!$A:$A,0)),"")="","No agreed source",IF(INDEX(Dimensions!$C:$C,MATCH(B352,Dimensions!$A:$A,0))=E352,"Yes","No")))</f>
        <v/>
      </c>
      <c r="H352" s="30"/>
      <c r="I352" s="30"/>
      <c r="J352" s="30"/>
      <c r="K352" s="34" t="str">
        <f aca="false">IF(AND(A352&lt;&gt;"",G352="No"),COUNTIF($G$5:G352,"No"),"")</f>
        <v/>
      </c>
    </row>
    <row r="353" customFormat="false" ht="15" hidden="false" customHeight="false" outlineLevel="0" collapsed="false">
      <c r="A353" s="29"/>
      <c r="B353" s="29"/>
      <c r="C353" s="20" t="str">
        <f aca="false">IF(A353="","",IFERROR(INDEX(Products!$B:$B,MATCH(A353,Products!$A:$A,0)),"ID not found"))</f>
        <v/>
      </c>
      <c r="D353" s="20" t="str">
        <f aca="false">IF(B353="","",IFERROR(INDEX(Dimensions!$B:$B,MATCH(B353,Dimensions!$A:$A,0)),"ID not found"))</f>
        <v/>
      </c>
      <c r="E353" s="30"/>
      <c r="F353" s="20" t="str">
        <f aca="false">IF(E353="","",IFERROR(INDEX(Tables!$B:$B,MATCH(E353,Tables!$A:$A,0)),"ID not found"))</f>
        <v/>
      </c>
      <c r="G353" s="20" t="str">
        <f aca="false">IF(OR(B353="",E353=""),"",IF(IFERROR(INDEX(Dimensions!$C:$C,MATCH(B353,Dimensions!$A:$A,0)),"")="","No agreed source",IF(INDEX(Dimensions!$C:$C,MATCH(B353,Dimensions!$A:$A,0))=E353,"Yes","No")))</f>
        <v/>
      </c>
      <c r="H353" s="30"/>
      <c r="I353" s="30"/>
      <c r="J353" s="30"/>
      <c r="K353" s="34" t="str">
        <f aca="false">IF(AND(A353&lt;&gt;"",G353="No"),COUNTIF($G$5:G353,"No"),"")</f>
        <v/>
      </c>
    </row>
    <row r="354" customFormat="false" ht="15" hidden="false" customHeight="false" outlineLevel="0" collapsed="false">
      <c r="A354" s="29"/>
      <c r="B354" s="29"/>
      <c r="C354" s="20" t="str">
        <f aca="false">IF(A354="","",IFERROR(INDEX(Products!$B:$B,MATCH(A354,Products!$A:$A,0)),"ID not found"))</f>
        <v/>
      </c>
      <c r="D354" s="20" t="str">
        <f aca="false">IF(B354="","",IFERROR(INDEX(Dimensions!$B:$B,MATCH(B354,Dimensions!$A:$A,0)),"ID not found"))</f>
        <v/>
      </c>
      <c r="E354" s="30"/>
      <c r="F354" s="20" t="str">
        <f aca="false">IF(E354="","",IFERROR(INDEX(Tables!$B:$B,MATCH(E354,Tables!$A:$A,0)),"ID not found"))</f>
        <v/>
      </c>
      <c r="G354" s="20" t="str">
        <f aca="false">IF(OR(B354="",E354=""),"",IF(IFERROR(INDEX(Dimensions!$C:$C,MATCH(B354,Dimensions!$A:$A,0)),"")="","No agreed source",IF(INDEX(Dimensions!$C:$C,MATCH(B354,Dimensions!$A:$A,0))=E354,"Yes","No")))</f>
        <v/>
      </c>
      <c r="H354" s="30"/>
      <c r="I354" s="30"/>
      <c r="J354" s="30"/>
      <c r="K354" s="34" t="str">
        <f aca="false">IF(AND(A354&lt;&gt;"",G354="No"),COUNTIF($G$5:G354,"No"),"")</f>
        <v/>
      </c>
    </row>
    <row r="355" customFormat="false" ht="15" hidden="false" customHeight="false" outlineLevel="0" collapsed="false">
      <c r="A355" s="29"/>
      <c r="B355" s="29"/>
      <c r="C355" s="20" t="str">
        <f aca="false">IF(A355="","",IFERROR(INDEX(Products!$B:$B,MATCH(A355,Products!$A:$A,0)),"ID not found"))</f>
        <v/>
      </c>
      <c r="D355" s="20" t="str">
        <f aca="false">IF(B355="","",IFERROR(INDEX(Dimensions!$B:$B,MATCH(B355,Dimensions!$A:$A,0)),"ID not found"))</f>
        <v/>
      </c>
      <c r="E355" s="30"/>
      <c r="F355" s="20" t="str">
        <f aca="false">IF(E355="","",IFERROR(INDEX(Tables!$B:$B,MATCH(E355,Tables!$A:$A,0)),"ID not found"))</f>
        <v/>
      </c>
      <c r="G355" s="20" t="str">
        <f aca="false">IF(OR(B355="",E355=""),"",IF(IFERROR(INDEX(Dimensions!$C:$C,MATCH(B355,Dimensions!$A:$A,0)),"")="","No agreed source",IF(INDEX(Dimensions!$C:$C,MATCH(B355,Dimensions!$A:$A,0))=E355,"Yes","No")))</f>
        <v/>
      </c>
      <c r="H355" s="30"/>
      <c r="I355" s="30"/>
      <c r="J355" s="30"/>
      <c r="K355" s="34" t="str">
        <f aca="false">IF(AND(A355&lt;&gt;"",G355="No"),COUNTIF($G$5:G355,"No"),"")</f>
        <v/>
      </c>
    </row>
    <row r="356" customFormat="false" ht="15" hidden="false" customHeight="false" outlineLevel="0" collapsed="false">
      <c r="A356" s="29"/>
      <c r="B356" s="29"/>
      <c r="C356" s="20" t="str">
        <f aca="false">IF(A356="","",IFERROR(INDEX(Products!$B:$B,MATCH(A356,Products!$A:$A,0)),"ID not found"))</f>
        <v/>
      </c>
      <c r="D356" s="20" t="str">
        <f aca="false">IF(B356="","",IFERROR(INDEX(Dimensions!$B:$B,MATCH(B356,Dimensions!$A:$A,0)),"ID not found"))</f>
        <v/>
      </c>
      <c r="E356" s="30"/>
      <c r="F356" s="20" t="str">
        <f aca="false">IF(E356="","",IFERROR(INDEX(Tables!$B:$B,MATCH(E356,Tables!$A:$A,0)),"ID not found"))</f>
        <v/>
      </c>
      <c r="G356" s="20" t="str">
        <f aca="false">IF(OR(B356="",E356=""),"",IF(IFERROR(INDEX(Dimensions!$C:$C,MATCH(B356,Dimensions!$A:$A,0)),"")="","No agreed source",IF(INDEX(Dimensions!$C:$C,MATCH(B356,Dimensions!$A:$A,0))=E356,"Yes","No")))</f>
        <v/>
      </c>
      <c r="H356" s="30"/>
      <c r="I356" s="30"/>
      <c r="J356" s="30"/>
      <c r="K356" s="34" t="str">
        <f aca="false">IF(AND(A356&lt;&gt;"",G356="No"),COUNTIF($G$5:G356,"No"),"")</f>
        <v/>
      </c>
    </row>
    <row r="357" customFormat="false" ht="15" hidden="false" customHeight="false" outlineLevel="0" collapsed="false">
      <c r="A357" s="29"/>
      <c r="B357" s="29"/>
      <c r="C357" s="20" t="str">
        <f aca="false">IF(A357="","",IFERROR(INDEX(Products!$B:$B,MATCH(A357,Products!$A:$A,0)),"ID not found"))</f>
        <v/>
      </c>
      <c r="D357" s="20" t="str">
        <f aca="false">IF(B357="","",IFERROR(INDEX(Dimensions!$B:$B,MATCH(B357,Dimensions!$A:$A,0)),"ID not found"))</f>
        <v/>
      </c>
      <c r="E357" s="30"/>
      <c r="F357" s="20" t="str">
        <f aca="false">IF(E357="","",IFERROR(INDEX(Tables!$B:$B,MATCH(E357,Tables!$A:$A,0)),"ID not found"))</f>
        <v/>
      </c>
      <c r="G357" s="20" t="str">
        <f aca="false">IF(OR(B357="",E357=""),"",IF(IFERROR(INDEX(Dimensions!$C:$C,MATCH(B357,Dimensions!$A:$A,0)),"")="","No agreed source",IF(INDEX(Dimensions!$C:$C,MATCH(B357,Dimensions!$A:$A,0))=E357,"Yes","No")))</f>
        <v/>
      </c>
      <c r="H357" s="30"/>
      <c r="I357" s="30"/>
      <c r="J357" s="30"/>
      <c r="K357" s="34" t="str">
        <f aca="false">IF(AND(A357&lt;&gt;"",G357="No"),COUNTIF($G$5:G357,"No"),"")</f>
        <v/>
      </c>
    </row>
    <row r="358" customFormat="false" ht="15" hidden="false" customHeight="false" outlineLevel="0" collapsed="false">
      <c r="A358" s="29"/>
      <c r="B358" s="29"/>
      <c r="C358" s="20" t="str">
        <f aca="false">IF(A358="","",IFERROR(INDEX(Products!$B:$B,MATCH(A358,Products!$A:$A,0)),"ID not found"))</f>
        <v/>
      </c>
      <c r="D358" s="20" t="str">
        <f aca="false">IF(B358="","",IFERROR(INDEX(Dimensions!$B:$B,MATCH(B358,Dimensions!$A:$A,0)),"ID not found"))</f>
        <v/>
      </c>
      <c r="E358" s="30"/>
      <c r="F358" s="20" t="str">
        <f aca="false">IF(E358="","",IFERROR(INDEX(Tables!$B:$B,MATCH(E358,Tables!$A:$A,0)),"ID not found"))</f>
        <v/>
      </c>
      <c r="G358" s="20" t="str">
        <f aca="false">IF(OR(B358="",E358=""),"",IF(IFERROR(INDEX(Dimensions!$C:$C,MATCH(B358,Dimensions!$A:$A,0)),"")="","No agreed source",IF(INDEX(Dimensions!$C:$C,MATCH(B358,Dimensions!$A:$A,0))=E358,"Yes","No")))</f>
        <v/>
      </c>
      <c r="H358" s="30"/>
      <c r="I358" s="30"/>
      <c r="J358" s="30"/>
      <c r="K358" s="34" t="str">
        <f aca="false">IF(AND(A358&lt;&gt;"",G358="No"),COUNTIF($G$5:G358,"No"),"")</f>
        <v/>
      </c>
    </row>
    <row r="359" customFormat="false" ht="15" hidden="false" customHeight="false" outlineLevel="0" collapsed="false">
      <c r="A359" s="29"/>
      <c r="B359" s="29"/>
      <c r="C359" s="20" t="str">
        <f aca="false">IF(A359="","",IFERROR(INDEX(Products!$B:$B,MATCH(A359,Products!$A:$A,0)),"ID not found"))</f>
        <v/>
      </c>
      <c r="D359" s="20" t="str">
        <f aca="false">IF(B359="","",IFERROR(INDEX(Dimensions!$B:$B,MATCH(B359,Dimensions!$A:$A,0)),"ID not found"))</f>
        <v/>
      </c>
      <c r="E359" s="30"/>
      <c r="F359" s="20" t="str">
        <f aca="false">IF(E359="","",IFERROR(INDEX(Tables!$B:$B,MATCH(E359,Tables!$A:$A,0)),"ID not found"))</f>
        <v/>
      </c>
      <c r="G359" s="20" t="str">
        <f aca="false">IF(OR(B359="",E359=""),"",IF(IFERROR(INDEX(Dimensions!$C:$C,MATCH(B359,Dimensions!$A:$A,0)),"")="","No agreed source",IF(INDEX(Dimensions!$C:$C,MATCH(B359,Dimensions!$A:$A,0))=E359,"Yes","No")))</f>
        <v/>
      </c>
      <c r="H359" s="30"/>
      <c r="I359" s="30"/>
      <c r="J359" s="30"/>
      <c r="K359" s="34" t="str">
        <f aca="false">IF(AND(A359&lt;&gt;"",G359="No"),COUNTIF($G$5:G359,"No"),"")</f>
        <v/>
      </c>
    </row>
    <row r="360" customFormat="false" ht="15" hidden="false" customHeight="false" outlineLevel="0" collapsed="false">
      <c r="A360" s="29"/>
      <c r="B360" s="29"/>
      <c r="C360" s="20" t="str">
        <f aca="false">IF(A360="","",IFERROR(INDEX(Products!$B:$B,MATCH(A360,Products!$A:$A,0)),"ID not found"))</f>
        <v/>
      </c>
      <c r="D360" s="20" t="str">
        <f aca="false">IF(B360="","",IFERROR(INDEX(Dimensions!$B:$B,MATCH(B360,Dimensions!$A:$A,0)),"ID not found"))</f>
        <v/>
      </c>
      <c r="E360" s="30"/>
      <c r="F360" s="20" t="str">
        <f aca="false">IF(E360="","",IFERROR(INDEX(Tables!$B:$B,MATCH(E360,Tables!$A:$A,0)),"ID not found"))</f>
        <v/>
      </c>
      <c r="G360" s="20" t="str">
        <f aca="false">IF(OR(B360="",E360=""),"",IF(IFERROR(INDEX(Dimensions!$C:$C,MATCH(B360,Dimensions!$A:$A,0)),"")="","No agreed source",IF(INDEX(Dimensions!$C:$C,MATCH(B360,Dimensions!$A:$A,0))=E360,"Yes","No")))</f>
        <v/>
      </c>
      <c r="H360" s="30"/>
      <c r="I360" s="30"/>
      <c r="J360" s="30"/>
      <c r="K360" s="34" t="str">
        <f aca="false">IF(AND(A360&lt;&gt;"",G360="No"),COUNTIF($G$5:G360,"No"),"")</f>
        <v/>
      </c>
    </row>
    <row r="361" customFormat="false" ht="15" hidden="false" customHeight="false" outlineLevel="0" collapsed="false">
      <c r="A361" s="29"/>
      <c r="B361" s="29"/>
      <c r="C361" s="20" t="str">
        <f aca="false">IF(A361="","",IFERROR(INDEX(Products!$B:$B,MATCH(A361,Products!$A:$A,0)),"ID not found"))</f>
        <v/>
      </c>
      <c r="D361" s="20" t="str">
        <f aca="false">IF(B361="","",IFERROR(INDEX(Dimensions!$B:$B,MATCH(B361,Dimensions!$A:$A,0)),"ID not found"))</f>
        <v/>
      </c>
      <c r="E361" s="30"/>
      <c r="F361" s="20" t="str">
        <f aca="false">IF(E361="","",IFERROR(INDEX(Tables!$B:$B,MATCH(E361,Tables!$A:$A,0)),"ID not found"))</f>
        <v/>
      </c>
      <c r="G361" s="20" t="str">
        <f aca="false">IF(OR(B361="",E361=""),"",IF(IFERROR(INDEX(Dimensions!$C:$C,MATCH(B361,Dimensions!$A:$A,0)),"")="","No agreed source",IF(INDEX(Dimensions!$C:$C,MATCH(B361,Dimensions!$A:$A,0))=E361,"Yes","No")))</f>
        <v/>
      </c>
      <c r="H361" s="30"/>
      <c r="I361" s="30"/>
      <c r="J361" s="30"/>
      <c r="K361" s="34" t="str">
        <f aca="false">IF(AND(A361&lt;&gt;"",G361="No"),COUNTIF($G$5:G361,"No"),"")</f>
        <v/>
      </c>
    </row>
    <row r="362" customFormat="false" ht="15" hidden="false" customHeight="false" outlineLevel="0" collapsed="false">
      <c r="A362" s="29"/>
      <c r="B362" s="29"/>
      <c r="C362" s="20" t="str">
        <f aca="false">IF(A362="","",IFERROR(INDEX(Products!$B:$B,MATCH(A362,Products!$A:$A,0)),"ID not found"))</f>
        <v/>
      </c>
      <c r="D362" s="20" t="str">
        <f aca="false">IF(B362="","",IFERROR(INDEX(Dimensions!$B:$B,MATCH(B362,Dimensions!$A:$A,0)),"ID not found"))</f>
        <v/>
      </c>
      <c r="E362" s="30"/>
      <c r="F362" s="20" t="str">
        <f aca="false">IF(E362="","",IFERROR(INDEX(Tables!$B:$B,MATCH(E362,Tables!$A:$A,0)),"ID not found"))</f>
        <v/>
      </c>
      <c r="G362" s="20" t="str">
        <f aca="false">IF(OR(B362="",E362=""),"",IF(IFERROR(INDEX(Dimensions!$C:$C,MATCH(B362,Dimensions!$A:$A,0)),"")="","No agreed source",IF(INDEX(Dimensions!$C:$C,MATCH(B362,Dimensions!$A:$A,0))=E362,"Yes","No")))</f>
        <v/>
      </c>
      <c r="H362" s="30"/>
      <c r="I362" s="30"/>
      <c r="J362" s="30"/>
      <c r="K362" s="34" t="str">
        <f aca="false">IF(AND(A362&lt;&gt;"",G362="No"),COUNTIF($G$5:G362,"No"),"")</f>
        <v/>
      </c>
    </row>
    <row r="363" customFormat="false" ht="15" hidden="false" customHeight="false" outlineLevel="0" collapsed="false">
      <c r="A363" s="29"/>
      <c r="B363" s="29"/>
      <c r="C363" s="20" t="str">
        <f aca="false">IF(A363="","",IFERROR(INDEX(Products!$B:$B,MATCH(A363,Products!$A:$A,0)),"ID not found"))</f>
        <v/>
      </c>
      <c r="D363" s="20" t="str">
        <f aca="false">IF(B363="","",IFERROR(INDEX(Dimensions!$B:$B,MATCH(B363,Dimensions!$A:$A,0)),"ID not found"))</f>
        <v/>
      </c>
      <c r="E363" s="30"/>
      <c r="F363" s="20" t="str">
        <f aca="false">IF(E363="","",IFERROR(INDEX(Tables!$B:$B,MATCH(E363,Tables!$A:$A,0)),"ID not found"))</f>
        <v/>
      </c>
      <c r="G363" s="20" t="str">
        <f aca="false">IF(OR(B363="",E363=""),"",IF(IFERROR(INDEX(Dimensions!$C:$C,MATCH(B363,Dimensions!$A:$A,0)),"")="","No agreed source",IF(INDEX(Dimensions!$C:$C,MATCH(B363,Dimensions!$A:$A,0))=E363,"Yes","No")))</f>
        <v/>
      </c>
      <c r="H363" s="30"/>
      <c r="I363" s="30"/>
      <c r="J363" s="30"/>
      <c r="K363" s="34" t="str">
        <f aca="false">IF(AND(A363&lt;&gt;"",G363="No"),COUNTIF($G$5:G363,"No"),"")</f>
        <v/>
      </c>
    </row>
    <row r="364" customFormat="false" ht="15" hidden="false" customHeight="false" outlineLevel="0" collapsed="false">
      <c r="A364" s="29"/>
      <c r="B364" s="29"/>
      <c r="C364" s="20" t="str">
        <f aca="false">IF(A364="","",IFERROR(INDEX(Products!$B:$B,MATCH(A364,Products!$A:$A,0)),"ID not found"))</f>
        <v/>
      </c>
      <c r="D364" s="20" t="str">
        <f aca="false">IF(B364="","",IFERROR(INDEX(Dimensions!$B:$B,MATCH(B364,Dimensions!$A:$A,0)),"ID not found"))</f>
        <v/>
      </c>
      <c r="E364" s="30"/>
      <c r="F364" s="20" t="str">
        <f aca="false">IF(E364="","",IFERROR(INDEX(Tables!$B:$B,MATCH(E364,Tables!$A:$A,0)),"ID not found"))</f>
        <v/>
      </c>
      <c r="G364" s="20" t="str">
        <f aca="false">IF(OR(B364="",E364=""),"",IF(IFERROR(INDEX(Dimensions!$C:$C,MATCH(B364,Dimensions!$A:$A,0)),"")="","No agreed source",IF(INDEX(Dimensions!$C:$C,MATCH(B364,Dimensions!$A:$A,0))=E364,"Yes","No")))</f>
        <v/>
      </c>
      <c r="H364" s="30"/>
      <c r="I364" s="30"/>
      <c r="J364" s="30"/>
      <c r="K364" s="34" t="str">
        <f aca="false">IF(AND(A364&lt;&gt;"",G364="No"),COUNTIF($G$5:G364,"No"),"")</f>
        <v/>
      </c>
    </row>
    <row r="365" customFormat="false" ht="15" hidden="false" customHeight="false" outlineLevel="0" collapsed="false">
      <c r="A365" s="29"/>
      <c r="B365" s="29"/>
      <c r="C365" s="20" t="str">
        <f aca="false">IF(A365="","",IFERROR(INDEX(Products!$B:$B,MATCH(A365,Products!$A:$A,0)),"ID not found"))</f>
        <v/>
      </c>
      <c r="D365" s="20" t="str">
        <f aca="false">IF(B365="","",IFERROR(INDEX(Dimensions!$B:$B,MATCH(B365,Dimensions!$A:$A,0)),"ID not found"))</f>
        <v/>
      </c>
      <c r="E365" s="30"/>
      <c r="F365" s="20" t="str">
        <f aca="false">IF(E365="","",IFERROR(INDEX(Tables!$B:$B,MATCH(E365,Tables!$A:$A,0)),"ID not found"))</f>
        <v/>
      </c>
      <c r="G365" s="20" t="str">
        <f aca="false">IF(OR(B365="",E365=""),"",IF(IFERROR(INDEX(Dimensions!$C:$C,MATCH(B365,Dimensions!$A:$A,0)),"")="","No agreed source",IF(INDEX(Dimensions!$C:$C,MATCH(B365,Dimensions!$A:$A,0))=E365,"Yes","No")))</f>
        <v/>
      </c>
      <c r="H365" s="30"/>
      <c r="I365" s="30"/>
      <c r="J365" s="30"/>
      <c r="K365" s="34" t="str">
        <f aca="false">IF(AND(A365&lt;&gt;"",G365="No"),COUNTIF($G$5:G365,"No"),"")</f>
        <v/>
      </c>
    </row>
    <row r="366" customFormat="false" ht="15" hidden="false" customHeight="false" outlineLevel="0" collapsed="false">
      <c r="A366" s="29"/>
      <c r="B366" s="29"/>
      <c r="C366" s="20" t="str">
        <f aca="false">IF(A366="","",IFERROR(INDEX(Products!$B:$B,MATCH(A366,Products!$A:$A,0)),"ID not found"))</f>
        <v/>
      </c>
      <c r="D366" s="20" t="str">
        <f aca="false">IF(B366="","",IFERROR(INDEX(Dimensions!$B:$B,MATCH(B366,Dimensions!$A:$A,0)),"ID not found"))</f>
        <v/>
      </c>
      <c r="E366" s="30"/>
      <c r="F366" s="20" t="str">
        <f aca="false">IF(E366="","",IFERROR(INDEX(Tables!$B:$B,MATCH(E366,Tables!$A:$A,0)),"ID not found"))</f>
        <v/>
      </c>
      <c r="G366" s="20" t="str">
        <f aca="false">IF(OR(B366="",E366=""),"",IF(IFERROR(INDEX(Dimensions!$C:$C,MATCH(B366,Dimensions!$A:$A,0)),"")="","No agreed source",IF(INDEX(Dimensions!$C:$C,MATCH(B366,Dimensions!$A:$A,0))=E366,"Yes","No")))</f>
        <v/>
      </c>
      <c r="H366" s="30"/>
      <c r="I366" s="30"/>
      <c r="J366" s="30"/>
      <c r="K366" s="34" t="str">
        <f aca="false">IF(AND(A366&lt;&gt;"",G366="No"),COUNTIF($G$5:G366,"No"),"")</f>
        <v/>
      </c>
    </row>
    <row r="367" customFormat="false" ht="15" hidden="false" customHeight="false" outlineLevel="0" collapsed="false">
      <c r="A367" s="29"/>
      <c r="B367" s="29"/>
      <c r="C367" s="20" t="str">
        <f aca="false">IF(A367="","",IFERROR(INDEX(Products!$B:$B,MATCH(A367,Products!$A:$A,0)),"ID not found"))</f>
        <v/>
      </c>
      <c r="D367" s="20" t="str">
        <f aca="false">IF(B367="","",IFERROR(INDEX(Dimensions!$B:$B,MATCH(B367,Dimensions!$A:$A,0)),"ID not found"))</f>
        <v/>
      </c>
      <c r="E367" s="30"/>
      <c r="F367" s="20" t="str">
        <f aca="false">IF(E367="","",IFERROR(INDEX(Tables!$B:$B,MATCH(E367,Tables!$A:$A,0)),"ID not found"))</f>
        <v/>
      </c>
      <c r="G367" s="20" t="str">
        <f aca="false">IF(OR(B367="",E367=""),"",IF(IFERROR(INDEX(Dimensions!$C:$C,MATCH(B367,Dimensions!$A:$A,0)),"")="","No agreed source",IF(INDEX(Dimensions!$C:$C,MATCH(B367,Dimensions!$A:$A,0))=E367,"Yes","No")))</f>
        <v/>
      </c>
      <c r="H367" s="30"/>
      <c r="I367" s="30"/>
      <c r="J367" s="30"/>
      <c r="K367" s="34" t="str">
        <f aca="false">IF(AND(A367&lt;&gt;"",G367="No"),COUNTIF($G$5:G367,"No"),"")</f>
        <v/>
      </c>
    </row>
    <row r="368" customFormat="false" ht="15" hidden="false" customHeight="false" outlineLevel="0" collapsed="false">
      <c r="A368" s="29"/>
      <c r="B368" s="29"/>
      <c r="C368" s="20" t="str">
        <f aca="false">IF(A368="","",IFERROR(INDEX(Products!$B:$B,MATCH(A368,Products!$A:$A,0)),"ID not found"))</f>
        <v/>
      </c>
      <c r="D368" s="20" t="str">
        <f aca="false">IF(B368="","",IFERROR(INDEX(Dimensions!$B:$B,MATCH(B368,Dimensions!$A:$A,0)),"ID not found"))</f>
        <v/>
      </c>
      <c r="E368" s="30"/>
      <c r="F368" s="20" t="str">
        <f aca="false">IF(E368="","",IFERROR(INDEX(Tables!$B:$B,MATCH(E368,Tables!$A:$A,0)),"ID not found"))</f>
        <v/>
      </c>
      <c r="G368" s="20" t="str">
        <f aca="false">IF(OR(B368="",E368=""),"",IF(IFERROR(INDEX(Dimensions!$C:$C,MATCH(B368,Dimensions!$A:$A,0)),"")="","No agreed source",IF(INDEX(Dimensions!$C:$C,MATCH(B368,Dimensions!$A:$A,0))=E368,"Yes","No")))</f>
        <v/>
      </c>
      <c r="H368" s="30"/>
      <c r="I368" s="30"/>
      <c r="J368" s="30"/>
      <c r="K368" s="34" t="str">
        <f aca="false">IF(AND(A368&lt;&gt;"",G368="No"),COUNTIF($G$5:G368,"No"),"")</f>
        <v/>
      </c>
    </row>
    <row r="369" customFormat="false" ht="15" hidden="false" customHeight="false" outlineLevel="0" collapsed="false">
      <c r="A369" s="29"/>
      <c r="B369" s="29"/>
      <c r="C369" s="20" t="str">
        <f aca="false">IF(A369="","",IFERROR(INDEX(Products!$B:$B,MATCH(A369,Products!$A:$A,0)),"ID not found"))</f>
        <v/>
      </c>
      <c r="D369" s="20" t="str">
        <f aca="false">IF(B369="","",IFERROR(INDEX(Dimensions!$B:$B,MATCH(B369,Dimensions!$A:$A,0)),"ID not found"))</f>
        <v/>
      </c>
      <c r="E369" s="30"/>
      <c r="F369" s="20" t="str">
        <f aca="false">IF(E369="","",IFERROR(INDEX(Tables!$B:$B,MATCH(E369,Tables!$A:$A,0)),"ID not found"))</f>
        <v/>
      </c>
      <c r="G369" s="20" t="str">
        <f aca="false">IF(OR(B369="",E369=""),"",IF(IFERROR(INDEX(Dimensions!$C:$C,MATCH(B369,Dimensions!$A:$A,0)),"")="","No agreed source",IF(INDEX(Dimensions!$C:$C,MATCH(B369,Dimensions!$A:$A,0))=E369,"Yes","No")))</f>
        <v/>
      </c>
      <c r="H369" s="30"/>
      <c r="I369" s="30"/>
      <c r="J369" s="30"/>
      <c r="K369" s="34" t="str">
        <f aca="false">IF(AND(A369&lt;&gt;"",G369="No"),COUNTIF($G$5:G369,"No"),"")</f>
        <v/>
      </c>
    </row>
    <row r="370" customFormat="false" ht="15" hidden="false" customHeight="false" outlineLevel="0" collapsed="false">
      <c r="A370" s="29"/>
      <c r="B370" s="29"/>
      <c r="C370" s="20" t="str">
        <f aca="false">IF(A370="","",IFERROR(INDEX(Products!$B:$B,MATCH(A370,Products!$A:$A,0)),"ID not found"))</f>
        <v/>
      </c>
      <c r="D370" s="20" t="str">
        <f aca="false">IF(B370="","",IFERROR(INDEX(Dimensions!$B:$B,MATCH(B370,Dimensions!$A:$A,0)),"ID not found"))</f>
        <v/>
      </c>
      <c r="E370" s="30"/>
      <c r="F370" s="20" t="str">
        <f aca="false">IF(E370="","",IFERROR(INDEX(Tables!$B:$B,MATCH(E370,Tables!$A:$A,0)),"ID not found"))</f>
        <v/>
      </c>
      <c r="G370" s="20" t="str">
        <f aca="false">IF(OR(B370="",E370=""),"",IF(IFERROR(INDEX(Dimensions!$C:$C,MATCH(B370,Dimensions!$A:$A,0)),"")="","No agreed source",IF(INDEX(Dimensions!$C:$C,MATCH(B370,Dimensions!$A:$A,0))=E370,"Yes","No")))</f>
        <v/>
      </c>
      <c r="H370" s="30"/>
      <c r="I370" s="30"/>
      <c r="J370" s="30"/>
      <c r="K370" s="34" t="str">
        <f aca="false">IF(AND(A370&lt;&gt;"",G370="No"),COUNTIF($G$5:G370,"No"),"")</f>
        <v/>
      </c>
    </row>
    <row r="371" customFormat="false" ht="15" hidden="false" customHeight="false" outlineLevel="0" collapsed="false">
      <c r="A371" s="29"/>
      <c r="B371" s="29"/>
      <c r="C371" s="20" t="str">
        <f aca="false">IF(A371="","",IFERROR(INDEX(Products!$B:$B,MATCH(A371,Products!$A:$A,0)),"ID not found"))</f>
        <v/>
      </c>
      <c r="D371" s="20" t="str">
        <f aca="false">IF(B371="","",IFERROR(INDEX(Dimensions!$B:$B,MATCH(B371,Dimensions!$A:$A,0)),"ID not found"))</f>
        <v/>
      </c>
      <c r="E371" s="30"/>
      <c r="F371" s="20" t="str">
        <f aca="false">IF(E371="","",IFERROR(INDEX(Tables!$B:$B,MATCH(E371,Tables!$A:$A,0)),"ID not found"))</f>
        <v/>
      </c>
      <c r="G371" s="20" t="str">
        <f aca="false">IF(OR(B371="",E371=""),"",IF(IFERROR(INDEX(Dimensions!$C:$C,MATCH(B371,Dimensions!$A:$A,0)),"")="","No agreed source",IF(INDEX(Dimensions!$C:$C,MATCH(B371,Dimensions!$A:$A,0))=E371,"Yes","No")))</f>
        <v/>
      </c>
      <c r="H371" s="30"/>
      <c r="I371" s="30"/>
      <c r="J371" s="30"/>
      <c r="K371" s="34" t="str">
        <f aca="false">IF(AND(A371&lt;&gt;"",G371="No"),COUNTIF($G$5:G371,"No"),"")</f>
        <v/>
      </c>
    </row>
    <row r="372" customFormat="false" ht="15" hidden="false" customHeight="false" outlineLevel="0" collapsed="false">
      <c r="A372" s="29"/>
      <c r="B372" s="29"/>
      <c r="C372" s="20" t="str">
        <f aca="false">IF(A372="","",IFERROR(INDEX(Products!$B:$B,MATCH(A372,Products!$A:$A,0)),"ID not found"))</f>
        <v/>
      </c>
      <c r="D372" s="20" t="str">
        <f aca="false">IF(B372="","",IFERROR(INDEX(Dimensions!$B:$B,MATCH(B372,Dimensions!$A:$A,0)),"ID not found"))</f>
        <v/>
      </c>
      <c r="E372" s="30"/>
      <c r="F372" s="20" t="str">
        <f aca="false">IF(E372="","",IFERROR(INDEX(Tables!$B:$B,MATCH(E372,Tables!$A:$A,0)),"ID not found"))</f>
        <v/>
      </c>
      <c r="G372" s="20" t="str">
        <f aca="false">IF(OR(B372="",E372=""),"",IF(IFERROR(INDEX(Dimensions!$C:$C,MATCH(B372,Dimensions!$A:$A,0)),"")="","No agreed source",IF(INDEX(Dimensions!$C:$C,MATCH(B372,Dimensions!$A:$A,0))=E372,"Yes","No")))</f>
        <v/>
      </c>
      <c r="H372" s="30"/>
      <c r="I372" s="30"/>
      <c r="J372" s="30"/>
      <c r="K372" s="34" t="str">
        <f aca="false">IF(AND(A372&lt;&gt;"",G372="No"),COUNTIF($G$5:G372,"No"),"")</f>
        <v/>
      </c>
    </row>
    <row r="373" customFormat="false" ht="15" hidden="false" customHeight="false" outlineLevel="0" collapsed="false">
      <c r="A373" s="29"/>
      <c r="B373" s="29"/>
      <c r="C373" s="20" t="str">
        <f aca="false">IF(A373="","",IFERROR(INDEX(Products!$B:$B,MATCH(A373,Products!$A:$A,0)),"ID not found"))</f>
        <v/>
      </c>
      <c r="D373" s="20" t="str">
        <f aca="false">IF(B373="","",IFERROR(INDEX(Dimensions!$B:$B,MATCH(B373,Dimensions!$A:$A,0)),"ID not found"))</f>
        <v/>
      </c>
      <c r="E373" s="30"/>
      <c r="F373" s="20" t="str">
        <f aca="false">IF(E373="","",IFERROR(INDEX(Tables!$B:$B,MATCH(E373,Tables!$A:$A,0)),"ID not found"))</f>
        <v/>
      </c>
      <c r="G373" s="20" t="str">
        <f aca="false">IF(OR(B373="",E373=""),"",IF(IFERROR(INDEX(Dimensions!$C:$C,MATCH(B373,Dimensions!$A:$A,0)),"")="","No agreed source",IF(INDEX(Dimensions!$C:$C,MATCH(B373,Dimensions!$A:$A,0))=E373,"Yes","No")))</f>
        <v/>
      </c>
      <c r="H373" s="30"/>
      <c r="I373" s="30"/>
      <c r="J373" s="30"/>
      <c r="K373" s="34" t="str">
        <f aca="false">IF(AND(A373&lt;&gt;"",G373="No"),COUNTIF($G$5:G373,"No"),"")</f>
        <v/>
      </c>
    </row>
    <row r="374" customFormat="false" ht="15" hidden="false" customHeight="false" outlineLevel="0" collapsed="false">
      <c r="A374" s="29"/>
      <c r="B374" s="29"/>
      <c r="C374" s="20" t="str">
        <f aca="false">IF(A374="","",IFERROR(INDEX(Products!$B:$B,MATCH(A374,Products!$A:$A,0)),"ID not found"))</f>
        <v/>
      </c>
      <c r="D374" s="20" t="str">
        <f aca="false">IF(B374="","",IFERROR(INDEX(Dimensions!$B:$B,MATCH(B374,Dimensions!$A:$A,0)),"ID not found"))</f>
        <v/>
      </c>
      <c r="E374" s="30"/>
      <c r="F374" s="20" t="str">
        <f aca="false">IF(E374="","",IFERROR(INDEX(Tables!$B:$B,MATCH(E374,Tables!$A:$A,0)),"ID not found"))</f>
        <v/>
      </c>
      <c r="G374" s="20" t="str">
        <f aca="false">IF(OR(B374="",E374=""),"",IF(IFERROR(INDEX(Dimensions!$C:$C,MATCH(B374,Dimensions!$A:$A,0)),"")="","No agreed source",IF(INDEX(Dimensions!$C:$C,MATCH(B374,Dimensions!$A:$A,0))=E374,"Yes","No")))</f>
        <v/>
      </c>
      <c r="H374" s="30"/>
      <c r="I374" s="30"/>
      <c r="J374" s="30"/>
      <c r="K374" s="34" t="str">
        <f aca="false">IF(AND(A374&lt;&gt;"",G374="No"),COUNTIF($G$5:G374,"No"),"")</f>
        <v/>
      </c>
    </row>
    <row r="375" customFormat="false" ht="15" hidden="false" customHeight="false" outlineLevel="0" collapsed="false">
      <c r="A375" s="29"/>
      <c r="B375" s="29"/>
      <c r="C375" s="20" t="str">
        <f aca="false">IF(A375="","",IFERROR(INDEX(Products!$B:$B,MATCH(A375,Products!$A:$A,0)),"ID not found"))</f>
        <v/>
      </c>
      <c r="D375" s="20" t="str">
        <f aca="false">IF(B375="","",IFERROR(INDEX(Dimensions!$B:$B,MATCH(B375,Dimensions!$A:$A,0)),"ID not found"))</f>
        <v/>
      </c>
      <c r="E375" s="30"/>
      <c r="F375" s="20" t="str">
        <f aca="false">IF(E375="","",IFERROR(INDEX(Tables!$B:$B,MATCH(E375,Tables!$A:$A,0)),"ID not found"))</f>
        <v/>
      </c>
      <c r="G375" s="20" t="str">
        <f aca="false">IF(OR(B375="",E375=""),"",IF(IFERROR(INDEX(Dimensions!$C:$C,MATCH(B375,Dimensions!$A:$A,0)),"")="","No agreed source",IF(INDEX(Dimensions!$C:$C,MATCH(B375,Dimensions!$A:$A,0))=E375,"Yes","No")))</f>
        <v/>
      </c>
      <c r="H375" s="30"/>
      <c r="I375" s="30"/>
      <c r="J375" s="30"/>
      <c r="K375" s="34" t="str">
        <f aca="false">IF(AND(A375&lt;&gt;"",G375="No"),COUNTIF($G$5:G375,"No"),"")</f>
        <v/>
      </c>
    </row>
    <row r="376" customFormat="false" ht="15" hidden="false" customHeight="false" outlineLevel="0" collapsed="false">
      <c r="A376" s="29"/>
      <c r="B376" s="29"/>
      <c r="C376" s="20" t="str">
        <f aca="false">IF(A376="","",IFERROR(INDEX(Products!$B:$B,MATCH(A376,Products!$A:$A,0)),"ID not found"))</f>
        <v/>
      </c>
      <c r="D376" s="20" t="str">
        <f aca="false">IF(B376="","",IFERROR(INDEX(Dimensions!$B:$B,MATCH(B376,Dimensions!$A:$A,0)),"ID not found"))</f>
        <v/>
      </c>
      <c r="E376" s="30"/>
      <c r="F376" s="20" t="str">
        <f aca="false">IF(E376="","",IFERROR(INDEX(Tables!$B:$B,MATCH(E376,Tables!$A:$A,0)),"ID not found"))</f>
        <v/>
      </c>
      <c r="G376" s="20" t="str">
        <f aca="false">IF(OR(B376="",E376=""),"",IF(IFERROR(INDEX(Dimensions!$C:$C,MATCH(B376,Dimensions!$A:$A,0)),"")="","No agreed source",IF(INDEX(Dimensions!$C:$C,MATCH(B376,Dimensions!$A:$A,0))=E376,"Yes","No")))</f>
        <v/>
      </c>
      <c r="H376" s="30"/>
      <c r="I376" s="30"/>
      <c r="J376" s="30"/>
      <c r="K376" s="34" t="str">
        <f aca="false">IF(AND(A376&lt;&gt;"",G376="No"),COUNTIF($G$5:G376,"No"),"")</f>
        <v/>
      </c>
    </row>
    <row r="377" customFormat="false" ht="15" hidden="false" customHeight="false" outlineLevel="0" collapsed="false">
      <c r="A377" s="29"/>
      <c r="B377" s="29"/>
      <c r="C377" s="20" t="str">
        <f aca="false">IF(A377="","",IFERROR(INDEX(Products!$B:$B,MATCH(A377,Products!$A:$A,0)),"ID not found"))</f>
        <v/>
      </c>
      <c r="D377" s="20" t="str">
        <f aca="false">IF(B377="","",IFERROR(INDEX(Dimensions!$B:$B,MATCH(B377,Dimensions!$A:$A,0)),"ID not found"))</f>
        <v/>
      </c>
      <c r="E377" s="30"/>
      <c r="F377" s="20" t="str">
        <f aca="false">IF(E377="","",IFERROR(INDEX(Tables!$B:$B,MATCH(E377,Tables!$A:$A,0)),"ID not found"))</f>
        <v/>
      </c>
      <c r="G377" s="20" t="str">
        <f aca="false">IF(OR(B377="",E377=""),"",IF(IFERROR(INDEX(Dimensions!$C:$C,MATCH(B377,Dimensions!$A:$A,0)),"")="","No agreed source",IF(INDEX(Dimensions!$C:$C,MATCH(B377,Dimensions!$A:$A,0))=E377,"Yes","No")))</f>
        <v/>
      </c>
      <c r="H377" s="30"/>
      <c r="I377" s="30"/>
      <c r="J377" s="30"/>
      <c r="K377" s="34" t="str">
        <f aca="false">IF(AND(A377&lt;&gt;"",G377="No"),COUNTIF($G$5:G377,"No"),"")</f>
        <v/>
      </c>
    </row>
    <row r="378" customFormat="false" ht="15" hidden="false" customHeight="false" outlineLevel="0" collapsed="false">
      <c r="A378" s="29"/>
      <c r="B378" s="29"/>
      <c r="C378" s="20" t="str">
        <f aca="false">IF(A378="","",IFERROR(INDEX(Products!$B:$B,MATCH(A378,Products!$A:$A,0)),"ID not found"))</f>
        <v/>
      </c>
      <c r="D378" s="20" t="str">
        <f aca="false">IF(B378="","",IFERROR(INDEX(Dimensions!$B:$B,MATCH(B378,Dimensions!$A:$A,0)),"ID not found"))</f>
        <v/>
      </c>
      <c r="E378" s="30"/>
      <c r="F378" s="20" t="str">
        <f aca="false">IF(E378="","",IFERROR(INDEX(Tables!$B:$B,MATCH(E378,Tables!$A:$A,0)),"ID not found"))</f>
        <v/>
      </c>
      <c r="G378" s="20" t="str">
        <f aca="false">IF(OR(B378="",E378=""),"",IF(IFERROR(INDEX(Dimensions!$C:$C,MATCH(B378,Dimensions!$A:$A,0)),"")="","No agreed source",IF(INDEX(Dimensions!$C:$C,MATCH(B378,Dimensions!$A:$A,0))=E378,"Yes","No")))</f>
        <v/>
      </c>
      <c r="H378" s="30"/>
      <c r="I378" s="30"/>
      <c r="J378" s="30"/>
      <c r="K378" s="34" t="str">
        <f aca="false">IF(AND(A378&lt;&gt;"",G378="No"),COUNTIF($G$5:G378,"No"),"")</f>
        <v/>
      </c>
    </row>
    <row r="379" customFormat="false" ht="15" hidden="false" customHeight="false" outlineLevel="0" collapsed="false">
      <c r="A379" s="29"/>
      <c r="B379" s="29"/>
      <c r="C379" s="20" t="str">
        <f aca="false">IF(A379="","",IFERROR(INDEX(Products!$B:$B,MATCH(A379,Products!$A:$A,0)),"ID not found"))</f>
        <v/>
      </c>
      <c r="D379" s="20" t="str">
        <f aca="false">IF(B379="","",IFERROR(INDEX(Dimensions!$B:$B,MATCH(B379,Dimensions!$A:$A,0)),"ID not found"))</f>
        <v/>
      </c>
      <c r="E379" s="30"/>
      <c r="F379" s="20" t="str">
        <f aca="false">IF(E379="","",IFERROR(INDEX(Tables!$B:$B,MATCH(E379,Tables!$A:$A,0)),"ID not found"))</f>
        <v/>
      </c>
      <c r="G379" s="20" t="str">
        <f aca="false">IF(OR(B379="",E379=""),"",IF(IFERROR(INDEX(Dimensions!$C:$C,MATCH(B379,Dimensions!$A:$A,0)),"")="","No agreed source",IF(INDEX(Dimensions!$C:$C,MATCH(B379,Dimensions!$A:$A,0))=E379,"Yes","No")))</f>
        <v/>
      </c>
      <c r="H379" s="30"/>
      <c r="I379" s="30"/>
      <c r="J379" s="30"/>
      <c r="K379" s="34" t="str">
        <f aca="false">IF(AND(A379&lt;&gt;"",G379="No"),COUNTIF($G$5:G379,"No"),"")</f>
        <v/>
      </c>
    </row>
    <row r="380" customFormat="false" ht="15" hidden="false" customHeight="false" outlineLevel="0" collapsed="false">
      <c r="A380" s="29"/>
      <c r="B380" s="29"/>
      <c r="C380" s="20" t="str">
        <f aca="false">IF(A380="","",IFERROR(INDEX(Products!$B:$B,MATCH(A380,Products!$A:$A,0)),"ID not found"))</f>
        <v/>
      </c>
      <c r="D380" s="20" t="str">
        <f aca="false">IF(B380="","",IFERROR(INDEX(Dimensions!$B:$B,MATCH(B380,Dimensions!$A:$A,0)),"ID not found"))</f>
        <v/>
      </c>
      <c r="E380" s="30"/>
      <c r="F380" s="20" t="str">
        <f aca="false">IF(E380="","",IFERROR(INDEX(Tables!$B:$B,MATCH(E380,Tables!$A:$A,0)),"ID not found"))</f>
        <v/>
      </c>
      <c r="G380" s="20" t="str">
        <f aca="false">IF(OR(B380="",E380=""),"",IF(IFERROR(INDEX(Dimensions!$C:$C,MATCH(B380,Dimensions!$A:$A,0)),"")="","No agreed source",IF(INDEX(Dimensions!$C:$C,MATCH(B380,Dimensions!$A:$A,0))=E380,"Yes","No")))</f>
        <v/>
      </c>
      <c r="H380" s="30"/>
      <c r="I380" s="30"/>
      <c r="J380" s="30"/>
      <c r="K380" s="34" t="str">
        <f aca="false">IF(AND(A380&lt;&gt;"",G380="No"),COUNTIF($G$5:G380,"No"),"")</f>
        <v/>
      </c>
    </row>
    <row r="381" customFormat="false" ht="15" hidden="false" customHeight="false" outlineLevel="0" collapsed="false">
      <c r="A381" s="29"/>
      <c r="B381" s="29"/>
      <c r="C381" s="20" t="str">
        <f aca="false">IF(A381="","",IFERROR(INDEX(Products!$B:$B,MATCH(A381,Products!$A:$A,0)),"ID not found"))</f>
        <v/>
      </c>
      <c r="D381" s="20" t="str">
        <f aca="false">IF(B381="","",IFERROR(INDEX(Dimensions!$B:$B,MATCH(B381,Dimensions!$A:$A,0)),"ID not found"))</f>
        <v/>
      </c>
      <c r="E381" s="30"/>
      <c r="F381" s="20" t="str">
        <f aca="false">IF(E381="","",IFERROR(INDEX(Tables!$B:$B,MATCH(E381,Tables!$A:$A,0)),"ID not found"))</f>
        <v/>
      </c>
      <c r="G381" s="20" t="str">
        <f aca="false">IF(OR(B381="",E381=""),"",IF(IFERROR(INDEX(Dimensions!$C:$C,MATCH(B381,Dimensions!$A:$A,0)),"")="","No agreed source",IF(INDEX(Dimensions!$C:$C,MATCH(B381,Dimensions!$A:$A,0))=E381,"Yes","No")))</f>
        <v/>
      </c>
      <c r="H381" s="30"/>
      <c r="I381" s="30"/>
      <c r="J381" s="30"/>
      <c r="K381" s="34" t="str">
        <f aca="false">IF(AND(A381&lt;&gt;"",G381="No"),COUNTIF($G$5:G381,"No"),"")</f>
        <v/>
      </c>
    </row>
    <row r="382" customFormat="false" ht="15" hidden="false" customHeight="false" outlineLevel="0" collapsed="false">
      <c r="A382" s="29"/>
      <c r="B382" s="29"/>
      <c r="C382" s="20" t="str">
        <f aca="false">IF(A382="","",IFERROR(INDEX(Products!$B:$B,MATCH(A382,Products!$A:$A,0)),"ID not found"))</f>
        <v/>
      </c>
      <c r="D382" s="20" t="str">
        <f aca="false">IF(B382="","",IFERROR(INDEX(Dimensions!$B:$B,MATCH(B382,Dimensions!$A:$A,0)),"ID not found"))</f>
        <v/>
      </c>
      <c r="E382" s="30"/>
      <c r="F382" s="20" t="str">
        <f aca="false">IF(E382="","",IFERROR(INDEX(Tables!$B:$B,MATCH(E382,Tables!$A:$A,0)),"ID not found"))</f>
        <v/>
      </c>
      <c r="G382" s="20" t="str">
        <f aca="false">IF(OR(B382="",E382=""),"",IF(IFERROR(INDEX(Dimensions!$C:$C,MATCH(B382,Dimensions!$A:$A,0)),"")="","No agreed source",IF(INDEX(Dimensions!$C:$C,MATCH(B382,Dimensions!$A:$A,0))=E382,"Yes","No")))</f>
        <v/>
      </c>
      <c r="H382" s="30"/>
      <c r="I382" s="30"/>
      <c r="J382" s="30"/>
      <c r="K382" s="34" t="str">
        <f aca="false">IF(AND(A382&lt;&gt;"",G382="No"),COUNTIF($G$5:G382,"No"),"")</f>
        <v/>
      </c>
    </row>
    <row r="383" customFormat="false" ht="15" hidden="false" customHeight="false" outlineLevel="0" collapsed="false">
      <c r="A383" s="29"/>
      <c r="B383" s="29"/>
      <c r="C383" s="20" t="str">
        <f aca="false">IF(A383="","",IFERROR(INDEX(Products!$B:$B,MATCH(A383,Products!$A:$A,0)),"ID not found"))</f>
        <v/>
      </c>
      <c r="D383" s="20" t="str">
        <f aca="false">IF(B383="","",IFERROR(INDEX(Dimensions!$B:$B,MATCH(B383,Dimensions!$A:$A,0)),"ID not found"))</f>
        <v/>
      </c>
      <c r="E383" s="30"/>
      <c r="F383" s="20" t="str">
        <f aca="false">IF(E383="","",IFERROR(INDEX(Tables!$B:$B,MATCH(E383,Tables!$A:$A,0)),"ID not found"))</f>
        <v/>
      </c>
      <c r="G383" s="20" t="str">
        <f aca="false">IF(OR(B383="",E383=""),"",IF(IFERROR(INDEX(Dimensions!$C:$C,MATCH(B383,Dimensions!$A:$A,0)),"")="","No agreed source",IF(INDEX(Dimensions!$C:$C,MATCH(B383,Dimensions!$A:$A,0))=E383,"Yes","No")))</f>
        <v/>
      </c>
      <c r="H383" s="30"/>
      <c r="I383" s="30"/>
      <c r="J383" s="30"/>
      <c r="K383" s="34" t="str">
        <f aca="false">IF(AND(A383&lt;&gt;"",G383="No"),COUNTIF($G$5:G383,"No"),"")</f>
        <v/>
      </c>
    </row>
    <row r="384" customFormat="false" ht="15" hidden="false" customHeight="false" outlineLevel="0" collapsed="false">
      <c r="A384" s="29"/>
      <c r="B384" s="29"/>
      <c r="C384" s="20" t="str">
        <f aca="false">IF(A384="","",IFERROR(INDEX(Products!$B:$B,MATCH(A384,Products!$A:$A,0)),"ID not found"))</f>
        <v/>
      </c>
      <c r="D384" s="20" t="str">
        <f aca="false">IF(B384="","",IFERROR(INDEX(Dimensions!$B:$B,MATCH(B384,Dimensions!$A:$A,0)),"ID not found"))</f>
        <v/>
      </c>
      <c r="E384" s="30"/>
      <c r="F384" s="20" t="str">
        <f aca="false">IF(E384="","",IFERROR(INDEX(Tables!$B:$B,MATCH(E384,Tables!$A:$A,0)),"ID not found"))</f>
        <v/>
      </c>
      <c r="G384" s="20" t="str">
        <f aca="false">IF(OR(B384="",E384=""),"",IF(IFERROR(INDEX(Dimensions!$C:$C,MATCH(B384,Dimensions!$A:$A,0)),"")="","No agreed source",IF(INDEX(Dimensions!$C:$C,MATCH(B384,Dimensions!$A:$A,0))=E384,"Yes","No")))</f>
        <v/>
      </c>
      <c r="H384" s="30"/>
      <c r="I384" s="30"/>
      <c r="J384" s="30"/>
      <c r="K384" s="34" t="str">
        <f aca="false">IF(AND(A384&lt;&gt;"",G384="No"),COUNTIF($G$5:G384,"No"),"")</f>
        <v/>
      </c>
    </row>
    <row r="385" customFormat="false" ht="15" hidden="false" customHeight="false" outlineLevel="0" collapsed="false">
      <c r="A385" s="29"/>
      <c r="B385" s="29"/>
      <c r="C385" s="20" t="str">
        <f aca="false">IF(A385="","",IFERROR(INDEX(Products!$B:$B,MATCH(A385,Products!$A:$A,0)),"ID not found"))</f>
        <v/>
      </c>
      <c r="D385" s="20" t="str">
        <f aca="false">IF(B385="","",IFERROR(INDEX(Dimensions!$B:$B,MATCH(B385,Dimensions!$A:$A,0)),"ID not found"))</f>
        <v/>
      </c>
      <c r="E385" s="30"/>
      <c r="F385" s="20" t="str">
        <f aca="false">IF(E385="","",IFERROR(INDEX(Tables!$B:$B,MATCH(E385,Tables!$A:$A,0)),"ID not found"))</f>
        <v/>
      </c>
      <c r="G385" s="20" t="str">
        <f aca="false">IF(OR(B385="",E385=""),"",IF(IFERROR(INDEX(Dimensions!$C:$C,MATCH(B385,Dimensions!$A:$A,0)),"")="","No agreed source",IF(INDEX(Dimensions!$C:$C,MATCH(B385,Dimensions!$A:$A,0))=E385,"Yes","No")))</f>
        <v/>
      </c>
      <c r="H385" s="30"/>
      <c r="I385" s="30"/>
      <c r="J385" s="30"/>
      <c r="K385" s="34" t="str">
        <f aca="false">IF(AND(A385&lt;&gt;"",G385="No"),COUNTIF($G$5:G385,"No"),"")</f>
        <v/>
      </c>
    </row>
    <row r="386" customFormat="false" ht="15" hidden="false" customHeight="false" outlineLevel="0" collapsed="false">
      <c r="A386" s="29"/>
      <c r="B386" s="29"/>
      <c r="C386" s="20" t="str">
        <f aca="false">IF(A386="","",IFERROR(INDEX(Products!$B:$B,MATCH(A386,Products!$A:$A,0)),"ID not found"))</f>
        <v/>
      </c>
      <c r="D386" s="20" t="str">
        <f aca="false">IF(B386="","",IFERROR(INDEX(Dimensions!$B:$B,MATCH(B386,Dimensions!$A:$A,0)),"ID not found"))</f>
        <v/>
      </c>
      <c r="E386" s="30"/>
      <c r="F386" s="20" t="str">
        <f aca="false">IF(E386="","",IFERROR(INDEX(Tables!$B:$B,MATCH(E386,Tables!$A:$A,0)),"ID not found"))</f>
        <v/>
      </c>
      <c r="G386" s="20" t="str">
        <f aca="false">IF(OR(B386="",E386=""),"",IF(IFERROR(INDEX(Dimensions!$C:$C,MATCH(B386,Dimensions!$A:$A,0)),"")="","No agreed source",IF(INDEX(Dimensions!$C:$C,MATCH(B386,Dimensions!$A:$A,0))=E386,"Yes","No")))</f>
        <v/>
      </c>
      <c r="H386" s="30"/>
      <c r="I386" s="30"/>
      <c r="J386" s="30"/>
      <c r="K386" s="34" t="str">
        <f aca="false">IF(AND(A386&lt;&gt;"",G386="No"),COUNTIF($G$5:G386,"No"),"")</f>
        <v/>
      </c>
    </row>
    <row r="387" customFormat="false" ht="15" hidden="false" customHeight="false" outlineLevel="0" collapsed="false">
      <c r="A387" s="29"/>
      <c r="B387" s="29"/>
      <c r="C387" s="20" t="str">
        <f aca="false">IF(A387="","",IFERROR(INDEX(Products!$B:$B,MATCH(A387,Products!$A:$A,0)),"ID not found"))</f>
        <v/>
      </c>
      <c r="D387" s="20" t="str">
        <f aca="false">IF(B387="","",IFERROR(INDEX(Dimensions!$B:$B,MATCH(B387,Dimensions!$A:$A,0)),"ID not found"))</f>
        <v/>
      </c>
      <c r="E387" s="30"/>
      <c r="F387" s="20" t="str">
        <f aca="false">IF(E387="","",IFERROR(INDEX(Tables!$B:$B,MATCH(E387,Tables!$A:$A,0)),"ID not found"))</f>
        <v/>
      </c>
      <c r="G387" s="20" t="str">
        <f aca="false">IF(OR(B387="",E387=""),"",IF(IFERROR(INDEX(Dimensions!$C:$C,MATCH(B387,Dimensions!$A:$A,0)),"")="","No agreed source",IF(INDEX(Dimensions!$C:$C,MATCH(B387,Dimensions!$A:$A,0))=E387,"Yes","No")))</f>
        <v/>
      </c>
      <c r="H387" s="30"/>
      <c r="I387" s="30"/>
      <c r="J387" s="30"/>
      <c r="K387" s="34" t="str">
        <f aca="false">IF(AND(A387&lt;&gt;"",G387="No"),COUNTIF($G$5:G387,"No"),"")</f>
        <v/>
      </c>
    </row>
    <row r="388" customFormat="false" ht="15" hidden="false" customHeight="false" outlineLevel="0" collapsed="false">
      <c r="A388" s="29"/>
      <c r="B388" s="29"/>
      <c r="C388" s="20" t="str">
        <f aca="false">IF(A388="","",IFERROR(INDEX(Products!$B:$B,MATCH(A388,Products!$A:$A,0)),"ID not found"))</f>
        <v/>
      </c>
      <c r="D388" s="20" t="str">
        <f aca="false">IF(B388="","",IFERROR(INDEX(Dimensions!$B:$B,MATCH(B388,Dimensions!$A:$A,0)),"ID not found"))</f>
        <v/>
      </c>
      <c r="E388" s="30"/>
      <c r="F388" s="20" t="str">
        <f aca="false">IF(E388="","",IFERROR(INDEX(Tables!$B:$B,MATCH(E388,Tables!$A:$A,0)),"ID not found"))</f>
        <v/>
      </c>
      <c r="G388" s="20" t="str">
        <f aca="false">IF(OR(B388="",E388=""),"",IF(IFERROR(INDEX(Dimensions!$C:$C,MATCH(B388,Dimensions!$A:$A,0)),"")="","No agreed source",IF(INDEX(Dimensions!$C:$C,MATCH(B388,Dimensions!$A:$A,0))=E388,"Yes","No")))</f>
        <v/>
      </c>
      <c r="H388" s="30"/>
      <c r="I388" s="30"/>
      <c r="J388" s="30"/>
      <c r="K388" s="34" t="str">
        <f aca="false">IF(AND(A388&lt;&gt;"",G388="No"),COUNTIF($G$5:G388,"No"),"")</f>
        <v/>
      </c>
    </row>
    <row r="389" customFormat="false" ht="15" hidden="false" customHeight="false" outlineLevel="0" collapsed="false">
      <c r="A389" s="29"/>
      <c r="B389" s="29"/>
      <c r="C389" s="20" t="str">
        <f aca="false">IF(A389="","",IFERROR(INDEX(Products!$B:$B,MATCH(A389,Products!$A:$A,0)),"ID not found"))</f>
        <v/>
      </c>
      <c r="D389" s="20" t="str">
        <f aca="false">IF(B389="","",IFERROR(INDEX(Dimensions!$B:$B,MATCH(B389,Dimensions!$A:$A,0)),"ID not found"))</f>
        <v/>
      </c>
      <c r="E389" s="30"/>
      <c r="F389" s="20" t="str">
        <f aca="false">IF(E389="","",IFERROR(INDEX(Tables!$B:$B,MATCH(E389,Tables!$A:$A,0)),"ID not found"))</f>
        <v/>
      </c>
      <c r="G389" s="20" t="str">
        <f aca="false">IF(OR(B389="",E389=""),"",IF(IFERROR(INDEX(Dimensions!$C:$C,MATCH(B389,Dimensions!$A:$A,0)),"")="","No agreed source",IF(INDEX(Dimensions!$C:$C,MATCH(B389,Dimensions!$A:$A,0))=E389,"Yes","No")))</f>
        <v/>
      </c>
      <c r="H389" s="30"/>
      <c r="I389" s="30"/>
      <c r="J389" s="30"/>
      <c r="K389" s="34" t="str">
        <f aca="false">IF(AND(A389&lt;&gt;"",G389="No"),COUNTIF($G$5:G389,"No"),"")</f>
        <v/>
      </c>
    </row>
    <row r="390" customFormat="false" ht="15" hidden="false" customHeight="false" outlineLevel="0" collapsed="false">
      <c r="A390" s="29"/>
      <c r="B390" s="29"/>
      <c r="C390" s="20" t="str">
        <f aca="false">IF(A390="","",IFERROR(INDEX(Products!$B:$B,MATCH(A390,Products!$A:$A,0)),"ID not found"))</f>
        <v/>
      </c>
      <c r="D390" s="20" t="str">
        <f aca="false">IF(B390="","",IFERROR(INDEX(Dimensions!$B:$B,MATCH(B390,Dimensions!$A:$A,0)),"ID not found"))</f>
        <v/>
      </c>
      <c r="E390" s="30"/>
      <c r="F390" s="20" t="str">
        <f aca="false">IF(E390="","",IFERROR(INDEX(Tables!$B:$B,MATCH(E390,Tables!$A:$A,0)),"ID not found"))</f>
        <v/>
      </c>
      <c r="G390" s="20" t="str">
        <f aca="false">IF(OR(B390="",E390=""),"",IF(IFERROR(INDEX(Dimensions!$C:$C,MATCH(B390,Dimensions!$A:$A,0)),"")="","No agreed source",IF(INDEX(Dimensions!$C:$C,MATCH(B390,Dimensions!$A:$A,0))=E390,"Yes","No")))</f>
        <v/>
      </c>
      <c r="H390" s="30"/>
      <c r="I390" s="30"/>
      <c r="J390" s="30"/>
      <c r="K390" s="34" t="str">
        <f aca="false">IF(AND(A390&lt;&gt;"",G390="No"),COUNTIF($G$5:G390,"No"),"")</f>
        <v/>
      </c>
    </row>
    <row r="391" customFormat="false" ht="15" hidden="false" customHeight="false" outlineLevel="0" collapsed="false">
      <c r="A391" s="29"/>
      <c r="B391" s="29"/>
      <c r="C391" s="20" t="str">
        <f aca="false">IF(A391="","",IFERROR(INDEX(Products!$B:$B,MATCH(A391,Products!$A:$A,0)),"ID not found"))</f>
        <v/>
      </c>
      <c r="D391" s="20" t="str">
        <f aca="false">IF(B391="","",IFERROR(INDEX(Dimensions!$B:$B,MATCH(B391,Dimensions!$A:$A,0)),"ID not found"))</f>
        <v/>
      </c>
      <c r="E391" s="30"/>
      <c r="F391" s="20" t="str">
        <f aca="false">IF(E391="","",IFERROR(INDEX(Tables!$B:$B,MATCH(E391,Tables!$A:$A,0)),"ID not found"))</f>
        <v/>
      </c>
      <c r="G391" s="20" t="str">
        <f aca="false">IF(OR(B391="",E391=""),"",IF(IFERROR(INDEX(Dimensions!$C:$C,MATCH(B391,Dimensions!$A:$A,0)),"")="","No agreed source",IF(INDEX(Dimensions!$C:$C,MATCH(B391,Dimensions!$A:$A,0))=E391,"Yes","No")))</f>
        <v/>
      </c>
      <c r="H391" s="30"/>
      <c r="I391" s="30"/>
      <c r="J391" s="30"/>
      <c r="K391" s="34" t="str">
        <f aca="false">IF(AND(A391&lt;&gt;"",G391="No"),COUNTIF($G$5:G391,"No"),"")</f>
        <v/>
      </c>
    </row>
    <row r="392" customFormat="false" ht="15" hidden="false" customHeight="false" outlineLevel="0" collapsed="false">
      <c r="A392" s="29"/>
      <c r="B392" s="29"/>
      <c r="C392" s="20" t="str">
        <f aca="false">IF(A392="","",IFERROR(INDEX(Products!$B:$B,MATCH(A392,Products!$A:$A,0)),"ID not found"))</f>
        <v/>
      </c>
      <c r="D392" s="20" t="str">
        <f aca="false">IF(B392="","",IFERROR(INDEX(Dimensions!$B:$B,MATCH(B392,Dimensions!$A:$A,0)),"ID not found"))</f>
        <v/>
      </c>
      <c r="E392" s="30"/>
      <c r="F392" s="20" t="str">
        <f aca="false">IF(E392="","",IFERROR(INDEX(Tables!$B:$B,MATCH(E392,Tables!$A:$A,0)),"ID not found"))</f>
        <v/>
      </c>
      <c r="G392" s="20" t="str">
        <f aca="false">IF(OR(B392="",E392=""),"",IF(IFERROR(INDEX(Dimensions!$C:$C,MATCH(B392,Dimensions!$A:$A,0)),"")="","No agreed source",IF(INDEX(Dimensions!$C:$C,MATCH(B392,Dimensions!$A:$A,0))=E392,"Yes","No")))</f>
        <v/>
      </c>
      <c r="H392" s="30"/>
      <c r="I392" s="30"/>
      <c r="J392" s="30"/>
      <c r="K392" s="34" t="str">
        <f aca="false">IF(AND(A392&lt;&gt;"",G392="No"),COUNTIF($G$5:G392,"No"),"")</f>
        <v/>
      </c>
    </row>
    <row r="393" customFormat="false" ht="15" hidden="false" customHeight="false" outlineLevel="0" collapsed="false">
      <c r="A393" s="29"/>
      <c r="B393" s="29"/>
      <c r="C393" s="20" t="str">
        <f aca="false">IF(A393="","",IFERROR(INDEX(Products!$B:$B,MATCH(A393,Products!$A:$A,0)),"ID not found"))</f>
        <v/>
      </c>
      <c r="D393" s="20" t="str">
        <f aca="false">IF(B393="","",IFERROR(INDEX(Dimensions!$B:$B,MATCH(B393,Dimensions!$A:$A,0)),"ID not found"))</f>
        <v/>
      </c>
      <c r="E393" s="30"/>
      <c r="F393" s="20" t="str">
        <f aca="false">IF(E393="","",IFERROR(INDEX(Tables!$B:$B,MATCH(E393,Tables!$A:$A,0)),"ID not found"))</f>
        <v/>
      </c>
      <c r="G393" s="20" t="str">
        <f aca="false">IF(OR(B393="",E393=""),"",IF(IFERROR(INDEX(Dimensions!$C:$C,MATCH(B393,Dimensions!$A:$A,0)),"")="","No agreed source",IF(INDEX(Dimensions!$C:$C,MATCH(B393,Dimensions!$A:$A,0))=E393,"Yes","No")))</f>
        <v/>
      </c>
      <c r="H393" s="30"/>
      <c r="I393" s="30"/>
      <c r="J393" s="30"/>
      <c r="K393" s="34" t="str">
        <f aca="false">IF(AND(A393&lt;&gt;"",G393="No"),COUNTIF($G$5:G393,"No"),"")</f>
        <v/>
      </c>
    </row>
    <row r="394" customFormat="false" ht="15" hidden="false" customHeight="false" outlineLevel="0" collapsed="false">
      <c r="A394" s="29"/>
      <c r="B394" s="29"/>
      <c r="C394" s="20" t="str">
        <f aca="false">IF(A394="","",IFERROR(INDEX(Products!$B:$B,MATCH(A394,Products!$A:$A,0)),"ID not found"))</f>
        <v/>
      </c>
      <c r="D394" s="20" t="str">
        <f aca="false">IF(B394="","",IFERROR(INDEX(Dimensions!$B:$B,MATCH(B394,Dimensions!$A:$A,0)),"ID not found"))</f>
        <v/>
      </c>
      <c r="E394" s="30"/>
      <c r="F394" s="20" t="str">
        <f aca="false">IF(E394="","",IFERROR(INDEX(Tables!$B:$B,MATCH(E394,Tables!$A:$A,0)),"ID not found"))</f>
        <v/>
      </c>
      <c r="G394" s="20" t="str">
        <f aca="false">IF(OR(B394="",E394=""),"",IF(IFERROR(INDEX(Dimensions!$C:$C,MATCH(B394,Dimensions!$A:$A,0)),"")="","No agreed source",IF(INDEX(Dimensions!$C:$C,MATCH(B394,Dimensions!$A:$A,0))=E394,"Yes","No")))</f>
        <v/>
      </c>
      <c r="H394" s="30"/>
      <c r="I394" s="30"/>
      <c r="J394" s="30"/>
      <c r="K394" s="34" t="str">
        <f aca="false">IF(AND(A394&lt;&gt;"",G394="No"),COUNTIF($G$5:G394,"No"),"")</f>
        <v/>
      </c>
    </row>
    <row r="395" customFormat="false" ht="15" hidden="false" customHeight="false" outlineLevel="0" collapsed="false">
      <c r="A395" s="29"/>
      <c r="B395" s="29"/>
      <c r="C395" s="20" t="str">
        <f aca="false">IF(A395="","",IFERROR(INDEX(Products!$B:$B,MATCH(A395,Products!$A:$A,0)),"ID not found"))</f>
        <v/>
      </c>
      <c r="D395" s="20" t="str">
        <f aca="false">IF(B395="","",IFERROR(INDEX(Dimensions!$B:$B,MATCH(B395,Dimensions!$A:$A,0)),"ID not found"))</f>
        <v/>
      </c>
      <c r="E395" s="30"/>
      <c r="F395" s="20" t="str">
        <f aca="false">IF(E395="","",IFERROR(INDEX(Tables!$B:$B,MATCH(E395,Tables!$A:$A,0)),"ID not found"))</f>
        <v/>
      </c>
      <c r="G395" s="20" t="str">
        <f aca="false">IF(OR(B395="",E395=""),"",IF(IFERROR(INDEX(Dimensions!$C:$C,MATCH(B395,Dimensions!$A:$A,0)),"")="","No agreed source",IF(INDEX(Dimensions!$C:$C,MATCH(B395,Dimensions!$A:$A,0))=E395,"Yes","No")))</f>
        <v/>
      </c>
      <c r="H395" s="30"/>
      <c r="I395" s="30"/>
      <c r="J395" s="30"/>
      <c r="K395" s="34" t="str">
        <f aca="false">IF(AND(A395&lt;&gt;"",G395="No"),COUNTIF($G$5:G395,"No"),"")</f>
        <v/>
      </c>
    </row>
    <row r="396" customFormat="false" ht="15" hidden="false" customHeight="false" outlineLevel="0" collapsed="false">
      <c r="A396" s="29"/>
      <c r="B396" s="29"/>
      <c r="C396" s="20" t="str">
        <f aca="false">IF(A396="","",IFERROR(INDEX(Products!$B:$B,MATCH(A396,Products!$A:$A,0)),"ID not found"))</f>
        <v/>
      </c>
      <c r="D396" s="20" t="str">
        <f aca="false">IF(B396="","",IFERROR(INDEX(Dimensions!$B:$B,MATCH(B396,Dimensions!$A:$A,0)),"ID not found"))</f>
        <v/>
      </c>
      <c r="E396" s="30"/>
      <c r="F396" s="20" t="str">
        <f aca="false">IF(E396="","",IFERROR(INDEX(Tables!$B:$B,MATCH(E396,Tables!$A:$A,0)),"ID not found"))</f>
        <v/>
      </c>
      <c r="G396" s="20" t="str">
        <f aca="false">IF(OR(B396="",E396=""),"",IF(IFERROR(INDEX(Dimensions!$C:$C,MATCH(B396,Dimensions!$A:$A,0)),"")="","No agreed source",IF(INDEX(Dimensions!$C:$C,MATCH(B396,Dimensions!$A:$A,0))=E396,"Yes","No")))</f>
        <v/>
      </c>
      <c r="H396" s="30"/>
      <c r="I396" s="30"/>
      <c r="J396" s="30"/>
      <c r="K396" s="34" t="str">
        <f aca="false">IF(AND(A396&lt;&gt;"",G396="No"),COUNTIF($G$5:G396,"No"),"")</f>
        <v/>
      </c>
    </row>
    <row r="397" customFormat="false" ht="15" hidden="false" customHeight="false" outlineLevel="0" collapsed="false">
      <c r="A397" s="29"/>
      <c r="B397" s="29"/>
      <c r="C397" s="20" t="str">
        <f aca="false">IF(A397="","",IFERROR(INDEX(Products!$B:$B,MATCH(A397,Products!$A:$A,0)),"ID not found"))</f>
        <v/>
      </c>
      <c r="D397" s="20" t="str">
        <f aca="false">IF(B397="","",IFERROR(INDEX(Dimensions!$B:$B,MATCH(B397,Dimensions!$A:$A,0)),"ID not found"))</f>
        <v/>
      </c>
      <c r="E397" s="30"/>
      <c r="F397" s="20" t="str">
        <f aca="false">IF(E397="","",IFERROR(INDEX(Tables!$B:$B,MATCH(E397,Tables!$A:$A,0)),"ID not found"))</f>
        <v/>
      </c>
      <c r="G397" s="20" t="str">
        <f aca="false">IF(OR(B397="",E397=""),"",IF(IFERROR(INDEX(Dimensions!$C:$C,MATCH(B397,Dimensions!$A:$A,0)),"")="","No agreed source",IF(INDEX(Dimensions!$C:$C,MATCH(B397,Dimensions!$A:$A,0))=E397,"Yes","No")))</f>
        <v/>
      </c>
      <c r="H397" s="30"/>
      <c r="I397" s="30"/>
      <c r="J397" s="30"/>
      <c r="K397" s="34" t="str">
        <f aca="false">IF(AND(A397&lt;&gt;"",G397="No"),COUNTIF($G$5:G397,"No"),"")</f>
        <v/>
      </c>
    </row>
    <row r="398" customFormat="false" ht="15" hidden="false" customHeight="false" outlineLevel="0" collapsed="false">
      <c r="A398" s="29"/>
      <c r="B398" s="29"/>
      <c r="C398" s="20" t="str">
        <f aca="false">IF(A398="","",IFERROR(INDEX(Products!$B:$B,MATCH(A398,Products!$A:$A,0)),"ID not found"))</f>
        <v/>
      </c>
      <c r="D398" s="20" t="str">
        <f aca="false">IF(B398="","",IFERROR(INDEX(Dimensions!$B:$B,MATCH(B398,Dimensions!$A:$A,0)),"ID not found"))</f>
        <v/>
      </c>
      <c r="E398" s="30"/>
      <c r="F398" s="20" t="str">
        <f aca="false">IF(E398="","",IFERROR(INDEX(Tables!$B:$B,MATCH(E398,Tables!$A:$A,0)),"ID not found"))</f>
        <v/>
      </c>
      <c r="G398" s="20" t="str">
        <f aca="false">IF(OR(B398="",E398=""),"",IF(IFERROR(INDEX(Dimensions!$C:$C,MATCH(B398,Dimensions!$A:$A,0)),"")="","No agreed source",IF(INDEX(Dimensions!$C:$C,MATCH(B398,Dimensions!$A:$A,0))=E398,"Yes","No")))</f>
        <v/>
      </c>
      <c r="H398" s="30"/>
      <c r="I398" s="30"/>
      <c r="J398" s="30"/>
      <c r="K398" s="34" t="str">
        <f aca="false">IF(AND(A398&lt;&gt;"",G398="No"),COUNTIF($G$5:G398,"No"),"")</f>
        <v/>
      </c>
    </row>
    <row r="399" customFormat="false" ht="15" hidden="false" customHeight="false" outlineLevel="0" collapsed="false">
      <c r="A399" s="29"/>
      <c r="B399" s="29"/>
      <c r="C399" s="20" t="str">
        <f aca="false">IF(A399="","",IFERROR(INDEX(Products!$B:$B,MATCH(A399,Products!$A:$A,0)),"ID not found"))</f>
        <v/>
      </c>
      <c r="D399" s="20" t="str">
        <f aca="false">IF(B399="","",IFERROR(INDEX(Dimensions!$B:$B,MATCH(B399,Dimensions!$A:$A,0)),"ID not found"))</f>
        <v/>
      </c>
      <c r="E399" s="30"/>
      <c r="F399" s="20" t="str">
        <f aca="false">IF(E399="","",IFERROR(INDEX(Tables!$B:$B,MATCH(E399,Tables!$A:$A,0)),"ID not found"))</f>
        <v/>
      </c>
      <c r="G399" s="20" t="str">
        <f aca="false">IF(OR(B399="",E399=""),"",IF(IFERROR(INDEX(Dimensions!$C:$C,MATCH(B399,Dimensions!$A:$A,0)),"")="","No agreed source",IF(INDEX(Dimensions!$C:$C,MATCH(B399,Dimensions!$A:$A,0))=E399,"Yes","No")))</f>
        <v/>
      </c>
      <c r="H399" s="30"/>
      <c r="I399" s="30"/>
      <c r="J399" s="30"/>
      <c r="K399" s="34" t="str">
        <f aca="false">IF(AND(A399&lt;&gt;"",G399="No"),COUNTIF($G$5:G399,"No"),"")</f>
        <v/>
      </c>
    </row>
    <row r="400" customFormat="false" ht="15" hidden="false" customHeight="false" outlineLevel="0" collapsed="false">
      <c r="A400" s="29"/>
      <c r="B400" s="29"/>
      <c r="C400" s="20" t="str">
        <f aca="false">IF(A400="","",IFERROR(INDEX(Products!$B:$B,MATCH(A400,Products!$A:$A,0)),"ID not found"))</f>
        <v/>
      </c>
      <c r="D400" s="20" t="str">
        <f aca="false">IF(B400="","",IFERROR(INDEX(Dimensions!$B:$B,MATCH(B400,Dimensions!$A:$A,0)),"ID not found"))</f>
        <v/>
      </c>
      <c r="E400" s="30"/>
      <c r="F400" s="20" t="str">
        <f aca="false">IF(E400="","",IFERROR(INDEX(Tables!$B:$B,MATCH(E400,Tables!$A:$A,0)),"ID not found"))</f>
        <v/>
      </c>
      <c r="G400" s="20" t="str">
        <f aca="false">IF(OR(B400="",E400=""),"",IF(IFERROR(INDEX(Dimensions!$C:$C,MATCH(B400,Dimensions!$A:$A,0)),"")="","No agreed source",IF(INDEX(Dimensions!$C:$C,MATCH(B400,Dimensions!$A:$A,0))=E400,"Yes","No")))</f>
        <v/>
      </c>
      <c r="H400" s="30"/>
      <c r="I400" s="30"/>
      <c r="J400" s="30"/>
      <c r="K400" s="34" t="str">
        <f aca="false">IF(AND(A400&lt;&gt;"",G400="No"),COUNTIF($G$5:G400,"No"),"")</f>
        <v/>
      </c>
    </row>
    <row r="401" customFormat="false" ht="15" hidden="false" customHeight="false" outlineLevel="0" collapsed="false">
      <c r="A401" s="29"/>
      <c r="B401" s="29"/>
      <c r="C401" s="20" t="str">
        <f aca="false">IF(A401="","",IFERROR(INDEX(Products!$B:$B,MATCH(A401,Products!$A:$A,0)),"ID not found"))</f>
        <v/>
      </c>
      <c r="D401" s="20" t="str">
        <f aca="false">IF(B401="","",IFERROR(INDEX(Dimensions!$B:$B,MATCH(B401,Dimensions!$A:$A,0)),"ID not found"))</f>
        <v/>
      </c>
      <c r="E401" s="30"/>
      <c r="F401" s="20" t="str">
        <f aca="false">IF(E401="","",IFERROR(INDEX(Tables!$B:$B,MATCH(E401,Tables!$A:$A,0)),"ID not found"))</f>
        <v/>
      </c>
      <c r="G401" s="20" t="str">
        <f aca="false">IF(OR(B401="",E401=""),"",IF(IFERROR(INDEX(Dimensions!$C:$C,MATCH(B401,Dimensions!$A:$A,0)),"")="","No agreed source",IF(INDEX(Dimensions!$C:$C,MATCH(B401,Dimensions!$A:$A,0))=E401,"Yes","No")))</f>
        <v/>
      </c>
      <c r="H401" s="30"/>
      <c r="I401" s="30"/>
      <c r="J401" s="30"/>
      <c r="K401" s="34" t="str">
        <f aca="false">IF(AND(A401&lt;&gt;"",G401="No"),COUNTIF($G$5:G401,"No"),"")</f>
        <v/>
      </c>
    </row>
    <row r="402" customFormat="false" ht="15" hidden="false" customHeight="false" outlineLevel="0" collapsed="false">
      <c r="A402" s="29"/>
      <c r="B402" s="29"/>
      <c r="C402" s="20" t="str">
        <f aca="false">IF(A402="","",IFERROR(INDEX(Products!$B:$B,MATCH(A402,Products!$A:$A,0)),"ID not found"))</f>
        <v/>
      </c>
      <c r="D402" s="20" t="str">
        <f aca="false">IF(B402="","",IFERROR(INDEX(Dimensions!$B:$B,MATCH(B402,Dimensions!$A:$A,0)),"ID not found"))</f>
        <v/>
      </c>
      <c r="E402" s="30"/>
      <c r="F402" s="20" t="str">
        <f aca="false">IF(E402="","",IFERROR(INDEX(Tables!$B:$B,MATCH(E402,Tables!$A:$A,0)),"ID not found"))</f>
        <v/>
      </c>
      <c r="G402" s="20" t="str">
        <f aca="false">IF(OR(B402="",E402=""),"",IF(IFERROR(INDEX(Dimensions!$C:$C,MATCH(B402,Dimensions!$A:$A,0)),"")="","No agreed source",IF(INDEX(Dimensions!$C:$C,MATCH(B402,Dimensions!$A:$A,0))=E402,"Yes","No")))</f>
        <v/>
      </c>
      <c r="H402" s="30"/>
      <c r="I402" s="30"/>
      <c r="J402" s="30"/>
      <c r="K402" s="34" t="str">
        <f aca="false">IF(AND(A402&lt;&gt;"",G402="No"),COUNTIF($G$5:G402,"No"),"")</f>
        <v/>
      </c>
    </row>
    <row r="403" customFormat="false" ht="15" hidden="false" customHeight="false" outlineLevel="0" collapsed="false">
      <c r="A403" s="29"/>
      <c r="B403" s="29"/>
      <c r="C403" s="20" t="str">
        <f aca="false">IF(A403="","",IFERROR(INDEX(Products!$B:$B,MATCH(A403,Products!$A:$A,0)),"ID not found"))</f>
        <v/>
      </c>
      <c r="D403" s="20" t="str">
        <f aca="false">IF(B403="","",IFERROR(INDEX(Dimensions!$B:$B,MATCH(B403,Dimensions!$A:$A,0)),"ID not found"))</f>
        <v/>
      </c>
      <c r="E403" s="30"/>
      <c r="F403" s="20" t="str">
        <f aca="false">IF(E403="","",IFERROR(INDEX(Tables!$B:$B,MATCH(E403,Tables!$A:$A,0)),"ID not found"))</f>
        <v/>
      </c>
      <c r="G403" s="20" t="str">
        <f aca="false">IF(OR(B403="",E403=""),"",IF(IFERROR(INDEX(Dimensions!$C:$C,MATCH(B403,Dimensions!$A:$A,0)),"")="","No agreed source",IF(INDEX(Dimensions!$C:$C,MATCH(B403,Dimensions!$A:$A,0))=E403,"Yes","No")))</f>
        <v/>
      </c>
      <c r="H403" s="30"/>
      <c r="I403" s="30"/>
      <c r="J403" s="30"/>
      <c r="K403" s="34" t="str">
        <f aca="false">IF(AND(A403&lt;&gt;"",G403="No"),COUNTIF($G$5:G403,"No"),"")</f>
        <v/>
      </c>
    </row>
    <row r="404" customFormat="false" ht="15" hidden="false" customHeight="false" outlineLevel="0" collapsed="false">
      <c r="A404" s="29"/>
      <c r="B404" s="29"/>
      <c r="C404" s="20" t="str">
        <f aca="false">IF(A404="","",IFERROR(INDEX(Products!$B:$B,MATCH(A404,Products!$A:$A,0)),"ID not found"))</f>
        <v/>
      </c>
      <c r="D404" s="20" t="str">
        <f aca="false">IF(B404="","",IFERROR(INDEX(Dimensions!$B:$B,MATCH(B404,Dimensions!$A:$A,0)),"ID not found"))</f>
        <v/>
      </c>
      <c r="E404" s="30"/>
      <c r="F404" s="20" t="str">
        <f aca="false">IF(E404="","",IFERROR(INDEX(Tables!$B:$B,MATCH(E404,Tables!$A:$A,0)),"ID not found"))</f>
        <v/>
      </c>
      <c r="G404" s="20" t="str">
        <f aca="false">IF(OR(B404="",E404=""),"",IF(IFERROR(INDEX(Dimensions!$C:$C,MATCH(B404,Dimensions!$A:$A,0)),"")="","No agreed source",IF(INDEX(Dimensions!$C:$C,MATCH(B404,Dimensions!$A:$A,0))=E404,"Yes","No")))</f>
        <v/>
      </c>
      <c r="H404" s="30"/>
      <c r="I404" s="30"/>
      <c r="J404" s="30"/>
      <c r="K404" s="34" t="str">
        <f aca="false">IF(AND(A404&lt;&gt;"",G404="No"),COUNTIF($G$5:G404,"No"),"")</f>
        <v/>
      </c>
    </row>
  </sheetData>
  <autoFilter ref="A4:K404"/>
  <conditionalFormatting sqref="G5:G404">
    <cfRule type="cellIs" priority="2" operator="equal" aboveAverage="0" equalAverage="0" bottom="0" percent="0" rank="0" text="" dxfId="16">
      <formula>"No"</formula>
    </cfRule>
    <cfRule type="cellIs" priority="3" operator="equal" aboveAverage="0" equalAverage="0" bottom="0" percent="0" rank="0" text="" dxfId="15">
      <formula>"No agreed source"</formula>
    </cfRule>
    <cfRule type="cellIs" priority="4" operator="equal" aboveAverage="0" equalAverage="0" bottom="0" percent="0" rank="0" text="" dxfId="14">
      <formula>"Yes"</formula>
    </cfRule>
  </conditionalFormatting>
  <dataValidations count="1">
    <dataValidation allowBlank="true" errorStyle="stop" operator="between" showDropDown="false" showErrorMessage="false" showInputMessage="false" sqref="J5:J84" type="list">
      <formula1>"Found,Inferred,Guessed,Human"</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791F"/>
    <pageSetUpPr fitToPage="true"/>
  </sheetPr>
  <dimension ref="A1:G3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60"/>
    <col collapsed="false" customWidth="true" hidden="false" outlineLevel="0" max="5" min="3" style="0" width="18"/>
    <col collapsed="false" customWidth="true" hidden="false" outlineLevel="0" max="7" min="6" style="0" width="30"/>
  </cols>
  <sheetData>
    <row r="1" customFormat="false" ht="17.35" hidden="false" customHeight="false" outlineLevel="0" collapsed="false">
      <c r="A1" s="1" t="s">
        <v>23</v>
      </c>
    </row>
    <row r="2" customFormat="false" ht="15" hidden="false" customHeight="false" outlineLevel="0" collapsed="false">
      <c r="A2" s="2" t="s">
        <v>485</v>
      </c>
    </row>
    <row r="4" customFormat="false" ht="31.5" hidden="false" customHeight="true" outlineLevel="0" collapsed="false">
      <c r="A4" s="21" t="s">
        <v>325</v>
      </c>
      <c r="B4" s="21" t="s">
        <v>65</v>
      </c>
      <c r="C4" s="21" t="s">
        <v>329</v>
      </c>
      <c r="D4" s="21" t="s">
        <v>332</v>
      </c>
      <c r="E4" s="21" t="s">
        <v>334</v>
      </c>
      <c r="F4" s="21" t="s">
        <v>337</v>
      </c>
      <c r="G4" s="21" t="s">
        <v>130</v>
      </c>
    </row>
    <row r="5" customFormat="false" ht="23.85" hidden="false" customHeight="false" outlineLevel="0" collapsed="false">
      <c r="A5" s="30" t="s">
        <v>179</v>
      </c>
      <c r="B5" s="30" t="s">
        <v>486</v>
      </c>
      <c r="C5" s="30" t="s">
        <v>331</v>
      </c>
      <c r="D5" s="30" t="s">
        <v>159</v>
      </c>
      <c r="E5" s="30" t="s">
        <v>487</v>
      </c>
      <c r="F5" s="30" t="s">
        <v>488</v>
      </c>
      <c r="G5" s="30" t="s">
        <v>489</v>
      </c>
    </row>
    <row r="6" customFormat="false" ht="15" hidden="false" customHeight="false" outlineLevel="0" collapsed="false">
      <c r="A6" s="30"/>
      <c r="B6" s="30"/>
      <c r="C6" s="30"/>
      <c r="D6" s="30"/>
      <c r="E6" s="30"/>
      <c r="F6" s="30"/>
      <c r="G6" s="30"/>
    </row>
    <row r="7" customFormat="false" ht="15" hidden="false" customHeight="false" outlineLevel="0" collapsed="false">
      <c r="A7" s="30"/>
      <c r="B7" s="30"/>
      <c r="C7" s="30"/>
      <c r="D7" s="30"/>
      <c r="E7" s="30"/>
      <c r="F7" s="30"/>
      <c r="G7" s="30"/>
    </row>
    <row r="8" customFormat="false" ht="15" hidden="false" customHeight="false" outlineLevel="0" collapsed="false">
      <c r="A8" s="30"/>
      <c r="B8" s="30"/>
      <c r="C8" s="30"/>
      <c r="D8" s="30"/>
      <c r="E8" s="30"/>
      <c r="F8" s="30"/>
      <c r="G8" s="30"/>
    </row>
    <row r="9" customFormat="false" ht="15" hidden="false" customHeight="false" outlineLevel="0" collapsed="false">
      <c r="A9" s="30"/>
      <c r="B9" s="30"/>
      <c r="C9" s="30"/>
      <c r="D9" s="30"/>
      <c r="E9" s="30"/>
      <c r="F9" s="30"/>
      <c r="G9" s="30"/>
    </row>
    <row r="10" customFormat="false" ht="15" hidden="false" customHeight="false" outlineLevel="0" collapsed="false">
      <c r="A10" s="30"/>
      <c r="B10" s="30"/>
      <c r="C10" s="30"/>
      <c r="D10" s="30"/>
      <c r="E10" s="30"/>
      <c r="F10" s="30"/>
      <c r="G10" s="30"/>
    </row>
    <row r="11" customFormat="false" ht="15" hidden="false" customHeight="false" outlineLevel="0" collapsed="false">
      <c r="A11" s="30"/>
      <c r="B11" s="30"/>
      <c r="C11" s="30"/>
      <c r="D11" s="30"/>
      <c r="E11" s="30"/>
      <c r="F11" s="30"/>
      <c r="G11" s="30"/>
    </row>
    <row r="12" customFormat="false" ht="15" hidden="false" customHeight="false" outlineLevel="0" collapsed="false">
      <c r="A12" s="30"/>
      <c r="B12" s="30"/>
      <c r="C12" s="30"/>
      <c r="D12" s="30"/>
      <c r="E12" s="30"/>
      <c r="F12" s="30"/>
      <c r="G12" s="30"/>
    </row>
    <row r="13" customFormat="false" ht="15" hidden="false" customHeight="false" outlineLevel="0" collapsed="false">
      <c r="A13" s="30"/>
      <c r="B13" s="30"/>
      <c r="C13" s="30"/>
      <c r="D13" s="30"/>
      <c r="E13" s="30"/>
      <c r="F13" s="30"/>
      <c r="G13" s="30"/>
    </row>
    <row r="14" customFormat="false" ht="15" hidden="false" customHeight="false" outlineLevel="0" collapsed="false">
      <c r="A14" s="30"/>
      <c r="B14" s="30"/>
      <c r="C14" s="30"/>
      <c r="D14" s="30"/>
      <c r="E14" s="30"/>
      <c r="F14" s="30"/>
      <c r="G14" s="30"/>
    </row>
    <row r="15" customFormat="false" ht="15" hidden="false" customHeight="false" outlineLevel="0" collapsed="false">
      <c r="A15" s="30"/>
      <c r="B15" s="30"/>
      <c r="C15" s="30"/>
      <c r="D15" s="30"/>
      <c r="E15" s="30"/>
      <c r="F15" s="30"/>
      <c r="G15" s="30"/>
    </row>
    <row r="16" customFormat="false" ht="15" hidden="false" customHeight="false" outlineLevel="0" collapsed="false">
      <c r="A16" s="30"/>
      <c r="B16" s="30"/>
      <c r="C16" s="30"/>
      <c r="D16" s="30"/>
      <c r="E16" s="30"/>
      <c r="F16" s="30"/>
      <c r="G16" s="30"/>
    </row>
    <row r="17" customFormat="false" ht="15" hidden="false" customHeight="false" outlineLevel="0" collapsed="false">
      <c r="A17" s="30"/>
      <c r="B17" s="30"/>
      <c r="C17" s="30"/>
      <c r="D17" s="30"/>
      <c r="E17" s="30"/>
      <c r="F17" s="30"/>
      <c r="G17" s="30"/>
    </row>
    <row r="18" customFormat="false" ht="15" hidden="false" customHeight="false" outlineLevel="0" collapsed="false">
      <c r="A18" s="30"/>
      <c r="B18" s="30"/>
      <c r="C18" s="30"/>
      <c r="D18" s="30"/>
      <c r="E18" s="30"/>
      <c r="F18" s="30"/>
      <c r="G18" s="30"/>
    </row>
    <row r="19" customFormat="false" ht="15" hidden="false" customHeight="false" outlineLevel="0" collapsed="false">
      <c r="A19" s="30"/>
      <c r="B19" s="30"/>
      <c r="C19" s="30"/>
      <c r="D19" s="30"/>
      <c r="E19" s="30"/>
      <c r="F19" s="30"/>
      <c r="G19" s="30"/>
    </row>
    <row r="20" customFormat="false" ht="15" hidden="false" customHeight="false" outlineLevel="0" collapsed="false">
      <c r="A20" s="30"/>
      <c r="B20" s="30"/>
      <c r="C20" s="30"/>
      <c r="D20" s="30"/>
      <c r="E20" s="30"/>
      <c r="F20" s="30"/>
      <c r="G20" s="30"/>
    </row>
    <row r="21" customFormat="false" ht="15" hidden="false" customHeight="false" outlineLevel="0" collapsed="false">
      <c r="A21" s="30"/>
      <c r="B21" s="30"/>
      <c r="C21" s="30"/>
      <c r="D21" s="30"/>
      <c r="E21" s="30"/>
      <c r="F21" s="30"/>
      <c r="G21" s="30"/>
    </row>
    <row r="22" customFormat="false" ht="15" hidden="false" customHeight="false" outlineLevel="0" collapsed="false">
      <c r="A22" s="30"/>
      <c r="B22" s="30"/>
      <c r="C22" s="30"/>
      <c r="D22" s="30"/>
      <c r="E22" s="30"/>
      <c r="F22" s="30"/>
      <c r="G22" s="30"/>
    </row>
    <row r="23" customFormat="false" ht="15" hidden="false" customHeight="false" outlineLevel="0" collapsed="false">
      <c r="A23" s="30"/>
      <c r="B23" s="30"/>
      <c r="C23" s="30"/>
      <c r="D23" s="30"/>
      <c r="E23" s="30"/>
      <c r="F23" s="30"/>
      <c r="G23" s="30"/>
    </row>
    <row r="24" customFormat="false" ht="15" hidden="false" customHeight="false" outlineLevel="0" collapsed="false">
      <c r="A24" s="30"/>
      <c r="B24" s="30"/>
      <c r="C24" s="30"/>
      <c r="D24" s="30"/>
      <c r="E24" s="30"/>
      <c r="F24" s="30"/>
      <c r="G24" s="30"/>
    </row>
    <row r="25" customFormat="false" ht="15" hidden="false" customHeight="false" outlineLevel="0" collapsed="false">
      <c r="A25" s="30"/>
      <c r="B25" s="30"/>
      <c r="C25" s="30"/>
      <c r="D25" s="30"/>
      <c r="E25" s="30"/>
      <c r="F25" s="30"/>
      <c r="G25" s="30"/>
    </row>
    <row r="26" customFormat="false" ht="15" hidden="false" customHeight="false" outlineLevel="0" collapsed="false">
      <c r="A26" s="30"/>
      <c r="B26" s="30"/>
      <c r="C26" s="30"/>
      <c r="D26" s="30"/>
      <c r="E26" s="30"/>
      <c r="F26" s="30"/>
      <c r="G26" s="30"/>
    </row>
    <row r="27" customFormat="false" ht="15" hidden="false" customHeight="false" outlineLevel="0" collapsed="false">
      <c r="A27" s="30"/>
      <c r="B27" s="30"/>
      <c r="C27" s="30"/>
      <c r="D27" s="30"/>
      <c r="E27" s="30"/>
      <c r="F27" s="30"/>
      <c r="G27" s="30"/>
    </row>
    <row r="28" customFormat="false" ht="15" hidden="false" customHeight="false" outlineLevel="0" collapsed="false">
      <c r="A28" s="30"/>
      <c r="B28" s="30"/>
      <c r="C28" s="30"/>
      <c r="D28" s="30"/>
      <c r="E28" s="30"/>
      <c r="F28" s="30"/>
      <c r="G28" s="30"/>
    </row>
    <row r="29" customFormat="false" ht="15" hidden="false" customHeight="false" outlineLevel="0" collapsed="false">
      <c r="A29" s="30"/>
      <c r="B29" s="30"/>
      <c r="C29" s="30"/>
      <c r="D29" s="30"/>
      <c r="E29" s="30"/>
      <c r="F29" s="30"/>
      <c r="G29" s="30"/>
    </row>
    <row r="30" customFormat="false" ht="15" hidden="false" customHeight="false" outlineLevel="0" collapsed="false">
      <c r="A30" s="30"/>
      <c r="B30" s="30"/>
      <c r="C30" s="30"/>
      <c r="D30" s="30"/>
      <c r="E30" s="30"/>
      <c r="F30" s="30"/>
      <c r="G30" s="30"/>
    </row>
    <row r="31" customFormat="false" ht="15" hidden="false" customHeight="false" outlineLevel="0" collapsed="false">
      <c r="A31" s="30"/>
      <c r="B31" s="30"/>
      <c r="C31" s="30"/>
      <c r="D31" s="30"/>
      <c r="E31" s="30"/>
      <c r="F31" s="30"/>
      <c r="G31" s="30"/>
    </row>
    <row r="32" customFormat="false" ht="15" hidden="false" customHeight="false" outlineLevel="0" collapsed="false">
      <c r="A32" s="30"/>
      <c r="B32" s="30"/>
      <c r="C32" s="30"/>
      <c r="D32" s="30"/>
      <c r="E32" s="30"/>
      <c r="F32" s="30"/>
      <c r="G32" s="30"/>
    </row>
    <row r="33" customFormat="false" ht="15" hidden="false" customHeight="false" outlineLevel="0" collapsed="false">
      <c r="A33" s="30"/>
      <c r="B33" s="30"/>
      <c r="C33" s="30"/>
      <c r="D33" s="30"/>
      <c r="E33" s="30"/>
      <c r="F33" s="30"/>
      <c r="G33" s="30"/>
    </row>
    <row r="34" customFormat="false" ht="15" hidden="false" customHeight="false" outlineLevel="0" collapsed="false">
      <c r="A34" s="30"/>
      <c r="B34" s="30"/>
      <c r="C34" s="30"/>
      <c r="D34" s="30"/>
      <c r="E34" s="30"/>
      <c r="F34" s="30"/>
      <c r="G34" s="30"/>
    </row>
    <row r="35" customFormat="false" ht="15" hidden="false" customHeight="false" outlineLevel="0" collapsed="false">
      <c r="A35" s="30"/>
      <c r="B35" s="30"/>
      <c r="C35" s="30"/>
      <c r="D35" s="30"/>
      <c r="E35" s="30"/>
      <c r="F35" s="30"/>
      <c r="G35" s="30"/>
    </row>
    <row r="36" customFormat="false" ht="15" hidden="false" customHeight="false" outlineLevel="0" collapsed="false">
      <c r="A36" s="30"/>
      <c r="B36" s="30"/>
      <c r="C36" s="30"/>
      <c r="D36" s="30"/>
      <c r="E36" s="30"/>
      <c r="F36" s="30"/>
      <c r="G36" s="30"/>
    </row>
    <row r="37" customFormat="false" ht="15" hidden="false" customHeight="false" outlineLevel="0" collapsed="false">
      <c r="A37" s="30"/>
      <c r="B37" s="30"/>
      <c r="C37" s="30"/>
      <c r="D37" s="30"/>
      <c r="E37" s="30"/>
      <c r="F37" s="30"/>
      <c r="G37" s="30"/>
    </row>
    <row r="38" customFormat="false" ht="15" hidden="false" customHeight="false" outlineLevel="0" collapsed="false">
      <c r="A38" s="30"/>
      <c r="B38" s="30"/>
      <c r="C38" s="30"/>
      <c r="D38" s="30"/>
      <c r="E38" s="30"/>
      <c r="F38" s="30"/>
      <c r="G38" s="30"/>
    </row>
    <row r="39" customFormat="false" ht="15" hidden="false" customHeight="false" outlineLevel="0" collapsed="false">
      <c r="A39" s="30"/>
      <c r="B39" s="30"/>
      <c r="C39" s="30"/>
      <c r="D39" s="30"/>
      <c r="E39" s="30"/>
      <c r="F39" s="30"/>
      <c r="G39" s="30"/>
    </row>
    <row r="40" customFormat="false" ht="15" hidden="false" customHeight="false" outlineLevel="0" collapsed="false">
      <c r="A40" s="30"/>
      <c r="B40" s="30"/>
      <c r="C40" s="30"/>
      <c r="D40" s="30"/>
      <c r="E40" s="30"/>
      <c r="F40" s="30"/>
      <c r="G40" s="30"/>
    </row>
    <row r="41" customFormat="false" ht="15" hidden="false" customHeight="false" outlineLevel="0" collapsed="false">
      <c r="A41" s="30"/>
      <c r="B41" s="30"/>
      <c r="C41" s="30"/>
      <c r="D41" s="30"/>
      <c r="E41" s="30"/>
      <c r="F41" s="30"/>
      <c r="G41" s="30"/>
    </row>
    <row r="42" customFormat="false" ht="15" hidden="false" customHeight="false" outlineLevel="0" collapsed="false">
      <c r="A42" s="30"/>
      <c r="B42" s="30"/>
      <c r="C42" s="30"/>
      <c r="D42" s="30"/>
      <c r="E42" s="30"/>
      <c r="F42" s="30"/>
      <c r="G42" s="30"/>
    </row>
    <row r="43" customFormat="false" ht="15" hidden="false" customHeight="false" outlineLevel="0" collapsed="false">
      <c r="A43" s="30"/>
      <c r="B43" s="30"/>
      <c r="C43" s="30"/>
      <c r="D43" s="30"/>
      <c r="E43" s="30"/>
      <c r="F43" s="30"/>
      <c r="G43" s="30"/>
    </row>
    <row r="44" customFormat="false" ht="15" hidden="false" customHeight="false" outlineLevel="0" collapsed="false">
      <c r="A44" s="30"/>
      <c r="B44" s="30"/>
      <c r="C44" s="30"/>
      <c r="D44" s="30"/>
      <c r="E44" s="30"/>
      <c r="F44" s="30"/>
      <c r="G44" s="30"/>
    </row>
    <row r="45" customFormat="false" ht="15" hidden="false" customHeight="false" outlineLevel="0" collapsed="false">
      <c r="A45" s="30"/>
      <c r="B45" s="30"/>
      <c r="C45" s="30"/>
      <c r="D45" s="30"/>
      <c r="E45" s="30"/>
      <c r="F45" s="30"/>
      <c r="G45" s="30"/>
    </row>
    <row r="46" customFormat="false" ht="15" hidden="false" customHeight="false" outlineLevel="0" collapsed="false">
      <c r="A46" s="30"/>
      <c r="B46" s="30"/>
      <c r="C46" s="30"/>
      <c r="D46" s="30"/>
      <c r="E46" s="30"/>
      <c r="F46" s="30"/>
      <c r="G46" s="30"/>
    </row>
    <row r="47" customFormat="false" ht="15" hidden="false" customHeight="false" outlineLevel="0" collapsed="false">
      <c r="A47" s="30"/>
      <c r="B47" s="30"/>
      <c r="C47" s="30"/>
      <c r="D47" s="30"/>
      <c r="E47" s="30"/>
      <c r="F47" s="30"/>
      <c r="G47" s="30"/>
    </row>
    <row r="48" customFormat="false" ht="15" hidden="false" customHeight="false" outlineLevel="0" collapsed="false">
      <c r="A48" s="30"/>
      <c r="B48" s="30"/>
      <c r="C48" s="30"/>
      <c r="D48" s="30"/>
      <c r="E48" s="30"/>
      <c r="F48" s="30"/>
      <c r="G48" s="30"/>
    </row>
    <row r="49" customFormat="false" ht="15" hidden="false" customHeight="false" outlineLevel="0" collapsed="false">
      <c r="A49" s="30"/>
      <c r="B49" s="30"/>
      <c r="C49" s="30"/>
      <c r="D49" s="30"/>
      <c r="E49" s="30"/>
      <c r="F49" s="30"/>
      <c r="G49" s="30"/>
    </row>
    <row r="50" customFormat="false" ht="15" hidden="false" customHeight="false" outlineLevel="0" collapsed="false">
      <c r="A50" s="30"/>
      <c r="B50" s="30"/>
      <c r="C50" s="30"/>
      <c r="D50" s="30"/>
      <c r="E50" s="30"/>
      <c r="F50" s="30"/>
      <c r="G50" s="30"/>
    </row>
    <row r="51" customFormat="false" ht="15" hidden="false" customHeight="false" outlineLevel="0" collapsed="false">
      <c r="A51" s="30"/>
      <c r="B51" s="30"/>
      <c r="C51" s="30"/>
      <c r="D51" s="30"/>
      <c r="E51" s="30"/>
      <c r="F51" s="30"/>
      <c r="G51" s="30"/>
    </row>
    <row r="52" customFormat="false" ht="15" hidden="false" customHeight="false" outlineLevel="0" collapsed="false">
      <c r="A52" s="30"/>
      <c r="B52" s="30"/>
      <c r="C52" s="30"/>
      <c r="D52" s="30"/>
      <c r="E52" s="30"/>
      <c r="F52" s="30"/>
      <c r="G52" s="30"/>
    </row>
    <row r="53" customFormat="false" ht="15" hidden="false" customHeight="false" outlineLevel="0" collapsed="false">
      <c r="A53" s="30"/>
      <c r="B53" s="30"/>
      <c r="C53" s="30"/>
      <c r="D53" s="30"/>
      <c r="E53" s="30"/>
      <c r="F53" s="30"/>
      <c r="G53" s="30"/>
    </row>
    <row r="54" customFormat="false" ht="15" hidden="false" customHeight="false" outlineLevel="0" collapsed="false">
      <c r="A54" s="30"/>
      <c r="B54" s="30"/>
      <c r="C54" s="30"/>
      <c r="D54" s="30"/>
      <c r="E54" s="30"/>
      <c r="F54" s="30"/>
      <c r="G54" s="30"/>
    </row>
    <row r="55" customFormat="false" ht="15" hidden="false" customHeight="false" outlineLevel="0" collapsed="false">
      <c r="A55" s="30"/>
      <c r="B55" s="30"/>
      <c r="C55" s="30"/>
      <c r="D55" s="30"/>
      <c r="E55" s="30"/>
      <c r="F55" s="30"/>
      <c r="G55" s="30"/>
    </row>
    <row r="56" customFormat="false" ht="15" hidden="false" customHeight="false" outlineLevel="0" collapsed="false">
      <c r="A56" s="30"/>
      <c r="B56" s="30"/>
      <c r="C56" s="30"/>
      <c r="D56" s="30"/>
      <c r="E56" s="30"/>
      <c r="F56" s="30"/>
      <c r="G56" s="30"/>
    </row>
    <row r="57" customFormat="false" ht="15" hidden="false" customHeight="false" outlineLevel="0" collapsed="false">
      <c r="A57" s="30"/>
      <c r="B57" s="30"/>
      <c r="C57" s="30"/>
      <c r="D57" s="30"/>
      <c r="E57" s="30"/>
      <c r="F57" s="30"/>
      <c r="G57" s="30"/>
    </row>
    <row r="58" customFormat="false" ht="15" hidden="false" customHeight="false" outlineLevel="0" collapsed="false">
      <c r="A58" s="30"/>
      <c r="B58" s="30"/>
      <c r="C58" s="30"/>
      <c r="D58" s="30"/>
      <c r="E58" s="30"/>
      <c r="F58" s="30"/>
      <c r="G58" s="30"/>
    </row>
    <row r="59" customFormat="false" ht="15" hidden="false" customHeight="false" outlineLevel="0" collapsed="false">
      <c r="A59" s="30"/>
      <c r="B59" s="30"/>
      <c r="C59" s="30"/>
      <c r="D59" s="30"/>
      <c r="E59" s="30"/>
      <c r="F59" s="30"/>
      <c r="G59" s="30"/>
    </row>
    <row r="60" customFormat="false" ht="15" hidden="false" customHeight="false" outlineLevel="0" collapsed="false">
      <c r="A60" s="30"/>
      <c r="B60" s="30"/>
      <c r="C60" s="30"/>
      <c r="D60" s="30"/>
      <c r="E60" s="30"/>
      <c r="F60" s="30"/>
      <c r="G60" s="30"/>
    </row>
    <row r="61" customFormat="false" ht="15" hidden="false" customHeight="false" outlineLevel="0" collapsed="false">
      <c r="A61" s="30"/>
      <c r="B61" s="30"/>
      <c r="C61" s="30"/>
      <c r="D61" s="30"/>
      <c r="E61" s="30"/>
      <c r="F61" s="30"/>
      <c r="G61" s="30"/>
    </row>
    <row r="62" customFormat="false" ht="15" hidden="false" customHeight="false" outlineLevel="0" collapsed="false">
      <c r="A62" s="30"/>
      <c r="B62" s="30"/>
      <c r="C62" s="30"/>
      <c r="D62" s="30"/>
      <c r="E62" s="30"/>
      <c r="F62" s="30"/>
      <c r="G62" s="30"/>
    </row>
    <row r="63" customFormat="false" ht="15" hidden="false" customHeight="false" outlineLevel="0" collapsed="false">
      <c r="A63" s="30"/>
      <c r="B63" s="30"/>
      <c r="C63" s="30"/>
      <c r="D63" s="30"/>
      <c r="E63" s="30"/>
      <c r="F63" s="30"/>
      <c r="G63" s="30"/>
    </row>
    <row r="64" customFormat="false" ht="15" hidden="false" customHeight="false" outlineLevel="0" collapsed="false">
      <c r="A64" s="30"/>
      <c r="B64" s="30"/>
      <c r="C64" s="30"/>
      <c r="D64" s="30"/>
      <c r="E64" s="30"/>
      <c r="F64" s="30"/>
      <c r="G64" s="30"/>
    </row>
    <row r="65" customFormat="false" ht="15" hidden="false" customHeight="false" outlineLevel="0" collapsed="false">
      <c r="A65" s="30"/>
      <c r="B65" s="30"/>
      <c r="C65" s="30"/>
      <c r="D65" s="30"/>
      <c r="E65" s="30"/>
      <c r="F65" s="30"/>
      <c r="G65" s="30"/>
    </row>
    <row r="66" customFormat="false" ht="15" hidden="false" customHeight="false" outlineLevel="0" collapsed="false">
      <c r="A66" s="30"/>
      <c r="B66" s="30"/>
      <c r="C66" s="30"/>
      <c r="D66" s="30"/>
      <c r="E66" s="30"/>
      <c r="F66" s="30"/>
      <c r="G66" s="30"/>
    </row>
    <row r="67" customFormat="false" ht="15" hidden="false" customHeight="false" outlineLevel="0" collapsed="false">
      <c r="A67" s="30"/>
      <c r="B67" s="30"/>
      <c r="C67" s="30"/>
      <c r="D67" s="30"/>
      <c r="E67" s="30"/>
      <c r="F67" s="30"/>
      <c r="G67" s="30"/>
    </row>
    <row r="68" customFormat="false" ht="15" hidden="false" customHeight="false" outlineLevel="0" collapsed="false">
      <c r="A68" s="30"/>
      <c r="B68" s="30"/>
      <c r="C68" s="30"/>
      <c r="D68" s="30"/>
      <c r="E68" s="30"/>
      <c r="F68" s="30"/>
      <c r="G68" s="30"/>
    </row>
    <row r="69" customFormat="false" ht="15" hidden="false" customHeight="false" outlineLevel="0" collapsed="false">
      <c r="A69" s="30"/>
      <c r="B69" s="30"/>
      <c r="C69" s="30"/>
      <c r="D69" s="30"/>
      <c r="E69" s="30"/>
      <c r="F69" s="30"/>
      <c r="G69" s="30"/>
    </row>
    <row r="70" customFormat="false" ht="15" hidden="false" customHeight="false" outlineLevel="0" collapsed="false">
      <c r="A70" s="30"/>
      <c r="B70" s="30"/>
      <c r="C70" s="30"/>
      <c r="D70" s="30"/>
      <c r="E70" s="30"/>
      <c r="F70" s="30"/>
      <c r="G70" s="30"/>
    </row>
    <row r="71" customFormat="false" ht="15" hidden="false" customHeight="false" outlineLevel="0" collapsed="false">
      <c r="A71" s="30"/>
      <c r="B71" s="30"/>
      <c r="C71" s="30"/>
      <c r="D71" s="30"/>
      <c r="E71" s="30"/>
      <c r="F71" s="30"/>
      <c r="G71" s="30"/>
    </row>
    <row r="72" customFormat="false" ht="15" hidden="false" customHeight="false" outlineLevel="0" collapsed="false">
      <c r="A72" s="30"/>
      <c r="B72" s="30"/>
      <c r="C72" s="30"/>
      <c r="D72" s="30"/>
      <c r="E72" s="30"/>
      <c r="F72" s="30"/>
      <c r="G72" s="30"/>
    </row>
    <row r="73" customFormat="false" ht="15" hidden="false" customHeight="false" outlineLevel="0" collapsed="false">
      <c r="A73" s="30"/>
      <c r="B73" s="30"/>
      <c r="C73" s="30"/>
      <c r="D73" s="30"/>
      <c r="E73" s="30"/>
      <c r="F73" s="30"/>
      <c r="G73" s="30"/>
    </row>
    <row r="74" customFormat="false" ht="15" hidden="false" customHeight="false" outlineLevel="0" collapsed="false">
      <c r="A74" s="30"/>
      <c r="B74" s="30"/>
      <c r="C74" s="30"/>
      <c r="D74" s="30"/>
      <c r="E74" s="30"/>
      <c r="F74" s="30"/>
      <c r="G74" s="30"/>
    </row>
    <row r="75" customFormat="false" ht="15" hidden="false" customHeight="false" outlineLevel="0" collapsed="false">
      <c r="A75" s="30"/>
      <c r="B75" s="30"/>
      <c r="C75" s="30"/>
      <c r="D75" s="30"/>
      <c r="E75" s="30"/>
      <c r="F75" s="30"/>
      <c r="G75" s="30"/>
    </row>
    <row r="76" customFormat="false" ht="15" hidden="false" customHeight="false" outlineLevel="0" collapsed="false">
      <c r="A76" s="30"/>
      <c r="B76" s="30"/>
      <c r="C76" s="30"/>
      <c r="D76" s="30"/>
      <c r="E76" s="30"/>
      <c r="F76" s="30"/>
      <c r="G76" s="30"/>
    </row>
    <row r="77" customFormat="false" ht="15" hidden="false" customHeight="false" outlineLevel="0" collapsed="false">
      <c r="A77" s="30"/>
      <c r="B77" s="30"/>
      <c r="C77" s="30"/>
      <c r="D77" s="30"/>
      <c r="E77" s="30"/>
      <c r="F77" s="30"/>
      <c r="G77" s="30"/>
    </row>
    <row r="78" customFormat="false" ht="15" hidden="false" customHeight="false" outlineLevel="0" collapsed="false">
      <c r="A78" s="30"/>
      <c r="B78" s="30"/>
      <c r="C78" s="30"/>
      <c r="D78" s="30"/>
      <c r="E78" s="30"/>
      <c r="F78" s="30"/>
      <c r="G78" s="30"/>
    </row>
    <row r="79" customFormat="false" ht="15" hidden="false" customHeight="false" outlineLevel="0" collapsed="false">
      <c r="A79" s="30"/>
      <c r="B79" s="30"/>
      <c r="C79" s="30"/>
      <c r="D79" s="30"/>
      <c r="E79" s="30"/>
      <c r="F79" s="30"/>
      <c r="G79" s="30"/>
    </row>
    <row r="80" customFormat="false" ht="15" hidden="false" customHeight="false" outlineLevel="0" collapsed="false">
      <c r="A80" s="30"/>
      <c r="B80" s="30"/>
      <c r="C80" s="30"/>
      <c r="D80" s="30"/>
      <c r="E80" s="30"/>
      <c r="F80" s="30"/>
      <c r="G80" s="30"/>
    </row>
    <row r="81" customFormat="false" ht="15" hidden="false" customHeight="false" outlineLevel="0" collapsed="false">
      <c r="A81" s="30"/>
      <c r="B81" s="30"/>
      <c r="C81" s="30"/>
      <c r="D81" s="30"/>
      <c r="E81" s="30"/>
      <c r="F81" s="30"/>
      <c r="G81" s="30"/>
    </row>
    <row r="82" customFormat="false" ht="15" hidden="false" customHeight="false" outlineLevel="0" collapsed="false">
      <c r="A82" s="30"/>
      <c r="B82" s="30"/>
      <c r="C82" s="30"/>
      <c r="D82" s="30"/>
      <c r="E82" s="30"/>
      <c r="F82" s="30"/>
      <c r="G82" s="30"/>
    </row>
    <row r="83" customFormat="false" ht="15" hidden="false" customHeight="false" outlineLevel="0" collapsed="false">
      <c r="A83" s="30"/>
      <c r="B83" s="30"/>
      <c r="C83" s="30"/>
      <c r="D83" s="30"/>
      <c r="E83" s="30"/>
      <c r="F83" s="30"/>
      <c r="G83" s="30"/>
    </row>
    <row r="84" customFormat="false" ht="15" hidden="false" customHeight="false" outlineLevel="0" collapsed="false">
      <c r="A84" s="30"/>
      <c r="B84" s="30"/>
      <c r="C84" s="30"/>
      <c r="D84" s="30"/>
      <c r="E84" s="30"/>
      <c r="F84" s="30"/>
      <c r="G84" s="30"/>
    </row>
    <row r="85" customFormat="false" ht="15" hidden="false" customHeight="false" outlineLevel="0" collapsed="false">
      <c r="A85" s="30"/>
      <c r="B85" s="30"/>
      <c r="C85" s="30"/>
      <c r="D85" s="30"/>
      <c r="E85" s="30"/>
      <c r="F85" s="30"/>
      <c r="G85" s="30"/>
    </row>
    <row r="86" customFormat="false" ht="15" hidden="false" customHeight="false" outlineLevel="0" collapsed="false">
      <c r="A86" s="30"/>
      <c r="B86" s="30"/>
      <c r="C86" s="30"/>
      <c r="D86" s="30"/>
      <c r="E86" s="30"/>
      <c r="F86" s="30"/>
      <c r="G86" s="30"/>
    </row>
    <row r="87" customFormat="false" ht="15" hidden="false" customHeight="false" outlineLevel="0" collapsed="false">
      <c r="A87" s="30"/>
      <c r="B87" s="30"/>
      <c r="C87" s="30"/>
      <c r="D87" s="30"/>
      <c r="E87" s="30"/>
      <c r="F87" s="30"/>
      <c r="G87" s="30"/>
    </row>
    <row r="88" customFormat="false" ht="15" hidden="false" customHeight="false" outlineLevel="0" collapsed="false">
      <c r="A88" s="30"/>
      <c r="B88" s="30"/>
      <c r="C88" s="30"/>
      <c r="D88" s="30"/>
      <c r="E88" s="30"/>
      <c r="F88" s="30"/>
      <c r="G88" s="30"/>
    </row>
    <row r="89" customFormat="false" ht="15" hidden="false" customHeight="false" outlineLevel="0" collapsed="false">
      <c r="A89" s="30"/>
      <c r="B89" s="30"/>
      <c r="C89" s="30"/>
      <c r="D89" s="30"/>
      <c r="E89" s="30"/>
      <c r="F89" s="30"/>
      <c r="G89" s="30"/>
    </row>
    <row r="90" customFormat="false" ht="15" hidden="false" customHeight="false" outlineLevel="0" collapsed="false">
      <c r="A90" s="30"/>
      <c r="B90" s="30"/>
      <c r="C90" s="30"/>
      <c r="D90" s="30"/>
      <c r="E90" s="30"/>
      <c r="F90" s="30"/>
      <c r="G90" s="30"/>
    </row>
    <row r="91" customFormat="false" ht="15" hidden="false" customHeight="false" outlineLevel="0" collapsed="false">
      <c r="A91" s="30"/>
      <c r="B91" s="30"/>
      <c r="C91" s="30"/>
      <c r="D91" s="30"/>
      <c r="E91" s="30"/>
      <c r="F91" s="30"/>
      <c r="G91" s="30"/>
    </row>
    <row r="92" customFormat="false" ht="15" hidden="false" customHeight="false" outlineLevel="0" collapsed="false">
      <c r="A92" s="30"/>
      <c r="B92" s="30"/>
      <c r="C92" s="30"/>
      <c r="D92" s="30"/>
      <c r="E92" s="30"/>
      <c r="F92" s="30"/>
      <c r="G92" s="30"/>
    </row>
    <row r="93" customFormat="false" ht="15" hidden="false" customHeight="false" outlineLevel="0" collapsed="false">
      <c r="A93" s="30"/>
      <c r="B93" s="30"/>
      <c r="C93" s="30"/>
      <c r="D93" s="30"/>
      <c r="E93" s="30"/>
      <c r="F93" s="30"/>
      <c r="G93" s="30"/>
    </row>
    <row r="94" customFormat="false" ht="15" hidden="false" customHeight="false" outlineLevel="0" collapsed="false">
      <c r="A94" s="30"/>
      <c r="B94" s="30"/>
      <c r="C94" s="30"/>
      <c r="D94" s="30"/>
      <c r="E94" s="30"/>
      <c r="F94" s="30"/>
      <c r="G94" s="30"/>
    </row>
    <row r="95" customFormat="false" ht="15" hidden="false" customHeight="false" outlineLevel="0" collapsed="false">
      <c r="A95" s="30"/>
      <c r="B95" s="30"/>
      <c r="C95" s="30"/>
      <c r="D95" s="30"/>
      <c r="E95" s="30"/>
      <c r="F95" s="30"/>
      <c r="G95" s="30"/>
    </row>
    <row r="96" customFormat="false" ht="15" hidden="false" customHeight="false" outlineLevel="0" collapsed="false">
      <c r="A96" s="30"/>
      <c r="B96" s="30"/>
      <c r="C96" s="30"/>
      <c r="D96" s="30"/>
      <c r="E96" s="30"/>
      <c r="F96" s="30"/>
      <c r="G96" s="30"/>
    </row>
    <row r="97" customFormat="false" ht="15" hidden="false" customHeight="false" outlineLevel="0" collapsed="false">
      <c r="A97" s="30"/>
      <c r="B97" s="30"/>
      <c r="C97" s="30"/>
      <c r="D97" s="30"/>
      <c r="E97" s="30"/>
      <c r="F97" s="30"/>
      <c r="G97" s="30"/>
    </row>
    <row r="98" customFormat="false" ht="15" hidden="false" customHeight="false" outlineLevel="0" collapsed="false">
      <c r="A98" s="30"/>
      <c r="B98" s="30"/>
      <c r="C98" s="30"/>
      <c r="D98" s="30"/>
      <c r="E98" s="30"/>
      <c r="F98" s="30"/>
      <c r="G98" s="30"/>
    </row>
    <row r="99" customFormat="false" ht="15" hidden="false" customHeight="false" outlineLevel="0" collapsed="false">
      <c r="A99" s="30"/>
      <c r="B99" s="30"/>
      <c r="C99" s="30"/>
      <c r="D99" s="30"/>
      <c r="E99" s="30"/>
      <c r="F99" s="30"/>
      <c r="G99" s="30"/>
    </row>
    <row r="100" customFormat="false" ht="15" hidden="false" customHeight="false" outlineLevel="0" collapsed="false">
      <c r="A100" s="30"/>
      <c r="B100" s="30"/>
      <c r="C100" s="30"/>
      <c r="D100" s="30"/>
      <c r="E100" s="30"/>
      <c r="F100" s="30"/>
      <c r="G100" s="30"/>
    </row>
    <row r="101" customFormat="false" ht="15" hidden="false" customHeight="false" outlineLevel="0" collapsed="false">
      <c r="A101" s="30"/>
      <c r="B101" s="30"/>
      <c r="C101" s="30"/>
      <c r="D101" s="30"/>
      <c r="E101" s="30"/>
      <c r="F101" s="30"/>
      <c r="G101" s="30"/>
    </row>
    <row r="102" customFormat="false" ht="15" hidden="false" customHeight="false" outlineLevel="0" collapsed="false">
      <c r="A102" s="30"/>
      <c r="B102" s="30"/>
      <c r="C102" s="30"/>
      <c r="D102" s="30"/>
      <c r="E102" s="30"/>
      <c r="F102" s="30"/>
      <c r="G102" s="30"/>
    </row>
    <row r="103" customFormat="false" ht="15" hidden="false" customHeight="false" outlineLevel="0" collapsed="false">
      <c r="A103" s="30"/>
      <c r="B103" s="30"/>
      <c r="C103" s="30"/>
      <c r="D103" s="30"/>
      <c r="E103" s="30"/>
      <c r="F103" s="30"/>
      <c r="G103" s="30"/>
    </row>
    <row r="104" customFormat="false" ht="15" hidden="false" customHeight="false" outlineLevel="0" collapsed="false">
      <c r="A104" s="30"/>
      <c r="B104" s="30"/>
      <c r="C104" s="30"/>
      <c r="D104" s="30"/>
      <c r="E104" s="30"/>
      <c r="F104" s="30"/>
      <c r="G104" s="30"/>
    </row>
    <row r="105" customFormat="false" ht="15" hidden="false" customHeight="false" outlineLevel="0" collapsed="false">
      <c r="A105" s="30"/>
      <c r="B105" s="30"/>
      <c r="C105" s="30"/>
      <c r="D105" s="30"/>
      <c r="E105" s="30"/>
      <c r="F105" s="30"/>
      <c r="G105" s="30"/>
    </row>
    <row r="106" customFormat="false" ht="15" hidden="false" customHeight="false" outlineLevel="0" collapsed="false">
      <c r="A106" s="30"/>
      <c r="B106" s="30"/>
      <c r="C106" s="30"/>
      <c r="D106" s="30"/>
      <c r="E106" s="30"/>
      <c r="F106" s="30"/>
      <c r="G106" s="30"/>
    </row>
    <row r="107" customFormat="false" ht="15" hidden="false" customHeight="false" outlineLevel="0" collapsed="false">
      <c r="A107" s="30"/>
      <c r="B107" s="30"/>
      <c r="C107" s="30"/>
      <c r="D107" s="30"/>
      <c r="E107" s="30"/>
      <c r="F107" s="30"/>
      <c r="G107" s="30"/>
    </row>
    <row r="108" customFormat="false" ht="15" hidden="false" customHeight="false" outlineLevel="0" collapsed="false">
      <c r="A108" s="30"/>
      <c r="B108" s="30"/>
      <c r="C108" s="30"/>
      <c r="D108" s="30"/>
      <c r="E108" s="30"/>
      <c r="F108" s="30"/>
      <c r="G108" s="30"/>
    </row>
    <row r="109" customFormat="false" ht="15" hidden="false" customHeight="false" outlineLevel="0" collapsed="false">
      <c r="A109" s="30"/>
      <c r="B109" s="30"/>
      <c r="C109" s="30"/>
      <c r="D109" s="30"/>
      <c r="E109" s="30"/>
      <c r="F109" s="30"/>
      <c r="G109" s="30"/>
    </row>
    <row r="110" customFormat="false" ht="15" hidden="false" customHeight="false" outlineLevel="0" collapsed="false">
      <c r="A110" s="30"/>
      <c r="B110" s="30"/>
      <c r="C110" s="30"/>
      <c r="D110" s="30"/>
      <c r="E110" s="30"/>
      <c r="F110" s="30"/>
      <c r="G110" s="30"/>
    </row>
    <row r="111" customFormat="false" ht="15" hidden="false" customHeight="false" outlineLevel="0" collapsed="false">
      <c r="A111" s="30"/>
      <c r="B111" s="30"/>
      <c r="C111" s="30"/>
      <c r="D111" s="30"/>
      <c r="E111" s="30"/>
      <c r="F111" s="30"/>
      <c r="G111" s="30"/>
    </row>
    <row r="112" customFormat="false" ht="15" hidden="false" customHeight="false" outlineLevel="0" collapsed="false">
      <c r="A112" s="30"/>
      <c r="B112" s="30"/>
      <c r="C112" s="30"/>
      <c r="D112" s="30"/>
      <c r="E112" s="30"/>
      <c r="F112" s="30"/>
      <c r="G112" s="30"/>
    </row>
    <row r="113" customFormat="false" ht="15" hidden="false" customHeight="false" outlineLevel="0" collapsed="false">
      <c r="A113" s="30"/>
      <c r="B113" s="30"/>
      <c r="C113" s="30"/>
      <c r="D113" s="30"/>
      <c r="E113" s="30"/>
      <c r="F113" s="30"/>
      <c r="G113" s="30"/>
    </row>
    <row r="114" customFormat="false" ht="15" hidden="false" customHeight="false" outlineLevel="0" collapsed="false">
      <c r="A114" s="30"/>
      <c r="B114" s="30"/>
      <c r="C114" s="30"/>
      <c r="D114" s="30"/>
      <c r="E114" s="30"/>
      <c r="F114" s="30"/>
      <c r="G114" s="30"/>
    </row>
    <row r="115" customFormat="false" ht="15" hidden="false" customHeight="false" outlineLevel="0" collapsed="false">
      <c r="A115" s="30"/>
      <c r="B115" s="30"/>
      <c r="C115" s="30"/>
      <c r="D115" s="30"/>
      <c r="E115" s="30"/>
      <c r="F115" s="30"/>
      <c r="G115" s="30"/>
    </row>
    <row r="116" customFormat="false" ht="15" hidden="false" customHeight="false" outlineLevel="0" collapsed="false">
      <c r="A116" s="30"/>
      <c r="B116" s="30"/>
      <c r="C116" s="30"/>
      <c r="D116" s="30"/>
      <c r="E116" s="30"/>
      <c r="F116" s="30"/>
      <c r="G116" s="30"/>
    </row>
    <row r="117" customFormat="false" ht="15" hidden="false" customHeight="false" outlineLevel="0" collapsed="false">
      <c r="A117" s="30"/>
      <c r="B117" s="30"/>
      <c r="C117" s="30"/>
      <c r="D117" s="30"/>
      <c r="E117" s="30"/>
      <c r="F117" s="30"/>
      <c r="G117" s="30"/>
    </row>
    <row r="118" customFormat="false" ht="15" hidden="false" customHeight="false" outlineLevel="0" collapsed="false">
      <c r="A118" s="30"/>
      <c r="B118" s="30"/>
      <c r="C118" s="30"/>
      <c r="D118" s="30"/>
      <c r="E118" s="30"/>
      <c r="F118" s="30"/>
      <c r="G118" s="30"/>
    </row>
    <row r="119" customFormat="false" ht="15" hidden="false" customHeight="false" outlineLevel="0" collapsed="false">
      <c r="A119" s="30"/>
      <c r="B119" s="30"/>
      <c r="C119" s="30"/>
      <c r="D119" s="30"/>
      <c r="E119" s="30"/>
      <c r="F119" s="30"/>
      <c r="G119" s="30"/>
    </row>
    <row r="120" customFormat="false" ht="15" hidden="false" customHeight="false" outlineLevel="0" collapsed="false">
      <c r="A120" s="30"/>
      <c r="B120" s="30"/>
      <c r="C120" s="30"/>
      <c r="D120" s="30"/>
      <c r="E120" s="30"/>
      <c r="F120" s="30"/>
      <c r="G120" s="30"/>
    </row>
    <row r="121" customFormat="false" ht="15" hidden="false" customHeight="false" outlineLevel="0" collapsed="false">
      <c r="A121" s="30"/>
      <c r="B121" s="30"/>
      <c r="C121" s="30"/>
      <c r="D121" s="30"/>
      <c r="E121" s="30"/>
      <c r="F121" s="30"/>
      <c r="G121" s="30"/>
    </row>
    <row r="122" customFormat="false" ht="15" hidden="false" customHeight="false" outlineLevel="0" collapsed="false">
      <c r="A122" s="30"/>
      <c r="B122" s="30"/>
      <c r="C122" s="30"/>
      <c r="D122" s="30"/>
      <c r="E122" s="30"/>
      <c r="F122" s="30"/>
      <c r="G122" s="30"/>
    </row>
    <row r="123" customFormat="false" ht="15" hidden="false" customHeight="false" outlineLevel="0" collapsed="false">
      <c r="A123" s="30"/>
      <c r="B123" s="30"/>
      <c r="C123" s="30"/>
      <c r="D123" s="30"/>
      <c r="E123" s="30"/>
      <c r="F123" s="30"/>
      <c r="G123" s="30"/>
    </row>
    <row r="124" customFormat="false" ht="15" hidden="false" customHeight="false" outlineLevel="0" collapsed="false">
      <c r="A124" s="30"/>
      <c r="B124" s="30"/>
      <c r="C124" s="30"/>
      <c r="D124" s="30"/>
      <c r="E124" s="30"/>
      <c r="F124" s="30"/>
      <c r="G124" s="30"/>
    </row>
    <row r="125" customFormat="false" ht="15" hidden="false" customHeight="false" outlineLevel="0" collapsed="false">
      <c r="A125" s="30"/>
      <c r="B125" s="30"/>
      <c r="C125" s="30"/>
      <c r="D125" s="30"/>
      <c r="E125" s="30"/>
      <c r="F125" s="30"/>
      <c r="G125" s="30"/>
    </row>
    <row r="126" customFormat="false" ht="15" hidden="false" customHeight="false" outlineLevel="0" collapsed="false">
      <c r="A126" s="30"/>
      <c r="B126" s="30"/>
      <c r="C126" s="30"/>
      <c r="D126" s="30"/>
      <c r="E126" s="30"/>
      <c r="F126" s="30"/>
      <c r="G126" s="30"/>
    </row>
    <row r="127" customFormat="false" ht="15" hidden="false" customHeight="false" outlineLevel="0" collapsed="false">
      <c r="A127" s="30"/>
      <c r="B127" s="30"/>
      <c r="C127" s="30"/>
      <c r="D127" s="30"/>
      <c r="E127" s="30"/>
      <c r="F127" s="30"/>
      <c r="G127" s="30"/>
    </row>
    <row r="128" customFormat="false" ht="15" hidden="false" customHeight="false" outlineLevel="0" collapsed="false">
      <c r="A128" s="30"/>
      <c r="B128" s="30"/>
      <c r="C128" s="30"/>
      <c r="D128" s="30"/>
      <c r="E128" s="30"/>
      <c r="F128" s="30"/>
      <c r="G128" s="30"/>
    </row>
    <row r="129" customFormat="false" ht="15" hidden="false" customHeight="false" outlineLevel="0" collapsed="false">
      <c r="A129" s="30"/>
      <c r="B129" s="30"/>
      <c r="C129" s="30"/>
      <c r="D129" s="30"/>
      <c r="E129" s="30"/>
      <c r="F129" s="30"/>
      <c r="G129" s="30"/>
    </row>
    <row r="130" customFormat="false" ht="15" hidden="false" customHeight="false" outlineLevel="0" collapsed="false">
      <c r="A130" s="30"/>
      <c r="B130" s="30"/>
      <c r="C130" s="30"/>
      <c r="D130" s="30"/>
      <c r="E130" s="30"/>
      <c r="F130" s="30"/>
      <c r="G130" s="30"/>
    </row>
    <row r="131" customFormat="false" ht="15" hidden="false" customHeight="false" outlineLevel="0" collapsed="false">
      <c r="A131" s="30"/>
      <c r="B131" s="30"/>
      <c r="C131" s="30"/>
      <c r="D131" s="30"/>
      <c r="E131" s="30"/>
      <c r="F131" s="30"/>
      <c r="G131" s="30"/>
    </row>
    <row r="132" customFormat="false" ht="15" hidden="false" customHeight="false" outlineLevel="0" collapsed="false">
      <c r="A132" s="30"/>
      <c r="B132" s="30"/>
      <c r="C132" s="30"/>
      <c r="D132" s="30"/>
      <c r="E132" s="30"/>
      <c r="F132" s="30"/>
      <c r="G132" s="30"/>
    </row>
    <row r="133" customFormat="false" ht="15" hidden="false" customHeight="false" outlineLevel="0" collapsed="false">
      <c r="A133" s="30"/>
      <c r="B133" s="30"/>
      <c r="C133" s="30"/>
      <c r="D133" s="30"/>
      <c r="E133" s="30"/>
      <c r="F133" s="30"/>
      <c r="G133" s="30"/>
    </row>
    <row r="134" customFormat="false" ht="15" hidden="false" customHeight="false" outlineLevel="0" collapsed="false">
      <c r="A134" s="30"/>
      <c r="B134" s="30"/>
      <c r="C134" s="30"/>
      <c r="D134" s="30"/>
      <c r="E134" s="30"/>
      <c r="F134" s="30"/>
      <c r="G134" s="30"/>
    </row>
    <row r="135" customFormat="false" ht="15" hidden="false" customHeight="false" outlineLevel="0" collapsed="false">
      <c r="A135" s="30"/>
      <c r="B135" s="30"/>
      <c r="C135" s="30"/>
      <c r="D135" s="30"/>
      <c r="E135" s="30"/>
      <c r="F135" s="30"/>
      <c r="G135" s="30"/>
    </row>
    <row r="136" customFormat="false" ht="15" hidden="false" customHeight="false" outlineLevel="0" collapsed="false">
      <c r="A136" s="30"/>
      <c r="B136" s="30"/>
      <c r="C136" s="30"/>
      <c r="D136" s="30"/>
      <c r="E136" s="30"/>
      <c r="F136" s="30"/>
      <c r="G136" s="30"/>
    </row>
    <row r="137" customFormat="false" ht="15" hidden="false" customHeight="false" outlineLevel="0" collapsed="false">
      <c r="A137" s="30"/>
      <c r="B137" s="30"/>
      <c r="C137" s="30"/>
      <c r="D137" s="30"/>
      <c r="E137" s="30"/>
      <c r="F137" s="30"/>
      <c r="G137" s="30"/>
    </row>
    <row r="138" customFormat="false" ht="15" hidden="false" customHeight="false" outlineLevel="0" collapsed="false">
      <c r="A138" s="30"/>
      <c r="B138" s="30"/>
      <c r="C138" s="30"/>
      <c r="D138" s="30"/>
      <c r="E138" s="30"/>
      <c r="F138" s="30"/>
      <c r="G138" s="30"/>
    </row>
    <row r="139" customFormat="false" ht="15" hidden="false" customHeight="false" outlineLevel="0" collapsed="false">
      <c r="A139" s="30"/>
      <c r="B139" s="30"/>
      <c r="C139" s="30"/>
      <c r="D139" s="30"/>
      <c r="E139" s="30"/>
      <c r="F139" s="30"/>
      <c r="G139" s="30"/>
    </row>
    <row r="140" customFormat="false" ht="15" hidden="false" customHeight="false" outlineLevel="0" collapsed="false">
      <c r="A140" s="30"/>
      <c r="B140" s="30"/>
      <c r="C140" s="30"/>
      <c r="D140" s="30"/>
      <c r="E140" s="30"/>
      <c r="F140" s="30"/>
      <c r="G140" s="30"/>
    </row>
    <row r="141" customFormat="false" ht="15" hidden="false" customHeight="false" outlineLevel="0" collapsed="false">
      <c r="A141" s="30"/>
      <c r="B141" s="30"/>
      <c r="C141" s="30"/>
      <c r="D141" s="30"/>
      <c r="E141" s="30"/>
      <c r="F141" s="30"/>
      <c r="G141" s="30"/>
    </row>
    <row r="142" customFormat="false" ht="15" hidden="false" customHeight="false" outlineLevel="0" collapsed="false">
      <c r="A142" s="30"/>
      <c r="B142" s="30"/>
      <c r="C142" s="30"/>
      <c r="D142" s="30"/>
      <c r="E142" s="30"/>
      <c r="F142" s="30"/>
      <c r="G142" s="30"/>
    </row>
    <row r="143" customFormat="false" ht="15" hidden="false" customHeight="false" outlineLevel="0" collapsed="false">
      <c r="A143" s="30"/>
      <c r="B143" s="30"/>
      <c r="C143" s="30"/>
      <c r="D143" s="30"/>
      <c r="E143" s="30"/>
      <c r="F143" s="30"/>
      <c r="G143" s="30"/>
    </row>
    <row r="144" customFormat="false" ht="15" hidden="false" customHeight="false" outlineLevel="0" collapsed="false">
      <c r="A144" s="30"/>
      <c r="B144" s="30"/>
      <c r="C144" s="30"/>
      <c r="D144" s="30"/>
      <c r="E144" s="30"/>
      <c r="F144" s="30"/>
      <c r="G144" s="30"/>
    </row>
    <row r="145" customFormat="false" ht="15" hidden="false" customHeight="false" outlineLevel="0" collapsed="false">
      <c r="A145" s="30"/>
      <c r="B145" s="30"/>
      <c r="C145" s="30"/>
      <c r="D145" s="30"/>
      <c r="E145" s="30"/>
      <c r="F145" s="30"/>
      <c r="G145" s="30"/>
    </row>
    <row r="146" customFormat="false" ht="15" hidden="false" customHeight="false" outlineLevel="0" collapsed="false">
      <c r="A146" s="30"/>
      <c r="B146" s="30"/>
      <c r="C146" s="30"/>
      <c r="D146" s="30"/>
      <c r="E146" s="30"/>
      <c r="F146" s="30"/>
      <c r="G146" s="30"/>
    </row>
    <row r="147" customFormat="false" ht="15" hidden="false" customHeight="false" outlineLevel="0" collapsed="false">
      <c r="A147" s="30"/>
      <c r="B147" s="30"/>
      <c r="C147" s="30"/>
      <c r="D147" s="30"/>
      <c r="E147" s="30"/>
      <c r="F147" s="30"/>
      <c r="G147" s="30"/>
    </row>
    <row r="148" customFormat="false" ht="15" hidden="false" customHeight="false" outlineLevel="0" collapsed="false">
      <c r="A148" s="30"/>
      <c r="B148" s="30"/>
      <c r="C148" s="30"/>
      <c r="D148" s="30"/>
      <c r="E148" s="30"/>
      <c r="F148" s="30"/>
      <c r="G148" s="30"/>
    </row>
    <row r="149" customFormat="false" ht="15" hidden="false" customHeight="false" outlineLevel="0" collapsed="false">
      <c r="A149" s="30"/>
      <c r="B149" s="30"/>
      <c r="C149" s="30"/>
      <c r="D149" s="30"/>
      <c r="E149" s="30"/>
      <c r="F149" s="30"/>
      <c r="G149" s="30"/>
    </row>
    <row r="150" customFormat="false" ht="15" hidden="false" customHeight="false" outlineLevel="0" collapsed="false">
      <c r="A150" s="30"/>
      <c r="B150" s="30"/>
      <c r="C150" s="30"/>
      <c r="D150" s="30"/>
      <c r="E150" s="30"/>
      <c r="F150" s="30"/>
      <c r="G150" s="30"/>
    </row>
    <row r="151" customFormat="false" ht="15" hidden="false" customHeight="false" outlineLevel="0" collapsed="false">
      <c r="A151" s="30"/>
      <c r="B151" s="30"/>
      <c r="C151" s="30"/>
      <c r="D151" s="30"/>
      <c r="E151" s="30"/>
      <c r="F151" s="30"/>
      <c r="G151" s="30"/>
    </row>
    <row r="152" customFormat="false" ht="15" hidden="false" customHeight="false" outlineLevel="0" collapsed="false">
      <c r="A152" s="30"/>
      <c r="B152" s="30"/>
      <c r="C152" s="30"/>
      <c r="D152" s="30"/>
      <c r="E152" s="30"/>
      <c r="F152" s="30"/>
      <c r="G152" s="30"/>
    </row>
    <row r="153" customFormat="false" ht="15" hidden="false" customHeight="false" outlineLevel="0" collapsed="false">
      <c r="A153" s="30"/>
      <c r="B153" s="30"/>
      <c r="C153" s="30"/>
      <c r="D153" s="30"/>
      <c r="E153" s="30"/>
      <c r="F153" s="30"/>
      <c r="G153" s="30"/>
    </row>
    <row r="154" customFormat="false" ht="15" hidden="false" customHeight="false" outlineLevel="0" collapsed="false">
      <c r="A154" s="30"/>
      <c r="B154" s="30"/>
      <c r="C154" s="30"/>
      <c r="D154" s="30"/>
      <c r="E154" s="30"/>
      <c r="F154" s="30"/>
      <c r="G154" s="30"/>
    </row>
    <row r="155" customFormat="false" ht="15" hidden="false" customHeight="false" outlineLevel="0" collapsed="false">
      <c r="A155" s="30"/>
      <c r="B155" s="30"/>
      <c r="C155" s="30"/>
      <c r="D155" s="30"/>
      <c r="E155" s="30"/>
      <c r="F155" s="30"/>
      <c r="G155" s="30"/>
    </row>
    <row r="156" customFormat="false" ht="15" hidden="false" customHeight="false" outlineLevel="0" collapsed="false">
      <c r="A156" s="30"/>
      <c r="B156" s="30"/>
      <c r="C156" s="30"/>
      <c r="D156" s="30"/>
      <c r="E156" s="30"/>
      <c r="F156" s="30"/>
      <c r="G156" s="30"/>
    </row>
    <row r="157" customFormat="false" ht="15" hidden="false" customHeight="false" outlineLevel="0" collapsed="false">
      <c r="A157" s="30"/>
      <c r="B157" s="30"/>
      <c r="C157" s="30"/>
      <c r="D157" s="30"/>
      <c r="E157" s="30"/>
      <c r="F157" s="30"/>
      <c r="G157" s="30"/>
    </row>
    <row r="158" customFormat="false" ht="15" hidden="false" customHeight="false" outlineLevel="0" collapsed="false">
      <c r="A158" s="30"/>
      <c r="B158" s="30"/>
      <c r="C158" s="30"/>
      <c r="D158" s="30"/>
      <c r="E158" s="30"/>
      <c r="F158" s="30"/>
      <c r="G158" s="30"/>
    </row>
    <row r="159" customFormat="false" ht="15" hidden="false" customHeight="false" outlineLevel="0" collapsed="false">
      <c r="A159" s="30"/>
      <c r="B159" s="30"/>
      <c r="C159" s="30"/>
      <c r="D159" s="30"/>
      <c r="E159" s="30"/>
      <c r="F159" s="30"/>
      <c r="G159" s="30"/>
    </row>
    <row r="160" customFormat="false" ht="15" hidden="false" customHeight="false" outlineLevel="0" collapsed="false">
      <c r="A160" s="30"/>
      <c r="B160" s="30"/>
      <c r="C160" s="30"/>
      <c r="D160" s="30"/>
      <c r="E160" s="30"/>
      <c r="F160" s="30"/>
      <c r="G160" s="30"/>
    </row>
    <row r="161" customFormat="false" ht="15" hidden="false" customHeight="false" outlineLevel="0" collapsed="false">
      <c r="A161" s="30"/>
      <c r="B161" s="30"/>
      <c r="C161" s="30"/>
      <c r="D161" s="30"/>
      <c r="E161" s="30"/>
      <c r="F161" s="30"/>
      <c r="G161" s="30"/>
    </row>
    <row r="162" customFormat="false" ht="15" hidden="false" customHeight="false" outlineLevel="0" collapsed="false">
      <c r="A162" s="30"/>
      <c r="B162" s="30"/>
      <c r="C162" s="30"/>
      <c r="D162" s="30"/>
      <c r="E162" s="30"/>
      <c r="F162" s="30"/>
      <c r="G162" s="30"/>
    </row>
    <row r="163" customFormat="false" ht="15" hidden="false" customHeight="false" outlineLevel="0" collapsed="false">
      <c r="A163" s="30"/>
      <c r="B163" s="30"/>
      <c r="C163" s="30"/>
      <c r="D163" s="30"/>
      <c r="E163" s="30"/>
      <c r="F163" s="30"/>
      <c r="G163" s="30"/>
    </row>
    <row r="164" customFormat="false" ht="15" hidden="false" customHeight="false" outlineLevel="0" collapsed="false">
      <c r="A164" s="30"/>
      <c r="B164" s="30"/>
      <c r="C164" s="30"/>
      <c r="D164" s="30"/>
      <c r="E164" s="30"/>
      <c r="F164" s="30"/>
      <c r="G164" s="30"/>
    </row>
    <row r="165" customFormat="false" ht="15" hidden="false" customHeight="false" outlineLevel="0" collapsed="false">
      <c r="A165" s="30"/>
      <c r="B165" s="30"/>
      <c r="C165" s="30"/>
      <c r="D165" s="30"/>
      <c r="E165" s="30"/>
      <c r="F165" s="30"/>
      <c r="G165" s="30"/>
    </row>
    <row r="166" customFormat="false" ht="15" hidden="false" customHeight="false" outlineLevel="0" collapsed="false">
      <c r="A166" s="30"/>
      <c r="B166" s="30"/>
      <c r="C166" s="30"/>
      <c r="D166" s="30"/>
      <c r="E166" s="30"/>
      <c r="F166" s="30"/>
      <c r="G166" s="30"/>
    </row>
    <row r="167" customFormat="false" ht="15" hidden="false" customHeight="false" outlineLevel="0" collapsed="false">
      <c r="A167" s="30"/>
      <c r="B167" s="30"/>
      <c r="C167" s="30"/>
      <c r="D167" s="30"/>
      <c r="E167" s="30"/>
      <c r="F167" s="30"/>
      <c r="G167" s="30"/>
    </row>
    <row r="168" customFormat="false" ht="15" hidden="false" customHeight="false" outlineLevel="0" collapsed="false">
      <c r="A168" s="30"/>
      <c r="B168" s="30"/>
      <c r="C168" s="30"/>
      <c r="D168" s="30"/>
      <c r="E168" s="30"/>
      <c r="F168" s="30"/>
      <c r="G168" s="30"/>
    </row>
    <row r="169" customFormat="false" ht="15" hidden="false" customHeight="false" outlineLevel="0" collapsed="false">
      <c r="A169" s="30"/>
      <c r="B169" s="30"/>
      <c r="C169" s="30"/>
      <c r="D169" s="30"/>
      <c r="E169" s="30"/>
      <c r="F169" s="30"/>
      <c r="G169" s="30"/>
    </row>
    <row r="170" customFormat="false" ht="15" hidden="false" customHeight="false" outlineLevel="0" collapsed="false">
      <c r="A170" s="30"/>
      <c r="B170" s="30"/>
      <c r="C170" s="30"/>
      <c r="D170" s="30"/>
      <c r="E170" s="30"/>
      <c r="F170" s="30"/>
      <c r="G170" s="30"/>
    </row>
    <row r="171" customFormat="false" ht="15" hidden="false" customHeight="false" outlineLevel="0" collapsed="false">
      <c r="A171" s="30"/>
      <c r="B171" s="30"/>
      <c r="C171" s="30"/>
      <c r="D171" s="30"/>
      <c r="E171" s="30"/>
      <c r="F171" s="30"/>
      <c r="G171" s="30"/>
    </row>
    <row r="172" customFormat="false" ht="15" hidden="false" customHeight="false" outlineLevel="0" collapsed="false">
      <c r="A172" s="30"/>
      <c r="B172" s="30"/>
      <c r="C172" s="30"/>
      <c r="D172" s="30"/>
      <c r="E172" s="30"/>
      <c r="F172" s="30"/>
      <c r="G172" s="30"/>
    </row>
    <row r="173" customFormat="false" ht="15" hidden="false" customHeight="false" outlineLevel="0" collapsed="false">
      <c r="A173" s="30"/>
      <c r="B173" s="30"/>
      <c r="C173" s="30"/>
      <c r="D173" s="30"/>
      <c r="E173" s="30"/>
      <c r="F173" s="30"/>
      <c r="G173" s="30"/>
    </row>
    <row r="174" customFormat="false" ht="15" hidden="false" customHeight="false" outlineLevel="0" collapsed="false">
      <c r="A174" s="30"/>
      <c r="B174" s="30"/>
      <c r="C174" s="30"/>
      <c r="D174" s="30"/>
      <c r="E174" s="30"/>
      <c r="F174" s="30"/>
      <c r="G174" s="30"/>
    </row>
    <row r="175" customFormat="false" ht="15" hidden="false" customHeight="false" outlineLevel="0" collapsed="false">
      <c r="A175" s="30"/>
      <c r="B175" s="30"/>
      <c r="C175" s="30"/>
      <c r="D175" s="30"/>
      <c r="E175" s="30"/>
      <c r="F175" s="30"/>
      <c r="G175" s="30"/>
    </row>
    <row r="176" customFormat="false" ht="15" hidden="false" customHeight="false" outlineLevel="0" collapsed="false">
      <c r="A176" s="30"/>
      <c r="B176" s="30"/>
      <c r="C176" s="30"/>
      <c r="D176" s="30"/>
      <c r="E176" s="30"/>
      <c r="F176" s="30"/>
      <c r="G176" s="30"/>
    </row>
    <row r="177" customFormat="false" ht="15" hidden="false" customHeight="false" outlineLevel="0" collapsed="false">
      <c r="A177" s="30"/>
      <c r="B177" s="30"/>
      <c r="C177" s="30"/>
      <c r="D177" s="30"/>
      <c r="E177" s="30"/>
      <c r="F177" s="30"/>
      <c r="G177" s="30"/>
    </row>
    <row r="178" customFormat="false" ht="15" hidden="false" customHeight="false" outlineLevel="0" collapsed="false">
      <c r="A178" s="30"/>
      <c r="B178" s="30"/>
      <c r="C178" s="30"/>
      <c r="D178" s="30"/>
      <c r="E178" s="30"/>
      <c r="F178" s="30"/>
      <c r="G178" s="30"/>
    </row>
    <row r="179" customFormat="false" ht="15" hidden="false" customHeight="false" outlineLevel="0" collapsed="false">
      <c r="A179" s="30"/>
      <c r="B179" s="30"/>
      <c r="C179" s="30"/>
      <c r="D179" s="30"/>
      <c r="E179" s="30"/>
      <c r="F179" s="30"/>
      <c r="G179" s="30"/>
    </row>
    <row r="180" customFormat="false" ht="15" hidden="false" customHeight="false" outlineLevel="0" collapsed="false">
      <c r="A180" s="30"/>
      <c r="B180" s="30"/>
      <c r="C180" s="30"/>
      <c r="D180" s="30"/>
      <c r="E180" s="30"/>
      <c r="F180" s="30"/>
      <c r="G180" s="30"/>
    </row>
    <row r="181" customFormat="false" ht="15" hidden="false" customHeight="false" outlineLevel="0" collapsed="false">
      <c r="A181" s="30"/>
      <c r="B181" s="30"/>
      <c r="C181" s="30"/>
      <c r="D181" s="30"/>
      <c r="E181" s="30"/>
      <c r="F181" s="30"/>
      <c r="G181" s="30"/>
    </row>
    <row r="182" customFormat="false" ht="15" hidden="false" customHeight="false" outlineLevel="0" collapsed="false">
      <c r="A182" s="30"/>
      <c r="B182" s="30"/>
      <c r="C182" s="30"/>
      <c r="D182" s="30"/>
      <c r="E182" s="30"/>
      <c r="F182" s="30"/>
      <c r="G182" s="30"/>
    </row>
    <row r="183" customFormat="false" ht="15" hidden="false" customHeight="false" outlineLevel="0" collapsed="false">
      <c r="A183" s="30"/>
      <c r="B183" s="30"/>
      <c r="C183" s="30"/>
      <c r="D183" s="30"/>
      <c r="E183" s="30"/>
      <c r="F183" s="30"/>
      <c r="G183" s="30"/>
    </row>
    <row r="184" customFormat="false" ht="15" hidden="false" customHeight="false" outlineLevel="0" collapsed="false">
      <c r="A184" s="30"/>
      <c r="B184" s="30"/>
      <c r="C184" s="30"/>
      <c r="D184" s="30"/>
      <c r="E184" s="30"/>
      <c r="F184" s="30"/>
      <c r="G184" s="30"/>
    </row>
    <row r="185" customFormat="false" ht="15" hidden="false" customHeight="false" outlineLevel="0" collapsed="false">
      <c r="A185" s="30"/>
      <c r="B185" s="30"/>
      <c r="C185" s="30"/>
      <c r="D185" s="30"/>
      <c r="E185" s="30"/>
      <c r="F185" s="30"/>
      <c r="G185" s="30"/>
    </row>
    <row r="186" customFormat="false" ht="15" hidden="false" customHeight="false" outlineLevel="0" collapsed="false">
      <c r="A186" s="30"/>
      <c r="B186" s="30"/>
      <c r="C186" s="30"/>
      <c r="D186" s="30"/>
      <c r="E186" s="30"/>
      <c r="F186" s="30"/>
      <c r="G186" s="30"/>
    </row>
    <row r="187" customFormat="false" ht="15" hidden="false" customHeight="false" outlineLevel="0" collapsed="false">
      <c r="A187" s="30"/>
      <c r="B187" s="30"/>
      <c r="C187" s="30"/>
      <c r="D187" s="30"/>
      <c r="E187" s="30"/>
      <c r="F187" s="30"/>
      <c r="G187" s="30"/>
    </row>
    <row r="188" customFormat="false" ht="15" hidden="false" customHeight="false" outlineLevel="0" collapsed="false">
      <c r="A188" s="30"/>
      <c r="B188" s="30"/>
      <c r="C188" s="30"/>
      <c r="D188" s="30"/>
      <c r="E188" s="30"/>
      <c r="F188" s="30"/>
      <c r="G188" s="30"/>
    </row>
    <row r="189" customFormat="false" ht="15" hidden="false" customHeight="false" outlineLevel="0" collapsed="false">
      <c r="A189" s="30"/>
      <c r="B189" s="30"/>
      <c r="C189" s="30"/>
      <c r="D189" s="30"/>
      <c r="E189" s="30"/>
      <c r="F189" s="30"/>
      <c r="G189" s="30"/>
    </row>
    <row r="190" customFormat="false" ht="15" hidden="false" customHeight="false" outlineLevel="0" collapsed="false">
      <c r="A190" s="30"/>
      <c r="B190" s="30"/>
      <c r="C190" s="30"/>
      <c r="D190" s="30"/>
      <c r="E190" s="30"/>
      <c r="F190" s="30"/>
      <c r="G190" s="30"/>
    </row>
    <row r="191" customFormat="false" ht="15" hidden="false" customHeight="false" outlineLevel="0" collapsed="false">
      <c r="A191" s="30"/>
      <c r="B191" s="30"/>
      <c r="C191" s="30"/>
      <c r="D191" s="30"/>
      <c r="E191" s="30"/>
      <c r="F191" s="30"/>
      <c r="G191" s="30"/>
    </row>
    <row r="192" customFormat="false" ht="15" hidden="false" customHeight="false" outlineLevel="0" collapsed="false">
      <c r="A192" s="30"/>
      <c r="B192" s="30"/>
      <c r="C192" s="30"/>
      <c r="D192" s="30"/>
      <c r="E192" s="30"/>
      <c r="F192" s="30"/>
      <c r="G192" s="30"/>
    </row>
    <row r="193" customFormat="false" ht="15" hidden="false" customHeight="false" outlineLevel="0" collapsed="false">
      <c r="A193" s="30"/>
      <c r="B193" s="30"/>
      <c r="C193" s="30"/>
      <c r="D193" s="30"/>
      <c r="E193" s="30"/>
      <c r="F193" s="30"/>
      <c r="G193" s="30"/>
    </row>
    <row r="194" customFormat="false" ht="15" hidden="false" customHeight="false" outlineLevel="0" collapsed="false">
      <c r="A194" s="30"/>
      <c r="B194" s="30"/>
      <c r="C194" s="30"/>
      <c r="D194" s="30"/>
      <c r="E194" s="30"/>
      <c r="F194" s="30"/>
      <c r="G194" s="30"/>
    </row>
    <row r="195" customFormat="false" ht="15" hidden="false" customHeight="false" outlineLevel="0" collapsed="false">
      <c r="A195" s="30"/>
      <c r="B195" s="30"/>
      <c r="C195" s="30"/>
      <c r="D195" s="30"/>
      <c r="E195" s="30"/>
      <c r="F195" s="30"/>
      <c r="G195" s="30"/>
    </row>
    <row r="196" customFormat="false" ht="15" hidden="false" customHeight="false" outlineLevel="0" collapsed="false">
      <c r="A196" s="30"/>
      <c r="B196" s="30"/>
      <c r="C196" s="30"/>
      <c r="D196" s="30"/>
      <c r="E196" s="30"/>
      <c r="F196" s="30"/>
      <c r="G196" s="30"/>
    </row>
    <row r="197" customFormat="false" ht="15" hidden="false" customHeight="false" outlineLevel="0" collapsed="false">
      <c r="A197" s="30"/>
      <c r="B197" s="30"/>
      <c r="C197" s="30"/>
      <c r="D197" s="30"/>
      <c r="E197" s="30"/>
      <c r="F197" s="30"/>
      <c r="G197" s="30"/>
    </row>
    <row r="198" customFormat="false" ht="15" hidden="false" customHeight="false" outlineLevel="0" collapsed="false">
      <c r="A198" s="30"/>
      <c r="B198" s="30"/>
      <c r="C198" s="30"/>
      <c r="D198" s="30"/>
      <c r="E198" s="30"/>
      <c r="F198" s="30"/>
      <c r="G198" s="30"/>
    </row>
    <row r="199" customFormat="false" ht="15" hidden="false" customHeight="false" outlineLevel="0" collapsed="false">
      <c r="A199" s="30"/>
      <c r="B199" s="30"/>
      <c r="C199" s="30"/>
      <c r="D199" s="30"/>
      <c r="E199" s="30"/>
      <c r="F199" s="30"/>
      <c r="G199" s="30"/>
    </row>
    <row r="200" customFormat="false" ht="15" hidden="false" customHeight="false" outlineLevel="0" collapsed="false">
      <c r="A200" s="30"/>
      <c r="B200" s="30"/>
      <c r="C200" s="30"/>
      <c r="D200" s="30"/>
      <c r="E200" s="30"/>
      <c r="F200" s="30"/>
      <c r="G200" s="30"/>
    </row>
    <row r="201" customFormat="false" ht="15" hidden="false" customHeight="false" outlineLevel="0" collapsed="false">
      <c r="A201" s="30"/>
      <c r="B201" s="30"/>
      <c r="C201" s="30"/>
      <c r="D201" s="30"/>
      <c r="E201" s="30"/>
      <c r="F201" s="30"/>
      <c r="G201" s="30"/>
    </row>
    <row r="202" customFormat="false" ht="15" hidden="false" customHeight="false" outlineLevel="0" collapsed="false">
      <c r="A202" s="30"/>
      <c r="B202" s="30"/>
      <c r="C202" s="30"/>
      <c r="D202" s="30"/>
      <c r="E202" s="30"/>
      <c r="F202" s="30"/>
      <c r="G202" s="30"/>
    </row>
    <row r="203" customFormat="false" ht="15" hidden="false" customHeight="false" outlineLevel="0" collapsed="false">
      <c r="A203" s="30"/>
      <c r="B203" s="30"/>
      <c r="C203" s="30"/>
      <c r="D203" s="30"/>
      <c r="E203" s="30"/>
      <c r="F203" s="30"/>
      <c r="G203" s="30"/>
    </row>
    <row r="204" customFormat="false" ht="15" hidden="false" customHeight="false" outlineLevel="0" collapsed="false">
      <c r="A204" s="30"/>
      <c r="B204" s="30"/>
      <c r="C204" s="30"/>
      <c r="D204" s="30"/>
      <c r="E204" s="30"/>
      <c r="F204" s="30"/>
      <c r="G204" s="30"/>
    </row>
    <row r="205" customFormat="false" ht="15" hidden="false" customHeight="false" outlineLevel="0" collapsed="false">
      <c r="A205" s="30"/>
      <c r="B205" s="30"/>
      <c r="C205" s="30"/>
      <c r="D205" s="30"/>
      <c r="E205" s="30"/>
      <c r="F205" s="30"/>
      <c r="G205" s="30"/>
    </row>
    <row r="206" customFormat="false" ht="15" hidden="false" customHeight="false" outlineLevel="0" collapsed="false">
      <c r="A206" s="30"/>
      <c r="B206" s="30"/>
      <c r="C206" s="30"/>
      <c r="D206" s="30"/>
      <c r="E206" s="30"/>
      <c r="F206" s="30"/>
      <c r="G206" s="30"/>
    </row>
    <row r="207" customFormat="false" ht="15" hidden="false" customHeight="false" outlineLevel="0" collapsed="false">
      <c r="A207" s="30"/>
      <c r="B207" s="30"/>
      <c r="C207" s="30"/>
      <c r="D207" s="30"/>
      <c r="E207" s="30"/>
      <c r="F207" s="30"/>
      <c r="G207" s="30"/>
    </row>
    <row r="208" customFormat="false" ht="15" hidden="false" customHeight="false" outlineLevel="0" collapsed="false">
      <c r="A208" s="30"/>
      <c r="B208" s="30"/>
      <c r="C208" s="30"/>
      <c r="D208" s="30"/>
      <c r="E208" s="30"/>
      <c r="F208" s="30"/>
      <c r="G208" s="30"/>
    </row>
    <row r="209" customFormat="false" ht="15" hidden="false" customHeight="false" outlineLevel="0" collapsed="false">
      <c r="A209" s="30"/>
      <c r="B209" s="30"/>
      <c r="C209" s="30"/>
      <c r="D209" s="30"/>
      <c r="E209" s="30"/>
      <c r="F209" s="30"/>
      <c r="G209" s="30"/>
    </row>
    <row r="210" customFormat="false" ht="15" hidden="false" customHeight="false" outlineLevel="0" collapsed="false">
      <c r="A210" s="30"/>
      <c r="B210" s="30"/>
      <c r="C210" s="30"/>
      <c r="D210" s="30"/>
      <c r="E210" s="30"/>
      <c r="F210" s="30"/>
      <c r="G210" s="30"/>
    </row>
    <row r="211" customFormat="false" ht="15" hidden="false" customHeight="false" outlineLevel="0" collapsed="false">
      <c r="A211" s="30"/>
      <c r="B211" s="30"/>
      <c r="C211" s="30"/>
      <c r="D211" s="30"/>
      <c r="E211" s="30"/>
      <c r="F211" s="30"/>
      <c r="G211" s="30"/>
    </row>
    <row r="212" customFormat="false" ht="15" hidden="false" customHeight="false" outlineLevel="0" collapsed="false">
      <c r="A212" s="30"/>
      <c r="B212" s="30"/>
      <c r="C212" s="30"/>
      <c r="D212" s="30"/>
      <c r="E212" s="30"/>
      <c r="F212" s="30"/>
      <c r="G212" s="30"/>
    </row>
    <row r="213" customFormat="false" ht="15" hidden="false" customHeight="false" outlineLevel="0" collapsed="false">
      <c r="A213" s="30"/>
      <c r="B213" s="30"/>
      <c r="C213" s="30"/>
      <c r="D213" s="30"/>
      <c r="E213" s="30"/>
      <c r="F213" s="30"/>
      <c r="G213" s="30"/>
    </row>
    <row r="214" customFormat="false" ht="15" hidden="false" customHeight="false" outlineLevel="0" collapsed="false">
      <c r="A214" s="30"/>
      <c r="B214" s="30"/>
      <c r="C214" s="30"/>
      <c r="D214" s="30"/>
      <c r="E214" s="30"/>
      <c r="F214" s="30"/>
      <c r="G214" s="30"/>
    </row>
    <row r="215" customFormat="false" ht="15" hidden="false" customHeight="false" outlineLevel="0" collapsed="false">
      <c r="A215" s="30"/>
      <c r="B215" s="30"/>
      <c r="C215" s="30"/>
      <c r="D215" s="30"/>
      <c r="E215" s="30"/>
      <c r="F215" s="30"/>
      <c r="G215" s="30"/>
    </row>
    <row r="216" customFormat="false" ht="15" hidden="false" customHeight="false" outlineLevel="0" collapsed="false">
      <c r="A216" s="30"/>
      <c r="B216" s="30"/>
      <c r="C216" s="30"/>
      <c r="D216" s="30"/>
      <c r="E216" s="30"/>
      <c r="F216" s="30"/>
      <c r="G216" s="30"/>
    </row>
    <row r="217" customFormat="false" ht="15" hidden="false" customHeight="false" outlineLevel="0" collapsed="false">
      <c r="A217" s="30"/>
      <c r="B217" s="30"/>
      <c r="C217" s="30"/>
      <c r="D217" s="30"/>
      <c r="E217" s="30"/>
      <c r="F217" s="30"/>
      <c r="G217" s="30"/>
    </row>
    <row r="218" customFormat="false" ht="15" hidden="false" customHeight="false" outlineLevel="0" collapsed="false">
      <c r="A218" s="30"/>
      <c r="B218" s="30"/>
      <c r="C218" s="30"/>
      <c r="D218" s="30"/>
      <c r="E218" s="30"/>
      <c r="F218" s="30"/>
      <c r="G218" s="30"/>
    </row>
    <row r="219" customFormat="false" ht="15" hidden="false" customHeight="false" outlineLevel="0" collapsed="false">
      <c r="A219" s="30"/>
      <c r="B219" s="30"/>
      <c r="C219" s="30"/>
      <c r="D219" s="30"/>
      <c r="E219" s="30"/>
      <c r="F219" s="30"/>
      <c r="G219" s="30"/>
    </row>
    <row r="220" customFormat="false" ht="15" hidden="false" customHeight="false" outlineLevel="0" collapsed="false">
      <c r="A220" s="30"/>
      <c r="B220" s="30"/>
      <c r="C220" s="30"/>
      <c r="D220" s="30"/>
      <c r="E220" s="30"/>
      <c r="F220" s="30"/>
      <c r="G220" s="30"/>
    </row>
    <row r="221" customFormat="false" ht="15" hidden="false" customHeight="false" outlineLevel="0" collapsed="false">
      <c r="A221" s="30"/>
      <c r="B221" s="30"/>
      <c r="C221" s="30"/>
      <c r="D221" s="30"/>
      <c r="E221" s="30"/>
      <c r="F221" s="30"/>
      <c r="G221" s="30"/>
    </row>
    <row r="222" customFormat="false" ht="15" hidden="false" customHeight="false" outlineLevel="0" collapsed="false">
      <c r="A222" s="30"/>
      <c r="B222" s="30"/>
      <c r="C222" s="30"/>
      <c r="D222" s="30"/>
      <c r="E222" s="30"/>
      <c r="F222" s="30"/>
      <c r="G222" s="30"/>
    </row>
    <row r="223" customFormat="false" ht="15" hidden="false" customHeight="false" outlineLevel="0" collapsed="false">
      <c r="A223" s="30"/>
      <c r="B223" s="30"/>
      <c r="C223" s="30"/>
      <c r="D223" s="30"/>
      <c r="E223" s="30"/>
      <c r="F223" s="30"/>
      <c r="G223" s="30"/>
    </row>
    <row r="224" customFormat="false" ht="15" hidden="false" customHeight="false" outlineLevel="0" collapsed="false">
      <c r="A224" s="30"/>
      <c r="B224" s="30"/>
      <c r="C224" s="30"/>
      <c r="D224" s="30"/>
      <c r="E224" s="30"/>
      <c r="F224" s="30"/>
      <c r="G224" s="30"/>
    </row>
    <row r="225" customFormat="false" ht="15" hidden="false" customHeight="false" outlineLevel="0" collapsed="false">
      <c r="A225" s="30"/>
      <c r="B225" s="30"/>
      <c r="C225" s="30"/>
      <c r="D225" s="30"/>
      <c r="E225" s="30"/>
      <c r="F225" s="30"/>
      <c r="G225" s="30"/>
    </row>
    <row r="226" customFormat="false" ht="15" hidden="false" customHeight="false" outlineLevel="0" collapsed="false">
      <c r="A226" s="30"/>
      <c r="B226" s="30"/>
      <c r="C226" s="30"/>
      <c r="D226" s="30"/>
      <c r="E226" s="30"/>
      <c r="F226" s="30"/>
      <c r="G226" s="30"/>
    </row>
    <row r="227" customFormat="false" ht="15" hidden="false" customHeight="false" outlineLevel="0" collapsed="false">
      <c r="A227" s="30"/>
      <c r="B227" s="30"/>
      <c r="C227" s="30"/>
      <c r="D227" s="30"/>
      <c r="E227" s="30"/>
      <c r="F227" s="30"/>
      <c r="G227" s="30"/>
    </row>
    <row r="228" customFormat="false" ht="15" hidden="false" customHeight="false" outlineLevel="0" collapsed="false">
      <c r="A228" s="30"/>
      <c r="B228" s="30"/>
      <c r="C228" s="30"/>
      <c r="D228" s="30"/>
      <c r="E228" s="30"/>
      <c r="F228" s="30"/>
      <c r="G228" s="30"/>
    </row>
    <row r="229" customFormat="false" ht="15" hidden="false" customHeight="false" outlineLevel="0" collapsed="false">
      <c r="A229" s="30"/>
      <c r="B229" s="30"/>
      <c r="C229" s="30"/>
      <c r="D229" s="30"/>
      <c r="E229" s="30"/>
      <c r="F229" s="30"/>
      <c r="G229" s="30"/>
    </row>
    <row r="230" customFormat="false" ht="15" hidden="false" customHeight="false" outlineLevel="0" collapsed="false">
      <c r="A230" s="30"/>
      <c r="B230" s="30"/>
      <c r="C230" s="30"/>
      <c r="D230" s="30"/>
      <c r="E230" s="30"/>
      <c r="F230" s="30"/>
      <c r="G230" s="30"/>
    </row>
    <row r="231" customFormat="false" ht="15" hidden="false" customHeight="false" outlineLevel="0" collapsed="false">
      <c r="A231" s="30"/>
      <c r="B231" s="30"/>
      <c r="C231" s="30"/>
      <c r="D231" s="30"/>
      <c r="E231" s="30"/>
      <c r="F231" s="30"/>
      <c r="G231" s="30"/>
    </row>
    <row r="232" customFormat="false" ht="15" hidden="false" customHeight="false" outlineLevel="0" collapsed="false">
      <c r="A232" s="30"/>
      <c r="B232" s="30"/>
      <c r="C232" s="30"/>
      <c r="D232" s="30"/>
      <c r="E232" s="30"/>
      <c r="F232" s="30"/>
      <c r="G232" s="30"/>
    </row>
    <row r="233" customFormat="false" ht="15" hidden="false" customHeight="false" outlineLevel="0" collapsed="false">
      <c r="A233" s="30"/>
      <c r="B233" s="30"/>
      <c r="C233" s="30"/>
      <c r="D233" s="30"/>
      <c r="E233" s="30"/>
      <c r="F233" s="30"/>
      <c r="G233" s="30"/>
    </row>
    <row r="234" customFormat="false" ht="15" hidden="false" customHeight="false" outlineLevel="0" collapsed="false">
      <c r="A234" s="30"/>
      <c r="B234" s="30"/>
      <c r="C234" s="30"/>
      <c r="D234" s="30"/>
      <c r="E234" s="30"/>
      <c r="F234" s="30"/>
      <c r="G234" s="30"/>
    </row>
    <row r="235" customFormat="false" ht="15" hidden="false" customHeight="false" outlineLevel="0" collapsed="false">
      <c r="A235" s="30"/>
      <c r="B235" s="30"/>
      <c r="C235" s="30"/>
      <c r="D235" s="30"/>
      <c r="E235" s="30"/>
      <c r="F235" s="30"/>
      <c r="G235" s="30"/>
    </row>
    <row r="236" customFormat="false" ht="15" hidden="false" customHeight="false" outlineLevel="0" collapsed="false">
      <c r="A236" s="30"/>
      <c r="B236" s="30"/>
      <c r="C236" s="30"/>
      <c r="D236" s="30"/>
      <c r="E236" s="30"/>
      <c r="F236" s="30"/>
      <c r="G236" s="30"/>
    </row>
    <row r="237" customFormat="false" ht="15" hidden="false" customHeight="false" outlineLevel="0" collapsed="false">
      <c r="A237" s="30"/>
      <c r="B237" s="30"/>
      <c r="C237" s="30"/>
      <c r="D237" s="30"/>
      <c r="E237" s="30"/>
      <c r="F237" s="30"/>
      <c r="G237" s="30"/>
    </row>
    <row r="238" customFormat="false" ht="15" hidden="false" customHeight="false" outlineLevel="0" collapsed="false">
      <c r="A238" s="30"/>
      <c r="B238" s="30"/>
      <c r="C238" s="30"/>
      <c r="D238" s="30"/>
      <c r="E238" s="30"/>
      <c r="F238" s="30"/>
      <c r="G238" s="30"/>
    </row>
    <row r="239" customFormat="false" ht="15" hidden="false" customHeight="false" outlineLevel="0" collapsed="false">
      <c r="A239" s="30"/>
      <c r="B239" s="30"/>
      <c r="C239" s="30"/>
      <c r="D239" s="30"/>
      <c r="E239" s="30"/>
      <c r="F239" s="30"/>
      <c r="G239" s="30"/>
    </row>
    <row r="240" customFormat="false" ht="15" hidden="false" customHeight="false" outlineLevel="0" collapsed="false">
      <c r="A240" s="30"/>
      <c r="B240" s="30"/>
      <c r="C240" s="30"/>
      <c r="D240" s="30"/>
      <c r="E240" s="30"/>
      <c r="F240" s="30"/>
      <c r="G240" s="30"/>
    </row>
    <row r="241" customFormat="false" ht="15" hidden="false" customHeight="false" outlineLevel="0" collapsed="false">
      <c r="A241" s="30"/>
      <c r="B241" s="30"/>
      <c r="C241" s="30"/>
      <c r="D241" s="30"/>
      <c r="E241" s="30"/>
      <c r="F241" s="30"/>
      <c r="G241" s="30"/>
    </row>
    <row r="242" customFormat="false" ht="15" hidden="false" customHeight="false" outlineLevel="0" collapsed="false">
      <c r="A242" s="30"/>
      <c r="B242" s="30"/>
      <c r="C242" s="30"/>
      <c r="D242" s="30"/>
      <c r="E242" s="30"/>
      <c r="F242" s="30"/>
      <c r="G242" s="30"/>
    </row>
    <row r="243" customFormat="false" ht="15" hidden="false" customHeight="false" outlineLevel="0" collapsed="false">
      <c r="A243" s="30"/>
      <c r="B243" s="30"/>
      <c r="C243" s="30"/>
      <c r="D243" s="30"/>
      <c r="E243" s="30"/>
      <c r="F243" s="30"/>
      <c r="G243" s="30"/>
    </row>
    <row r="244" customFormat="false" ht="15" hidden="false" customHeight="false" outlineLevel="0" collapsed="false">
      <c r="A244" s="30"/>
      <c r="B244" s="30"/>
      <c r="C244" s="30"/>
      <c r="D244" s="30"/>
      <c r="E244" s="30"/>
      <c r="F244" s="30"/>
      <c r="G244" s="30"/>
    </row>
    <row r="245" customFormat="false" ht="15" hidden="false" customHeight="false" outlineLevel="0" collapsed="false">
      <c r="A245" s="30"/>
      <c r="B245" s="30"/>
      <c r="C245" s="30"/>
      <c r="D245" s="30"/>
      <c r="E245" s="30"/>
      <c r="F245" s="30"/>
      <c r="G245" s="30"/>
    </row>
    <row r="246" customFormat="false" ht="15" hidden="false" customHeight="false" outlineLevel="0" collapsed="false">
      <c r="A246" s="30"/>
      <c r="B246" s="30"/>
      <c r="C246" s="30"/>
      <c r="D246" s="30"/>
      <c r="E246" s="30"/>
      <c r="F246" s="30"/>
      <c r="G246" s="30"/>
    </row>
    <row r="247" customFormat="false" ht="15" hidden="false" customHeight="false" outlineLevel="0" collapsed="false">
      <c r="A247" s="30"/>
      <c r="B247" s="30"/>
      <c r="C247" s="30"/>
      <c r="D247" s="30"/>
      <c r="E247" s="30"/>
      <c r="F247" s="30"/>
      <c r="G247" s="30"/>
    </row>
    <row r="248" customFormat="false" ht="15" hidden="false" customHeight="false" outlineLevel="0" collapsed="false">
      <c r="A248" s="30"/>
      <c r="B248" s="30"/>
      <c r="C248" s="30"/>
      <c r="D248" s="30"/>
      <c r="E248" s="30"/>
      <c r="F248" s="30"/>
      <c r="G248" s="30"/>
    </row>
    <row r="249" customFormat="false" ht="15" hidden="false" customHeight="false" outlineLevel="0" collapsed="false">
      <c r="A249" s="30"/>
      <c r="B249" s="30"/>
      <c r="C249" s="30"/>
      <c r="D249" s="30"/>
      <c r="E249" s="30"/>
      <c r="F249" s="30"/>
      <c r="G249" s="30"/>
    </row>
    <row r="250" customFormat="false" ht="15" hidden="false" customHeight="false" outlineLevel="0" collapsed="false">
      <c r="A250" s="30"/>
      <c r="B250" s="30"/>
      <c r="C250" s="30"/>
      <c r="D250" s="30"/>
      <c r="E250" s="30"/>
      <c r="F250" s="30"/>
      <c r="G250" s="30"/>
    </row>
    <row r="251" customFormat="false" ht="15" hidden="false" customHeight="false" outlineLevel="0" collapsed="false">
      <c r="A251" s="30"/>
      <c r="B251" s="30"/>
      <c r="C251" s="30"/>
      <c r="D251" s="30"/>
      <c r="E251" s="30"/>
      <c r="F251" s="30"/>
      <c r="G251" s="30"/>
    </row>
    <row r="252" customFormat="false" ht="15" hidden="false" customHeight="false" outlineLevel="0" collapsed="false">
      <c r="A252" s="30"/>
      <c r="B252" s="30"/>
      <c r="C252" s="30"/>
      <c r="D252" s="30"/>
      <c r="E252" s="30"/>
      <c r="F252" s="30"/>
      <c r="G252" s="30"/>
    </row>
    <row r="253" customFormat="false" ht="15" hidden="false" customHeight="false" outlineLevel="0" collapsed="false">
      <c r="A253" s="30"/>
      <c r="B253" s="30"/>
      <c r="C253" s="30"/>
      <c r="D253" s="30"/>
      <c r="E253" s="30"/>
      <c r="F253" s="30"/>
      <c r="G253" s="30"/>
    </row>
    <row r="254" customFormat="false" ht="15" hidden="false" customHeight="false" outlineLevel="0" collapsed="false">
      <c r="A254" s="30"/>
      <c r="B254" s="30"/>
      <c r="C254" s="30"/>
      <c r="D254" s="30"/>
      <c r="E254" s="30"/>
      <c r="F254" s="30"/>
      <c r="G254" s="30"/>
    </row>
    <row r="255" customFormat="false" ht="15" hidden="false" customHeight="false" outlineLevel="0" collapsed="false">
      <c r="A255" s="30"/>
      <c r="B255" s="30"/>
      <c r="C255" s="30"/>
      <c r="D255" s="30"/>
      <c r="E255" s="30"/>
      <c r="F255" s="30"/>
      <c r="G255" s="30"/>
    </row>
    <row r="256" customFormat="false" ht="15" hidden="false" customHeight="false" outlineLevel="0" collapsed="false">
      <c r="A256" s="30"/>
      <c r="B256" s="30"/>
      <c r="C256" s="30"/>
      <c r="D256" s="30"/>
      <c r="E256" s="30"/>
      <c r="F256" s="30"/>
      <c r="G256" s="30"/>
    </row>
    <row r="257" customFormat="false" ht="15" hidden="false" customHeight="false" outlineLevel="0" collapsed="false">
      <c r="A257" s="30"/>
      <c r="B257" s="30"/>
      <c r="C257" s="30"/>
      <c r="D257" s="30"/>
      <c r="E257" s="30"/>
      <c r="F257" s="30"/>
      <c r="G257" s="30"/>
    </row>
    <row r="258" customFormat="false" ht="15" hidden="false" customHeight="false" outlineLevel="0" collapsed="false">
      <c r="A258" s="30"/>
      <c r="B258" s="30"/>
      <c r="C258" s="30"/>
      <c r="D258" s="30"/>
      <c r="E258" s="30"/>
      <c r="F258" s="30"/>
      <c r="G258" s="30"/>
    </row>
    <row r="259" customFormat="false" ht="15" hidden="false" customHeight="false" outlineLevel="0" collapsed="false">
      <c r="A259" s="30"/>
      <c r="B259" s="30"/>
      <c r="C259" s="30"/>
      <c r="D259" s="30"/>
      <c r="E259" s="30"/>
      <c r="F259" s="30"/>
      <c r="G259" s="30"/>
    </row>
    <row r="260" customFormat="false" ht="15" hidden="false" customHeight="false" outlineLevel="0" collapsed="false">
      <c r="A260" s="30"/>
      <c r="B260" s="30"/>
      <c r="C260" s="30"/>
      <c r="D260" s="30"/>
      <c r="E260" s="30"/>
      <c r="F260" s="30"/>
      <c r="G260" s="30"/>
    </row>
    <row r="261" customFormat="false" ht="15" hidden="false" customHeight="false" outlineLevel="0" collapsed="false">
      <c r="A261" s="30"/>
      <c r="B261" s="30"/>
      <c r="C261" s="30"/>
      <c r="D261" s="30"/>
      <c r="E261" s="30"/>
      <c r="F261" s="30"/>
      <c r="G261" s="30"/>
    </row>
    <row r="262" customFormat="false" ht="15" hidden="false" customHeight="false" outlineLevel="0" collapsed="false">
      <c r="A262" s="30"/>
      <c r="B262" s="30"/>
      <c r="C262" s="30"/>
      <c r="D262" s="30"/>
      <c r="E262" s="30"/>
      <c r="F262" s="30"/>
      <c r="G262" s="30"/>
    </row>
    <row r="263" customFormat="false" ht="15" hidden="false" customHeight="false" outlineLevel="0" collapsed="false">
      <c r="A263" s="30"/>
      <c r="B263" s="30"/>
      <c r="C263" s="30"/>
      <c r="D263" s="30"/>
      <c r="E263" s="30"/>
      <c r="F263" s="30"/>
      <c r="G263" s="30"/>
    </row>
    <row r="264" customFormat="false" ht="15" hidden="false" customHeight="false" outlineLevel="0" collapsed="false">
      <c r="A264" s="30"/>
      <c r="B264" s="30"/>
      <c r="C264" s="30"/>
      <c r="D264" s="30"/>
      <c r="E264" s="30"/>
      <c r="F264" s="30"/>
      <c r="G264" s="30"/>
    </row>
    <row r="265" customFormat="false" ht="15" hidden="false" customHeight="false" outlineLevel="0" collapsed="false">
      <c r="A265" s="30"/>
      <c r="B265" s="30"/>
      <c r="C265" s="30"/>
      <c r="D265" s="30"/>
      <c r="E265" s="30"/>
      <c r="F265" s="30"/>
      <c r="G265" s="30"/>
    </row>
    <row r="266" customFormat="false" ht="15" hidden="false" customHeight="false" outlineLevel="0" collapsed="false">
      <c r="A266" s="30"/>
      <c r="B266" s="30"/>
      <c r="C266" s="30"/>
      <c r="D266" s="30"/>
      <c r="E266" s="30"/>
      <c r="F266" s="30"/>
      <c r="G266" s="30"/>
    </row>
    <row r="267" customFormat="false" ht="15" hidden="false" customHeight="false" outlineLevel="0" collapsed="false">
      <c r="A267" s="30"/>
      <c r="B267" s="30"/>
      <c r="C267" s="30"/>
      <c r="D267" s="30"/>
      <c r="E267" s="30"/>
      <c r="F267" s="30"/>
      <c r="G267" s="30"/>
    </row>
    <row r="268" customFormat="false" ht="15" hidden="false" customHeight="false" outlineLevel="0" collapsed="false">
      <c r="A268" s="30"/>
      <c r="B268" s="30"/>
      <c r="C268" s="30"/>
      <c r="D268" s="30"/>
      <c r="E268" s="30"/>
      <c r="F268" s="30"/>
      <c r="G268" s="30"/>
    </row>
    <row r="269" customFormat="false" ht="15" hidden="false" customHeight="false" outlineLevel="0" collapsed="false">
      <c r="A269" s="30"/>
      <c r="B269" s="30"/>
      <c r="C269" s="30"/>
      <c r="D269" s="30"/>
      <c r="E269" s="30"/>
      <c r="F269" s="30"/>
      <c r="G269" s="30"/>
    </row>
    <row r="270" customFormat="false" ht="15" hidden="false" customHeight="false" outlineLevel="0" collapsed="false">
      <c r="A270" s="30"/>
      <c r="B270" s="30"/>
      <c r="C270" s="30"/>
      <c r="D270" s="30"/>
      <c r="E270" s="30"/>
      <c r="F270" s="30"/>
      <c r="G270" s="30"/>
    </row>
    <row r="271" customFormat="false" ht="15" hidden="false" customHeight="false" outlineLevel="0" collapsed="false">
      <c r="A271" s="30"/>
      <c r="B271" s="30"/>
      <c r="C271" s="30"/>
      <c r="D271" s="30"/>
      <c r="E271" s="30"/>
      <c r="F271" s="30"/>
      <c r="G271" s="30"/>
    </row>
    <row r="272" customFormat="false" ht="15" hidden="false" customHeight="false" outlineLevel="0" collapsed="false">
      <c r="A272" s="30"/>
      <c r="B272" s="30"/>
      <c r="C272" s="30"/>
      <c r="D272" s="30"/>
      <c r="E272" s="30"/>
      <c r="F272" s="30"/>
      <c r="G272" s="30"/>
    </row>
    <row r="273" customFormat="false" ht="15" hidden="false" customHeight="false" outlineLevel="0" collapsed="false">
      <c r="A273" s="30"/>
      <c r="B273" s="30"/>
      <c r="C273" s="30"/>
      <c r="D273" s="30"/>
      <c r="E273" s="30"/>
      <c r="F273" s="30"/>
      <c r="G273" s="30"/>
    </row>
    <row r="274" customFormat="false" ht="15" hidden="false" customHeight="false" outlineLevel="0" collapsed="false">
      <c r="A274" s="30"/>
      <c r="B274" s="30"/>
      <c r="C274" s="30"/>
      <c r="D274" s="30"/>
      <c r="E274" s="30"/>
      <c r="F274" s="30"/>
      <c r="G274" s="30"/>
    </row>
    <row r="275" customFormat="false" ht="15" hidden="false" customHeight="false" outlineLevel="0" collapsed="false">
      <c r="A275" s="30"/>
      <c r="B275" s="30"/>
      <c r="C275" s="30"/>
      <c r="D275" s="30"/>
      <c r="E275" s="30"/>
      <c r="F275" s="30"/>
      <c r="G275" s="30"/>
    </row>
    <row r="276" customFormat="false" ht="15" hidden="false" customHeight="false" outlineLevel="0" collapsed="false">
      <c r="A276" s="30"/>
      <c r="B276" s="30"/>
      <c r="C276" s="30"/>
      <c r="D276" s="30"/>
      <c r="E276" s="30"/>
      <c r="F276" s="30"/>
      <c r="G276" s="30"/>
    </row>
    <row r="277" customFormat="false" ht="15" hidden="false" customHeight="false" outlineLevel="0" collapsed="false">
      <c r="A277" s="30"/>
      <c r="B277" s="30"/>
      <c r="C277" s="30"/>
      <c r="D277" s="30"/>
      <c r="E277" s="30"/>
      <c r="F277" s="30"/>
      <c r="G277" s="30"/>
    </row>
    <row r="278" customFormat="false" ht="15" hidden="false" customHeight="false" outlineLevel="0" collapsed="false">
      <c r="A278" s="30"/>
      <c r="B278" s="30"/>
      <c r="C278" s="30"/>
      <c r="D278" s="30"/>
      <c r="E278" s="30"/>
      <c r="F278" s="30"/>
      <c r="G278" s="30"/>
    </row>
    <row r="279" customFormat="false" ht="15" hidden="false" customHeight="false" outlineLevel="0" collapsed="false">
      <c r="A279" s="30"/>
      <c r="B279" s="30"/>
      <c r="C279" s="30"/>
      <c r="D279" s="30"/>
      <c r="E279" s="30"/>
      <c r="F279" s="30"/>
      <c r="G279" s="30"/>
    </row>
    <row r="280" customFormat="false" ht="15" hidden="false" customHeight="false" outlineLevel="0" collapsed="false">
      <c r="A280" s="30"/>
      <c r="B280" s="30"/>
      <c r="C280" s="30"/>
      <c r="D280" s="30"/>
      <c r="E280" s="30"/>
      <c r="F280" s="30"/>
      <c r="G280" s="30"/>
    </row>
    <row r="281" customFormat="false" ht="15" hidden="false" customHeight="false" outlineLevel="0" collapsed="false">
      <c r="A281" s="30"/>
      <c r="B281" s="30"/>
      <c r="C281" s="30"/>
      <c r="D281" s="30"/>
      <c r="E281" s="30"/>
      <c r="F281" s="30"/>
      <c r="G281" s="30"/>
    </row>
    <row r="282" customFormat="false" ht="15" hidden="false" customHeight="false" outlineLevel="0" collapsed="false">
      <c r="A282" s="30"/>
      <c r="B282" s="30"/>
      <c r="C282" s="30"/>
      <c r="D282" s="30"/>
      <c r="E282" s="30"/>
      <c r="F282" s="30"/>
      <c r="G282" s="30"/>
    </row>
    <row r="283" customFormat="false" ht="15" hidden="false" customHeight="false" outlineLevel="0" collapsed="false">
      <c r="A283" s="30"/>
      <c r="B283" s="30"/>
      <c r="C283" s="30"/>
      <c r="D283" s="30"/>
      <c r="E283" s="30"/>
      <c r="F283" s="30"/>
      <c r="G283" s="30"/>
    </row>
    <row r="284" customFormat="false" ht="15" hidden="false" customHeight="false" outlineLevel="0" collapsed="false">
      <c r="A284" s="30"/>
      <c r="B284" s="30"/>
      <c r="C284" s="30"/>
      <c r="D284" s="30"/>
      <c r="E284" s="30"/>
      <c r="F284" s="30"/>
      <c r="G284" s="30"/>
    </row>
    <row r="285" customFormat="false" ht="15" hidden="false" customHeight="false" outlineLevel="0" collapsed="false">
      <c r="A285" s="30"/>
      <c r="B285" s="30"/>
      <c r="C285" s="30"/>
      <c r="D285" s="30"/>
      <c r="E285" s="30"/>
      <c r="F285" s="30"/>
      <c r="G285" s="30"/>
    </row>
    <row r="286" customFormat="false" ht="15" hidden="false" customHeight="false" outlineLevel="0" collapsed="false">
      <c r="A286" s="30"/>
      <c r="B286" s="30"/>
      <c r="C286" s="30"/>
      <c r="D286" s="30"/>
      <c r="E286" s="30"/>
      <c r="F286" s="30"/>
      <c r="G286" s="30"/>
    </row>
    <row r="287" customFormat="false" ht="15" hidden="false" customHeight="false" outlineLevel="0" collapsed="false">
      <c r="A287" s="30"/>
      <c r="B287" s="30"/>
      <c r="C287" s="30"/>
      <c r="D287" s="30"/>
      <c r="E287" s="30"/>
      <c r="F287" s="30"/>
      <c r="G287" s="30"/>
    </row>
    <row r="288" customFormat="false" ht="15" hidden="false" customHeight="false" outlineLevel="0" collapsed="false">
      <c r="A288" s="30"/>
      <c r="B288" s="30"/>
      <c r="C288" s="30"/>
      <c r="D288" s="30"/>
      <c r="E288" s="30"/>
      <c r="F288" s="30"/>
      <c r="G288" s="30"/>
    </row>
    <row r="289" customFormat="false" ht="15" hidden="false" customHeight="false" outlineLevel="0" collapsed="false">
      <c r="A289" s="30"/>
      <c r="B289" s="30"/>
      <c r="C289" s="30"/>
      <c r="D289" s="30"/>
      <c r="E289" s="30"/>
      <c r="F289" s="30"/>
      <c r="G289" s="30"/>
    </row>
    <row r="290" customFormat="false" ht="15" hidden="false" customHeight="false" outlineLevel="0" collapsed="false">
      <c r="A290" s="30"/>
      <c r="B290" s="30"/>
      <c r="C290" s="30"/>
      <c r="D290" s="30"/>
      <c r="E290" s="30"/>
      <c r="F290" s="30"/>
      <c r="G290" s="30"/>
    </row>
    <row r="291" customFormat="false" ht="15" hidden="false" customHeight="false" outlineLevel="0" collapsed="false">
      <c r="A291" s="30"/>
      <c r="B291" s="30"/>
      <c r="C291" s="30"/>
      <c r="D291" s="30"/>
      <c r="E291" s="30"/>
      <c r="F291" s="30"/>
      <c r="G291" s="30"/>
    </row>
    <row r="292" customFormat="false" ht="15" hidden="false" customHeight="false" outlineLevel="0" collapsed="false">
      <c r="A292" s="30"/>
      <c r="B292" s="30"/>
      <c r="C292" s="30"/>
      <c r="D292" s="30"/>
      <c r="E292" s="30"/>
      <c r="F292" s="30"/>
      <c r="G292" s="30"/>
    </row>
    <row r="293" customFormat="false" ht="15" hidden="false" customHeight="false" outlineLevel="0" collapsed="false">
      <c r="A293" s="30"/>
      <c r="B293" s="30"/>
      <c r="C293" s="30"/>
      <c r="D293" s="30"/>
      <c r="E293" s="30"/>
      <c r="F293" s="30"/>
      <c r="G293" s="30"/>
    </row>
    <row r="294" customFormat="false" ht="15" hidden="false" customHeight="false" outlineLevel="0" collapsed="false">
      <c r="A294" s="30"/>
      <c r="B294" s="30"/>
      <c r="C294" s="30"/>
      <c r="D294" s="30"/>
      <c r="E294" s="30"/>
      <c r="F294" s="30"/>
      <c r="G294" s="30"/>
    </row>
    <row r="295" customFormat="false" ht="15" hidden="false" customHeight="false" outlineLevel="0" collapsed="false">
      <c r="A295" s="30"/>
      <c r="B295" s="30"/>
      <c r="C295" s="30"/>
      <c r="D295" s="30"/>
      <c r="E295" s="30"/>
      <c r="F295" s="30"/>
      <c r="G295" s="30"/>
    </row>
    <row r="296" customFormat="false" ht="15" hidden="false" customHeight="false" outlineLevel="0" collapsed="false">
      <c r="A296" s="30"/>
      <c r="B296" s="30"/>
      <c r="C296" s="30"/>
      <c r="D296" s="30"/>
      <c r="E296" s="30"/>
      <c r="F296" s="30"/>
      <c r="G296" s="30"/>
    </row>
    <row r="297" customFormat="false" ht="15" hidden="false" customHeight="false" outlineLevel="0" collapsed="false">
      <c r="A297" s="30"/>
      <c r="B297" s="30"/>
      <c r="C297" s="30"/>
      <c r="D297" s="30"/>
      <c r="E297" s="30"/>
      <c r="F297" s="30"/>
      <c r="G297" s="30"/>
    </row>
    <row r="298" customFormat="false" ht="15" hidden="false" customHeight="false" outlineLevel="0" collapsed="false">
      <c r="A298" s="30"/>
      <c r="B298" s="30"/>
      <c r="C298" s="30"/>
      <c r="D298" s="30"/>
      <c r="E298" s="30"/>
      <c r="F298" s="30"/>
      <c r="G298" s="30"/>
    </row>
    <row r="299" customFormat="false" ht="15" hidden="false" customHeight="false" outlineLevel="0" collapsed="false">
      <c r="A299" s="30"/>
      <c r="B299" s="30"/>
      <c r="C299" s="30"/>
      <c r="D299" s="30"/>
      <c r="E299" s="30"/>
      <c r="F299" s="30"/>
      <c r="G299" s="30"/>
    </row>
    <row r="300" customFormat="false" ht="15" hidden="false" customHeight="false" outlineLevel="0" collapsed="false">
      <c r="A300" s="30"/>
      <c r="B300" s="30"/>
      <c r="C300" s="30"/>
      <c r="D300" s="30"/>
      <c r="E300" s="30"/>
      <c r="F300" s="30"/>
      <c r="G300" s="30"/>
    </row>
    <row r="301" customFormat="false" ht="15" hidden="false" customHeight="false" outlineLevel="0" collapsed="false">
      <c r="A301" s="30"/>
      <c r="B301" s="30"/>
      <c r="C301" s="30"/>
      <c r="D301" s="30"/>
      <c r="E301" s="30"/>
      <c r="F301" s="30"/>
      <c r="G301" s="30"/>
    </row>
    <row r="302" customFormat="false" ht="15" hidden="false" customHeight="false" outlineLevel="0" collapsed="false">
      <c r="A302" s="30"/>
      <c r="B302" s="30"/>
      <c r="C302" s="30"/>
      <c r="D302" s="30"/>
      <c r="E302" s="30"/>
      <c r="F302" s="30"/>
      <c r="G302" s="30"/>
    </row>
    <row r="303" customFormat="false" ht="15" hidden="false" customHeight="false" outlineLevel="0" collapsed="false">
      <c r="A303" s="30"/>
      <c r="B303" s="30"/>
      <c r="C303" s="30"/>
      <c r="D303" s="30"/>
      <c r="E303" s="30"/>
      <c r="F303" s="30"/>
      <c r="G303" s="30"/>
    </row>
    <row r="304" customFormat="false" ht="15" hidden="false" customHeight="false" outlineLevel="0" collapsed="false">
      <c r="A304" s="30"/>
      <c r="B304" s="30"/>
      <c r="C304" s="30"/>
      <c r="D304" s="30"/>
      <c r="E304" s="30"/>
      <c r="F304" s="30"/>
      <c r="G304" s="30"/>
    </row>
  </sheetData>
  <autoFilter ref="A4:G304"/>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791F"/>
    <pageSetUpPr fitToPage="true"/>
  </sheetPr>
  <dimension ref="A1:J4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14"/>
    <col collapsed="false" customWidth="true" hidden="false" outlineLevel="0" max="4" min="4" style="0" width="10"/>
    <col collapsed="false" customWidth="true" hidden="false" outlineLevel="0" max="5" min="5" style="0" width="56"/>
    <col collapsed="false" customWidth="true" hidden="false" outlineLevel="0" max="6" min="6" style="0" width="44"/>
    <col collapsed="false" customWidth="true" hidden="false" outlineLevel="0" max="7" min="7" style="0" width="10"/>
    <col collapsed="false" customWidth="true" hidden="false" outlineLevel="0" max="8" min="8" style="0" width="40"/>
    <col collapsed="false" customWidth="true" hidden="false" outlineLevel="0" max="9" min="9" style="0" width="16"/>
    <col collapsed="false" customWidth="true" hidden="false" outlineLevel="0" max="10" min="10" style="0" width="12"/>
  </cols>
  <sheetData>
    <row r="1" customFormat="false" ht="17.35" hidden="false" customHeight="false" outlineLevel="0" collapsed="false">
      <c r="A1" s="1" t="s">
        <v>25</v>
      </c>
    </row>
    <row r="2" customFormat="false" ht="15" hidden="false" customHeight="false" outlineLevel="0" collapsed="false">
      <c r="A2" s="2" t="s">
        <v>490</v>
      </c>
    </row>
    <row r="4" customFormat="false" ht="31.5" hidden="false" customHeight="true" outlineLevel="0" collapsed="false">
      <c r="A4" s="21" t="s">
        <v>340</v>
      </c>
      <c r="B4" s="21" t="s">
        <v>343</v>
      </c>
      <c r="C4" s="21" t="s">
        <v>138</v>
      </c>
      <c r="D4" s="21" t="s">
        <v>346</v>
      </c>
      <c r="E4" s="21" t="s">
        <v>349</v>
      </c>
      <c r="F4" s="21" t="s">
        <v>352</v>
      </c>
      <c r="G4" s="21" t="s">
        <v>101</v>
      </c>
      <c r="H4" s="21" t="s">
        <v>357</v>
      </c>
      <c r="I4" s="21" t="s">
        <v>359</v>
      </c>
      <c r="J4" s="21" t="s">
        <v>361</v>
      </c>
    </row>
    <row r="5" customFormat="false" ht="35.05" hidden="false" customHeight="false" outlineLevel="0" collapsed="false">
      <c r="A5" s="29" t="s">
        <v>342</v>
      </c>
      <c r="B5" s="30" t="s">
        <v>179</v>
      </c>
      <c r="C5" s="30" t="s">
        <v>5</v>
      </c>
      <c r="D5" s="30" t="s">
        <v>348</v>
      </c>
      <c r="E5" s="30" t="s">
        <v>491</v>
      </c>
      <c r="F5" s="30" t="s">
        <v>492</v>
      </c>
      <c r="G5" s="30" t="s">
        <v>356</v>
      </c>
      <c r="H5" s="30"/>
      <c r="I5" s="30"/>
      <c r="J5" s="30"/>
    </row>
    <row r="6" customFormat="false" ht="15" hidden="false" customHeight="false" outlineLevel="0" collapsed="false">
      <c r="A6" s="29"/>
      <c r="B6" s="30"/>
      <c r="C6" s="30"/>
      <c r="D6" s="30"/>
      <c r="E6" s="30"/>
      <c r="F6" s="30"/>
      <c r="G6" s="30"/>
      <c r="H6" s="30"/>
      <c r="I6" s="30"/>
      <c r="J6" s="30"/>
    </row>
    <row r="7" customFormat="false" ht="15" hidden="false" customHeight="false" outlineLevel="0" collapsed="false">
      <c r="A7" s="29"/>
      <c r="B7" s="30"/>
      <c r="C7" s="30"/>
      <c r="D7" s="30"/>
      <c r="E7" s="30"/>
      <c r="F7" s="30"/>
      <c r="G7" s="30"/>
      <c r="H7" s="30"/>
      <c r="I7" s="30"/>
      <c r="J7" s="30"/>
    </row>
    <row r="8" customFormat="false" ht="15" hidden="false" customHeight="false" outlineLevel="0" collapsed="false">
      <c r="A8" s="29"/>
      <c r="B8" s="30"/>
      <c r="C8" s="30"/>
      <c r="D8" s="30"/>
      <c r="E8" s="30"/>
      <c r="F8" s="30"/>
      <c r="G8" s="30"/>
      <c r="H8" s="30"/>
      <c r="I8" s="30"/>
      <c r="J8" s="30"/>
    </row>
    <row r="9" customFormat="false" ht="15" hidden="false" customHeight="false" outlineLevel="0" collapsed="false">
      <c r="A9" s="29"/>
      <c r="B9" s="30"/>
      <c r="C9" s="30"/>
      <c r="D9" s="30"/>
      <c r="E9" s="30"/>
      <c r="F9" s="30"/>
      <c r="G9" s="30"/>
      <c r="H9" s="30"/>
      <c r="I9" s="30"/>
      <c r="J9" s="30"/>
    </row>
    <row r="10" customFormat="false" ht="15" hidden="false" customHeight="false" outlineLevel="0" collapsed="false">
      <c r="A10" s="29"/>
      <c r="B10" s="30"/>
      <c r="C10" s="30"/>
      <c r="D10" s="30"/>
      <c r="E10" s="30"/>
      <c r="F10" s="30"/>
      <c r="G10" s="30"/>
      <c r="H10" s="30"/>
      <c r="I10" s="30"/>
      <c r="J10" s="30"/>
    </row>
    <row r="11" customFormat="false" ht="15" hidden="false" customHeight="false" outlineLevel="0" collapsed="false">
      <c r="A11" s="29"/>
      <c r="B11" s="30"/>
      <c r="C11" s="30"/>
      <c r="D11" s="30"/>
      <c r="E11" s="30"/>
      <c r="F11" s="30"/>
      <c r="G11" s="30"/>
      <c r="H11" s="30"/>
      <c r="I11" s="30"/>
      <c r="J11" s="30"/>
    </row>
    <row r="12" customFormat="false" ht="15" hidden="false" customHeight="false" outlineLevel="0" collapsed="false">
      <c r="A12" s="29"/>
      <c r="B12" s="30"/>
      <c r="C12" s="30"/>
      <c r="D12" s="30"/>
      <c r="E12" s="30"/>
      <c r="F12" s="30"/>
      <c r="G12" s="30"/>
      <c r="H12" s="30"/>
      <c r="I12" s="30"/>
      <c r="J12" s="30"/>
    </row>
    <row r="13" customFormat="false" ht="15" hidden="false" customHeight="false" outlineLevel="0" collapsed="false">
      <c r="A13" s="29"/>
      <c r="B13" s="30"/>
      <c r="C13" s="30"/>
      <c r="D13" s="30"/>
      <c r="E13" s="30"/>
      <c r="F13" s="30"/>
      <c r="G13" s="30"/>
      <c r="H13" s="30"/>
      <c r="I13" s="30"/>
      <c r="J13" s="30"/>
    </row>
    <row r="14" customFormat="false" ht="15" hidden="false" customHeight="false" outlineLevel="0" collapsed="false">
      <c r="A14" s="29"/>
      <c r="B14" s="30"/>
      <c r="C14" s="30"/>
      <c r="D14" s="30"/>
      <c r="E14" s="30"/>
      <c r="F14" s="30"/>
      <c r="G14" s="30"/>
      <c r="H14" s="30"/>
      <c r="I14" s="30"/>
      <c r="J14" s="30"/>
    </row>
    <row r="15" customFormat="false" ht="15" hidden="false" customHeight="false" outlineLevel="0" collapsed="false">
      <c r="A15" s="29"/>
      <c r="B15" s="30"/>
      <c r="C15" s="30"/>
      <c r="D15" s="30"/>
      <c r="E15" s="30"/>
      <c r="F15" s="30"/>
      <c r="G15" s="30"/>
      <c r="H15" s="30"/>
      <c r="I15" s="30"/>
      <c r="J15" s="30"/>
    </row>
    <row r="16" customFormat="false" ht="15" hidden="false" customHeight="false" outlineLevel="0" collapsed="false">
      <c r="A16" s="29"/>
      <c r="B16" s="30"/>
      <c r="C16" s="30"/>
      <c r="D16" s="30"/>
      <c r="E16" s="30"/>
      <c r="F16" s="30"/>
      <c r="G16" s="30"/>
      <c r="H16" s="30"/>
      <c r="I16" s="30"/>
      <c r="J16" s="30"/>
    </row>
    <row r="17" customFormat="false" ht="15" hidden="false" customHeight="false" outlineLevel="0" collapsed="false">
      <c r="A17" s="29"/>
      <c r="B17" s="30"/>
      <c r="C17" s="30"/>
      <c r="D17" s="30"/>
      <c r="E17" s="30"/>
      <c r="F17" s="30"/>
      <c r="G17" s="30"/>
      <c r="H17" s="30"/>
      <c r="I17" s="30"/>
      <c r="J17" s="30"/>
    </row>
    <row r="18" customFormat="false" ht="15" hidden="false" customHeight="false" outlineLevel="0" collapsed="false">
      <c r="A18" s="29"/>
      <c r="B18" s="30"/>
      <c r="C18" s="30"/>
      <c r="D18" s="30"/>
      <c r="E18" s="30"/>
      <c r="F18" s="30"/>
      <c r="G18" s="30"/>
      <c r="H18" s="30"/>
      <c r="I18" s="30"/>
      <c r="J18" s="30"/>
    </row>
    <row r="19" customFormat="false" ht="15" hidden="false" customHeight="false" outlineLevel="0" collapsed="false">
      <c r="A19" s="29"/>
      <c r="B19" s="30"/>
      <c r="C19" s="30"/>
      <c r="D19" s="30"/>
      <c r="E19" s="30"/>
      <c r="F19" s="30"/>
      <c r="G19" s="30"/>
      <c r="H19" s="30"/>
      <c r="I19" s="30"/>
      <c r="J19" s="30"/>
    </row>
    <row r="20" customFormat="false" ht="15" hidden="false" customHeight="false" outlineLevel="0" collapsed="false">
      <c r="A20" s="29"/>
      <c r="B20" s="30"/>
      <c r="C20" s="30"/>
      <c r="D20" s="30"/>
      <c r="E20" s="30"/>
      <c r="F20" s="30"/>
      <c r="G20" s="30"/>
      <c r="H20" s="30"/>
      <c r="I20" s="30"/>
      <c r="J20" s="30"/>
    </row>
    <row r="21" customFormat="false" ht="15" hidden="false" customHeight="false" outlineLevel="0" collapsed="false">
      <c r="A21" s="29"/>
      <c r="B21" s="30"/>
      <c r="C21" s="30"/>
      <c r="D21" s="30"/>
      <c r="E21" s="30"/>
      <c r="F21" s="30"/>
      <c r="G21" s="30"/>
      <c r="H21" s="30"/>
      <c r="I21" s="30"/>
      <c r="J21" s="30"/>
    </row>
    <row r="22" customFormat="false" ht="15" hidden="false" customHeight="false" outlineLevel="0" collapsed="false">
      <c r="A22" s="29"/>
      <c r="B22" s="30"/>
      <c r="C22" s="30"/>
      <c r="D22" s="30"/>
      <c r="E22" s="30"/>
      <c r="F22" s="30"/>
      <c r="G22" s="30"/>
      <c r="H22" s="30"/>
      <c r="I22" s="30"/>
      <c r="J22" s="30"/>
    </row>
    <row r="23" customFormat="false" ht="15" hidden="false" customHeight="false" outlineLevel="0" collapsed="false">
      <c r="A23" s="29"/>
      <c r="B23" s="30"/>
      <c r="C23" s="30"/>
      <c r="D23" s="30"/>
      <c r="E23" s="30"/>
      <c r="F23" s="30"/>
      <c r="G23" s="30"/>
      <c r="H23" s="30"/>
      <c r="I23" s="30"/>
      <c r="J23" s="30"/>
    </row>
    <row r="24" customFormat="false" ht="15" hidden="false" customHeight="false" outlineLevel="0" collapsed="false">
      <c r="A24" s="29"/>
      <c r="B24" s="30"/>
      <c r="C24" s="30"/>
      <c r="D24" s="30"/>
      <c r="E24" s="30"/>
      <c r="F24" s="30"/>
      <c r="G24" s="30"/>
      <c r="H24" s="30"/>
      <c r="I24" s="30"/>
      <c r="J24" s="30"/>
    </row>
    <row r="25" customFormat="false" ht="15" hidden="false" customHeight="false" outlineLevel="0" collapsed="false">
      <c r="A25" s="29"/>
      <c r="B25" s="30"/>
      <c r="C25" s="30"/>
      <c r="D25" s="30"/>
      <c r="E25" s="30"/>
      <c r="F25" s="30"/>
      <c r="G25" s="30"/>
      <c r="H25" s="30"/>
      <c r="I25" s="30"/>
      <c r="J25" s="30"/>
    </row>
    <row r="26" customFormat="false" ht="15" hidden="false" customHeight="false" outlineLevel="0" collapsed="false">
      <c r="A26" s="29"/>
      <c r="B26" s="30"/>
      <c r="C26" s="30"/>
      <c r="D26" s="30"/>
      <c r="E26" s="30"/>
      <c r="F26" s="30"/>
      <c r="G26" s="30"/>
      <c r="H26" s="30"/>
      <c r="I26" s="30"/>
      <c r="J26" s="30"/>
    </row>
    <row r="27" customFormat="false" ht="15" hidden="false" customHeight="false" outlineLevel="0" collapsed="false">
      <c r="A27" s="29"/>
      <c r="B27" s="30"/>
      <c r="C27" s="30"/>
      <c r="D27" s="30"/>
      <c r="E27" s="30"/>
      <c r="F27" s="30"/>
      <c r="G27" s="30"/>
      <c r="H27" s="30"/>
      <c r="I27" s="30"/>
      <c r="J27" s="30"/>
    </row>
    <row r="28" customFormat="false" ht="15" hidden="false" customHeight="false" outlineLevel="0" collapsed="false">
      <c r="A28" s="29"/>
      <c r="B28" s="30"/>
      <c r="C28" s="30"/>
      <c r="D28" s="30"/>
      <c r="E28" s="30"/>
      <c r="F28" s="30"/>
      <c r="G28" s="30"/>
      <c r="H28" s="30"/>
      <c r="I28" s="30"/>
      <c r="J28" s="30"/>
    </row>
    <row r="29" customFormat="false" ht="15" hidden="false" customHeight="false" outlineLevel="0" collapsed="false">
      <c r="A29" s="29"/>
      <c r="B29" s="30"/>
      <c r="C29" s="30"/>
      <c r="D29" s="30"/>
      <c r="E29" s="30"/>
      <c r="F29" s="30"/>
      <c r="G29" s="30"/>
      <c r="H29" s="30"/>
      <c r="I29" s="30"/>
      <c r="J29" s="30"/>
    </row>
    <row r="30" customFormat="false" ht="15" hidden="false" customHeight="false" outlineLevel="0" collapsed="false">
      <c r="A30" s="29"/>
      <c r="B30" s="30"/>
      <c r="C30" s="30"/>
      <c r="D30" s="30"/>
      <c r="E30" s="30"/>
      <c r="F30" s="30"/>
      <c r="G30" s="30"/>
      <c r="H30" s="30"/>
      <c r="I30" s="30"/>
      <c r="J30" s="30"/>
    </row>
    <row r="31" customFormat="false" ht="15" hidden="false" customHeight="false" outlineLevel="0" collapsed="false">
      <c r="A31" s="29"/>
      <c r="B31" s="30"/>
      <c r="C31" s="30"/>
      <c r="D31" s="30"/>
      <c r="E31" s="30"/>
      <c r="F31" s="30"/>
      <c r="G31" s="30"/>
      <c r="H31" s="30"/>
      <c r="I31" s="30"/>
      <c r="J31" s="30"/>
    </row>
    <row r="32" customFormat="false" ht="15" hidden="false" customHeight="false" outlineLevel="0" collapsed="false">
      <c r="A32" s="29"/>
      <c r="B32" s="30"/>
      <c r="C32" s="30"/>
      <c r="D32" s="30"/>
      <c r="E32" s="30"/>
      <c r="F32" s="30"/>
      <c r="G32" s="30"/>
      <c r="H32" s="30"/>
      <c r="I32" s="30"/>
      <c r="J32" s="30"/>
    </row>
    <row r="33" customFormat="false" ht="15" hidden="false" customHeight="false" outlineLevel="0" collapsed="false">
      <c r="A33" s="29"/>
      <c r="B33" s="30"/>
      <c r="C33" s="30"/>
      <c r="D33" s="30"/>
      <c r="E33" s="30"/>
      <c r="F33" s="30"/>
      <c r="G33" s="30"/>
      <c r="H33" s="30"/>
      <c r="I33" s="30"/>
      <c r="J33" s="30"/>
    </row>
    <row r="34" customFormat="false" ht="15" hidden="false" customHeight="false" outlineLevel="0" collapsed="false">
      <c r="A34" s="29"/>
      <c r="B34" s="30"/>
      <c r="C34" s="30"/>
      <c r="D34" s="30"/>
      <c r="E34" s="30"/>
      <c r="F34" s="30"/>
      <c r="G34" s="30"/>
      <c r="H34" s="30"/>
      <c r="I34" s="30"/>
      <c r="J34" s="30"/>
    </row>
    <row r="35" customFormat="false" ht="15" hidden="false" customHeight="false" outlineLevel="0" collapsed="false">
      <c r="A35" s="29"/>
      <c r="B35" s="30"/>
      <c r="C35" s="30"/>
      <c r="D35" s="30"/>
      <c r="E35" s="30"/>
      <c r="F35" s="30"/>
      <c r="G35" s="30"/>
      <c r="H35" s="30"/>
      <c r="I35" s="30"/>
      <c r="J35" s="30"/>
    </row>
    <row r="36" customFormat="false" ht="15" hidden="false" customHeight="false" outlineLevel="0" collapsed="false">
      <c r="A36" s="29"/>
      <c r="B36" s="30"/>
      <c r="C36" s="30"/>
      <c r="D36" s="30"/>
      <c r="E36" s="30"/>
      <c r="F36" s="30"/>
      <c r="G36" s="30"/>
      <c r="H36" s="30"/>
      <c r="I36" s="30"/>
      <c r="J36" s="30"/>
    </row>
    <row r="37" customFormat="false" ht="15" hidden="false" customHeight="false" outlineLevel="0" collapsed="false">
      <c r="A37" s="29"/>
      <c r="B37" s="30"/>
      <c r="C37" s="30"/>
      <c r="D37" s="30"/>
      <c r="E37" s="30"/>
      <c r="F37" s="30"/>
      <c r="G37" s="30"/>
      <c r="H37" s="30"/>
      <c r="I37" s="30"/>
      <c r="J37" s="30"/>
    </row>
    <row r="38" customFormat="false" ht="15" hidden="false" customHeight="false" outlineLevel="0" collapsed="false">
      <c r="A38" s="29"/>
      <c r="B38" s="30"/>
      <c r="C38" s="30"/>
      <c r="D38" s="30"/>
      <c r="E38" s="30"/>
      <c r="F38" s="30"/>
      <c r="G38" s="30"/>
      <c r="H38" s="30"/>
      <c r="I38" s="30"/>
      <c r="J38" s="30"/>
    </row>
    <row r="39" customFormat="false" ht="15" hidden="false" customHeight="false" outlineLevel="0" collapsed="false">
      <c r="A39" s="29"/>
      <c r="B39" s="30"/>
      <c r="C39" s="30"/>
      <c r="D39" s="30"/>
      <c r="E39" s="30"/>
      <c r="F39" s="30"/>
      <c r="G39" s="30"/>
      <c r="H39" s="30"/>
      <c r="I39" s="30"/>
      <c r="J39" s="30"/>
    </row>
    <row r="40" customFormat="false" ht="15" hidden="false" customHeight="false" outlineLevel="0" collapsed="false">
      <c r="A40" s="29"/>
      <c r="B40" s="30"/>
      <c r="C40" s="30"/>
      <c r="D40" s="30"/>
      <c r="E40" s="30"/>
      <c r="F40" s="30"/>
      <c r="G40" s="30"/>
      <c r="H40" s="30"/>
      <c r="I40" s="30"/>
      <c r="J40" s="30"/>
    </row>
    <row r="41" customFormat="false" ht="15" hidden="false" customHeight="false" outlineLevel="0" collapsed="false">
      <c r="A41" s="29"/>
      <c r="B41" s="30"/>
      <c r="C41" s="30"/>
      <c r="D41" s="30"/>
      <c r="E41" s="30"/>
      <c r="F41" s="30"/>
      <c r="G41" s="30"/>
      <c r="H41" s="30"/>
      <c r="I41" s="30"/>
      <c r="J41" s="30"/>
    </row>
    <row r="42" customFormat="false" ht="15" hidden="false" customHeight="false" outlineLevel="0" collapsed="false">
      <c r="A42" s="29"/>
      <c r="B42" s="30"/>
      <c r="C42" s="30"/>
      <c r="D42" s="30"/>
      <c r="E42" s="30"/>
      <c r="F42" s="30"/>
      <c r="G42" s="30"/>
      <c r="H42" s="30"/>
      <c r="I42" s="30"/>
      <c r="J42" s="30"/>
    </row>
    <row r="43" customFormat="false" ht="15" hidden="false" customHeight="false" outlineLevel="0" collapsed="false">
      <c r="A43" s="29"/>
      <c r="B43" s="30"/>
      <c r="C43" s="30"/>
      <c r="D43" s="30"/>
      <c r="E43" s="30"/>
      <c r="F43" s="30"/>
      <c r="G43" s="30"/>
      <c r="H43" s="30"/>
      <c r="I43" s="30"/>
      <c r="J43" s="30"/>
    </row>
    <row r="44" customFormat="false" ht="15" hidden="false" customHeight="false" outlineLevel="0" collapsed="false">
      <c r="A44" s="29"/>
      <c r="B44" s="30"/>
      <c r="C44" s="30"/>
      <c r="D44" s="30"/>
      <c r="E44" s="30"/>
      <c r="F44" s="30"/>
      <c r="G44" s="30"/>
      <c r="H44" s="30"/>
      <c r="I44" s="30"/>
      <c r="J44" s="30"/>
    </row>
    <row r="45" customFormat="false" ht="15" hidden="false" customHeight="false" outlineLevel="0" collapsed="false">
      <c r="A45" s="29"/>
      <c r="B45" s="30"/>
      <c r="C45" s="30"/>
      <c r="D45" s="30"/>
      <c r="E45" s="30"/>
      <c r="F45" s="30"/>
      <c r="G45" s="30"/>
      <c r="H45" s="30"/>
      <c r="I45" s="30"/>
      <c r="J45" s="30"/>
    </row>
    <row r="46" customFormat="false" ht="15" hidden="false" customHeight="false" outlineLevel="0" collapsed="false">
      <c r="A46" s="29"/>
      <c r="B46" s="30"/>
      <c r="C46" s="30"/>
      <c r="D46" s="30"/>
      <c r="E46" s="30"/>
      <c r="F46" s="30"/>
      <c r="G46" s="30"/>
      <c r="H46" s="30"/>
      <c r="I46" s="30"/>
      <c r="J46" s="30"/>
    </row>
    <row r="47" customFormat="false" ht="15" hidden="false" customHeight="false" outlineLevel="0" collapsed="false">
      <c r="A47" s="29"/>
      <c r="B47" s="30"/>
      <c r="C47" s="30"/>
      <c r="D47" s="30"/>
      <c r="E47" s="30"/>
      <c r="F47" s="30"/>
      <c r="G47" s="30"/>
      <c r="H47" s="30"/>
      <c r="I47" s="30"/>
      <c r="J47" s="30"/>
    </row>
    <row r="48" customFormat="false" ht="15" hidden="false" customHeight="false" outlineLevel="0" collapsed="false">
      <c r="A48" s="29"/>
      <c r="B48" s="30"/>
      <c r="C48" s="30"/>
      <c r="D48" s="30"/>
      <c r="E48" s="30"/>
      <c r="F48" s="30"/>
      <c r="G48" s="30"/>
      <c r="H48" s="30"/>
      <c r="I48" s="30"/>
      <c r="J48" s="30"/>
    </row>
    <row r="49" customFormat="false" ht="15" hidden="false" customHeight="false" outlineLevel="0" collapsed="false">
      <c r="A49" s="29"/>
      <c r="B49" s="30"/>
      <c r="C49" s="30"/>
      <c r="D49" s="30"/>
      <c r="E49" s="30"/>
      <c r="F49" s="30"/>
      <c r="G49" s="30"/>
      <c r="H49" s="30"/>
      <c r="I49" s="30"/>
      <c r="J49" s="30"/>
    </row>
    <row r="50" customFormat="false" ht="15" hidden="false" customHeight="false" outlineLevel="0" collapsed="false">
      <c r="A50" s="29"/>
      <c r="B50" s="30"/>
      <c r="C50" s="30"/>
      <c r="D50" s="30"/>
      <c r="E50" s="30"/>
      <c r="F50" s="30"/>
      <c r="G50" s="30"/>
      <c r="H50" s="30"/>
      <c r="I50" s="30"/>
      <c r="J50" s="30"/>
    </row>
    <row r="51" customFormat="false" ht="15" hidden="false" customHeight="false" outlineLevel="0" collapsed="false">
      <c r="A51" s="29"/>
      <c r="B51" s="30"/>
      <c r="C51" s="30"/>
      <c r="D51" s="30"/>
      <c r="E51" s="30"/>
      <c r="F51" s="30"/>
      <c r="G51" s="30"/>
      <c r="H51" s="30"/>
      <c r="I51" s="30"/>
      <c r="J51" s="30"/>
    </row>
    <row r="52" customFormat="false" ht="15" hidden="false" customHeight="false" outlineLevel="0" collapsed="false">
      <c r="A52" s="29"/>
      <c r="B52" s="30"/>
      <c r="C52" s="30"/>
      <c r="D52" s="30"/>
      <c r="E52" s="30"/>
      <c r="F52" s="30"/>
      <c r="G52" s="30"/>
      <c r="H52" s="30"/>
      <c r="I52" s="30"/>
      <c r="J52" s="30"/>
    </row>
    <row r="53" customFormat="false" ht="15" hidden="false" customHeight="false" outlineLevel="0" collapsed="false">
      <c r="A53" s="29"/>
      <c r="B53" s="30"/>
      <c r="C53" s="30"/>
      <c r="D53" s="30"/>
      <c r="E53" s="30"/>
      <c r="F53" s="30"/>
      <c r="G53" s="30"/>
      <c r="H53" s="30"/>
      <c r="I53" s="30"/>
      <c r="J53" s="30"/>
    </row>
    <row r="54" customFormat="false" ht="15" hidden="false" customHeight="false" outlineLevel="0" collapsed="false">
      <c r="A54" s="29"/>
      <c r="B54" s="30"/>
      <c r="C54" s="30"/>
      <c r="D54" s="30"/>
      <c r="E54" s="30"/>
      <c r="F54" s="30"/>
      <c r="G54" s="30"/>
      <c r="H54" s="30"/>
      <c r="I54" s="30"/>
      <c r="J54" s="30"/>
    </row>
    <row r="55" customFormat="false" ht="15" hidden="false" customHeight="false" outlineLevel="0" collapsed="false">
      <c r="A55" s="29"/>
      <c r="B55" s="30"/>
      <c r="C55" s="30"/>
      <c r="D55" s="30"/>
      <c r="E55" s="30"/>
      <c r="F55" s="30"/>
      <c r="G55" s="30"/>
      <c r="H55" s="30"/>
      <c r="I55" s="30"/>
      <c r="J55" s="30"/>
    </row>
    <row r="56" customFormat="false" ht="15" hidden="false" customHeight="false" outlineLevel="0" collapsed="false">
      <c r="A56" s="29"/>
      <c r="B56" s="30"/>
      <c r="C56" s="30"/>
      <c r="D56" s="30"/>
      <c r="E56" s="30"/>
      <c r="F56" s="30"/>
      <c r="G56" s="30"/>
      <c r="H56" s="30"/>
      <c r="I56" s="30"/>
      <c r="J56" s="30"/>
    </row>
    <row r="57" customFormat="false" ht="15" hidden="false" customHeight="false" outlineLevel="0" collapsed="false">
      <c r="A57" s="29"/>
      <c r="B57" s="30"/>
      <c r="C57" s="30"/>
      <c r="D57" s="30"/>
      <c r="E57" s="30"/>
      <c r="F57" s="30"/>
      <c r="G57" s="30"/>
      <c r="H57" s="30"/>
      <c r="I57" s="30"/>
      <c r="J57" s="30"/>
    </row>
    <row r="58" customFormat="false" ht="15" hidden="false" customHeight="false" outlineLevel="0" collapsed="false">
      <c r="A58" s="29"/>
      <c r="B58" s="30"/>
      <c r="C58" s="30"/>
      <c r="D58" s="30"/>
      <c r="E58" s="30"/>
      <c r="F58" s="30"/>
      <c r="G58" s="30"/>
      <c r="H58" s="30"/>
      <c r="I58" s="30"/>
      <c r="J58" s="30"/>
    </row>
    <row r="59" customFormat="false" ht="15" hidden="false" customHeight="false" outlineLevel="0" collapsed="false">
      <c r="A59" s="29"/>
      <c r="B59" s="30"/>
      <c r="C59" s="30"/>
      <c r="D59" s="30"/>
      <c r="E59" s="30"/>
      <c r="F59" s="30"/>
      <c r="G59" s="30"/>
      <c r="H59" s="30"/>
      <c r="I59" s="30"/>
      <c r="J59" s="30"/>
    </row>
    <row r="60" customFormat="false" ht="15" hidden="false" customHeight="false" outlineLevel="0" collapsed="false">
      <c r="A60" s="29"/>
      <c r="B60" s="30"/>
      <c r="C60" s="30"/>
      <c r="D60" s="30"/>
      <c r="E60" s="30"/>
      <c r="F60" s="30"/>
      <c r="G60" s="30"/>
      <c r="H60" s="30"/>
      <c r="I60" s="30"/>
      <c r="J60" s="30"/>
    </row>
    <row r="61" customFormat="false" ht="15" hidden="false" customHeight="false" outlineLevel="0" collapsed="false">
      <c r="A61" s="29"/>
      <c r="B61" s="30"/>
      <c r="C61" s="30"/>
      <c r="D61" s="30"/>
      <c r="E61" s="30"/>
      <c r="F61" s="30"/>
      <c r="G61" s="30"/>
      <c r="H61" s="30"/>
      <c r="I61" s="30"/>
      <c r="J61" s="30"/>
    </row>
    <row r="62" customFormat="false" ht="15" hidden="false" customHeight="false" outlineLevel="0" collapsed="false">
      <c r="A62" s="29"/>
      <c r="B62" s="30"/>
      <c r="C62" s="30"/>
      <c r="D62" s="30"/>
      <c r="E62" s="30"/>
      <c r="F62" s="30"/>
      <c r="G62" s="30"/>
      <c r="H62" s="30"/>
      <c r="I62" s="30"/>
      <c r="J62" s="30"/>
    </row>
    <row r="63" customFormat="false" ht="15" hidden="false" customHeight="false" outlineLevel="0" collapsed="false">
      <c r="A63" s="29"/>
      <c r="B63" s="30"/>
      <c r="C63" s="30"/>
      <c r="D63" s="30"/>
      <c r="E63" s="30"/>
      <c r="F63" s="30"/>
      <c r="G63" s="30"/>
      <c r="H63" s="30"/>
      <c r="I63" s="30"/>
      <c r="J63" s="30"/>
    </row>
    <row r="64" customFormat="false" ht="15" hidden="false" customHeight="false" outlineLevel="0" collapsed="false">
      <c r="A64" s="29"/>
      <c r="B64" s="30"/>
      <c r="C64" s="30"/>
      <c r="D64" s="30"/>
      <c r="E64" s="30"/>
      <c r="F64" s="30"/>
      <c r="G64" s="30"/>
      <c r="H64" s="30"/>
      <c r="I64" s="30"/>
      <c r="J64" s="30"/>
    </row>
    <row r="65" customFormat="false" ht="15" hidden="false" customHeight="false" outlineLevel="0" collapsed="false">
      <c r="A65" s="29"/>
      <c r="B65" s="30"/>
      <c r="C65" s="30"/>
      <c r="D65" s="30"/>
      <c r="E65" s="30"/>
      <c r="F65" s="30"/>
      <c r="G65" s="30"/>
      <c r="H65" s="30"/>
      <c r="I65" s="30"/>
      <c r="J65" s="30"/>
    </row>
    <row r="66" customFormat="false" ht="15" hidden="false" customHeight="false" outlineLevel="0" collapsed="false">
      <c r="A66" s="29"/>
      <c r="B66" s="30"/>
      <c r="C66" s="30"/>
      <c r="D66" s="30"/>
      <c r="E66" s="30"/>
      <c r="F66" s="30"/>
      <c r="G66" s="30"/>
      <c r="H66" s="30"/>
      <c r="I66" s="30"/>
      <c r="J66" s="30"/>
    </row>
    <row r="67" customFormat="false" ht="15" hidden="false" customHeight="false" outlineLevel="0" collapsed="false">
      <c r="A67" s="29"/>
      <c r="B67" s="30"/>
      <c r="C67" s="30"/>
      <c r="D67" s="30"/>
      <c r="E67" s="30"/>
      <c r="F67" s="30"/>
      <c r="G67" s="30"/>
      <c r="H67" s="30"/>
      <c r="I67" s="30"/>
      <c r="J67" s="30"/>
    </row>
    <row r="68" customFormat="false" ht="15" hidden="false" customHeight="false" outlineLevel="0" collapsed="false">
      <c r="A68" s="29"/>
      <c r="B68" s="30"/>
      <c r="C68" s="30"/>
      <c r="D68" s="30"/>
      <c r="E68" s="30"/>
      <c r="F68" s="30"/>
      <c r="G68" s="30"/>
      <c r="H68" s="30"/>
      <c r="I68" s="30"/>
      <c r="J68" s="30"/>
    </row>
    <row r="69" customFormat="false" ht="15" hidden="false" customHeight="false" outlineLevel="0" collapsed="false">
      <c r="A69" s="29"/>
      <c r="B69" s="30"/>
      <c r="C69" s="30"/>
      <c r="D69" s="30"/>
      <c r="E69" s="30"/>
      <c r="F69" s="30"/>
      <c r="G69" s="30"/>
      <c r="H69" s="30"/>
      <c r="I69" s="30"/>
      <c r="J69" s="30"/>
    </row>
    <row r="70" customFormat="false" ht="15" hidden="false" customHeight="false" outlineLevel="0" collapsed="false">
      <c r="A70" s="29"/>
      <c r="B70" s="30"/>
      <c r="C70" s="30"/>
      <c r="D70" s="30"/>
      <c r="E70" s="30"/>
      <c r="F70" s="30"/>
      <c r="G70" s="30"/>
      <c r="H70" s="30"/>
      <c r="I70" s="30"/>
      <c r="J70" s="30"/>
    </row>
    <row r="71" customFormat="false" ht="15" hidden="false" customHeight="false" outlineLevel="0" collapsed="false">
      <c r="A71" s="29"/>
      <c r="B71" s="30"/>
      <c r="C71" s="30"/>
      <c r="D71" s="30"/>
      <c r="E71" s="30"/>
      <c r="F71" s="30"/>
      <c r="G71" s="30"/>
      <c r="H71" s="30"/>
      <c r="I71" s="30"/>
      <c r="J71" s="30"/>
    </row>
    <row r="72" customFormat="false" ht="15" hidden="false" customHeight="false" outlineLevel="0" collapsed="false">
      <c r="A72" s="29"/>
      <c r="B72" s="30"/>
      <c r="C72" s="30"/>
      <c r="D72" s="30"/>
      <c r="E72" s="30"/>
      <c r="F72" s="30"/>
      <c r="G72" s="30"/>
      <c r="H72" s="30"/>
      <c r="I72" s="30"/>
      <c r="J72" s="30"/>
    </row>
    <row r="73" customFormat="false" ht="15" hidden="false" customHeight="false" outlineLevel="0" collapsed="false">
      <c r="A73" s="29"/>
      <c r="B73" s="30"/>
      <c r="C73" s="30"/>
      <c r="D73" s="30"/>
      <c r="E73" s="30"/>
      <c r="F73" s="30"/>
      <c r="G73" s="30"/>
      <c r="H73" s="30"/>
      <c r="I73" s="30"/>
      <c r="J73" s="30"/>
    </row>
    <row r="74" customFormat="false" ht="15" hidden="false" customHeight="false" outlineLevel="0" collapsed="false">
      <c r="A74" s="29"/>
      <c r="B74" s="30"/>
      <c r="C74" s="30"/>
      <c r="D74" s="30"/>
      <c r="E74" s="30"/>
      <c r="F74" s="30"/>
      <c r="G74" s="30"/>
      <c r="H74" s="30"/>
      <c r="I74" s="30"/>
      <c r="J74" s="30"/>
    </row>
    <row r="75" customFormat="false" ht="15" hidden="false" customHeight="false" outlineLevel="0" collapsed="false">
      <c r="A75" s="29"/>
      <c r="B75" s="30"/>
      <c r="C75" s="30"/>
      <c r="D75" s="30"/>
      <c r="E75" s="30"/>
      <c r="F75" s="30"/>
      <c r="G75" s="30"/>
      <c r="H75" s="30"/>
      <c r="I75" s="30"/>
      <c r="J75" s="30"/>
    </row>
    <row r="76" customFormat="false" ht="15" hidden="false" customHeight="false" outlineLevel="0" collapsed="false">
      <c r="A76" s="29"/>
      <c r="B76" s="30"/>
      <c r="C76" s="30"/>
      <c r="D76" s="30"/>
      <c r="E76" s="30"/>
      <c r="F76" s="30"/>
      <c r="G76" s="30"/>
      <c r="H76" s="30"/>
      <c r="I76" s="30"/>
      <c r="J76" s="30"/>
    </row>
    <row r="77" customFormat="false" ht="15" hidden="false" customHeight="false" outlineLevel="0" collapsed="false">
      <c r="A77" s="29"/>
      <c r="B77" s="30"/>
      <c r="C77" s="30"/>
      <c r="D77" s="30"/>
      <c r="E77" s="30"/>
      <c r="F77" s="30"/>
      <c r="G77" s="30"/>
      <c r="H77" s="30"/>
      <c r="I77" s="30"/>
      <c r="J77" s="30"/>
    </row>
    <row r="78" customFormat="false" ht="15" hidden="false" customHeight="false" outlineLevel="0" collapsed="false">
      <c r="A78" s="29"/>
      <c r="B78" s="30"/>
      <c r="C78" s="30"/>
      <c r="D78" s="30"/>
      <c r="E78" s="30"/>
      <c r="F78" s="30"/>
      <c r="G78" s="30"/>
      <c r="H78" s="30"/>
      <c r="I78" s="30"/>
      <c r="J78" s="30"/>
    </row>
    <row r="79" customFormat="false" ht="15" hidden="false" customHeight="false" outlineLevel="0" collapsed="false">
      <c r="A79" s="29"/>
      <c r="B79" s="30"/>
      <c r="C79" s="30"/>
      <c r="D79" s="30"/>
      <c r="E79" s="30"/>
      <c r="F79" s="30"/>
      <c r="G79" s="30"/>
      <c r="H79" s="30"/>
      <c r="I79" s="30"/>
      <c r="J79" s="30"/>
    </row>
    <row r="80" customFormat="false" ht="15" hidden="false" customHeight="false" outlineLevel="0" collapsed="false">
      <c r="A80" s="29"/>
      <c r="B80" s="30"/>
      <c r="C80" s="30"/>
      <c r="D80" s="30"/>
      <c r="E80" s="30"/>
      <c r="F80" s="30"/>
      <c r="G80" s="30"/>
      <c r="H80" s="30"/>
      <c r="I80" s="30"/>
      <c r="J80" s="30"/>
    </row>
    <row r="81" customFormat="false" ht="15" hidden="false" customHeight="false" outlineLevel="0" collapsed="false">
      <c r="A81" s="29"/>
      <c r="B81" s="30"/>
      <c r="C81" s="30"/>
      <c r="D81" s="30"/>
      <c r="E81" s="30"/>
      <c r="F81" s="30"/>
      <c r="G81" s="30"/>
      <c r="H81" s="30"/>
      <c r="I81" s="30"/>
      <c r="J81" s="30"/>
    </row>
    <row r="82" customFormat="false" ht="15" hidden="false" customHeight="false" outlineLevel="0" collapsed="false">
      <c r="A82" s="29"/>
      <c r="B82" s="30"/>
      <c r="C82" s="30"/>
      <c r="D82" s="30"/>
      <c r="E82" s="30"/>
      <c r="F82" s="30"/>
      <c r="G82" s="30"/>
      <c r="H82" s="30"/>
      <c r="I82" s="30"/>
      <c r="J82" s="30"/>
    </row>
    <row r="83" customFormat="false" ht="15" hidden="false" customHeight="false" outlineLevel="0" collapsed="false">
      <c r="A83" s="29"/>
      <c r="B83" s="30"/>
      <c r="C83" s="30"/>
      <c r="D83" s="30"/>
      <c r="E83" s="30"/>
      <c r="F83" s="30"/>
      <c r="G83" s="30"/>
      <c r="H83" s="30"/>
      <c r="I83" s="30"/>
      <c r="J83" s="30"/>
    </row>
    <row r="84" customFormat="false" ht="15" hidden="false" customHeight="false" outlineLevel="0" collapsed="false">
      <c r="A84" s="29"/>
      <c r="B84" s="30"/>
      <c r="C84" s="30"/>
      <c r="D84" s="30"/>
      <c r="E84" s="30"/>
      <c r="F84" s="30"/>
      <c r="G84" s="30"/>
      <c r="H84" s="30"/>
      <c r="I84" s="30"/>
      <c r="J84" s="30"/>
    </row>
    <row r="85" customFormat="false" ht="15" hidden="false" customHeight="false" outlineLevel="0" collapsed="false">
      <c r="A85" s="29"/>
      <c r="B85" s="30"/>
      <c r="C85" s="30"/>
      <c r="D85" s="30"/>
      <c r="E85" s="30"/>
      <c r="F85" s="30"/>
      <c r="G85" s="30"/>
      <c r="H85" s="30"/>
      <c r="I85" s="30"/>
      <c r="J85" s="30"/>
    </row>
    <row r="86" customFormat="false" ht="15" hidden="false" customHeight="false" outlineLevel="0" collapsed="false">
      <c r="A86" s="29"/>
      <c r="B86" s="30"/>
      <c r="C86" s="30"/>
      <c r="D86" s="30"/>
      <c r="E86" s="30"/>
      <c r="F86" s="30"/>
      <c r="G86" s="30"/>
      <c r="H86" s="30"/>
      <c r="I86" s="30"/>
      <c r="J86" s="30"/>
    </row>
    <row r="87" customFormat="false" ht="15" hidden="false" customHeight="false" outlineLevel="0" collapsed="false">
      <c r="A87" s="29"/>
      <c r="B87" s="30"/>
      <c r="C87" s="30"/>
      <c r="D87" s="30"/>
      <c r="E87" s="30"/>
      <c r="F87" s="30"/>
      <c r="G87" s="30"/>
      <c r="H87" s="30"/>
      <c r="I87" s="30"/>
      <c r="J87" s="30"/>
    </row>
    <row r="88" customFormat="false" ht="15" hidden="false" customHeight="false" outlineLevel="0" collapsed="false">
      <c r="A88" s="29"/>
      <c r="B88" s="30"/>
      <c r="C88" s="30"/>
      <c r="D88" s="30"/>
      <c r="E88" s="30"/>
      <c r="F88" s="30"/>
      <c r="G88" s="30"/>
      <c r="H88" s="30"/>
      <c r="I88" s="30"/>
      <c r="J88" s="30"/>
    </row>
    <row r="89" customFormat="false" ht="15" hidden="false" customHeight="false" outlineLevel="0" collapsed="false">
      <c r="A89" s="29"/>
      <c r="B89" s="30"/>
      <c r="C89" s="30"/>
      <c r="D89" s="30"/>
      <c r="E89" s="30"/>
      <c r="F89" s="30"/>
      <c r="G89" s="30"/>
      <c r="H89" s="30"/>
      <c r="I89" s="30"/>
      <c r="J89" s="30"/>
    </row>
    <row r="90" customFormat="false" ht="15" hidden="false" customHeight="false" outlineLevel="0" collapsed="false">
      <c r="A90" s="29"/>
      <c r="B90" s="30"/>
      <c r="C90" s="30"/>
      <c r="D90" s="30"/>
      <c r="E90" s="30"/>
      <c r="F90" s="30"/>
      <c r="G90" s="30"/>
      <c r="H90" s="30"/>
      <c r="I90" s="30"/>
      <c r="J90" s="30"/>
    </row>
    <row r="91" customFormat="false" ht="15" hidden="false" customHeight="false" outlineLevel="0" collapsed="false">
      <c r="A91" s="29"/>
      <c r="B91" s="30"/>
      <c r="C91" s="30"/>
      <c r="D91" s="30"/>
      <c r="E91" s="30"/>
      <c r="F91" s="30"/>
      <c r="G91" s="30"/>
      <c r="H91" s="30"/>
      <c r="I91" s="30"/>
      <c r="J91" s="30"/>
    </row>
    <row r="92" customFormat="false" ht="15" hidden="false" customHeight="false" outlineLevel="0" collapsed="false">
      <c r="A92" s="29"/>
      <c r="B92" s="30"/>
      <c r="C92" s="30"/>
      <c r="D92" s="30"/>
      <c r="E92" s="30"/>
      <c r="F92" s="30"/>
      <c r="G92" s="30"/>
      <c r="H92" s="30"/>
      <c r="I92" s="30"/>
      <c r="J92" s="30"/>
    </row>
    <row r="93" customFormat="false" ht="15" hidden="false" customHeight="false" outlineLevel="0" collapsed="false">
      <c r="A93" s="29"/>
      <c r="B93" s="30"/>
      <c r="C93" s="30"/>
      <c r="D93" s="30"/>
      <c r="E93" s="30"/>
      <c r="F93" s="30"/>
      <c r="G93" s="30"/>
      <c r="H93" s="30"/>
      <c r="I93" s="30"/>
      <c r="J93" s="30"/>
    </row>
    <row r="94" customFormat="false" ht="15" hidden="false" customHeight="false" outlineLevel="0" collapsed="false">
      <c r="A94" s="29"/>
      <c r="B94" s="30"/>
      <c r="C94" s="30"/>
      <c r="D94" s="30"/>
      <c r="E94" s="30"/>
      <c r="F94" s="30"/>
      <c r="G94" s="30"/>
      <c r="H94" s="30"/>
      <c r="I94" s="30"/>
      <c r="J94" s="30"/>
    </row>
    <row r="95" customFormat="false" ht="15" hidden="false" customHeight="false" outlineLevel="0" collapsed="false">
      <c r="A95" s="29"/>
      <c r="B95" s="30"/>
      <c r="C95" s="30"/>
      <c r="D95" s="30"/>
      <c r="E95" s="30"/>
      <c r="F95" s="30"/>
      <c r="G95" s="30"/>
      <c r="H95" s="30"/>
      <c r="I95" s="30"/>
      <c r="J95" s="30"/>
    </row>
    <row r="96" customFormat="false" ht="15" hidden="false" customHeight="false" outlineLevel="0" collapsed="false">
      <c r="A96" s="29"/>
      <c r="B96" s="30"/>
      <c r="C96" s="30"/>
      <c r="D96" s="30"/>
      <c r="E96" s="30"/>
      <c r="F96" s="30"/>
      <c r="G96" s="30"/>
      <c r="H96" s="30"/>
      <c r="I96" s="30"/>
      <c r="J96" s="30"/>
    </row>
    <row r="97" customFormat="false" ht="15" hidden="false" customHeight="false" outlineLevel="0" collapsed="false">
      <c r="A97" s="29"/>
      <c r="B97" s="30"/>
      <c r="C97" s="30"/>
      <c r="D97" s="30"/>
      <c r="E97" s="30"/>
      <c r="F97" s="30"/>
      <c r="G97" s="30"/>
      <c r="H97" s="30"/>
      <c r="I97" s="30"/>
      <c r="J97" s="30"/>
    </row>
    <row r="98" customFormat="false" ht="15" hidden="false" customHeight="false" outlineLevel="0" collapsed="false">
      <c r="A98" s="29"/>
      <c r="B98" s="30"/>
      <c r="C98" s="30"/>
      <c r="D98" s="30"/>
      <c r="E98" s="30"/>
      <c r="F98" s="30"/>
      <c r="G98" s="30"/>
      <c r="H98" s="30"/>
      <c r="I98" s="30"/>
      <c r="J98" s="30"/>
    </row>
    <row r="99" customFormat="false" ht="15" hidden="false" customHeight="false" outlineLevel="0" collapsed="false">
      <c r="A99" s="29"/>
      <c r="B99" s="30"/>
      <c r="C99" s="30"/>
      <c r="D99" s="30"/>
      <c r="E99" s="30"/>
      <c r="F99" s="30"/>
      <c r="G99" s="30"/>
      <c r="H99" s="30"/>
      <c r="I99" s="30"/>
      <c r="J99" s="30"/>
    </row>
    <row r="100" customFormat="false" ht="15" hidden="false" customHeight="false" outlineLevel="0" collapsed="false">
      <c r="A100" s="29"/>
      <c r="B100" s="30"/>
      <c r="C100" s="30"/>
      <c r="D100" s="30"/>
      <c r="E100" s="30"/>
      <c r="F100" s="30"/>
      <c r="G100" s="30"/>
      <c r="H100" s="30"/>
      <c r="I100" s="30"/>
      <c r="J100" s="30"/>
    </row>
    <row r="101" customFormat="false" ht="15" hidden="false" customHeight="false" outlineLevel="0" collapsed="false">
      <c r="A101" s="29"/>
      <c r="B101" s="30"/>
      <c r="C101" s="30"/>
      <c r="D101" s="30"/>
      <c r="E101" s="30"/>
      <c r="F101" s="30"/>
      <c r="G101" s="30"/>
      <c r="H101" s="30"/>
      <c r="I101" s="30"/>
      <c r="J101" s="30"/>
    </row>
    <row r="102" customFormat="false" ht="15" hidden="false" customHeight="false" outlineLevel="0" collapsed="false">
      <c r="A102" s="29"/>
      <c r="B102" s="30"/>
      <c r="C102" s="30"/>
      <c r="D102" s="30"/>
      <c r="E102" s="30"/>
      <c r="F102" s="30"/>
      <c r="G102" s="30"/>
      <c r="H102" s="30"/>
      <c r="I102" s="30"/>
      <c r="J102" s="30"/>
    </row>
    <row r="103" customFormat="false" ht="15" hidden="false" customHeight="false" outlineLevel="0" collapsed="false">
      <c r="A103" s="29"/>
      <c r="B103" s="30"/>
      <c r="C103" s="30"/>
      <c r="D103" s="30"/>
      <c r="E103" s="30"/>
      <c r="F103" s="30"/>
      <c r="G103" s="30"/>
      <c r="H103" s="30"/>
      <c r="I103" s="30"/>
      <c r="J103" s="30"/>
    </row>
    <row r="104" customFormat="false" ht="15" hidden="false" customHeight="false" outlineLevel="0" collapsed="false">
      <c r="A104" s="29"/>
      <c r="B104" s="30"/>
      <c r="C104" s="30"/>
      <c r="D104" s="30"/>
      <c r="E104" s="30"/>
      <c r="F104" s="30"/>
      <c r="G104" s="30"/>
      <c r="H104" s="30"/>
      <c r="I104" s="30"/>
      <c r="J104" s="30"/>
    </row>
    <row r="105" customFormat="false" ht="15" hidden="false" customHeight="false" outlineLevel="0" collapsed="false">
      <c r="A105" s="29"/>
      <c r="B105" s="30"/>
      <c r="C105" s="30"/>
      <c r="D105" s="30"/>
      <c r="E105" s="30"/>
      <c r="F105" s="30"/>
      <c r="G105" s="30"/>
      <c r="H105" s="30"/>
      <c r="I105" s="30"/>
      <c r="J105" s="30"/>
    </row>
    <row r="106" customFormat="false" ht="15" hidden="false" customHeight="false" outlineLevel="0" collapsed="false">
      <c r="A106" s="29"/>
      <c r="B106" s="30"/>
      <c r="C106" s="30"/>
      <c r="D106" s="30"/>
      <c r="E106" s="30"/>
      <c r="F106" s="30"/>
      <c r="G106" s="30"/>
      <c r="H106" s="30"/>
      <c r="I106" s="30"/>
      <c r="J106" s="30"/>
    </row>
    <row r="107" customFormat="false" ht="15" hidden="false" customHeight="false" outlineLevel="0" collapsed="false">
      <c r="A107" s="29"/>
      <c r="B107" s="30"/>
      <c r="C107" s="30"/>
      <c r="D107" s="30"/>
      <c r="E107" s="30"/>
      <c r="F107" s="30"/>
      <c r="G107" s="30"/>
      <c r="H107" s="30"/>
      <c r="I107" s="30"/>
      <c r="J107" s="30"/>
    </row>
    <row r="108" customFormat="false" ht="15" hidden="false" customHeight="false" outlineLevel="0" collapsed="false">
      <c r="A108" s="29"/>
      <c r="B108" s="30"/>
      <c r="C108" s="30"/>
      <c r="D108" s="30"/>
      <c r="E108" s="30"/>
      <c r="F108" s="30"/>
      <c r="G108" s="30"/>
      <c r="H108" s="30"/>
      <c r="I108" s="30"/>
      <c r="J108" s="30"/>
    </row>
    <row r="109" customFormat="false" ht="15" hidden="false" customHeight="false" outlineLevel="0" collapsed="false">
      <c r="A109" s="29"/>
      <c r="B109" s="30"/>
      <c r="C109" s="30"/>
      <c r="D109" s="30"/>
      <c r="E109" s="30"/>
      <c r="F109" s="30"/>
      <c r="G109" s="30"/>
      <c r="H109" s="30"/>
      <c r="I109" s="30"/>
      <c r="J109" s="30"/>
    </row>
    <row r="110" customFormat="false" ht="15" hidden="false" customHeight="false" outlineLevel="0" collapsed="false">
      <c r="A110" s="29"/>
      <c r="B110" s="30"/>
      <c r="C110" s="30"/>
      <c r="D110" s="30"/>
      <c r="E110" s="30"/>
      <c r="F110" s="30"/>
      <c r="G110" s="30"/>
      <c r="H110" s="30"/>
      <c r="I110" s="30"/>
      <c r="J110" s="30"/>
    </row>
    <row r="111" customFormat="false" ht="15" hidden="false" customHeight="false" outlineLevel="0" collapsed="false">
      <c r="A111" s="29"/>
      <c r="B111" s="30"/>
      <c r="C111" s="30"/>
      <c r="D111" s="30"/>
      <c r="E111" s="30"/>
      <c r="F111" s="30"/>
      <c r="G111" s="30"/>
      <c r="H111" s="30"/>
      <c r="I111" s="30"/>
      <c r="J111" s="30"/>
    </row>
    <row r="112" customFormat="false" ht="15" hidden="false" customHeight="false" outlineLevel="0" collapsed="false">
      <c r="A112" s="29"/>
      <c r="B112" s="30"/>
      <c r="C112" s="30"/>
      <c r="D112" s="30"/>
      <c r="E112" s="30"/>
      <c r="F112" s="30"/>
      <c r="G112" s="30"/>
      <c r="H112" s="30"/>
      <c r="I112" s="30"/>
      <c r="J112" s="30"/>
    </row>
    <row r="113" customFormat="false" ht="15" hidden="false" customHeight="false" outlineLevel="0" collapsed="false">
      <c r="A113" s="29"/>
      <c r="B113" s="30"/>
      <c r="C113" s="30"/>
      <c r="D113" s="30"/>
      <c r="E113" s="30"/>
      <c r="F113" s="30"/>
      <c r="G113" s="30"/>
      <c r="H113" s="30"/>
      <c r="I113" s="30"/>
      <c r="J113" s="30"/>
    </row>
    <row r="114" customFormat="false" ht="15" hidden="false" customHeight="false" outlineLevel="0" collapsed="false">
      <c r="A114" s="29"/>
      <c r="B114" s="30"/>
      <c r="C114" s="30"/>
      <c r="D114" s="30"/>
      <c r="E114" s="30"/>
      <c r="F114" s="30"/>
      <c r="G114" s="30"/>
      <c r="H114" s="30"/>
      <c r="I114" s="30"/>
      <c r="J114" s="30"/>
    </row>
    <row r="115" customFormat="false" ht="15" hidden="false" customHeight="false" outlineLevel="0" collapsed="false">
      <c r="A115" s="29"/>
      <c r="B115" s="30"/>
      <c r="C115" s="30"/>
      <c r="D115" s="30"/>
      <c r="E115" s="30"/>
      <c r="F115" s="30"/>
      <c r="G115" s="30"/>
      <c r="H115" s="30"/>
      <c r="I115" s="30"/>
      <c r="J115" s="30"/>
    </row>
    <row r="116" customFormat="false" ht="15" hidden="false" customHeight="false" outlineLevel="0" collapsed="false">
      <c r="A116" s="29"/>
      <c r="B116" s="30"/>
      <c r="C116" s="30"/>
      <c r="D116" s="30"/>
      <c r="E116" s="30"/>
      <c r="F116" s="30"/>
      <c r="G116" s="30"/>
      <c r="H116" s="30"/>
      <c r="I116" s="30"/>
      <c r="J116" s="30"/>
    </row>
    <row r="117" customFormat="false" ht="15" hidden="false" customHeight="false" outlineLevel="0" collapsed="false">
      <c r="A117" s="29"/>
      <c r="B117" s="30"/>
      <c r="C117" s="30"/>
      <c r="D117" s="30"/>
      <c r="E117" s="30"/>
      <c r="F117" s="30"/>
      <c r="G117" s="30"/>
      <c r="H117" s="30"/>
      <c r="I117" s="30"/>
      <c r="J117" s="30"/>
    </row>
    <row r="118" customFormat="false" ht="15" hidden="false" customHeight="false" outlineLevel="0" collapsed="false">
      <c r="A118" s="29"/>
      <c r="B118" s="30"/>
      <c r="C118" s="30"/>
      <c r="D118" s="30"/>
      <c r="E118" s="30"/>
      <c r="F118" s="30"/>
      <c r="G118" s="30"/>
      <c r="H118" s="30"/>
      <c r="I118" s="30"/>
      <c r="J118" s="30"/>
    </row>
    <row r="119" customFormat="false" ht="15" hidden="false" customHeight="false" outlineLevel="0" collapsed="false">
      <c r="A119" s="29"/>
      <c r="B119" s="30"/>
      <c r="C119" s="30"/>
      <c r="D119" s="30"/>
      <c r="E119" s="30"/>
      <c r="F119" s="30"/>
      <c r="G119" s="30"/>
      <c r="H119" s="30"/>
      <c r="I119" s="30"/>
      <c r="J119" s="30"/>
    </row>
    <row r="120" customFormat="false" ht="15" hidden="false" customHeight="false" outlineLevel="0" collapsed="false">
      <c r="A120" s="29"/>
      <c r="B120" s="30"/>
      <c r="C120" s="30"/>
      <c r="D120" s="30"/>
      <c r="E120" s="30"/>
      <c r="F120" s="30"/>
      <c r="G120" s="30"/>
      <c r="H120" s="30"/>
      <c r="I120" s="30"/>
      <c r="J120" s="30"/>
    </row>
    <row r="121" customFormat="false" ht="15" hidden="false" customHeight="false" outlineLevel="0" collapsed="false">
      <c r="A121" s="29"/>
      <c r="B121" s="30"/>
      <c r="C121" s="30"/>
      <c r="D121" s="30"/>
      <c r="E121" s="30"/>
      <c r="F121" s="30"/>
      <c r="G121" s="30"/>
      <c r="H121" s="30"/>
      <c r="I121" s="30"/>
      <c r="J121" s="30"/>
    </row>
    <row r="122" customFormat="false" ht="15" hidden="false" customHeight="false" outlineLevel="0" collapsed="false">
      <c r="A122" s="29"/>
      <c r="B122" s="30"/>
      <c r="C122" s="30"/>
      <c r="D122" s="30"/>
      <c r="E122" s="30"/>
      <c r="F122" s="30"/>
      <c r="G122" s="30"/>
      <c r="H122" s="30"/>
      <c r="I122" s="30"/>
      <c r="J122" s="30"/>
    </row>
    <row r="123" customFormat="false" ht="15" hidden="false" customHeight="false" outlineLevel="0" collapsed="false">
      <c r="A123" s="29"/>
      <c r="B123" s="30"/>
      <c r="C123" s="30"/>
      <c r="D123" s="30"/>
      <c r="E123" s="30"/>
      <c r="F123" s="30"/>
      <c r="G123" s="30"/>
      <c r="H123" s="30"/>
      <c r="I123" s="30"/>
      <c r="J123" s="30"/>
    </row>
    <row r="124" customFormat="false" ht="15" hidden="false" customHeight="false" outlineLevel="0" collapsed="false">
      <c r="A124" s="29"/>
      <c r="B124" s="30"/>
      <c r="C124" s="30"/>
      <c r="D124" s="30"/>
      <c r="E124" s="30"/>
      <c r="F124" s="30"/>
      <c r="G124" s="30"/>
      <c r="H124" s="30"/>
      <c r="I124" s="30"/>
      <c r="J124" s="30"/>
    </row>
    <row r="125" customFormat="false" ht="15" hidden="false" customHeight="false" outlineLevel="0" collapsed="false">
      <c r="A125" s="29"/>
      <c r="B125" s="30"/>
      <c r="C125" s="30"/>
      <c r="D125" s="30"/>
      <c r="E125" s="30"/>
      <c r="F125" s="30"/>
      <c r="G125" s="30"/>
      <c r="H125" s="30"/>
      <c r="I125" s="30"/>
      <c r="J125" s="30"/>
    </row>
    <row r="126" customFormat="false" ht="15" hidden="false" customHeight="false" outlineLevel="0" collapsed="false">
      <c r="A126" s="29"/>
      <c r="B126" s="30"/>
      <c r="C126" s="30"/>
      <c r="D126" s="30"/>
      <c r="E126" s="30"/>
      <c r="F126" s="30"/>
      <c r="G126" s="30"/>
      <c r="H126" s="30"/>
      <c r="I126" s="30"/>
      <c r="J126" s="30"/>
    </row>
    <row r="127" customFormat="false" ht="15" hidden="false" customHeight="false" outlineLevel="0" collapsed="false">
      <c r="A127" s="29"/>
      <c r="B127" s="30"/>
      <c r="C127" s="30"/>
      <c r="D127" s="30"/>
      <c r="E127" s="30"/>
      <c r="F127" s="30"/>
      <c r="G127" s="30"/>
      <c r="H127" s="30"/>
      <c r="I127" s="30"/>
      <c r="J127" s="30"/>
    </row>
    <row r="128" customFormat="false" ht="15" hidden="false" customHeight="false" outlineLevel="0" collapsed="false">
      <c r="A128" s="29"/>
      <c r="B128" s="30"/>
      <c r="C128" s="30"/>
      <c r="D128" s="30"/>
      <c r="E128" s="30"/>
      <c r="F128" s="30"/>
      <c r="G128" s="30"/>
      <c r="H128" s="30"/>
      <c r="I128" s="30"/>
      <c r="J128" s="30"/>
    </row>
    <row r="129" customFormat="false" ht="15" hidden="false" customHeight="false" outlineLevel="0" collapsed="false">
      <c r="A129" s="29"/>
      <c r="B129" s="30"/>
      <c r="C129" s="30"/>
      <c r="D129" s="30"/>
      <c r="E129" s="30"/>
      <c r="F129" s="30"/>
      <c r="G129" s="30"/>
      <c r="H129" s="30"/>
      <c r="I129" s="30"/>
      <c r="J129" s="30"/>
    </row>
    <row r="130" customFormat="false" ht="15" hidden="false" customHeight="false" outlineLevel="0" collapsed="false">
      <c r="A130" s="29"/>
      <c r="B130" s="30"/>
      <c r="C130" s="30"/>
      <c r="D130" s="30"/>
      <c r="E130" s="30"/>
      <c r="F130" s="30"/>
      <c r="G130" s="30"/>
      <c r="H130" s="30"/>
      <c r="I130" s="30"/>
      <c r="J130" s="30"/>
    </row>
    <row r="131" customFormat="false" ht="15" hidden="false" customHeight="false" outlineLevel="0" collapsed="false">
      <c r="A131" s="29"/>
      <c r="B131" s="30"/>
      <c r="C131" s="30"/>
      <c r="D131" s="30"/>
      <c r="E131" s="30"/>
      <c r="F131" s="30"/>
      <c r="G131" s="30"/>
      <c r="H131" s="30"/>
      <c r="I131" s="30"/>
      <c r="J131" s="30"/>
    </row>
    <row r="132" customFormat="false" ht="15" hidden="false" customHeight="false" outlineLevel="0" collapsed="false">
      <c r="A132" s="29"/>
      <c r="B132" s="30"/>
      <c r="C132" s="30"/>
      <c r="D132" s="30"/>
      <c r="E132" s="30"/>
      <c r="F132" s="30"/>
      <c r="G132" s="30"/>
      <c r="H132" s="30"/>
      <c r="I132" s="30"/>
      <c r="J132" s="30"/>
    </row>
    <row r="133" customFormat="false" ht="15" hidden="false" customHeight="false" outlineLevel="0" collapsed="false">
      <c r="A133" s="29"/>
      <c r="B133" s="30"/>
      <c r="C133" s="30"/>
      <c r="D133" s="30"/>
      <c r="E133" s="30"/>
      <c r="F133" s="30"/>
      <c r="G133" s="30"/>
      <c r="H133" s="30"/>
      <c r="I133" s="30"/>
      <c r="J133" s="30"/>
    </row>
    <row r="134" customFormat="false" ht="15" hidden="false" customHeight="false" outlineLevel="0" collapsed="false">
      <c r="A134" s="29"/>
      <c r="B134" s="30"/>
      <c r="C134" s="30"/>
      <c r="D134" s="30"/>
      <c r="E134" s="30"/>
      <c r="F134" s="30"/>
      <c r="G134" s="30"/>
      <c r="H134" s="30"/>
      <c r="I134" s="30"/>
      <c r="J134" s="30"/>
    </row>
    <row r="135" customFormat="false" ht="15" hidden="false" customHeight="false" outlineLevel="0" collapsed="false">
      <c r="A135" s="29"/>
      <c r="B135" s="30"/>
      <c r="C135" s="30"/>
      <c r="D135" s="30"/>
      <c r="E135" s="30"/>
      <c r="F135" s="30"/>
      <c r="G135" s="30"/>
      <c r="H135" s="30"/>
      <c r="I135" s="30"/>
      <c r="J135" s="30"/>
    </row>
    <row r="136" customFormat="false" ht="15" hidden="false" customHeight="false" outlineLevel="0" collapsed="false">
      <c r="A136" s="29"/>
      <c r="B136" s="30"/>
      <c r="C136" s="30"/>
      <c r="D136" s="30"/>
      <c r="E136" s="30"/>
      <c r="F136" s="30"/>
      <c r="G136" s="30"/>
      <c r="H136" s="30"/>
      <c r="I136" s="30"/>
      <c r="J136" s="30"/>
    </row>
    <row r="137" customFormat="false" ht="15" hidden="false" customHeight="false" outlineLevel="0" collapsed="false">
      <c r="A137" s="29"/>
      <c r="B137" s="30"/>
      <c r="C137" s="30"/>
      <c r="D137" s="30"/>
      <c r="E137" s="30"/>
      <c r="F137" s="30"/>
      <c r="G137" s="30"/>
      <c r="H137" s="30"/>
      <c r="I137" s="30"/>
      <c r="J137" s="30"/>
    </row>
    <row r="138" customFormat="false" ht="15" hidden="false" customHeight="false" outlineLevel="0" collapsed="false">
      <c r="A138" s="29"/>
      <c r="B138" s="30"/>
      <c r="C138" s="30"/>
      <c r="D138" s="30"/>
      <c r="E138" s="30"/>
      <c r="F138" s="30"/>
      <c r="G138" s="30"/>
      <c r="H138" s="30"/>
      <c r="I138" s="30"/>
      <c r="J138" s="30"/>
    </row>
    <row r="139" customFormat="false" ht="15" hidden="false" customHeight="false" outlineLevel="0" collapsed="false">
      <c r="A139" s="29"/>
      <c r="B139" s="30"/>
      <c r="C139" s="30"/>
      <c r="D139" s="30"/>
      <c r="E139" s="30"/>
      <c r="F139" s="30"/>
      <c r="G139" s="30"/>
      <c r="H139" s="30"/>
      <c r="I139" s="30"/>
      <c r="J139" s="30"/>
    </row>
    <row r="140" customFormat="false" ht="15" hidden="false" customHeight="false" outlineLevel="0" collapsed="false">
      <c r="A140" s="29"/>
      <c r="B140" s="30"/>
      <c r="C140" s="30"/>
      <c r="D140" s="30"/>
      <c r="E140" s="30"/>
      <c r="F140" s="30"/>
      <c r="G140" s="30"/>
      <c r="H140" s="30"/>
      <c r="I140" s="30"/>
      <c r="J140" s="30"/>
    </row>
    <row r="141" customFormat="false" ht="15" hidden="false" customHeight="false" outlineLevel="0" collapsed="false">
      <c r="A141" s="29"/>
      <c r="B141" s="30"/>
      <c r="C141" s="30"/>
      <c r="D141" s="30"/>
      <c r="E141" s="30"/>
      <c r="F141" s="30"/>
      <c r="G141" s="30"/>
      <c r="H141" s="30"/>
      <c r="I141" s="30"/>
      <c r="J141" s="30"/>
    </row>
    <row r="142" customFormat="false" ht="15" hidden="false" customHeight="false" outlineLevel="0" collapsed="false">
      <c r="A142" s="29"/>
      <c r="B142" s="30"/>
      <c r="C142" s="30"/>
      <c r="D142" s="30"/>
      <c r="E142" s="30"/>
      <c r="F142" s="30"/>
      <c r="G142" s="30"/>
      <c r="H142" s="30"/>
      <c r="I142" s="30"/>
      <c r="J142" s="30"/>
    </row>
    <row r="143" customFormat="false" ht="15" hidden="false" customHeight="false" outlineLevel="0" collapsed="false">
      <c r="A143" s="29"/>
      <c r="B143" s="30"/>
      <c r="C143" s="30"/>
      <c r="D143" s="30"/>
      <c r="E143" s="30"/>
      <c r="F143" s="30"/>
      <c r="G143" s="30"/>
      <c r="H143" s="30"/>
      <c r="I143" s="30"/>
      <c r="J143" s="30"/>
    </row>
    <row r="144" customFormat="false" ht="15" hidden="false" customHeight="false" outlineLevel="0" collapsed="false">
      <c r="A144" s="29"/>
      <c r="B144" s="30"/>
      <c r="C144" s="30"/>
      <c r="D144" s="30"/>
      <c r="E144" s="30"/>
      <c r="F144" s="30"/>
      <c r="G144" s="30"/>
      <c r="H144" s="30"/>
      <c r="I144" s="30"/>
      <c r="J144" s="30"/>
    </row>
    <row r="145" customFormat="false" ht="15" hidden="false" customHeight="false" outlineLevel="0" collapsed="false">
      <c r="A145" s="29"/>
      <c r="B145" s="30"/>
      <c r="C145" s="30"/>
      <c r="D145" s="30"/>
      <c r="E145" s="30"/>
      <c r="F145" s="30"/>
      <c r="G145" s="30"/>
      <c r="H145" s="30"/>
      <c r="I145" s="30"/>
      <c r="J145" s="30"/>
    </row>
    <row r="146" customFormat="false" ht="15" hidden="false" customHeight="false" outlineLevel="0" collapsed="false">
      <c r="A146" s="29"/>
      <c r="B146" s="30"/>
      <c r="C146" s="30"/>
      <c r="D146" s="30"/>
      <c r="E146" s="30"/>
      <c r="F146" s="30"/>
      <c r="G146" s="30"/>
      <c r="H146" s="30"/>
      <c r="I146" s="30"/>
      <c r="J146" s="30"/>
    </row>
    <row r="147" customFormat="false" ht="15" hidden="false" customHeight="false" outlineLevel="0" collapsed="false">
      <c r="A147" s="29"/>
      <c r="B147" s="30"/>
      <c r="C147" s="30"/>
      <c r="D147" s="30"/>
      <c r="E147" s="30"/>
      <c r="F147" s="30"/>
      <c r="G147" s="30"/>
      <c r="H147" s="30"/>
      <c r="I147" s="30"/>
      <c r="J147" s="30"/>
    </row>
    <row r="148" customFormat="false" ht="15" hidden="false" customHeight="false" outlineLevel="0" collapsed="false">
      <c r="A148" s="29"/>
      <c r="B148" s="30"/>
      <c r="C148" s="30"/>
      <c r="D148" s="30"/>
      <c r="E148" s="30"/>
      <c r="F148" s="30"/>
      <c r="G148" s="30"/>
      <c r="H148" s="30"/>
      <c r="I148" s="30"/>
      <c r="J148" s="30"/>
    </row>
    <row r="149" customFormat="false" ht="15" hidden="false" customHeight="false" outlineLevel="0" collapsed="false">
      <c r="A149" s="29"/>
      <c r="B149" s="30"/>
      <c r="C149" s="30"/>
      <c r="D149" s="30"/>
      <c r="E149" s="30"/>
      <c r="F149" s="30"/>
      <c r="G149" s="30"/>
      <c r="H149" s="30"/>
      <c r="I149" s="30"/>
      <c r="J149" s="30"/>
    </row>
    <row r="150" customFormat="false" ht="15" hidden="false" customHeight="false" outlineLevel="0" collapsed="false">
      <c r="A150" s="29"/>
      <c r="B150" s="30"/>
      <c r="C150" s="30"/>
      <c r="D150" s="30"/>
      <c r="E150" s="30"/>
      <c r="F150" s="30"/>
      <c r="G150" s="30"/>
      <c r="H150" s="30"/>
      <c r="I150" s="30"/>
      <c r="J150" s="30"/>
    </row>
    <row r="151" customFormat="false" ht="15" hidden="false" customHeight="false" outlineLevel="0" collapsed="false">
      <c r="A151" s="29"/>
      <c r="B151" s="30"/>
      <c r="C151" s="30"/>
      <c r="D151" s="30"/>
      <c r="E151" s="30"/>
      <c r="F151" s="30"/>
      <c r="G151" s="30"/>
      <c r="H151" s="30"/>
      <c r="I151" s="30"/>
      <c r="J151" s="30"/>
    </row>
    <row r="152" customFormat="false" ht="15" hidden="false" customHeight="false" outlineLevel="0" collapsed="false">
      <c r="A152" s="29"/>
      <c r="B152" s="30"/>
      <c r="C152" s="30"/>
      <c r="D152" s="30"/>
      <c r="E152" s="30"/>
      <c r="F152" s="30"/>
      <c r="G152" s="30"/>
      <c r="H152" s="30"/>
      <c r="I152" s="30"/>
      <c r="J152" s="30"/>
    </row>
    <row r="153" customFormat="false" ht="15" hidden="false" customHeight="false" outlineLevel="0" collapsed="false">
      <c r="A153" s="29"/>
      <c r="B153" s="30"/>
      <c r="C153" s="30"/>
      <c r="D153" s="30"/>
      <c r="E153" s="30"/>
      <c r="F153" s="30"/>
      <c r="G153" s="30"/>
      <c r="H153" s="30"/>
      <c r="I153" s="30"/>
      <c r="J153" s="30"/>
    </row>
    <row r="154" customFormat="false" ht="15" hidden="false" customHeight="false" outlineLevel="0" collapsed="false">
      <c r="A154" s="29"/>
      <c r="B154" s="30"/>
      <c r="C154" s="30"/>
      <c r="D154" s="30"/>
      <c r="E154" s="30"/>
      <c r="F154" s="30"/>
      <c r="G154" s="30"/>
      <c r="H154" s="30"/>
      <c r="I154" s="30"/>
      <c r="J154" s="30"/>
    </row>
    <row r="155" customFormat="false" ht="15" hidden="false" customHeight="false" outlineLevel="0" collapsed="false">
      <c r="A155" s="29"/>
      <c r="B155" s="30"/>
      <c r="C155" s="30"/>
      <c r="D155" s="30"/>
      <c r="E155" s="30"/>
      <c r="F155" s="30"/>
      <c r="G155" s="30"/>
      <c r="H155" s="30"/>
      <c r="I155" s="30"/>
      <c r="J155" s="30"/>
    </row>
    <row r="156" customFormat="false" ht="15" hidden="false" customHeight="false" outlineLevel="0" collapsed="false">
      <c r="A156" s="29"/>
      <c r="B156" s="30"/>
      <c r="C156" s="30"/>
      <c r="D156" s="30"/>
      <c r="E156" s="30"/>
      <c r="F156" s="30"/>
      <c r="G156" s="30"/>
      <c r="H156" s="30"/>
      <c r="I156" s="30"/>
      <c r="J156" s="30"/>
    </row>
    <row r="157" customFormat="false" ht="15" hidden="false" customHeight="false" outlineLevel="0" collapsed="false">
      <c r="A157" s="29"/>
      <c r="B157" s="30"/>
      <c r="C157" s="30"/>
      <c r="D157" s="30"/>
      <c r="E157" s="30"/>
      <c r="F157" s="30"/>
      <c r="G157" s="30"/>
      <c r="H157" s="30"/>
      <c r="I157" s="30"/>
      <c r="J157" s="30"/>
    </row>
    <row r="158" customFormat="false" ht="15" hidden="false" customHeight="false" outlineLevel="0" collapsed="false">
      <c r="A158" s="29"/>
      <c r="B158" s="30"/>
      <c r="C158" s="30"/>
      <c r="D158" s="30"/>
      <c r="E158" s="30"/>
      <c r="F158" s="30"/>
      <c r="G158" s="30"/>
      <c r="H158" s="30"/>
      <c r="I158" s="30"/>
      <c r="J158" s="30"/>
    </row>
    <row r="159" customFormat="false" ht="15" hidden="false" customHeight="false" outlineLevel="0" collapsed="false">
      <c r="A159" s="29"/>
      <c r="B159" s="30"/>
      <c r="C159" s="30"/>
      <c r="D159" s="30"/>
      <c r="E159" s="30"/>
      <c r="F159" s="30"/>
      <c r="G159" s="30"/>
      <c r="H159" s="30"/>
      <c r="I159" s="30"/>
      <c r="J159" s="30"/>
    </row>
    <row r="160" customFormat="false" ht="15" hidden="false" customHeight="false" outlineLevel="0" collapsed="false">
      <c r="A160" s="29"/>
      <c r="B160" s="30"/>
      <c r="C160" s="30"/>
      <c r="D160" s="30"/>
      <c r="E160" s="30"/>
      <c r="F160" s="30"/>
      <c r="G160" s="30"/>
      <c r="H160" s="30"/>
      <c r="I160" s="30"/>
      <c r="J160" s="30"/>
    </row>
    <row r="161" customFormat="false" ht="15" hidden="false" customHeight="false" outlineLevel="0" collapsed="false">
      <c r="A161" s="29"/>
      <c r="B161" s="30"/>
      <c r="C161" s="30"/>
      <c r="D161" s="30"/>
      <c r="E161" s="30"/>
      <c r="F161" s="30"/>
      <c r="G161" s="30"/>
      <c r="H161" s="30"/>
      <c r="I161" s="30"/>
      <c r="J161" s="30"/>
    </row>
    <row r="162" customFormat="false" ht="15" hidden="false" customHeight="false" outlineLevel="0" collapsed="false">
      <c r="A162" s="29"/>
      <c r="B162" s="30"/>
      <c r="C162" s="30"/>
      <c r="D162" s="30"/>
      <c r="E162" s="30"/>
      <c r="F162" s="30"/>
      <c r="G162" s="30"/>
      <c r="H162" s="30"/>
      <c r="I162" s="30"/>
      <c r="J162" s="30"/>
    </row>
    <row r="163" customFormat="false" ht="15" hidden="false" customHeight="false" outlineLevel="0" collapsed="false">
      <c r="A163" s="29"/>
      <c r="B163" s="30"/>
      <c r="C163" s="30"/>
      <c r="D163" s="30"/>
      <c r="E163" s="30"/>
      <c r="F163" s="30"/>
      <c r="G163" s="30"/>
      <c r="H163" s="30"/>
      <c r="I163" s="30"/>
      <c r="J163" s="30"/>
    </row>
    <row r="164" customFormat="false" ht="15" hidden="false" customHeight="false" outlineLevel="0" collapsed="false">
      <c r="A164" s="29"/>
      <c r="B164" s="30"/>
      <c r="C164" s="30"/>
      <c r="D164" s="30"/>
      <c r="E164" s="30"/>
      <c r="F164" s="30"/>
      <c r="G164" s="30"/>
      <c r="H164" s="30"/>
      <c r="I164" s="30"/>
      <c r="J164" s="30"/>
    </row>
    <row r="165" customFormat="false" ht="15" hidden="false" customHeight="false" outlineLevel="0" collapsed="false">
      <c r="A165" s="29"/>
      <c r="B165" s="30"/>
      <c r="C165" s="30"/>
      <c r="D165" s="30"/>
      <c r="E165" s="30"/>
      <c r="F165" s="30"/>
      <c r="G165" s="30"/>
      <c r="H165" s="30"/>
      <c r="I165" s="30"/>
      <c r="J165" s="30"/>
    </row>
    <row r="166" customFormat="false" ht="15" hidden="false" customHeight="false" outlineLevel="0" collapsed="false">
      <c r="A166" s="29"/>
      <c r="B166" s="30"/>
      <c r="C166" s="30"/>
      <c r="D166" s="30"/>
      <c r="E166" s="30"/>
      <c r="F166" s="30"/>
      <c r="G166" s="30"/>
      <c r="H166" s="30"/>
      <c r="I166" s="30"/>
      <c r="J166" s="30"/>
    </row>
    <row r="167" customFormat="false" ht="15" hidden="false" customHeight="false" outlineLevel="0" collapsed="false">
      <c r="A167" s="29"/>
      <c r="B167" s="30"/>
      <c r="C167" s="30"/>
      <c r="D167" s="30"/>
      <c r="E167" s="30"/>
      <c r="F167" s="30"/>
      <c r="G167" s="30"/>
      <c r="H167" s="30"/>
      <c r="I167" s="30"/>
      <c r="J167" s="30"/>
    </row>
    <row r="168" customFormat="false" ht="15" hidden="false" customHeight="false" outlineLevel="0" collapsed="false">
      <c r="A168" s="29"/>
      <c r="B168" s="30"/>
      <c r="C168" s="30"/>
      <c r="D168" s="30"/>
      <c r="E168" s="30"/>
      <c r="F168" s="30"/>
      <c r="G168" s="30"/>
      <c r="H168" s="30"/>
      <c r="I168" s="30"/>
      <c r="J168" s="30"/>
    </row>
    <row r="169" customFormat="false" ht="15" hidden="false" customHeight="false" outlineLevel="0" collapsed="false">
      <c r="A169" s="29"/>
      <c r="B169" s="30"/>
      <c r="C169" s="30"/>
      <c r="D169" s="30"/>
      <c r="E169" s="30"/>
      <c r="F169" s="30"/>
      <c r="G169" s="30"/>
      <c r="H169" s="30"/>
      <c r="I169" s="30"/>
      <c r="J169" s="30"/>
    </row>
    <row r="170" customFormat="false" ht="15" hidden="false" customHeight="false" outlineLevel="0" collapsed="false">
      <c r="A170" s="29"/>
      <c r="B170" s="30"/>
      <c r="C170" s="30"/>
      <c r="D170" s="30"/>
      <c r="E170" s="30"/>
      <c r="F170" s="30"/>
      <c r="G170" s="30"/>
      <c r="H170" s="30"/>
      <c r="I170" s="30"/>
      <c r="J170" s="30"/>
    </row>
    <row r="171" customFormat="false" ht="15" hidden="false" customHeight="false" outlineLevel="0" collapsed="false">
      <c r="A171" s="29"/>
      <c r="B171" s="30"/>
      <c r="C171" s="30"/>
      <c r="D171" s="30"/>
      <c r="E171" s="30"/>
      <c r="F171" s="30"/>
      <c r="G171" s="30"/>
      <c r="H171" s="30"/>
      <c r="I171" s="30"/>
      <c r="J171" s="30"/>
    </row>
    <row r="172" customFormat="false" ht="15" hidden="false" customHeight="false" outlineLevel="0" collapsed="false">
      <c r="A172" s="29"/>
      <c r="B172" s="30"/>
      <c r="C172" s="30"/>
      <c r="D172" s="30"/>
      <c r="E172" s="30"/>
      <c r="F172" s="30"/>
      <c r="G172" s="30"/>
      <c r="H172" s="30"/>
      <c r="I172" s="30"/>
      <c r="J172" s="30"/>
    </row>
    <row r="173" customFormat="false" ht="15" hidden="false" customHeight="false" outlineLevel="0" collapsed="false">
      <c r="A173" s="29"/>
      <c r="B173" s="30"/>
      <c r="C173" s="30"/>
      <c r="D173" s="30"/>
      <c r="E173" s="30"/>
      <c r="F173" s="30"/>
      <c r="G173" s="30"/>
      <c r="H173" s="30"/>
      <c r="I173" s="30"/>
      <c r="J173" s="30"/>
    </row>
    <row r="174" customFormat="false" ht="15" hidden="false" customHeight="false" outlineLevel="0" collapsed="false">
      <c r="A174" s="29"/>
      <c r="B174" s="30"/>
      <c r="C174" s="30"/>
      <c r="D174" s="30"/>
      <c r="E174" s="30"/>
      <c r="F174" s="30"/>
      <c r="G174" s="30"/>
      <c r="H174" s="30"/>
      <c r="I174" s="30"/>
      <c r="J174" s="30"/>
    </row>
    <row r="175" customFormat="false" ht="15" hidden="false" customHeight="false" outlineLevel="0" collapsed="false">
      <c r="A175" s="29"/>
      <c r="B175" s="30"/>
      <c r="C175" s="30"/>
      <c r="D175" s="30"/>
      <c r="E175" s="30"/>
      <c r="F175" s="30"/>
      <c r="G175" s="30"/>
      <c r="H175" s="30"/>
      <c r="I175" s="30"/>
      <c r="J175" s="30"/>
    </row>
    <row r="176" customFormat="false" ht="15" hidden="false" customHeight="false" outlineLevel="0" collapsed="false">
      <c r="A176" s="29"/>
      <c r="B176" s="30"/>
      <c r="C176" s="30"/>
      <c r="D176" s="30"/>
      <c r="E176" s="30"/>
      <c r="F176" s="30"/>
      <c r="G176" s="30"/>
      <c r="H176" s="30"/>
      <c r="I176" s="30"/>
      <c r="J176" s="30"/>
    </row>
    <row r="177" customFormat="false" ht="15" hidden="false" customHeight="false" outlineLevel="0" collapsed="false">
      <c r="A177" s="29"/>
      <c r="B177" s="30"/>
      <c r="C177" s="30"/>
      <c r="D177" s="30"/>
      <c r="E177" s="30"/>
      <c r="F177" s="30"/>
      <c r="G177" s="30"/>
      <c r="H177" s="30"/>
      <c r="I177" s="30"/>
      <c r="J177" s="30"/>
    </row>
    <row r="178" customFormat="false" ht="15" hidden="false" customHeight="false" outlineLevel="0" collapsed="false">
      <c r="A178" s="29"/>
      <c r="B178" s="30"/>
      <c r="C178" s="30"/>
      <c r="D178" s="30"/>
      <c r="E178" s="30"/>
      <c r="F178" s="30"/>
      <c r="G178" s="30"/>
      <c r="H178" s="30"/>
      <c r="I178" s="30"/>
      <c r="J178" s="30"/>
    </row>
    <row r="179" customFormat="false" ht="15" hidden="false" customHeight="false" outlineLevel="0" collapsed="false">
      <c r="A179" s="29"/>
      <c r="B179" s="30"/>
      <c r="C179" s="30"/>
      <c r="D179" s="30"/>
      <c r="E179" s="30"/>
      <c r="F179" s="30"/>
      <c r="G179" s="30"/>
      <c r="H179" s="30"/>
      <c r="I179" s="30"/>
      <c r="J179" s="30"/>
    </row>
    <row r="180" customFormat="false" ht="15" hidden="false" customHeight="false" outlineLevel="0" collapsed="false">
      <c r="A180" s="29"/>
      <c r="B180" s="30"/>
      <c r="C180" s="30"/>
      <c r="D180" s="30"/>
      <c r="E180" s="30"/>
      <c r="F180" s="30"/>
      <c r="G180" s="30"/>
      <c r="H180" s="30"/>
      <c r="I180" s="30"/>
      <c r="J180" s="30"/>
    </row>
    <row r="181" customFormat="false" ht="15" hidden="false" customHeight="false" outlineLevel="0" collapsed="false">
      <c r="A181" s="29"/>
      <c r="B181" s="30"/>
      <c r="C181" s="30"/>
      <c r="D181" s="30"/>
      <c r="E181" s="30"/>
      <c r="F181" s="30"/>
      <c r="G181" s="30"/>
      <c r="H181" s="30"/>
      <c r="I181" s="30"/>
      <c r="J181" s="30"/>
    </row>
    <row r="182" customFormat="false" ht="15" hidden="false" customHeight="false" outlineLevel="0" collapsed="false">
      <c r="A182" s="29"/>
      <c r="B182" s="30"/>
      <c r="C182" s="30"/>
      <c r="D182" s="30"/>
      <c r="E182" s="30"/>
      <c r="F182" s="30"/>
      <c r="G182" s="30"/>
      <c r="H182" s="30"/>
      <c r="I182" s="30"/>
      <c r="J182" s="30"/>
    </row>
    <row r="183" customFormat="false" ht="15" hidden="false" customHeight="false" outlineLevel="0" collapsed="false">
      <c r="A183" s="29"/>
      <c r="B183" s="30"/>
      <c r="C183" s="30"/>
      <c r="D183" s="30"/>
      <c r="E183" s="30"/>
      <c r="F183" s="30"/>
      <c r="G183" s="30"/>
      <c r="H183" s="30"/>
      <c r="I183" s="30"/>
      <c r="J183" s="30"/>
    </row>
    <row r="184" customFormat="false" ht="15" hidden="false" customHeight="false" outlineLevel="0" collapsed="false">
      <c r="A184" s="29"/>
      <c r="B184" s="30"/>
      <c r="C184" s="30"/>
      <c r="D184" s="30"/>
      <c r="E184" s="30"/>
      <c r="F184" s="30"/>
      <c r="G184" s="30"/>
      <c r="H184" s="30"/>
      <c r="I184" s="30"/>
      <c r="J184" s="30"/>
    </row>
    <row r="185" customFormat="false" ht="15" hidden="false" customHeight="false" outlineLevel="0" collapsed="false">
      <c r="A185" s="29"/>
      <c r="B185" s="30"/>
      <c r="C185" s="30"/>
      <c r="D185" s="30"/>
      <c r="E185" s="30"/>
      <c r="F185" s="30"/>
      <c r="G185" s="30"/>
      <c r="H185" s="30"/>
      <c r="I185" s="30"/>
      <c r="J185" s="30"/>
    </row>
    <row r="186" customFormat="false" ht="15" hidden="false" customHeight="false" outlineLevel="0" collapsed="false">
      <c r="A186" s="29"/>
      <c r="B186" s="30"/>
      <c r="C186" s="30"/>
      <c r="D186" s="30"/>
      <c r="E186" s="30"/>
      <c r="F186" s="30"/>
      <c r="G186" s="30"/>
      <c r="H186" s="30"/>
      <c r="I186" s="30"/>
      <c r="J186" s="30"/>
    </row>
    <row r="187" customFormat="false" ht="15" hidden="false" customHeight="false" outlineLevel="0" collapsed="false">
      <c r="A187" s="29"/>
      <c r="B187" s="30"/>
      <c r="C187" s="30"/>
      <c r="D187" s="30"/>
      <c r="E187" s="30"/>
      <c r="F187" s="30"/>
      <c r="G187" s="30"/>
      <c r="H187" s="30"/>
      <c r="I187" s="30"/>
      <c r="J187" s="30"/>
    </row>
    <row r="188" customFormat="false" ht="15" hidden="false" customHeight="false" outlineLevel="0" collapsed="false">
      <c r="A188" s="29"/>
      <c r="B188" s="30"/>
      <c r="C188" s="30"/>
      <c r="D188" s="30"/>
      <c r="E188" s="30"/>
      <c r="F188" s="30"/>
      <c r="G188" s="30"/>
      <c r="H188" s="30"/>
      <c r="I188" s="30"/>
      <c r="J188" s="30"/>
    </row>
    <row r="189" customFormat="false" ht="15" hidden="false" customHeight="false" outlineLevel="0" collapsed="false">
      <c r="A189" s="29"/>
      <c r="B189" s="30"/>
      <c r="C189" s="30"/>
      <c r="D189" s="30"/>
      <c r="E189" s="30"/>
      <c r="F189" s="30"/>
      <c r="G189" s="30"/>
      <c r="H189" s="30"/>
      <c r="I189" s="30"/>
      <c r="J189" s="30"/>
    </row>
    <row r="190" customFormat="false" ht="15" hidden="false" customHeight="false" outlineLevel="0" collapsed="false">
      <c r="A190" s="29"/>
      <c r="B190" s="30"/>
      <c r="C190" s="30"/>
      <c r="D190" s="30"/>
      <c r="E190" s="30"/>
      <c r="F190" s="30"/>
      <c r="G190" s="30"/>
      <c r="H190" s="30"/>
      <c r="I190" s="30"/>
      <c r="J190" s="30"/>
    </row>
    <row r="191" customFormat="false" ht="15" hidden="false" customHeight="false" outlineLevel="0" collapsed="false">
      <c r="A191" s="29"/>
      <c r="B191" s="30"/>
      <c r="C191" s="30"/>
      <c r="D191" s="30"/>
      <c r="E191" s="30"/>
      <c r="F191" s="30"/>
      <c r="G191" s="30"/>
      <c r="H191" s="30"/>
      <c r="I191" s="30"/>
      <c r="J191" s="30"/>
    </row>
    <row r="192" customFormat="false" ht="15" hidden="false" customHeight="false" outlineLevel="0" collapsed="false">
      <c r="A192" s="29"/>
      <c r="B192" s="30"/>
      <c r="C192" s="30"/>
      <c r="D192" s="30"/>
      <c r="E192" s="30"/>
      <c r="F192" s="30"/>
      <c r="G192" s="30"/>
      <c r="H192" s="30"/>
      <c r="I192" s="30"/>
      <c r="J192" s="30"/>
    </row>
    <row r="193" customFormat="false" ht="15" hidden="false" customHeight="false" outlineLevel="0" collapsed="false">
      <c r="A193" s="29"/>
      <c r="B193" s="30"/>
      <c r="C193" s="30"/>
      <c r="D193" s="30"/>
      <c r="E193" s="30"/>
      <c r="F193" s="30"/>
      <c r="G193" s="30"/>
      <c r="H193" s="30"/>
      <c r="I193" s="30"/>
      <c r="J193" s="30"/>
    </row>
    <row r="194" customFormat="false" ht="15" hidden="false" customHeight="false" outlineLevel="0" collapsed="false">
      <c r="A194" s="29"/>
      <c r="B194" s="30"/>
      <c r="C194" s="30"/>
      <c r="D194" s="30"/>
      <c r="E194" s="30"/>
      <c r="F194" s="30"/>
      <c r="G194" s="30"/>
      <c r="H194" s="30"/>
      <c r="I194" s="30"/>
      <c r="J194" s="30"/>
    </row>
    <row r="195" customFormat="false" ht="15" hidden="false" customHeight="false" outlineLevel="0" collapsed="false">
      <c r="A195" s="29"/>
      <c r="B195" s="30"/>
      <c r="C195" s="30"/>
      <c r="D195" s="30"/>
      <c r="E195" s="30"/>
      <c r="F195" s="30"/>
      <c r="G195" s="30"/>
      <c r="H195" s="30"/>
      <c r="I195" s="30"/>
      <c r="J195" s="30"/>
    </row>
    <row r="196" customFormat="false" ht="15" hidden="false" customHeight="false" outlineLevel="0" collapsed="false">
      <c r="A196" s="29"/>
      <c r="B196" s="30"/>
      <c r="C196" s="30"/>
      <c r="D196" s="30"/>
      <c r="E196" s="30"/>
      <c r="F196" s="30"/>
      <c r="G196" s="30"/>
      <c r="H196" s="30"/>
      <c r="I196" s="30"/>
      <c r="J196" s="30"/>
    </row>
    <row r="197" customFormat="false" ht="15" hidden="false" customHeight="false" outlineLevel="0" collapsed="false">
      <c r="A197" s="29"/>
      <c r="B197" s="30"/>
      <c r="C197" s="30"/>
      <c r="D197" s="30"/>
      <c r="E197" s="30"/>
      <c r="F197" s="30"/>
      <c r="G197" s="30"/>
      <c r="H197" s="30"/>
      <c r="I197" s="30"/>
      <c r="J197" s="30"/>
    </row>
    <row r="198" customFormat="false" ht="15" hidden="false" customHeight="false" outlineLevel="0" collapsed="false">
      <c r="A198" s="29"/>
      <c r="B198" s="30"/>
      <c r="C198" s="30"/>
      <c r="D198" s="30"/>
      <c r="E198" s="30"/>
      <c r="F198" s="30"/>
      <c r="G198" s="30"/>
      <c r="H198" s="30"/>
      <c r="I198" s="30"/>
      <c r="J198" s="30"/>
    </row>
    <row r="199" customFormat="false" ht="15" hidden="false" customHeight="false" outlineLevel="0" collapsed="false">
      <c r="A199" s="29"/>
      <c r="B199" s="30"/>
      <c r="C199" s="30"/>
      <c r="D199" s="30"/>
      <c r="E199" s="30"/>
      <c r="F199" s="30"/>
      <c r="G199" s="30"/>
      <c r="H199" s="30"/>
      <c r="I199" s="30"/>
      <c r="J199" s="30"/>
    </row>
    <row r="200" customFormat="false" ht="15" hidden="false" customHeight="false" outlineLevel="0" collapsed="false">
      <c r="A200" s="29"/>
      <c r="B200" s="30"/>
      <c r="C200" s="30"/>
      <c r="D200" s="30"/>
      <c r="E200" s="30"/>
      <c r="F200" s="30"/>
      <c r="G200" s="30"/>
      <c r="H200" s="30"/>
      <c r="I200" s="30"/>
      <c r="J200" s="30"/>
    </row>
    <row r="201" customFormat="false" ht="15" hidden="false" customHeight="false" outlineLevel="0" collapsed="false">
      <c r="A201" s="29"/>
      <c r="B201" s="30"/>
      <c r="C201" s="30"/>
      <c r="D201" s="30"/>
      <c r="E201" s="30"/>
      <c r="F201" s="30"/>
      <c r="G201" s="30"/>
      <c r="H201" s="30"/>
      <c r="I201" s="30"/>
      <c r="J201" s="30"/>
    </row>
    <row r="202" customFormat="false" ht="15" hidden="false" customHeight="false" outlineLevel="0" collapsed="false">
      <c r="A202" s="29"/>
      <c r="B202" s="30"/>
      <c r="C202" s="30"/>
      <c r="D202" s="30"/>
      <c r="E202" s="30"/>
      <c r="F202" s="30"/>
      <c r="G202" s="30"/>
      <c r="H202" s="30"/>
      <c r="I202" s="30"/>
      <c r="J202" s="30"/>
    </row>
    <row r="203" customFormat="false" ht="15" hidden="false" customHeight="false" outlineLevel="0" collapsed="false">
      <c r="A203" s="29"/>
      <c r="B203" s="30"/>
      <c r="C203" s="30"/>
      <c r="D203" s="30"/>
      <c r="E203" s="30"/>
      <c r="F203" s="30"/>
      <c r="G203" s="30"/>
      <c r="H203" s="30"/>
      <c r="I203" s="30"/>
      <c r="J203" s="30"/>
    </row>
    <row r="204" customFormat="false" ht="15" hidden="false" customHeight="false" outlineLevel="0" collapsed="false">
      <c r="A204" s="29"/>
      <c r="B204" s="30"/>
      <c r="C204" s="30"/>
      <c r="D204" s="30"/>
      <c r="E204" s="30"/>
      <c r="F204" s="30"/>
      <c r="G204" s="30"/>
      <c r="H204" s="30"/>
      <c r="I204" s="30"/>
      <c r="J204" s="30"/>
    </row>
    <row r="205" customFormat="false" ht="15" hidden="false" customHeight="false" outlineLevel="0" collapsed="false">
      <c r="A205" s="29"/>
      <c r="B205" s="30"/>
      <c r="C205" s="30"/>
      <c r="D205" s="30"/>
      <c r="E205" s="30"/>
      <c r="F205" s="30"/>
      <c r="G205" s="30"/>
      <c r="H205" s="30"/>
      <c r="I205" s="30"/>
      <c r="J205" s="30"/>
    </row>
    <row r="206" customFormat="false" ht="15" hidden="false" customHeight="false" outlineLevel="0" collapsed="false">
      <c r="A206" s="29"/>
      <c r="B206" s="30"/>
      <c r="C206" s="30"/>
      <c r="D206" s="30"/>
      <c r="E206" s="30"/>
      <c r="F206" s="30"/>
      <c r="G206" s="30"/>
      <c r="H206" s="30"/>
      <c r="I206" s="30"/>
      <c r="J206" s="30"/>
    </row>
    <row r="207" customFormat="false" ht="15" hidden="false" customHeight="false" outlineLevel="0" collapsed="false">
      <c r="A207" s="29"/>
      <c r="B207" s="30"/>
      <c r="C207" s="30"/>
      <c r="D207" s="30"/>
      <c r="E207" s="30"/>
      <c r="F207" s="30"/>
      <c r="G207" s="30"/>
      <c r="H207" s="30"/>
      <c r="I207" s="30"/>
      <c r="J207" s="30"/>
    </row>
    <row r="208" customFormat="false" ht="15" hidden="false" customHeight="false" outlineLevel="0" collapsed="false">
      <c r="A208" s="29"/>
      <c r="B208" s="30"/>
      <c r="C208" s="30"/>
      <c r="D208" s="30"/>
      <c r="E208" s="30"/>
      <c r="F208" s="30"/>
      <c r="G208" s="30"/>
      <c r="H208" s="30"/>
      <c r="I208" s="30"/>
      <c r="J208" s="30"/>
    </row>
    <row r="209" customFormat="false" ht="15" hidden="false" customHeight="false" outlineLevel="0" collapsed="false">
      <c r="A209" s="29"/>
      <c r="B209" s="30"/>
      <c r="C209" s="30"/>
      <c r="D209" s="30"/>
      <c r="E209" s="30"/>
      <c r="F209" s="30"/>
      <c r="G209" s="30"/>
      <c r="H209" s="30"/>
      <c r="I209" s="30"/>
      <c r="J209" s="30"/>
    </row>
    <row r="210" customFormat="false" ht="15" hidden="false" customHeight="false" outlineLevel="0" collapsed="false">
      <c r="A210" s="29"/>
      <c r="B210" s="30"/>
      <c r="C210" s="30"/>
      <c r="D210" s="30"/>
      <c r="E210" s="30"/>
      <c r="F210" s="30"/>
      <c r="G210" s="30"/>
      <c r="H210" s="30"/>
      <c r="I210" s="30"/>
      <c r="J210" s="30"/>
    </row>
    <row r="211" customFormat="false" ht="15" hidden="false" customHeight="false" outlineLevel="0" collapsed="false">
      <c r="A211" s="29"/>
      <c r="B211" s="30"/>
      <c r="C211" s="30"/>
      <c r="D211" s="30"/>
      <c r="E211" s="30"/>
      <c r="F211" s="30"/>
      <c r="G211" s="30"/>
      <c r="H211" s="30"/>
      <c r="I211" s="30"/>
      <c r="J211" s="30"/>
    </row>
    <row r="212" customFormat="false" ht="15" hidden="false" customHeight="false" outlineLevel="0" collapsed="false">
      <c r="A212" s="29"/>
      <c r="B212" s="30"/>
      <c r="C212" s="30"/>
      <c r="D212" s="30"/>
      <c r="E212" s="30"/>
      <c r="F212" s="30"/>
      <c r="G212" s="30"/>
      <c r="H212" s="30"/>
      <c r="I212" s="30"/>
      <c r="J212" s="30"/>
    </row>
    <row r="213" customFormat="false" ht="15" hidden="false" customHeight="false" outlineLevel="0" collapsed="false">
      <c r="A213" s="29"/>
      <c r="B213" s="30"/>
      <c r="C213" s="30"/>
      <c r="D213" s="30"/>
      <c r="E213" s="30"/>
      <c r="F213" s="30"/>
      <c r="G213" s="30"/>
      <c r="H213" s="30"/>
      <c r="I213" s="30"/>
      <c r="J213" s="30"/>
    </row>
    <row r="214" customFormat="false" ht="15" hidden="false" customHeight="false" outlineLevel="0" collapsed="false">
      <c r="A214" s="29"/>
      <c r="B214" s="30"/>
      <c r="C214" s="30"/>
      <c r="D214" s="30"/>
      <c r="E214" s="30"/>
      <c r="F214" s="30"/>
      <c r="G214" s="30"/>
      <c r="H214" s="30"/>
      <c r="I214" s="30"/>
      <c r="J214" s="30"/>
    </row>
    <row r="215" customFormat="false" ht="15" hidden="false" customHeight="false" outlineLevel="0" collapsed="false">
      <c r="A215" s="29"/>
      <c r="B215" s="30"/>
      <c r="C215" s="30"/>
      <c r="D215" s="30"/>
      <c r="E215" s="30"/>
      <c r="F215" s="30"/>
      <c r="G215" s="30"/>
      <c r="H215" s="30"/>
      <c r="I215" s="30"/>
      <c r="J215" s="30"/>
    </row>
    <row r="216" customFormat="false" ht="15" hidden="false" customHeight="false" outlineLevel="0" collapsed="false">
      <c r="A216" s="29"/>
      <c r="B216" s="30"/>
      <c r="C216" s="30"/>
      <c r="D216" s="30"/>
      <c r="E216" s="30"/>
      <c r="F216" s="30"/>
      <c r="G216" s="30"/>
      <c r="H216" s="30"/>
      <c r="I216" s="30"/>
      <c r="J216" s="30"/>
    </row>
    <row r="217" customFormat="false" ht="15" hidden="false" customHeight="false" outlineLevel="0" collapsed="false">
      <c r="A217" s="29"/>
      <c r="B217" s="30"/>
      <c r="C217" s="30"/>
      <c r="D217" s="30"/>
      <c r="E217" s="30"/>
      <c r="F217" s="30"/>
      <c r="G217" s="30"/>
      <c r="H217" s="30"/>
      <c r="I217" s="30"/>
      <c r="J217" s="30"/>
    </row>
    <row r="218" customFormat="false" ht="15" hidden="false" customHeight="false" outlineLevel="0" collapsed="false">
      <c r="A218" s="29"/>
      <c r="B218" s="30"/>
      <c r="C218" s="30"/>
      <c r="D218" s="30"/>
      <c r="E218" s="30"/>
      <c r="F218" s="30"/>
      <c r="G218" s="30"/>
      <c r="H218" s="30"/>
      <c r="I218" s="30"/>
      <c r="J218" s="30"/>
    </row>
    <row r="219" customFormat="false" ht="15" hidden="false" customHeight="false" outlineLevel="0" collapsed="false">
      <c r="A219" s="29"/>
      <c r="B219" s="30"/>
      <c r="C219" s="30"/>
      <c r="D219" s="30"/>
      <c r="E219" s="30"/>
      <c r="F219" s="30"/>
      <c r="G219" s="30"/>
      <c r="H219" s="30"/>
      <c r="I219" s="30"/>
      <c r="J219" s="30"/>
    </row>
    <row r="220" customFormat="false" ht="15" hidden="false" customHeight="false" outlineLevel="0" collapsed="false">
      <c r="A220" s="29"/>
      <c r="B220" s="30"/>
      <c r="C220" s="30"/>
      <c r="D220" s="30"/>
      <c r="E220" s="30"/>
      <c r="F220" s="30"/>
      <c r="G220" s="30"/>
      <c r="H220" s="30"/>
      <c r="I220" s="30"/>
      <c r="J220" s="30"/>
    </row>
    <row r="221" customFormat="false" ht="15" hidden="false" customHeight="false" outlineLevel="0" collapsed="false">
      <c r="A221" s="29"/>
      <c r="B221" s="30"/>
      <c r="C221" s="30"/>
      <c r="D221" s="30"/>
      <c r="E221" s="30"/>
      <c r="F221" s="30"/>
      <c r="G221" s="30"/>
      <c r="H221" s="30"/>
      <c r="I221" s="30"/>
      <c r="J221" s="30"/>
    </row>
    <row r="222" customFormat="false" ht="15" hidden="false" customHeight="false" outlineLevel="0" collapsed="false">
      <c r="A222" s="29"/>
      <c r="B222" s="30"/>
      <c r="C222" s="30"/>
      <c r="D222" s="30"/>
      <c r="E222" s="30"/>
      <c r="F222" s="30"/>
      <c r="G222" s="30"/>
      <c r="H222" s="30"/>
      <c r="I222" s="30"/>
      <c r="J222" s="30"/>
    </row>
    <row r="223" customFormat="false" ht="15" hidden="false" customHeight="false" outlineLevel="0" collapsed="false">
      <c r="A223" s="29"/>
      <c r="B223" s="30"/>
      <c r="C223" s="30"/>
      <c r="D223" s="30"/>
      <c r="E223" s="30"/>
      <c r="F223" s="30"/>
      <c r="G223" s="30"/>
      <c r="H223" s="30"/>
      <c r="I223" s="30"/>
      <c r="J223" s="30"/>
    </row>
    <row r="224" customFormat="false" ht="15" hidden="false" customHeight="false" outlineLevel="0" collapsed="false">
      <c r="A224" s="29"/>
      <c r="B224" s="30"/>
      <c r="C224" s="30"/>
      <c r="D224" s="30"/>
      <c r="E224" s="30"/>
      <c r="F224" s="30"/>
      <c r="G224" s="30"/>
      <c r="H224" s="30"/>
      <c r="I224" s="30"/>
      <c r="J224" s="30"/>
    </row>
    <row r="225" customFormat="false" ht="15" hidden="false" customHeight="false" outlineLevel="0" collapsed="false">
      <c r="A225" s="29"/>
      <c r="B225" s="30"/>
      <c r="C225" s="30"/>
      <c r="D225" s="30"/>
      <c r="E225" s="30"/>
      <c r="F225" s="30"/>
      <c r="G225" s="30"/>
      <c r="H225" s="30"/>
      <c r="I225" s="30"/>
      <c r="J225" s="30"/>
    </row>
    <row r="226" customFormat="false" ht="15" hidden="false" customHeight="false" outlineLevel="0" collapsed="false">
      <c r="A226" s="29"/>
      <c r="B226" s="30"/>
      <c r="C226" s="30"/>
      <c r="D226" s="30"/>
      <c r="E226" s="30"/>
      <c r="F226" s="30"/>
      <c r="G226" s="30"/>
      <c r="H226" s="30"/>
      <c r="I226" s="30"/>
      <c r="J226" s="30"/>
    </row>
    <row r="227" customFormat="false" ht="15" hidden="false" customHeight="false" outlineLevel="0" collapsed="false">
      <c r="A227" s="29"/>
      <c r="B227" s="30"/>
      <c r="C227" s="30"/>
      <c r="D227" s="30"/>
      <c r="E227" s="30"/>
      <c r="F227" s="30"/>
      <c r="G227" s="30"/>
      <c r="H227" s="30"/>
      <c r="I227" s="30"/>
      <c r="J227" s="30"/>
    </row>
    <row r="228" customFormat="false" ht="15" hidden="false" customHeight="false" outlineLevel="0" collapsed="false">
      <c r="A228" s="29"/>
      <c r="B228" s="30"/>
      <c r="C228" s="30"/>
      <c r="D228" s="30"/>
      <c r="E228" s="30"/>
      <c r="F228" s="30"/>
      <c r="G228" s="30"/>
      <c r="H228" s="30"/>
      <c r="I228" s="30"/>
      <c r="J228" s="30"/>
    </row>
    <row r="229" customFormat="false" ht="15" hidden="false" customHeight="false" outlineLevel="0" collapsed="false">
      <c r="A229" s="29"/>
      <c r="B229" s="30"/>
      <c r="C229" s="30"/>
      <c r="D229" s="30"/>
      <c r="E229" s="30"/>
      <c r="F229" s="30"/>
      <c r="G229" s="30"/>
      <c r="H229" s="30"/>
      <c r="I229" s="30"/>
      <c r="J229" s="30"/>
    </row>
    <row r="230" customFormat="false" ht="15" hidden="false" customHeight="false" outlineLevel="0" collapsed="false">
      <c r="A230" s="29"/>
      <c r="B230" s="30"/>
      <c r="C230" s="30"/>
      <c r="D230" s="30"/>
      <c r="E230" s="30"/>
      <c r="F230" s="30"/>
      <c r="G230" s="30"/>
      <c r="H230" s="30"/>
      <c r="I230" s="30"/>
      <c r="J230" s="30"/>
    </row>
    <row r="231" customFormat="false" ht="15" hidden="false" customHeight="false" outlineLevel="0" collapsed="false">
      <c r="A231" s="29"/>
      <c r="B231" s="30"/>
      <c r="C231" s="30"/>
      <c r="D231" s="30"/>
      <c r="E231" s="30"/>
      <c r="F231" s="30"/>
      <c r="G231" s="30"/>
      <c r="H231" s="30"/>
      <c r="I231" s="30"/>
      <c r="J231" s="30"/>
    </row>
    <row r="232" customFormat="false" ht="15" hidden="false" customHeight="false" outlineLevel="0" collapsed="false">
      <c r="A232" s="29"/>
      <c r="B232" s="30"/>
      <c r="C232" s="30"/>
      <c r="D232" s="30"/>
      <c r="E232" s="30"/>
      <c r="F232" s="30"/>
      <c r="G232" s="30"/>
      <c r="H232" s="30"/>
      <c r="I232" s="30"/>
      <c r="J232" s="30"/>
    </row>
    <row r="233" customFormat="false" ht="15" hidden="false" customHeight="false" outlineLevel="0" collapsed="false">
      <c r="A233" s="29"/>
      <c r="B233" s="30"/>
      <c r="C233" s="30"/>
      <c r="D233" s="30"/>
      <c r="E233" s="30"/>
      <c r="F233" s="30"/>
      <c r="G233" s="30"/>
      <c r="H233" s="30"/>
      <c r="I233" s="30"/>
      <c r="J233" s="30"/>
    </row>
    <row r="234" customFormat="false" ht="15" hidden="false" customHeight="false" outlineLevel="0" collapsed="false">
      <c r="A234" s="29"/>
      <c r="B234" s="30"/>
      <c r="C234" s="30"/>
      <c r="D234" s="30"/>
      <c r="E234" s="30"/>
      <c r="F234" s="30"/>
      <c r="G234" s="30"/>
      <c r="H234" s="30"/>
      <c r="I234" s="30"/>
      <c r="J234" s="30"/>
    </row>
    <row r="235" customFormat="false" ht="15" hidden="false" customHeight="false" outlineLevel="0" collapsed="false">
      <c r="A235" s="29"/>
      <c r="B235" s="30"/>
      <c r="C235" s="30"/>
      <c r="D235" s="30"/>
      <c r="E235" s="30"/>
      <c r="F235" s="30"/>
      <c r="G235" s="30"/>
      <c r="H235" s="30"/>
      <c r="I235" s="30"/>
      <c r="J235" s="30"/>
    </row>
    <row r="236" customFormat="false" ht="15" hidden="false" customHeight="false" outlineLevel="0" collapsed="false">
      <c r="A236" s="29"/>
      <c r="B236" s="30"/>
      <c r="C236" s="30"/>
      <c r="D236" s="30"/>
      <c r="E236" s="30"/>
      <c r="F236" s="30"/>
      <c r="G236" s="30"/>
      <c r="H236" s="30"/>
      <c r="I236" s="30"/>
      <c r="J236" s="30"/>
    </row>
    <row r="237" customFormat="false" ht="15" hidden="false" customHeight="false" outlineLevel="0" collapsed="false">
      <c r="A237" s="29"/>
      <c r="B237" s="30"/>
      <c r="C237" s="30"/>
      <c r="D237" s="30"/>
      <c r="E237" s="30"/>
      <c r="F237" s="30"/>
      <c r="G237" s="30"/>
      <c r="H237" s="30"/>
      <c r="I237" s="30"/>
      <c r="J237" s="30"/>
    </row>
    <row r="238" customFormat="false" ht="15" hidden="false" customHeight="false" outlineLevel="0" collapsed="false">
      <c r="A238" s="29"/>
      <c r="B238" s="30"/>
      <c r="C238" s="30"/>
      <c r="D238" s="30"/>
      <c r="E238" s="30"/>
      <c r="F238" s="30"/>
      <c r="G238" s="30"/>
      <c r="H238" s="30"/>
      <c r="I238" s="30"/>
      <c r="J238" s="30"/>
    </row>
    <row r="239" customFormat="false" ht="15" hidden="false" customHeight="false" outlineLevel="0" collapsed="false">
      <c r="A239" s="29"/>
      <c r="B239" s="30"/>
      <c r="C239" s="30"/>
      <c r="D239" s="30"/>
      <c r="E239" s="30"/>
      <c r="F239" s="30"/>
      <c r="G239" s="30"/>
      <c r="H239" s="30"/>
      <c r="I239" s="30"/>
      <c r="J239" s="30"/>
    </row>
    <row r="240" customFormat="false" ht="15" hidden="false" customHeight="false" outlineLevel="0" collapsed="false">
      <c r="A240" s="29"/>
      <c r="B240" s="30"/>
      <c r="C240" s="30"/>
      <c r="D240" s="30"/>
      <c r="E240" s="30"/>
      <c r="F240" s="30"/>
      <c r="G240" s="30"/>
      <c r="H240" s="30"/>
      <c r="I240" s="30"/>
      <c r="J240" s="30"/>
    </row>
    <row r="241" customFormat="false" ht="15" hidden="false" customHeight="false" outlineLevel="0" collapsed="false">
      <c r="A241" s="29"/>
      <c r="B241" s="30"/>
      <c r="C241" s="30"/>
      <c r="D241" s="30"/>
      <c r="E241" s="30"/>
      <c r="F241" s="30"/>
      <c r="G241" s="30"/>
      <c r="H241" s="30"/>
      <c r="I241" s="30"/>
      <c r="J241" s="30"/>
    </row>
    <row r="242" customFormat="false" ht="15" hidden="false" customHeight="false" outlineLevel="0" collapsed="false">
      <c r="A242" s="29"/>
      <c r="B242" s="30"/>
      <c r="C242" s="30"/>
      <c r="D242" s="30"/>
      <c r="E242" s="30"/>
      <c r="F242" s="30"/>
      <c r="G242" s="30"/>
      <c r="H242" s="30"/>
      <c r="I242" s="30"/>
      <c r="J242" s="30"/>
    </row>
    <row r="243" customFormat="false" ht="15" hidden="false" customHeight="false" outlineLevel="0" collapsed="false">
      <c r="A243" s="29"/>
      <c r="B243" s="30"/>
      <c r="C243" s="30"/>
      <c r="D243" s="30"/>
      <c r="E243" s="30"/>
      <c r="F243" s="30"/>
      <c r="G243" s="30"/>
      <c r="H243" s="30"/>
      <c r="I243" s="30"/>
      <c r="J243" s="30"/>
    </row>
    <row r="244" customFormat="false" ht="15" hidden="false" customHeight="false" outlineLevel="0" collapsed="false">
      <c r="A244" s="29"/>
      <c r="B244" s="30"/>
      <c r="C244" s="30"/>
      <c r="D244" s="30"/>
      <c r="E244" s="30"/>
      <c r="F244" s="30"/>
      <c r="G244" s="30"/>
      <c r="H244" s="30"/>
      <c r="I244" s="30"/>
      <c r="J244" s="30"/>
    </row>
    <row r="245" customFormat="false" ht="15" hidden="false" customHeight="false" outlineLevel="0" collapsed="false">
      <c r="A245" s="29"/>
      <c r="B245" s="30"/>
      <c r="C245" s="30"/>
      <c r="D245" s="30"/>
      <c r="E245" s="30"/>
      <c r="F245" s="30"/>
      <c r="G245" s="30"/>
      <c r="H245" s="30"/>
      <c r="I245" s="30"/>
      <c r="J245" s="30"/>
    </row>
    <row r="246" customFormat="false" ht="15" hidden="false" customHeight="false" outlineLevel="0" collapsed="false">
      <c r="A246" s="29"/>
      <c r="B246" s="30"/>
      <c r="C246" s="30"/>
      <c r="D246" s="30"/>
      <c r="E246" s="30"/>
      <c r="F246" s="30"/>
      <c r="G246" s="30"/>
      <c r="H246" s="30"/>
      <c r="I246" s="30"/>
      <c r="J246" s="30"/>
    </row>
    <row r="247" customFormat="false" ht="15" hidden="false" customHeight="false" outlineLevel="0" collapsed="false">
      <c r="A247" s="29"/>
      <c r="B247" s="30"/>
      <c r="C247" s="30"/>
      <c r="D247" s="30"/>
      <c r="E247" s="30"/>
      <c r="F247" s="30"/>
      <c r="G247" s="30"/>
      <c r="H247" s="30"/>
      <c r="I247" s="30"/>
      <c r="J247" s="30"/>
    </row>
    <row r="248" customFormat="false" ht="15" hidden="false" customHeight="false" outlineLevel="0" collapsed="false">
      <c r="A248" s="29"/>
      <c r="B248" s="30"/>
      <c r="C248" s="30"/>
      <c r="D248" s="30"/>
      <c r="E248" s="30"/>
      <c r="F248" s="30"/>
      <c r="G248" s="30"/>
      <c r="H248" s="30"/>
      <c r="I248" s="30"/>
      <c r="J248" s="30"/>
    </row>
    <row r="249" customFormat="false" ht="15" hidden="false" customHeight="false" outlineLevel="0" collapsed="false">
      <c r="A249" s="29"/>
      <c r="B249" s="30"/>
      <c r="C249" s="30"/>
      <c r="D249" s="30"/>
      <c r="E249" s="30"/>
      <c r="F249" s="30"/>
      <c r="G249" s="30"/>
      <c r="H249" s="30"/>
      <c r="I249" s="30"/>
      <c r="J249" s="30"/>
    </row>
    <row r="250" customFormat="false" ht="15" hidden="false" customHeight="false" outlineLevel="0" collapsed="false">
      <c r="A250" s="29"/>
      <c r="B250" s="30"/>
      <c r="C250" s="30"/>
      <c r="D250" s="30"/>
      <c r="E250" s="30"/>
      <c r="F250" s="30"/>
      <c r="G250" s="30"/>
      <c r="H250" s="30"/>
      <c r="I250" s="30"/>
      <c r="J250" s="30"/>
    </row>
    <row r="251" customFormat="false" ht="15" hidden="false" customHeight="false" outlineLevel="0" collapsed="false">
      <c r="A251" s="29"/>
      <c r="B251" s="30"/>
      <c r="C251" s="30"/>
      <c r="D251" s="30"/>
      <c r="E251" s="30"/>
      <c r="F251" s="30"/>
      <c r="G251" s="30"/>
      <c r="H251" s="30"/>
      <c r="I251" s="30"/>
      <c r="J251" s="30"/>
    </row>
    <row r="252" customFormat="false" ht="15" hidden="false" customHeight="false" outlineLevel="0" collapsed="false">
      <c r="A252" s="29"/>
      <c r="B252" s="30"/>
      <c r="C252" s="30"/>
      <c r="D252" s="30"/>
      <c r="E252" s="30"/>
      <c r="F252" s="30"/>
      <c r="G252" s="30"/>
      <c r="H252" s="30"/>
      <c r="I252" s="30"/>
      <c r="J252" s="30"/>
    </row>
    <row r="253" customFormat="false" ht="15" hidden="false" customHeight="false" outlineLevel="0" collapsed="false">
      <c r="A253" s="29"/>
      <c r="B253" s="30"/>
      <c r="C253" s="30"/>
      <c r="D253" s="30"/>
      <c r="E253" s="30"/>
      <c r="F253" s="30"/>
      <c r="G253" s="30"/>
      <c r="H253" s="30"/>
      <c r="I253" s="30"/>
      <c r="J253" s="30"/>
    </row>
    <row r="254" customFormat="false" ht="15" hidden="false" customHeight="false" outlineLevel="0" collapsed="false">
      <c r="A254" s="29"/>
      <c r="B254" s="30"/>
      <c r="C254" s="30"/>
      <c r="D254" s="30"/>
      <c r="E254" s="30"/>
      <c r="F254" s="30"/>
      <c r="G254" s="30"/>
      <c r="H254" s="30"/>
      <c r="I254" s="30"/>
      <c r="J254" s="30"/>
    </row>
    <row r="255" customFormat="false" ht="15" hidden="false" customHeight="false" outlineLevel="0" collapsed="false">
      <c r="A255" s="29"/>
      <c r="B255" s="30"/>
      <c r="C255" s="30"/>
      <c r="D255" s="30"/>
      <c r="E255" s="30"/>
      <c r="F255" s="30"/>
      <c r="G255" s="30"/>
      <c r="H255" s="30"/>
      <c r="I255" s="30"/>
      <c r="J255" s="30"/>
    </row>
    <row r="256" customFormat="false" ht="15" hidden="false" customHeight="false" outlineLevel="0" collapsed="false">
      <c r="A256" s="29"/>
      <c r="B256" s="30"/>
      <c r="C256" s="30"/>
      <c r="D256" s="30"/>
      <c r="E256" s="30"/>
      <c r="F256" s="30"/>
      <c r="G256" s="30"/>
      <c r="H256" s="30"/>
      <c r="I256" s="30"/>
      <c r="J256" s="30"/>
    </row>
    <row r="257" customFormat="false" ht="15" hidden="false" customHeight="false" outlineLevel="0" collapsed="false">
      <c r="A257" s="29"/>
      <c r="B257" s="30"/>
      <c r="C257" s="30"/>
      <c r="D257" s="30"/>
      <c r="E257" s="30"/>
      <c r="F257" s="30"/>
      <c r="G257" s="30"/>
      <c r="H257" s="30"/>
      <c r="I257" s="30"/>
      <c r="J257" s="30"/>
    </row>
    <row r="258" customFormat="false" ht="15" hidden="false" customHeight="false" outlineLevel="0" collapsed="false">
      <c r="A258" s="29"/>
      <c r="B258" s="30"/>
      <c r="C258" s="30"/>
      <c r="D258" s="30"/>
      <c r="E258" s="30"/>
      <c r="F258" s="30"/>
      <c r="G258" s="30"/>
      <c r="H258" s="30"/>
      <c r="I258" s="30"/>
      <c r="J258" s="30"/>
    </row>
    <row r="259" customFormat="false" ht="15" hidden="false" customHeight="false" outlineLevel="0" collapsed="false">
      <c r="A259" s="29"/>
      <c r="B259" s="30"/>
      <c r="C259" s="30"/>
      <c r="D259" s="30"/>
      <c r="E259" s="30"/>
      <c r="F259" s="30"/>
      <c r="G259" s="30"/>
      <c r="H259" s="30"/>
      <c r="I259" s="30"/>
      <c r="J259" s="30"/>
    </row>
    <row r="260" customFormat="false" ht="15" hidden="false" customHeight="false" outlineLevel="0" collapsed="false">
      <c r="A260" s="29"/>
      <c r="B260" s="30"/>
      <c r="C260" s="30"/>
      <c r="D260" s="30"/>
      <c r="E260" s="30"/>
      <c r="F260" s="30"/>
      <c r="G260" s="30"/>
      <c r="H260" s="30"/>
      <c r="I260" s="30"/>
      <c r="J260" s="30"/>
    </row>
    <row r="261" customFormat="false" ht="15" hidden="false" customHeight="false" outlineLevel="0" collapsed="false">
      <c r="A261" s="29"/>
      <c r="B261" s="30"/>
      <c r="C261" s="30"/>
      <c r="D261" s="30"/>
      <c r="E261" s="30"/>
      <c r="F261" s="30"/>
      <c r="G261" s="30"/>
      <c r="H261" s="30"/>
      <c r="I261" s="30"/>
      <c r="J261" s="30"/>
    </row>
    <row r="262" customFormat="false" ht="15" hidden="false" customHeight="false" outlineLevel="0" collapsed="false">
      <c r="A262" s="29"/>
      <c r="B262" s="30"/>
      <c r="C262" s="30"/>
      <c r="D262" s="30"/>
      <c r="E262" s="30"/>
      <c r="F262" s="30"/>
      <c r="G262" s="30"/>
      <c r="H262" s="30"/>
      <c r="I262" s="30"/>
      <c r="J262" s="30"/>
    </row>
    <row r="263" customFormat="false" ht="15" hidden="false" customHeight="false" outlineLevel="0" collapsed="false">
      <c r="A263" s="29"/>
      <c r="B263" s="30"/>
      <c r="C263" s="30"/>
      <c r="D263" s="30"/>
      <c r="E263" s="30"/>
      <c r="F263" s="30"/>
      <c r="G263" s="30"/>
      <c r="H263" s="30"/>
      <c r="I263" s="30"/>
      <c r="J263" s="30"/>
    </row>
    <row r="264" customFormat="false" ht="15" hidden="false" customHeight="false" outlineLevel="0" collapsed="false">
      <c r="A264" s="29"/>
      <c r="B264" s="30"/>
      <c r="C264" s="30"/>
      <c r="D264" s="30"/>
      <c r="E264" s="30"/>
      <c r="F264" s="30"/>
      <c r="G264" s="30"/>
      <c r="H264" s="30"/>
      <c r="I264" s="30"/>
      <c r="J264" s="30"/>
    </row>
    <row r="265" customFormat="false" ht="15" hidden="false" customHeight="false" outlineLevel="0" collapsed="false">
      <c r="A265" s="29"/>
      <c r="B265" s="30"/>
      <c r="C265" s="30"/>
      <c r="D265" s="30"/>
      <c r="E265" s="30"/>
      <c r="F265" s="30"/>
      <c r="G265" s="30"/>
      <c r="H265" s="30"/>
      <c r="I265" s="30"/>
      <c r="J265" s="30"/>
    </row>
    <row r="266" customFormat="false" ht="15" hidden="false" customHeight="false" outlineLevel="0" collapsed="false">
      <c r="A266" s="29"/>
      <c r="B266" s="30"/>
      <c r="C266" s="30"/>
      <c r="D266" s="30"/>
      <c r="E266" s="30"/>
      <c r="F266" s="30"/>
      <c r="G266" s="30"/>
      <c r="H266" s="30"/>
      <c r="I266" s="30"/>
      <c r="J266" s="30"/>
    </row>
    <row r="267" customFormat="false" ht="15" hidden="false" customHeight="false" outlineLevel="0" collapsed="false">
      <c r="A267" s="29"/>
      <c r="B267" s="30"/>
      <c r="C267" s="30"/>
      <c r="D267" s="30"/>
      <c r="E267" s="30"/>
      <c r="F267" s="30"/>
      <c r="G267" s="30"/>
      <c r="H267" s="30"/>
      <c r="I267" s="30"/>
      <c r="J267" s="30"/>
    </row>
    <row r="268" customFormat="false" ht="15" hidden="false" customHeight="false" outlineLevel="0" collapsed="false">
      <c r="A268" s="29"/>
      <c r="B268" s="30"/>
      <c r="C268" s="30"/>
      <c r="D268" s="30"/>
      <c r="E268" s="30"/>
      <c r="F268" s="30"/>
      <c r="G268" s="30"/>
      <c r="H268" s="30"/>
      <c r="I268" s="30"/>
      <c r="J268" s="30"/>
    </row>
    <row r="269" customFormat="false" ht="15" hidden="false" customHeight="false" outlineLevel="0" collapsed="false">
      <c r="A269" s="29"/>
      <c r="B269" s="30"/>
      <c r="C269" s="30"/>
      <c r="D269" s="30"/>
      <c r="E269" s="30"/>
      <c r="F269" s="30"/>
      <c r="G269" s="30"/>
      <c r="H269" s="30"/>
      <c r="I269" s="30"/>
      <c r="J269" s="30"/>
    </row>
    <row r="270" customFormat="false" ht="15" hidden="false" customHeight="false" outlineLevel="0" collapsed="false">
      <c r="A270" s="29"/>
      <c r="B270" s="30"/>
      <c r="C270" s="30"/>
      <c r="D270" s="30"/>
      <c r="E270" s="30"/>
      <c r="F270" s="30"/>
      <c r="G270" s="30"/>
      <c r="H270" s="30"/>
      <c r="I270" s="30"/>
      <c r="J270" s="30"/>
    </row>
    <row r="271" customFormat="false" ht="15" hidden="false" customHeight="false" outlineLevel="0" collapsed="false">
      <c r="A271" s="29"/>
      <c r="B271" s="30"/>
      <c r="C271" s="30"/>
      <c r="D271" s="30"/>
      <c r="E271" s="30"/>
      <c r="F271" s="30"/>
      <c r="G271" s="30"/>
      <c r="H271" s="30"/>
      <c r="I271" s="30"/>
      <c r="J271" s="30"/>
    </row>
    <row r="272" customFormat="false" ht="15" hidden="false" customHeight="false" outlineLevel="0" collapsed="false">
      <c r="A272" s="29"/>
      <c r="B272" s="30"/>
      <c r="C272" s="30"/>
      <c r="D272" s="30"/>
      <c r="E272" s="30"/>
      <c r="F272" s="30"/>
      <c r="G272" s="30"/>
      <c r="H272" s="30"/>
      <c r="I272" s="30"/>
      <c r="J272" s="30"/>
    </row>
    <row r="273" customFormat="false" ht="15" hidden="false" customHeight="false" outlineLevel="0" collapsed="false">
      <c r="A273" s="29"/>
      <c r="B273" s="30"/>
      <c r="C273" s="30"/>
      <c r="D273" s="30"/>
      <c r="E273" s="30"/>
      <c r="F273" s="30"/>
      <c r="G273" s="30"/>
      <c r="H273" s="30"/>
      <c r="I273" s="30"/>
      <c r="J273" s="30"/>
    </row>
    <row r="274" customFormat="false" ht="15" hidden="false" customHeight="false" outlineLevel="0" collapsed="false">
      <c r="A274" s="29"/>
      <c r="B274" s="30"/>
      <c r="C274" s="30"/>
      <c r="D274" s="30"/>
      <c r="E274" s="30"/>
      <c r="F274" s="30"/>
      <c r="G274" s="30"/>
      <c r="H274" s="30"/>
      <c r="I274" s="30"/>
      <c r="J274" s="30"/>
    </row>
    <row r="275" customFormat="false" ht="15" hidden="false" customHeight="false" outlineLevel="0" collapsed="false">
      <c r="A275" s="29"/>
      <c r="B275" s="30"/>
      <c r="C275" s="30"/>
      <c r="D275" s="30"/>
      <c r="E275" s="30"/>
      <c r="F275" s="30"/>
      <c r="G275" s="30"/>
      <c r="H275" s="30"/>
      <c r="I275" s="30"/>
      <c r="J275" s="30"/>
    </row>
    <row r="276" customFormat="false" ht="15" hidden="false" customHeight="false" outlineLevel="0" collapsed="false">
      <c r="A276" s="29"/>
      <c r="B276" s="30"/>
      <c r="C276" s="30"/>
      <c r="D276" s="30"/>
      <c r="E276" s="30"/>
      <c r="F276" s="30"/>
      <c r="G276" s="30"/>
      <c r="H276" s="30"/>
      <c r="I276" s="30"/>
      <c r="J276" s="30"/>
    </row>
    <row r="277" customFormat="false" ht="15" hidden="false" customHeight="false" outlineLevel="0" collapsed="false">
      <c r="A277" s="29"/>
      <c r="B277" s="30"/>
      <c r="C277" s="30"/>
      <c r="D277" s="30"/>
      <c r="E277" s="30"/>
      <c r="F277" s="30"/>
      <c r="G277" s="30"/>
      <c r="H277" s="30"/>
      <c r="I277" s="30"/>
      <c r="J277" s="30"/>
    </row>
    <row r="278" customFormat="false" ht="15" hidden="false" customHeight="false" outlineLevel="0" collapsed="false">
      <c r="A278" s="29"/>
      <c r="B278" s="30"/>
      <c r="C278" s="30"/>
      <c r="D278" s="30"/>
      <c r="E278" s="30"/>
      <c r="F278" s="30"/>
      <c r="G278" s="30"/>
      <c r="H278" s="30"/>
      <c r="I278" s="30"/>
      <c r="J278" s="30"/>
    </row>
    <row r="279" customFormat="false" ht="15" hidden="false" customHeight="false" outlineLevel="0" collapsed="false">
      <c r="A279" s="29"/>
      <c r="B279" s="30"/>
      <c r="C279" s="30"/>
      <c r="D279" s="30"/>
      <c r="E279" s="30"/>
      <c r="F279" s="30"/>
      <c r="G279" s="30"/>
      <c r="H279" s="30"/>
      <c r="I279" s="30"/>
      <c r="J279" s="30"/>
    </row>
    <row r="280" customFormat="false" ht="15" hidden="false" customHeight="false" outlineLevel="0" collapsed="false">
      <c r="A280" s="29"/>
      <c r="B280" s="30"/>
      <c r="C280" s="30"/>
      <c r="D280" s="30"/>
      <c r="E280" s="30"/>
      <c r="F280" s="30"/>
      <c r="G280" s="30"/>
      <c r="H280" s="30"/>
      <c r="I280" s="30"/>
      <c r="J280" s="30"/>
    </row>
    <row r="281" customFormat="false" ht="15" hidden="false" customHeight="false" outlineLevel="0" collapsed="false">
      <c r="A281" s="29"/>
      <c r="B281" s="30"/>
      <c r="C281" s="30"/>
      <c r="D281" s="30"/>
      <c r="E281" s="30"/>
      <c r="F281" s="30"/>
      <c r="G281" s="30"/>
      <c r="H281" s="30"/>
      <c r="I281" s="30"/>
      <c r="J281" s="30"/>
    </row>
    <row r="282" customFormat="false" ht="15" hidden="false" customHeight="false" outlineLevel="0" collapsed="false">
      <c r="A282" s="29"/>
      <c r="B282" s="30"/>
      <c r="C282" s="30"/>
      <c r="D282" s="30"/>
      <c r="E282" s="30"/>
      <c r="F282" s="30"/>
      <c r="G282" s="30"/>
      <c r="H282" s="30"/>
      <c r="I282" s="30"/>
      <c r="J282" s="30"/>
    </row>
    <row r="283" customFormat="false" ht="15" hidden="false" customHeight="false" outlineLevel="0" collapsed="false">
      <c r="A283" s="29"/>
      <c r="B283" s="30"/>
      <c r="C283" s="30"/>
      <c r="D283" s="30"/>
      <c r="E283" s="30"/>
      <c r="F283" s="30"/>
      <c r="G283" s="30"/>
      <c r="H283" s="30"/>
      <c r="I283" s="30"/>
      <c r="J283" s="30"/>
    </row>
    <row r="284" customFormat="false" ht="15" hidden="false" customHeight="false" outlineLevel="0" collapsed="false">
      <c r="A284" s="29"/>
      <c r="B284" s="30"/>
      <c r="C284" s="30"/>
      <c r="D284" s="30"/>
      <c r="E284" s="30"/>
      <c r="F284" s="30"/>
      <c r="G284" s="30"/>
      <c r="H284" s="30"/>
      <c r="I284" s="30"/>
      <c r="J284" s="30"/>
    </row>
    <row r="285" customFormat="false" ht="15" hidden="false" customHeight="false" outlineLevel="0" collapsed="false">
      <c r="A285" s="29"/>
      <c r="B285" s="30"/>
      <c r="C285" s="30"/>
      <c r="D285" s="30"/>
      <c r="E285" s="30"/>
      <c r="F285" s="30"/>
      <c r="G285" s="30"/>
      <c r="H285" s="30"/>
      <c r="I285" s="30"/>
      <c r="J285" s="30"/>
    </row>
    <row r="286" customFormat="false" ht="15" hidden="false" customHeight="false" outlineLevel="0" collapsed="false">
      <c r="A286" s="29"/>
      <c r="B286" s="30"/>
      <c r="C286" s="30"/>
      <c r="D286" s="30"/>
      <c r="E286" s="30"/>
      <c r="F286" s="30"/>
      <c r="G286" s="30"/>
      <c r="H286" s="30"/>
      <c r="I286" s="30"/>
      <c r="J286" s="30"/>
    </row>
    <row r="287" customFormat="false" ht="15" hidden="false" customHeight="false" outlineLevel="0" collapsed="false">
      <c r="A287" s="29"/>
      <c r="B287" s="30"/>
      <c r="C287" s="30"/>
      <c r="D287" s="30"/>
      <c r="E287" s="30"/>
      <c r="F287" s="30"/>
      <c r="G287" s="30"/>
      <c r="H287" s="30"/>
      <c r="I287" s="30"/>
      <c r="J287" s="30"/>
    </row>
    <row r="288" customFormat="false" ht="15" hidden="false" customHeight="false" outlineLevel="0" collapsed="false">
      <c r="A288" s="29"/>
      <c r="B288" s="30"/>
      <c r="C288" s="30"/>
      <c r="D288" s="30"/>
      <c r="E288" s="30"/>
      <c r="F288" s="30"/>
      <c r="G288" s="30"/>
      <c r="H288" s="30"/>
      <c r="I288" s="30"/>
      <c r="J288" s="30"/>
    </row>
    <row r="289" customFormat="false" ht="15" hidden="false" customHeight="false" outlineLevel="0" collapsed="false">
      <c r="A289" s="29"/>
      <c r="B289" s="30"/>
      <c r="C289" s="30"/>
      <c r="D289" s="30"/>
      <c r="E289" s="30"/>
      <c r="F289" s="30"/>
      <c r="G289" s="30"/>
      <c r="H289" s="30"/>
      <c r="I289" s="30"/>
      <c r="J289" s="30"/>
    </row>
    <row r="290" customFormat="false" ht="15" hidden="false" customHeight="false" outlineLevel="0" collapsed="false">
      <c r="A290" s="29"/>
      <c r="B290" s="30"/>
      <c r="C290" s="30"/>
      <c r="D290" s="30"/>
      <c r="E290" s="30"/>
      <c r="F290" s="30"/>
      <c r="G290" s="30"/>
      <c r="H290" s="30"/>
      <c r="I290" s="30"/>
      <c r="J290" s="30"/>
    </row>
    <row r="291" customFormat="false" ht="15" hidden="false" customHeight="false" outlineLevel="0" collapsed="false">
      <c r="A291" s="29"/>
      <c r="B291" s="30"/>
      <c r="C291" s="30"/>
      <c r="D291" s="30"/>
      <c r="E291" s="30"/>
      <c r="F291" s="30"/>
      <c r="G291" s="30"/>
      <c r="H291" s="30"/>
      <c r="I291" s="30"/>
      <c r="J291" s="30"/>
    </row>
    <row r="292" customFormat="false" ht="15" hidden="false" customHeight="false" outlineLevel="0" collapsed="false">
      <c r="A292" s="29"/>
      <c r="B292" s="30"/>
      <c r="C292" s="30"/>
      <c r="D292" s="30"/>
      <c r="E292" s="30"/>
      <c r="F292" s="30"/>
      <c r="G292" s="30"/>
      <c r="H292" s="30"/>
      <c r="I292" s="30"/>
      <c r="J292" s="30"/>
    </row>
    <row r="293" customFormat="false" ht="15" hidden="false" customHeight="false" outlineLevel="0" collapsed="false">
      <c r="A293" s="29"/>
      <c r="B293" s="30"/>
      <c r="C293" s="30"/>
      <c r="D293" s="30"/>
      <c r="E293" s="30"/>
      <c r="F293" s="30"/>
      <c r="G293" s="30"/>
      <c r="H293" s="30"/>
      <c r="I293" s="30"/>
      <c r="J293" s="30"/>
    </row>
    <row r="294" customFormat="false" ht="15" hidden="false" customHeight="false" outlineLevel="0" collapsed="false">
      <c r="A294" s="29"/>
      <c r="B294" s="30"/>
      <c r="C294" s="30"/>
      <c r="D294" s="30"/>
      <c r="E294" s="30"/>
      <c r="F294" s="30"/>
      <c r="G294" s="30"/>
      <c r="H294" s="30"/>
      <c r="I294" s="30"/>
      <c r="J294" s="30"/>
    </row>
    <row r="295" customFormat="false" ht="15" hidden="false" customHeight="false" outlineLevel="0" collapsed="false">
      <c r="A295" s="29"/>
      <c r="B295" s="30"/>
      <c r="C295" s="30"/>
      <c r="D295" s="30"/>
      <c r="E295" s="30"/>
      <c r="F295" s="30"/>
      <c r="G295" s="30"/>
      <c r="H295" s="30"/>
      <c r="I295" s="30"/>
      <c r="J295" s="30"/>
    </row>
    <row r="296" customFormat="false" ht="15" hidden="false" customHeight="false" outlineLevel="0" collapsed="false">
      <c r="A296" s="29"/>
      <c r="B296" s="30"/>
      <c r="C296" s="30"/>
      <c r="D296" s="30"/>
      <c r="E296" s="30"/>
      <c r="F296" s="30"/>
      <c r="G296" s="30"/>
      <c r="H296" s="30"/>
      <c r="I296" s="30"/>
      <c r="J296" s="30"/>
    </row>
    <row r="297" customFormat="false" ht="15" hidden="false" customHeight="false" outlineLevel="0" collapsed="false">
      <c r="A297" s="29"/>
      <c r="B297" s="30"/>
      <c r="C297" s="30"/>
      <c r="D297" s="30"/>
      <c r="E297" s="30"/>
      <c r="F297" s="30"/>
      <c r="G297" s="30"/>
      <c r="H297" s="30"/>
      <c r="I297" s="30"/>
      <c r="J297" s="30"/>
    </row>
    <row r="298" customFormat="false" ht="15" hidden="false" customHeight="false" outlineLevel="0" collapsed="false">
      <c r="A298" s="29"/>
      <c r="B298" s="30"/>
      <c r="C298" s="30"/>
      <c r="D298" s="30"/>
      <c r="E298" s="30"/>
      <c r="F298" s="30"/>
      <c r="G298" s="30"/>
      <c r="H298" s="30"/>
      <c r="I298" s="30"/>
      <c r="J298" s="30"/>
    </row>
    <row r="299" customFormat="false" ht="15" hidden="false" customHeight="false" outlineLevel="0" collapsed="false">
      <c r="A299" s="29"/>
      <c r="B299" s="30"/>
      <c r="C299" s="30"/>
      <c r="D299" s="30"/>
      <c r="E299" s="30"/>
      <c r="F299" s="30"/>
      <c r="G299" s="30"/>
      <c r="H299" s="30"/>
      <c r="I299" s="30"/>
      <c r="J299" s="30"/>
    </row>
    <row r="300" customFormat="false" ht="15" hidden="false" customHeight="false" outlineLevel="0" collapsed="false">
      <c r="A300" s="29"/>
      <c r="B300" s="30"/>
      <c r="C300" s="30"/>
      <c r="D300" s="30"/>
      <c r="E300" s="30"/>
      <c r="F300" s="30"/>
      <c r="G300" s="30"/>
      <c r="H300" s="30"/>
      <c r="I300" s="30"/>
      <c r="J300" s="30"/>
    </row>
    <row r="301" customFormat="false" ht="15" hidden="false" customHeight="false" outlineLevel="0" collapsed="false">
      <c r="A301" s="29"/>
      <c r="B301" s="30"/>
      <c r="C301" s="30"/>
      <c r="D301" s="30"/>
      <c r="E301" s="30"/>
      <c r="F301" s="30"/>
      <c r="G301" s="30"/>
      <c r="H301" s="30"/>
      <c r="I301" s="30"/>
      <c r="J301" s="30"/>
    </row>
    <row r="302" customFormat="false" ht="15" hidden="false" customHeight="false" outlineLevel="0" collapsed="false">
      <c r="A302" s="29"/>
      <c r="B302" s="30"/>
      <c r="C302" s="30"/>
      <c r="D302" s="30"/>
      <c r="E302" s="30"/>
      <c r="F302" s="30"/>
      <c r="G302" s="30"/>
      <c r="H302" s="30"/>
      <c r="I302" s="30"/>
      <c r="J302" s="30"/>
    </row>
    <row r="303" customFormat="false" ht="15" hidden="false" customHeight="false" outlineLevel="0" collapsed="false">
      <c r="A303" s="29"/>
      <c r="B303" s="30"/>
      <c r="C303" s="30"/>
      <c r="D303" s="30"/>
      <c r="E303" s="30"/>
      <c r="F303" s="30"/>
      <c r="G303" s="30"/>
      <c r="H303" s="30"/>
      <c r="I303" s="30"/>
      <c r="J303" s="30"/>
    </row>
    <row r="304" customFormat="false" ht="15" hidden="false" customHeight="false" outlineLevel="0" collapsed="false">
      <c r="A304" s="29"/>
      <c r="B304" s="30"/>
      <c r="C304" s="30"/>
      <c r="D304" s="30"/>
      <c r="E304" s="30"/>
      <c r="F304" s="30"/>
      <c r="G304" s="30"/>
      <c r="H304" s="30"/>
      <c r="I304" s="30"/>
      <c r="J304" s="30"/>
    </row>
    <row r="305" customFormat="false" ht="15" hidden="false" customHeight="false" outlineLevel="0" collapsed="false">
      <c r="A305" s="29"/>
      <c r="B305" s="30"/>
      <c r="C305" s="30"/>
      <c r="D305" s="30"/>
      <c r="E305" s="30"/>
      <c r="F305" s="30"/>
      <c r="G305" s="30"/>
      <c r="H305" s="30"/>
      <c r="I305" s="30"/>
      <c r="J305" s="30"/>
    </row>
    <row r="306" customFormat="false" ht="15" hidden="false" customHeight="false" outlineLevel="0" collapsed="false">
      <c r="A306" s="29"/>
      <c r="B306" s="30"/>
      <c r="C306" s="30"/>
      <c r="D306" s="30"/>
      <c r="E306" s="30"/>
      <c r="F306" s="30"/>
      <c r="G306" s="30"/>
      <c r="H306" s="30"/>
      <c r="I306" s="30"/>
      <c r="J306" s="30"/>
    </row>
    <row r="307" customFormat="false" ht="15" hidden="false" customHeight="false" outlineLevel="0" collapsed="false">
      <c r="A307" s="29"/>
      <c r="B307" s="30"/>
      <c r="C307" s="30"/>
      <c r="D307" s="30"/>
      <c r="E307" s="30"/>
      <c r="F307" s="30"/>
      <c r="G307" s="30"/>
      <c r="H307" s="30"/>
      <c r="I307" s="30"/>
      <c r="J307" s="30"/>
    </row>
    <row r="308" customFormat="false" ht="15" hidden="false" customHeight="false" outlineLevel="0" collapsed="false">
      <c r="A308" s="29"/>
      <c r="B308" s="30"/>
      <c r="C308" s="30"/>
      <c r="D308" s="30"/>
      <c r="E308" s="30"/>
      <c r="F308" s="30"/>
      <c r="G308" s="30"/>
      <c r="H308" s="30"/>
      <c r="I308" s="30"/>
      <c r="J308" s="30"/>
    </row>
    <row r="309" customFormat="false" ht="15" hidden="false" customHeight="false" outlineLevel="0" collapsed="false">
      <c r="A309" s="29"/>
      <c r="B309" s="30"/>
      <c r="C309" s="30"/>
      <c r="D309" s="30"/>
      <c r="E309" s="30"/>
      <c r="F309" s="30"/>
      <c r="G309" s="30"/>
      <c r="H309" s="30"/>
      <c r="I309" s="30"/>
      <c r="J309" s="30"/>
    </row>
    <row r="310" customFormat="false" ht="15" hidden="false" customHeight="false" outlineLevel="0" collapsed="false">
      <c r="A310" s="29"/>
      <c r="B310" s="30"/>
      <c r="C310" s="30"/>
      <c r="D310" s="30"/>
      <c r="E310" s="30"/>
      <c r="F310" s="30"/>
      <c r="G310" s="30"/>
      <c r="H310" s="30"/>
      <c r="I310" s="30"/>
      <c r="J310" s="30"/>
    </row>
    <row r="311" customFormat="false" ht="15" hidden="false" customHeight="false" outlineLevel="0" collapsed="false">
      <c r="A311" s="29"/>
      <c r="B311" s="30"/>
      <c r="C311" s="30"/>
      <c r="D311" s="30"/>
      <c r="E311" s="30"/>
      <c r="F311" s="30"/>
      <c r="G311" s="30"/>
      <c r="H311" s="30"/>
      <c r="I311" s="30"/>
      <c r="J311" s="30"/>
    </row>
    <row r="312" customFormat="false" ht="15" hidden="false" customHeight="false" outlineLevel="0" collapsed="false">
      <c r="A312" s="29"/>
      <c r="B312" s="30"/>
      <c r="C312" s="30"/>
      <c r="D312" s="30"/>
      <c r="E312" s="30"/>
      <c r="F312" s="30"/>
      <c r="G312" s="30"/>
      <c r="H312" s="30"/>
      <c r="I312" s="30"/>
      <c r="J312" s="30"/>
    </row>
    <row r="313" customFormat="false" ht="15" hidden="false" customHeight="false" outlineLevel="0" collapsed="false">
      <c r="A313" s="29"/>
      <c r="B313" s="30"/>
      <c r="C313" s="30"/>
      <c r="D313" s="30"/>
      <c r="E313" s="30"/>
      <c r="F313" s="30"/>
      <c r="G313" s="30"/>
      <c r="H313" s="30"/>
      <c r="I313" s="30"/>
      <c r="J313" s="30"/>
    </row>
    <row r="314" customFormat="false" ht="15" hidden="false" customHeight="false" outlineLevel="0" collapsed="false">
      <c r="A314" s="29"/>
      <c r="B314" s="30"/>
      <c r="C314" s="30"/>
      <c r="D314" s="30"/>
      <c r="E314" s="30"/>
      <c r="F314" s="30"/>
      <c r="G314" s="30"/>
      <c r="H314" s="30"/>
      <c r="I314" s="30"/>
      <c r="J314" s="30"/>
    </row>
    <row r="315" customFormat="false" ht="15" hidden="false" customHeight="false" outlineLevel="0" collapsed="false">
      <c r="A315" s="29"/>
      <c r="B315" s="30"/>
      <c r="C315" s="30"/>
      <c r="D315" s="30"/>
      <c r="E315" s="30"/>
      <c r="F315" s="30"/>
      <c r="G315" s="30"/>
      <c r="H315" s="30"/>
      <c r="I315" s="30"/>
      <c r="J315" s="30"/>
    </row>
    <row r="316" customFormat="false" ht="15" hidden="false" customHeight="false" outlineLevel="0" collapsed="false">
      <c r="A316" s="29"/>
      <c r="B316" s="30"/>
      <c r="C316" s="30"/>
      <c r="D316" s="30"/>
      <c r="E316" s="30"/>
      <c r="F316" s="30"/>
      <c r="G316" s="30"/>
      <c r="H316" s="30"/>
      <c r="I316" s="30"/>
      <c r="J316" s="30"/>
    </row>
    <row r="317" customFormat="false" ht="15" hidden="false" customHeight="false" outlineLevel="0" collapsed="false">
      <c r="A317" s="29"/>
      <c r="B317" s="30"/>
      <c r="C317" s="30"/>
      <c r="D317" s="30"/>
      <c r="E317" s="30"/>
      <c r="F317" s="30"/>
      <c r="G317" s="30"/>
      <c r="H317" s="30"/>
      <c r="I317" s="30"/>
      <c r="J317" s="30"/>
    </row>
    <row r="318" customFormat="false" ht="15" hidden="false" customHeight="false" outlineLevel="0" collapsed="false">
      <c r="A318" s="29"/>
      <c r="B318" s="30"/>
      <c r="C318" s="30"/>
      <c r="D318" s="30"/>
      <c r="E318" s="30"/>
      <c r="F318" s="30"/>
      <c r="G318" s="30"/>
      <c r="H318" s="30"/>
      <c r="I318" s="30"/>
      <c r="J318" s="30"/>
    </row>
    <row r="319" customFormat="false" ht="15" hidden="false" customHeight="false" outlineLevel="0" collapsed="false">
      <c r="A319" s="29"/>
      <c r="B319" s="30"/>
      <c r="C319" s="30"/>
      <c r="D319" s="30"/>
      <c r="E319" s="30"/>
      <c r="F319" s="30"/>
      <c r="G319" s="30"/>
      <c r="H319" s="30"/>
      <c r="I319" s="30"/>
      <c r="J319" s="30"/>
    </row>
    <row r="320" customFormat="false" ht="15" hidden="false" customHeight="false" outlineLevel="0" collapsed="false">
      <c r="A320" s="29"/>
      <c r="B320" s="30"/>
      <c r="C320" s="30"/>
      <c r="D320" s="30"/>
      <c r="E320" s="30"/>
      <c r="F320" s="30"/>
      <c r="G320" s="30"/>
      <c r="H320" s="30"/>
      <c r="I320" s="30"/>
      <c r="J320" s="30"/>
    </row>
    <row r="321" customFormat="false" ht="15" hidden="false" customHeight="false" outlineLevel="0" collapsed="false">
      <c r="A321" s="29"/>
      <c r="B321" s="30"/>
      <c r="C321" s="30"/>
      <c r="D321" s="30"/>
      <c r="E321" s="30"/>
      <c r="F321" s="30"/>
      <c r="G321" s="30"/>
      <c r="H321" s="30"/>
      <c r="I321" s="30"/>
      <c r="J321" s="30"/>
    </row>
    <row r="322" customFormat="false" ht="15" hidden="false" customHeight="false" outlineLevel="0" collapsed="false">
      <c r="A322" s="29"/>
      <c r="B322" s="30"/>
      <c r="C322" s="30"/>
      <c r="D322" s="30"/>
      <c r="E322" s="30"/>
      <c r="F322" s="30"/>
      <c r="G322" s="30"/>
      <c r="H322" s="30"/>
      <c r="I322" s="30"/>
      <c r="J322" s="30"/>
    </row>
    <row r="323" customFormat="false" ht="15" hidden="false" customHeight="false" outlineLevel="0" collapsed="false">
      <c r="A323" s="29"/>
      <c r="B323" s="30"/>
      <c r="C323" s="30"/>
      <c r="D323" s="30"/>
      <c r="E323" s="30"/>
      <c r="F323" s="30"/>
      <c r="G323" s="30"/>
      <c r="H323" s="30"/>
      <c r="I323" s="30"/>
      <c r="J323" s="30"/>
    </row>
    <row r="324" customFormat="false" ht="15" hidden="false" customHeight="false" outlineLevel="0" collapsed="false">
      <c r="A324" s="29"/>
      <c r="B324" s="30"/>
      <c r="C324" s="30"/>
      <c r="D324" s="30"/>
      <c r="E324" s="30"/>
      <c r="F324" s="30"/>
      <c r="G324" s="30"/>
      <c r="H324" s="30"/>
      <c r="I324" s="30"/>
      <c r="J324" s="30"/>
    </row>
    <row r="325" customFormat="false" ht="15" hidden="false" customHeight="false" outlineLevel="0" collapsed="false">
      <c r="A325" s="29"/>
      <c r="B325" s="30"/>
      <c r="C325" s="30"/>
      <c r="D325" s="30"/>
      <c r="E325" s="30"/>
      <c r="F325" s="30"/>
      <c r="G325" s="30"/>
      <c r="H325" s="30"/>
      <c r="I325" s="30"/>
      <c r="J325" s="30"/>
    </row>
    <row r="326" customFormat="false" ht="15" hidden="false" customHeight="false" outlineLevel="0" collapsed="false">
      <c r="A326" s="29"/>
      <c r="B326" s="30"/>
      <c r="C326" s="30"/>
      <c r="D326" s="30"/>
      <c r="E326" s="30"/>
      <c r="F326" s="30"/>
      <c r="G326" s="30"/>
      <c r="H326" s="30"/>
      <c r="I326" s="30"/>
      <c r="J326" s="30"/>
    </row>
    <row r="327" customFormat="false" ht="15" hidden="false" customHeight="false" outlineLevel="0" collapsed="false">
      <c r="A327" s="29"/>
      <c r="B327" s="30"/>
      <c r="C327" s="30"/>
      <c r="D327" s="30"/>
      <c r="E327" s="30"/>
      <c r="F327" s="30"/>
      <c r="G327" s="30"/>
      <c r="H327" s="30"/>
      <c r="I327" s="30"/>
      <c r="J327" s="30"/>
    </row>
    <row r="328" customFormat="false" ht="15" hidden="false" customHeight="false" outlineLevel="0" collapsed="false">
      <c r="A328" s="29"/>
      <c r="B328" s="30"/>
      <c r="C328" s="30"/>
      <c r="D328" s="30"/>
      <c r="E328" s="30"/>
      <c r="F328" s="30"/>
      <c r="G328" s="30"/>
      <c r="H328" s="30"/>
      <c r="I328" s="30"/>
      <c r="J328" s="30"/>
    </row>
    <row r="329" customFormat="false" ht="15" hidden="false" customHeight="false" outlineLevel="0" collapsed="false">
      <c r="A329" s="29"/>
      <c r="B329" s="30"/>
      <c r="C329" s="30"/>
      <c r="D329" s="30"/>
      <c r="E329" s="30"/>
      <c r="F329" s="30"/>
      <c r="G329" s="30"/>
      <c r="H329" s="30"/>
      <c r="I329" s="30"/>
      <c r="J329" s="30"/>
    </row>
    <row r="330" customFormat="false" ht="15" hidden="false" customHeight="false" outlineLevel="0" collapsed="false">
      <c r="A330" s="29"/>
      <c r="B330" s="30"/>
      <c r="C330" s="30"/>
      <c r="D330" s="30"/>
      <c r="E330" s="30"/>
      <c r="F330" s="30"/>
      <c r="G330" s="30"/>
      <c r="H330" s="30"/>
      <c r="I330" s="30"/>
      <c r="J330" s="30"/>
    </row>
    <row r="331" customFormat="false" ht="15" hidden="false" customHeight="false" outlineLevel="0" collapsed="false">
      <c r="A331" s="29"/>
      <c r="B331" s="30"/>
      <c r="C331" s="30"/>
      <c r="D331" s="30"/>
      <c r="E331" s="30"/>
      <c r="F331" s="30"/>
      <c r="G331" s="30"/>
      <c r="H331" s="30"/>
      <c r="I331" s="30"/>
      <c r="J331" s="30"/>
    </row>
    <row r="332" customFormat="false" ht="15" hidden="false" customHeight="false" outlineLevel="0" collapsed="false">
      <c r="A332" s="29"/>
      <c r="B332" s="30"/>
      <c r="C332" s="30"/>
      <c r="D332" s="30"/>
      <c r="E332" s="30"/>
      <c r="F332" s="30"/>
      <c r="G332" s="30"/>
      <c r="H332" s="30"/>
      <c r="I332" s="30"/>
      <c r="J332" s="30"/>
    </row>
    <row r="333" customFormat="false" ht="15" hidden="false" customHeight="false" outlineLevel="0" collapsed="false">
      <c r="A333" s="29"/>
      <c r="B333" s="30"/>
      <c r="C333" s="30"/>
      <c r="D333" s="30"/>
      <c r="E333" s="30"/>
      <c r="F333" s="30"/>
      <c r="G333" s="30"/>
      <c r="H333" s="30"/>
      <c r="I333" s="30"/>
      <c r="J333" s="30"/>
    </row>
    <row r="334" customFormat="false" ht="15" hidden="false" customHeight="false" outlineLevel="0" collapsed="false">
      <c r="A334" s="29"/>
      <c r="B334" s="30"/>
      <c r="C334" s="30"/>
      <c r="D334" s="30"/>
      <c r="E334" s="30"/>
      <c r="F334" s="30"/>
      <c r="G334" s="30"/>
      <c r="H334" s="30"/>
      <c r="I334" s="30"/>
      <c r="J334" s="30"/>
    </row>
    <row r="335" customFormat="false" ht="15" hidden="false" customHeight="false" outlineLevel="0" collapsed="false">
      <c r="A335" s="29"/>
      <c r="B335" s="30"/>
      <c r="C335" s="30"/>
      <c r="D335" s="30"/>
      <c r="E335" s="30"/>
      <c r="F335" s="30"/>
      <c r="G335" s="30"/>
      <c r="H335" s="30"/>
      <c r="I335" s="30"/>
      <c r="J335" s="30"/>
    </row>
    <row r="336" customFormat="false" ht="15" hidden="false" customHeight="false" outlineLevel="0" collapsed="false">
      <c r="A336" s="29"/>
      <c r="B336" s="30"/>
      <c r="C336" s="30"/>
      <c r="D336" s="30"/>
      <c r="E336" s="30"/>
      <c r="F336" s="30"/>
      <c r="G336" s="30"/>
      <c r="H336" s="30"/>
      <c r="I336" s="30"/>
      <c r="J336" s="30"/>
    </row>
    <row r="337" customFormat="false" ht="15" hidden="false" customHeight="false" outlineLevel="0" collapsed="false">
      <c r="A337" s="29"/>
      <c r="B337" s="30"/>
      <c r="C337" s="30"/>
      <c r="D337" s="30"/>
      <c r="E337" s="30"/>
      <c r="F337" s="30"/>
      <c r="G337" s="30"/>
      <c r="H337" s="30"/>
      <c r="I337" s="30"/>
      <c r="J337" s="30"/>
    </row>
    <row r="338" customFormat="false" ht="15" hidden="false" customHeight="false" outlineLevel="0" collapsed="false">
      <c r="A338" s="29"/>
      <c r="B338" s="30"/>
      <c r="C338" s="30"/>
      <c r="D338" s="30"/>
      <c r="E338" s="30"/>
      <c r="F338" s="30"/>
      <c r="G338" s="30"/>
      <c r="H338" s="30"/>
      <c r="I338" s="30"/>
      <c r="J338" s="30"/>
    </row>
    <row r="339" customFormat="false" ht="15" hidden="false" customHeight="false" outlineLevel="0" collapsed="false">
      <c r="A339" s="29"/>
      <c r="B339" s="30"/>
      <c r="C339" s="30"/>
      <c r="D339" s="30"/>
      <c r="E339" s="30"/>
      <c r="F339" s="30"/>
      <c r="G339" s="30"/>
      <c r="H339" s="30"/>
      <c r="I339" s="30"/>
      <c r="J339" s="30"/>
    </row>
    <row r="340" customFormat="false" ht="15" hidden="false" customHeight="false" outlineLevel="0" collapsed="false">
      <c r="A340" s="29"/>
      <c r="B340" s="30"/>
      <c r="C340" s="30"/>
      <c r="D340" s="30"/>
      <c r="E340" s="30"/>
      <c r="F340" s="30"/>
      <c r="G340" s="30"/>
      <c r="H340" s="30"/>
      <c r="I340" s="30"/>
      <c r="J340" s="30"/>
    </row>
    <row r="341" customFormat="false" ht="15" hidden="false" customHeight="false" outlineLevel="0" collapsed="false">
      <c r="A341" s="29"/>
      <c r="B341" s="30"/>
      <c r="C341" s="30"/>
      <c r="D341" s="30"/>
      <c r="E341" s="30"/>
      <c r="F341" s="30"/>
      <c r="G341" s="30"/>
      <c r="H341" s="30"/>
      <c r="I341" s="30"/>
      <c r="J341" s="30"/>
    </row>
    <row r="342" customFormat="false" ht="15" hidden="false" customHeight="false" outlineLevel="0" collapsed="false">
      <c r="A342" s="29"/>
      <c r="B342" s="30"/>
      <c r="C342" s="30"/>
      <c r="D342" s="30"/>
      <c r="E342" s="30"/>
      <c r="F342" s="30"/>
      <c r="G342" s="30"/>
      <c r="H342" s="30"/>
      <c r="I342" s="30"/>
      <c r="J342" s="30"/>
    </row>
    <row r="343" customFormat="false" ht="15" hidden="false" customHeight="false" outlineLevel="0" collapsed="false">
      <c r="A343" s="29"/>
      <c r="B343" s="30"/>
      <c r="C343" s="30"/>
      <c r="D343" s="30"/>
      <c r="E343" s="30"/>
      <c r="F343" s="30"/>
      <c r="G343" s="30"/>
      <c r="H343" s="30"/>
      <c r="I343" s="30"/>
      <c r="J343" s="30"/>
    </row>
    <row r="344" customFormat="false" ht="15" hidden="false" customHeight="false" outlineLevel="0" collapsed="false">
      <c r="A344" s="29"/>
      <c r="B344" s="30"/>
      <c r="C344" s="30"/>
      <c r="D344" s="30"/>
      <c r="E344" s="30"/>
      <c r="F344" s="30"/>
      <c r="G344" s="30"/>
      <c r="H344" s="30"/>
      <c r="I344" s="30"/>
      <c r="J344" s="30"/>
    </row>
    <row r="345" customFormat="false" ht="15" hidden="false" customHeight="false" outlineLevel="0" collapsed="false">
      <c r="A345" s="29"/>
      <c r="B345" s="30"/>
      <c r="C345" s="30"/>
      <c r="D345" s="30"/>
      <c r="E345" s="30"/>
      <c r="F345" s="30"/>
      <c r="G345" s="30"/>
      <c r="H345" s="30"/>
      <c r="I345" s="30"/>
      <c r="J345" s="30"/>
    </row>
    <row r="346" customFormat="false" ht="15" hidden="false" customHeight="false" outlineLevel="0" collapsed="false">
      <c r="A346" s="29"/>
      <c r="B346" s="30"/>
      <c r="C346" s="30"/>
      <c r="D346" s="30"/>
      <c r="E346" s="30"/>
      <c r="F346" s="30"/>
      <c r="G346" s="30"/>
      <c r="H346" s="30"/>
      <c r="I346" s="30"/>
      <c r="J346" s="30"/>
    </row>
    <row r="347" customFormat="false" ht="15" hidden="false" customHeight="false" outlineLevel="0" collapsed="false">
      <c r="A347" s="29"/>
      <c r="B347" s="30"/>
      <c r="C347" s="30"/>
      <c r="D347" s="30"/>
      <c r="E347" s="30"/>
      <c r="F347" s="30"/>
      <c r="G347" s="30"/>
      <c r="H347" s="30"/>
      <c r="I347" s="30"/>
      <c r="J347" s="30"/>
    </row>
    <row r="348" customFormat="false" ht="15" hidden="false" customHeight="false" outlineLevel="0" collapsed="false">
      <c r="A348" s="29"/>
      <c r="B348" s="30"/>
      <c r="C348" s="30"/>
      <c r="D348" s="30"/>
      <c r="E348" s="30"/>
      <c r="F348" s="30"/>
      <c r="G348" s="30"/>
      <c r="H348" s="30"/>
      <c r="I348" s="30"/>
      <c r="J348" s="30"/>
    </row>
    <row r="349" customFormat="false" ht="15" hidden="false" customHeight="false" outlineLevel="0" collapsed="false">
      <c r="A349" s="29"/>
      <c r="B349" s="30"/>
      <c r="C349" s="30"/>
      <c r="D349" s="30"/>
      <c r="E349" s="30"/>
      <c r="F349" s="30"/>
      <c r="G349" s="30"/>
      <c r="H349" s="30"/>
      <c r="I349" s="30"/>
      <c r="J349" s="30"/>
    </row>
    <row r="350" customFormat="false" ht="15" hidden="false" customHeight="false" outlineLevel="0" collapsed="false">
      <c r="A350" s="29"/>
      <c r="B350" s="30"/>
      <c r="C350" s="30"/>
      <c r="D350" s="30"/>
      <c r="E350" s="30"/>
      <c r="F350" s="30"/>
      <c r="G350" s="30"/>
      <c r="H350" s="30"/>
      <c r="I350" s="30"/>
      <c r="J350" s="30"/>
    </row>
    <row r="351" customFormat="false" ht="15" hidden="false" customHeight="false" outlineLevel="0" collapsed="false">
      <c r="A351" s="29"/>
      <c r="B351" s="30"/>
      <c r="C351" s="30"/>
      <c r="D351" s="30"/>
      <c r="E351" s="30"/>
      <c r="F351" s="30"/>
      <c r="G351" s="30"/>
      <c r="H351" s="30"/>
      <c r="I351" s="30"/>
      <c r="J351" s="30"/>
    </row>
    <row r="352" customFormat="false" ht="15" hidden="false" customHeight="false" outlineLevel="0" collapsed="false">
      <c r="A352" s="29"/>
      <c r="B352" s="30"/>
      <c r="C352" s="30"/>
      <c r="D352" s="30"/>
      <c r="E352" s="30"/>
      <c r="F352" s="30"/>
      <c r="G352" s="30"/>
      <c r="H352" s="30"/>
      <c r="I352" s="30"/>
      <c r="J352" s="30"/>
    </row>
    <row r="353" customFormat="false" ht="15" hidden="false" customHeight="false" outlineLevel="0" collapsed="false">
      <c r="A353" s="29"/>
      <c r="B353" s="30"/>
      <c r="C353" s="30"/>
      <c r="D353" s="30"/>
      <c r="E353" s="30"/>
      <c r="F353" s="30"/>
      <c r="G353" s="30"/>
      <c r="H353" s="30"/>
      <c r="I353" s="30"/>
      <c r="J353" s="30"/>
    </row>
    <row r="354" customFormat="false" ht="15" hidden="false" customHeight="false" outlineLevel="0" collapsed="false">
      <c r="A354" s="29"/>
      <c r="B354" s="30"/>
      <c r="C354" s="30"/>
      <c r="D354" s="30"/>
      <c r="E354" s="30"/>
      <c r="F354" s="30"/>
      <c r="G354" s="30"/>
      <c r="H354" s="30"/>
      <c r="I354" s="30"/>
      <c r="J354" s="30"/>
    </row>
    <row r="355" customFormat="false" ht="15" hidden="false" customHeight="false" outlineLevel="0" collapsed="false">
      <c r="A355" s="29"/>
      <c r="B355" s="30"/>
      <c r="C355" s="30"/>
      <c r="D355" s="30"/>
      <c r="E355" s="30"/>
      <c r="F355" s="30"/>
      <c r="G355" s="30"/>
      <c r="H355" s="30"/>
      <c r="I355" s="30"/>
      <c r="J355" s="30"/>
    </row>
    <row r="356" customFormat="false" ht="15" hidden="false" customHeight="false" outlineLevel="0" collapsed="false">
      <c r="A356" s="29"/>
      <c r="B356" s="30"/>
      <c r="C356" s="30"/>
      <c r="D356" s="30"/>
      <c r="E356" s="30"/>
      <c r="F356" s="30"/>
      <c r="G356" s="30"/>
      <c r="H356" s="30"/>
      <c r="I356" s="30"/>
      <c r="J356" s="30"/>
    </row>
    <row r="357" customFormat="false" ht="15" hidden="false" customHeight="false" outlineLevel="0" collapsed="false">
      <c r="A357" s="29"/>
      <c r="B357" s="30"/>
      <c r="C357" s="30"/>
      <c r="D357" s="30"/>
      <c r="E357" s="30"/>
      <c r="F357" s="30"/>
      <c r="G357" s="30"/>
      <c r="H357" s="30"/>
      <c r="I357" s="30"/>
      <c r="J357" s="30"/>
    </row>
    <row r="358" customFormat="false" ht="15" hidden="false" customHeight="false" outlineLevel="0" collapsed="false">
      <c r="A358" s="29"/>
      <c r="B358" s="30"/>
      <c r="C358" s="30"/>
      <c r="D358" s="30"/>
      <c r="E358" s="30"/>
      <c r="F358" s="30"/>
      <c r="G358" s="30"/>
      <c r="H358" s="30"/>
      <c r="I358" s="30"/>
      <c r="J358" s="30"/>
    </row>
    <row r="359" customFormat="false" ht="15" hidden="false" customHeight="false" outlineLevel="0" collapsed="false">
      <c r="A359" s="29"/>
      <c r="B359" s="30"/>
      <c r="C359" s="30"/>
      <c r="D359" s="30"/>
      <c r="E359" s="30"/>
      <c r="F359" s="30"/>
      <c r="G359" s="30"/>
      <c r="H359" s="30"/>
      <c r="I359" s="30"/>
      <c r="J359" s="30"/>
    </row>
    <row r="360" customFormat="false" ht="15" hidden="false" customHeight="false" outlineLevel="0" collapsed="false">
      <c r="A360" s="29"/>
      <c r="B360" s="30"/>
      <c r="C360" s="30"/>
      <c r="D360" s="30"/>
      <c r="E360" s="30"/>
      <c r="F360" s="30"/>
      <c r="G360" s="30"/>
      <c r="H360" s="30"/>
      <c r="I360" s="30"/>
      <c r="J360" s="30"/>
    </row>
    <row r="361" customFormat="false" ht="15" hidden="false" customHeight="false" outlineLevel="0" collapsed="false">
      <c r="A361" s="29"/>
      <c r="B361" s="30"/>
      <c r="C361" s="30"/>
      <c r="D361" s="30"/>
      <c r="E361" s="30"/>
      <c r="F361" s="30"/>
      <c r="G361" s="30"/>
      <c r="H361" s="30"/>
      <c r="I361" s="30"/>
      <c r="J361" s="30"/>
    </row>
    <row r="362" customFormat="false" ht="15" hidden="false" customHeight="false" outlineLevel="0" collapsed="false">
      <c r="A362" s="29"/>
      <c r="B362" s="30"/>
      <c r="C362" s="30"/>
      <c r="D362" s="30"/>
      <c r="E362" s="30"/>
      <c r="F362" s="30"/>
      <c r="G362" s="30"/>
      <c r="H362" s="30"/>
      <c r="I362" s="30"/>
      <c r="J362" s="30"/>
    </row>
    <row r="363" customFormat="false" ht="15" hidden="false" customHeight="false" outlineLevel="0" collapsed="false">
      <c r="A363" s="29"/>
      <c r="B363" s="30"/>
      <c r="C363" s="30"/>
      <c r="D363" s="30"/>
      <c r="E363" s="30"/>
      <c r="F363" s="30"/>
      <c r="G363" s="30"/>
      <c r="H363" s="30"/>
      <c r="I363" s="30"/>
      <c r="J363" s="30"/>
    </row>
    <row r="364" customFormat="false" ht="15" hidden="false" customHeight="false" outlineLevel="0" collapsed="false">
      <c r="A364" s="29"/>
      <c r="B364" s="30"/>
      <c r="C364" s="30"/>
      <c r="D364" s="30"/>
      <c r="E364" s="30"/>
      <c r="F364" s="30"/>
      <c r="G364" s="30"/>
      <c r="H364" s="30"/>
      <c r="I364" s="30"/>
      <c r="J364" s="30"/>
    </row>
    <row r="365" customFormat="false" ht="15" hidden="false" customHeight="false" outlineLevel="0" collapsed="false">
      <c r="A365" s="29"/>
      <c r="B365" s="30"/>
      <c r="C365" s="30"/>
      <c r="D365" s="30"/>
      <c r="E365" s="30"/>
      <c r="F365" s="30"/>
      <c r="G365" s="30"/>
      <c r="H365" s="30"/>
      <c r="I365" s="30"/>
      <c r="J365" s="30"/>
    </row>
    <row r="366" customFormat="false" ht="15" hidden="false" customHeight="false" outlineLevel="0" collapsed="false">
      <c r="A366" s="29"/>
      <c r="B366" s="30"/>
      <c r="C366" s="30"/>
      <c r="D366" s="30"/>
      <c r="E366" s="30"/>
      <c r="F366" s="30"/>
      <c r="G366" s="30"/>
      <c r="H366" s="30"/>
      <c r="I366" s="30"/>
      <c r="J366" s="30"/>
    </row>
    <row r="367" customFormat="false" ht="15" hidden="false" customHeight="false" outlineLevel="0" collapsed="false">
      <c r="A367" s="29"/>
      <c r="B367" s="30"/>
      <c r="C367" s="30"/>
      <c r="D367" s="30"/>
      <c r="E367" s="30"/>
      <c r="F367" s="30"/>
      <c r="G367" s="30"/>
      <c r="H367" s="30"/>
      <c r="I367" s="30"/>
      <c r="J367" s="30"/>
    </row>
    <row r="368" customFormat="false" ht="15" hidden="false" customHeight="false" outlineLevel="0" collapsed="false">
      <c r="A368" s="29"/>
      <c r="B368" s="30"/>
      <c r="C368" s="30"/>
      <c r="D368" s="30"/>
      <c r="E368" s="30"/>
      <c r="F368" s="30"/>
      <c r="G368" s="30"/>
      <c r="H368" s="30"/>
      <c r="I368" s="30"/>
      <c r="J368" s="30"/>
    </row>
    <row r="369" customFormat="false" ht="15" hidden="false" customHeight="false" outlineLevel="0" collapsed="false">
      <c r="A369" s="29"/>
      <c r="B369" s="30"/>
      <c r="C369" s="30"/>
      <c r="D369" s="30"/>
      <c r="E369" s="30"/>
      <c r="F369" s="30"/>
      <c r="G369" s="30"/>
      <c r="H369" s="30"/>
      <c r="I369" s="30"/>
      <c r="J369" s="30"/>
    </row>
    <row r="370" customFormat="false" ht="15" hidden="false" customHeight="false" outlineLevel="0" collapsed="false">
      <c r="A370" s="29"/>
      <c r="B370" s="30"/>
      <c r="C370" s="30"/>
      <c r="D370" s="30"/>
      <c r="E370" s="30"/>
      <c r="F370" s="30"/>
      <c r="G370" s="30"/>
      <c r="H370" s="30"/>
      <c r="I370" s="30"/>
      <c r="J370" s="30"/>
    </row>
    <row r="371" customFormat="false" ht="15" hidden="false" customHeight="false" outlineLevel="0" collapsed="false">
      <c r="A371" s="29"/>
      <c r="B371" s="30"/>
      <c r="C371" s="30"/>
      <c r="D371" s="30"/>
      <c r="E371" s="30"/>
      <c r="F371" s="30"/>
      <c r="G371" s="30"/>
      <c r="H371" s="30"/>
      <c r="I371" s="30"/>
      <c r="J371" s="30"/>
    </row>
    <row r="372" customFormat="false" ht="15" hidden="false" customHeight="false" outlineLevel="0" collapsed="false">
      <c r="A372" s="29"/>
      <c r="B372" s="30"/>
      <c r="C372" s="30"/>
      <c r="D372" s="30"/>
      <c r="E372" s="30"/>
      <c r="F372" s="30"/>
      <c r="G372" s="30"/>
      <c r="H372" s="30"/>
      <c r="I372" s="30"/>
      <c r="J372" s="30"/>
    </row>
    <row r="373" customFormat="false" ht="15" hidden="false" customHeight="false" outlineLevel="0" collapsed="false">
      <c r="A373" s="29"/>
      <c r="B373" s="30"/>
      <c r="C373" s="30"/>
      <c r="D373" s="30"/>
      <c r="E373" s="30"/>
      <c r="F373" s="30"/>
      <c r="G373" s="30"/>
      <c r="H373" s="30"/>
      <c r="I373" s="30"/>
      <c r="J373" s="30"/>
    </row>
    <row r="374" customFormat="false" ht="15" hidden="false" customHeight="false" outlineLevel="0" collapsed="false">
      <c r="A374" s="29"/>
      <c r="B374" s="30"/>
      <c r="C374" s="30"/>
      <c r="D374" s="30"/>
      <c r="E374" s="30"/>
      <c r="F374" s="30"/>
      <c r="G374" s="30"/>
      <c r="H374" s="30"/>
      <c r="I374" s="30"/>
      <c r="J374" s="30"/>
    </row>
    <row r="375" customFormat="false" ht="15" hidden="false" customHeight="false" outlineLevel="0" collapsed="false">
      <c r="A375" s="29"/>
      <c r="B375" s="30"/>
      <c r="C375" s="30"/>
      <c r="D375" s="30"/>
      <c r="E375" s="30"/>
      <c r="F375" s="30"/>
      <c r="G375" s="30"/>
      <c r="H375" s="30"/>
      <c r="I375" s="30"/>
      <c r="J375" s="30"/>
    </row>
    <row r="376" customFormat="false" ht="15" hidden="false" customHeight="false" outlineLevel="0" collapsed="false">
      <c r="A376" s="29"/>
      <c r="B376" s="30"/>
      <c r="C376" s="30"/>
      <c r="D376" s="30"/>
      <c r="E376" s="30"/>
      <c r="F376" s="30"/>
      <c r="G376" s="30"/>
      <c r="H376" s="30"/>
      <c r="I376" s="30"/>
      <c r="J376" s="30"/>
    </row>
    <row r="377" customFormat="false" ht="15" hidden="false" customHeight="false" outlineLevel="0" collapsed="false">
      <c r="A377" s="29"/>
      <c r="B377" s="30"/>
      <c r="C377" s="30"/>
      <c r="D377" s="30"/>
      <c r="E377" s="30"/>
      <c r="F377" s="30"/>
      <c r="G377" s="30"/>
      <c r="H377" s="30"/>
      <c r="I377" s="30"/>
      <c r="J377" s="30"/>
    </row>
    <row r="378" customFormat="false" ht="15" hidden="false" customHeight="false" outlineLevel="0" collapsed="false">
      <c r="A378" s="29"/>
      <c r="B378" s="30"/>
      <c r="C378" s="30"/>
      <c r="D378" s="30"/>
      <c r="E378" s="30"/>
      <c r="F378" s="30"/>
      <c r="G378" s="30"/>
      <c r="H378" s="30"/>
      <c r="I378" s="30"/>
      <c r="J378" s="30"/>
    </row>
    <row r="379" customFormat="false" ht="15" hidden="false" customHeight="false" outlineLevel="0" collapsed="false">
      <c r="A379" s="29"/>
      <c r="B379" s="30"/>
      <c r="C379" s="30"/>
      <c r="D379" s="30"/>
      <c r="E379" s="30"/>
      <c r="F379" s="30"/>
      <c r="G379" s="30"/>
      <c r="H379" s="30"/>
      <c r="I379" s="30"/>
      <c r="J379" s="30"/>
    </row>
    <row r="380" customFormat="false" ht="15" hidden="false" customHeight="false" outlineLevel="0" collapsed="false">
      <c r="A380" s="29"/>
      <c r="B380" s="30"/>
      <c r="C380" s="30"/>
      <c r="D380" s="30"/>
      <c r="E380" s="30"/>
      <c r="F380" s="30"/>
      <c r="G380" s="30"/>
      <c r="H380" s="30"/>
      <c r="I380" s="30"/>
      <c r="J380" s="30"/>
    </row>
    <row r="381" customFormat="false" ht="15" hidden="false" customHeight="false" outlineLevel="0" collapsed="false">
      <c r="A381" s="29"/>
      <c r="B381" s="30"/>
      <c r="C381" s="30"/>
      <c r="D381" s="30"/>
      <c r="E381" s="30"/>
      <c r="F381" s="30"/>
      <c r="G381" s="30"/>
      <c r="H381" s="30"/>
      <c r="I381" s="30"/>
      <c r="J381" s="30"/>
    </row>
    <row r="382" customFormat="false" ht="15" hidden="false" customHeight="false" outlineLevel="0" collapsed="false">
      <c r="A382" s="29"/>
      <c r="B382" s="30"/>
      <c r="C382" s="30"/>
      <c r="D382" s="30"/>
      <c r="E382" s="30"/>
      <c r="F382" s="30"/>
      <c r="G382" s="30"/>
      <c r="H382" s="30"/>
      <c r="I382" s="30"/>
      <c r="J382" s="30"/>
    </row>
    <row r="383" customFormat="false" ht="15" hidden="false" customHeight="false" outlineLevel="0" collapsed="false">
      <c r="A383" s="29"/>
      <c r="B383" s="30"/>
      <c r="C383" s="30"/>
      <c r="D383" s="30"/>
      <c r="E383" s="30"/>
      <c r="F383" s="30"/>
      <c r="G383" s="30"/>
      <c r="H383" s="30"/>
      <c r="I383" s="30"/>
      <c r="J383" s="30"/>
    </row>
    <row r="384" customFormat="false" ht="15" hidden="false" customHeight="false" outlineLevel="0" collapsed="false">
      <c r="A384" s="29"/>
      <c r="B384" s="30"/>
      <c r="C384" s="30"/>
      <c r="D384" s="30"/>
      <c r="E384" s="30"/>
      <c r="F384" s="30"/>
      <c r="G384" s="30"/>
      <c r="H384" s="30"/>
      <c r="I384" s="30"/>
      <c r="J384" s="30"/>
    </row>
    <row r="385" customFormat="false" ht="15" hidden="false" customHeight="false" outlineLevel="0" collapsed="false">
      <c r="A385" s="29"/>
      <c r="B385" s="30"/>
      <c r="C385" s="30"/>
      <c r="D385" s="30"/>
      <c r="E385" s="30"/>
      <c r="F385" s="30"/>
      <c r="G385" s="30"/>
      <c r="H385" s="30"/>
      <c r="I385" s="30"/>
      <c r="J385" s="30"/>
    </row>
    <row r="386" customFormat="false" ht="15" hidden="false" customHeight="false" outlineLevel="0" collapsed="false">
      <c r="A386" s="29"/>
      <c r="B386" s="30"/>
      <c r="C386" s="30"/>
      <c r="D386" s="30"/>
      <c r="E386" s="30"/>
      <c r="F386" s="30"/>
      <c r="G386" s="30"/>
      <c r="H386" s="30"/>
      <c r="I386" s="30"/>
      <c r="J386" s="30"/>
    </row>
    <row r="387" customFormat="false" ht="15" hidden="false" customHeight="false" outlineLevel="0" collapsed="false">
      <c r="A387" s="29"/>
      <c r="B387" s="30"/>
      <c r="C387" s="30"/>
      <c r="D387" s="30"/>
      <c r="E387" s="30"/>
      <c r="F387" s="30"/>
      <c r="G387" s="30"/>
      <c r="H387" s="30"/>
      <c r="I387" s="30"/>
      <c r="J387" s="30"/>
    </row>
    <row r="388" customFormat="false" ht="15" hidden="false" customHeight="false" outlineLevel="0" collapsed="false">
      <c r="A388" s="29"/>
      <c r="B388" s="30"/>
      <c r="C388" s="30"/>
      <c r="D388" s="30"/>
      <c r="E388" s="30"/>
      <c r="F388" s="30"/>
      <c r="G388" s="30"/>
      <c r="H388" s="30"/>
      <c r="I388" s="30"/>
      <c r="J388" s="30"/>
    </row>
    <row r="389" customFormat="false" ht="15" hidden="false" customHeight="false" outlineLevel="0" collapsed="false">
      <c r="A389" s="29"/>
      <c r="B389" s="30"/>
      <c r="C389" s="30"/>
      <c r="D389" s="30"/>
      <c r="E389" s="30"/>
      <c r="F389" s="30"/>
      <c r="G389" s="30"/>
      <c r="H389" s="30"/>
      <c r="I389" s="30"/>
      <c r="J389" s="30"/>
    </row>
    <row r="390" customFormat="false" ht="15" hidden="false" customHeight="false" outlineLevel="0" collapsed="false">
      <c r="A390" s="29"/>
      <c r="B390" s="30"/>
      <c r="C390" s="30"/>
      <c r="D390" s="30"/>
      <c r="E390" s="30"/>
      <c r="F390" s="30"/>
      <c r="G390" s="30"/>
      <c r="H390" s="30"/>
      <c r="I390" s="30"/>
      <c r="J390" s="30"/>
    </row>
    <row r="391" customFormat="false" ht="15" hidden="false" customHeight="false" outlineLevel="0" collapsed="false">
      <c r="A391" s="29"/>
      <c r="B391" s="30"/>
      <c r="C391" s="30"/>
      <c r="D391" s="30"/>
      <c r="E391" s="30"/>
      <c r="F391" s="30"/>
      <c r="G391" s="30"/>
      <c r="H391" s="30"/>
      <c r="I391" s="30"/>
      <c r="J391" s="30"/>
    </row>
    <row r="392" customFormat="false" ht="15" hidden="false" customHeight="false" outlineLevel="0" collapsed="false">
      <c r="A392" s="29"/>
      <c r="B392" s="30"/>
      <c r="C392" s="30"/>
      <c r="D392" s="30"/>
      <c r="E392" s="30"/>
      <c r="F392" s="30"/>
      <c r="G392" s="30"/>
      <c r="H392" s="30"/>
      <c r="I392" s="30"/>
      <c r="J392" s="30"/>
    </row>
    <row r="393" customFormat="false" ht="15" hidden="false" customHeight="false" outlineLevel="0" collapsed="false">
      <c r="A393" s="29"/>
      <c r="B393" s="30"/>
      <c r="C393" s="30"/>
      <c r="D393" s="30"/>
      <c r="E393" s="30"/>
      <c r="F393" s="30"/>
      <c r="G393" s="30"/>
      <c r="H393" s="30"/>
      <c r="I393" s="30"/>
      <c r="J393" s="30"/>
    </row>
    <row r="394" customFormat="false" ht="15" hidden="false" customHeight="false" outlineLevel="0" collapsed="false">
      <c r="A394" s="29"/>
      <c r="B394" s="30"/>
      <c r="C394" s="30"/>
      <c r="D394" s="30"/>
      <c r="E394" s="30"/>
      <c r="F394" s="30"/>
      <c r="G394" s="30"/>
      <c r="H394" s="30"/>
      <c r="I394" s="30"/>
      <c r="J394" s="30"/>
    </row>
    <row r="395" customFormat="false" ht="15" hidden="false" customHeight="false" outlineLevel="0" collapsed="false">
      <c r="A395" s="29"/>
      <c r="B395" s="30"/>
      <c r="C395" s="30"/>
      <c r="D395" s="30"/>
      <c r="E395" s="30"/>
      <c r="F395" s="30"/>
      <c r="G395" s="30"/>
      <c r="H395" s="30"/>
      <c r="I395" s="30"/>
      <c r="J395" s="30"/>
    </row>
    <row r="396" customFormat="false" ht="15" hidden="false" customHeight="false" outlineLevel="0" collapsed="false">
      <c r="A396" s="29"/>
      <c r="B396" s="30"/>
      <c r="C396" s="30"/>
      <c r="D396" s="30"/>
      <c r="E396" s="30"/>
      <c r="F396" s="30"/>
      <c r="G396" s="30"/>
      <c r="H396" s="30"/>
      <c r="I396" s="30"/>
      <c r="J396" s="30"/>
    </row>
    <row r="397" customFormat="false" ht="15" hidden="false" customHeight="false" outlineLevel="0" collapsed="false">
      <c r="A397" s="29"/>
      <c r="B397" s="30"/>
      <c r="C397" s="30"/>
      <c r="D397" s="30"/>
      <c r="E397" s="30"/>
      <c r="F397" s="30"/>
      <c r="G397" s="30"/>
      <c r="H397" s="30"/>
      <c r="I397" s="30"/>
      <c r="J397" s="30"/>
    </row>
    <row r="398" customFormat="false" ht="15" hidden="false" customHeight="false" outlineLevel="0" collapsed="false">
      <c r="A398" s="29"/>
      <c r="B398" s="30"/>
      <c r="C398" s="30"/>
      <c r="D398" s="30"/>
      <c r="E398" s="30"/>
      <c r="F398" s="30"/>
      <c r="G398" s="30"/>
      <c r="H398" s="30"/>
      <c r="I398" s="30"/>
      <c r="J398" s="30"/>
    </row>
    <row r="399" customFormat="false" ht="15" hidden="false" customHeight="false" outlineLevel="0" collapsed="false">
      <c r="A399" s="29"/>
      <c r="B399" s="30"/>
      <c r="C399" s="30"/>
      <c r="D399" s="30"/>
      <c r="E399" s="30"/>
      <c r="F399" s="30"/>
      <c r="G399" s="30"/>
      <c r="H399" s="30"/>
      <c r="I399" s="30"/>
      <c r="J399" s="30"/>
    </row>
    <row r="400" customFormat="false" ht="15" hidden="false" customHeight="false" outlineLevel="0" collapsed="false">
      <c r="A400" s="29"/>
      <c r="B400" s="30"/>
      <c r="C400" s="30"/>
      <c r="D400" s="30"/>
      <c r="E400" s="30"/>
      <c r="F400" s="30"/>
      <c r="G400" s="30"/>
      <c r="H400" s="30"/>
      <c r="I400" s="30"/>
      <c r="J400" s="30"/>
    </row>
    <row r="401" customFormat="false" ht="15" hidden="false" customHeight="false" outlineLevel="0" collapsed="false">
      <c r="A401" s="29"/>
      <c r="B401" s="30"/>
      <c r="C401" s="30"/>
      <c r="D401" s="30"/>
      <c r="E401" s="30"/>
      <c r="F401" s="30"/>
      <c r="G401" s="30"/>
      <c r="H401" s="30"/>
      <c r="I401" s="30"/>
      <c r="J401" s="30"/>
    </row>
    <row r="402" customFormat="false" ht="15" hidden="false" customHeight="false" outlineLevel="0" collapsed="false">
      <c r="A402" s="29"/>
      <c r="B402" s="30"/>
      <c r="C402" s="30"/>
      <c r="D402" s="30"/>
      <c r="E402" s="30"/>
      <c r="F402" s="30"/>
      <c r="G402" s="30"/>
      <c r="H402" s="30"/>
      <c r="I402" s="30"/>
      <c r="J402" s="30"/>
    </row>
    <row r="403" customFormat="false" ht="15" hidden="false" customHeight="false" outlineLevel="0" collapsed="false">
      <c r="A403" s="29"/>
      <c r="B403" s="30"/>
      <c r="C403" s="30"/>
      <c r="D403" s="30"/>
      <c r="E403" s="30"/>
      <c r="F403" s="30"/>
      <c r="G403" s="30"/>
      <c r="H403" s="30"/>
      <c r="I403" s="30"/>
      <c r="J403" s="30"/>
    </row>
    <row r="404" customFormat="false" ht="15" hidden="false" customHeight="false" outlineLevel="0" collapsed="false">
      <c r="A404" s="29"/>
      <c r="B404" s="30"/>
      <c r="C404" s="30"/>
      <c r="D404" s="30"/>
      <c r="E404" s="30"/>
      <c r="F404" s="30"/>
      <c r="G404" s="30"/>
      <c r="H404" s="30"/>
      <c r="I404" s="30"/>
      <c r="J404" s="30"/>
    </row>
  </sheetData>
  <autoFilter ref="A4:J404"/>
  <conditionalFormatting sqref="G5:G404">
    <cfRule type="cellIs" priority="2" operator="equal" aboveAverage="0" equalAverage="0" bottom="0" percent="0" rank="0" text="" dxfId="15">
      <formula>"Open"</formula>
    </cfRule>
    <cfRule type="cellIs" priority="3" operator="equal" aboveAverage="0" equalAverage="0" bottom="0" percent="0" rank="0" text="" dxfId="14">
      <formula>"Answered"</formula>
    </cfRule>
  </conditionalFormatting>
  <dataValidations count="1">
    <dataValidation allowBlank="true" errorStyle="stop" operator="between" showDropDown="false" showErrorMessage="false" showInputMessage="false" sqref="G5:G84" type="list">
      <formula1>"Open,Answered,Dropped"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2026-10-08T15:33:17Z</dcterms:created>
  <dc:creator>openpyxl</dc:creator>
  <dc:description/>
  <dc:language>en-US</dc:language>
  <cp:lastModifiedBy/>
  <dcterms:modified xsi:type="dcterms:W3CDTF">2026-10-08T15:33:22Z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