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ducts" sheetId="2" state="visible" r:id="rId4"/>
    <sheet name="Metrics" sheetId="3" state="visible" r:id="rId5"/>
    <sheet name="Metric to Product" sheetId="4" state="visible" r:id="rId6"/>
    <sheet name="Fields" sheetId="5" state="visible" r:id="rId7"/>
    <sheet name="Metric to Field" sheetId="6" state="visible" r:id="rId8"/>
    <sheet name="Pattern" sheetId="7" state="visible" r:id="rId9"/>
  </sheets>
  <definedNames>
    <definedName function="false" hidden="true" localSheetId="4" name="_xlnm._FilterDatabase" vbProcedure="false">Fields!$A$4:$K$64</definedName>
    <definedName function="false" hidden="true" localSheetId="5" name="_xlnm._FilterDatabase" vbProcedure="false">'Metric to Field'!$A$4:$G$64</definedName>
    <definedName function="false" hidden="true" localSheetId="3" name="_xlnm._FilterDatabase" vbProcedure="false">'Metric to Product'!$A$4:$F$64</definedName>
    <definedName function="false" hidden="true" localSheetId="2" name="_xlnm._FilterDatabase" vbProcedure="false">Metrics!$A$4:$K$64</definedName>
    <definedName function="false" hidden="true" localSheetId="6" name="_xlnm._FilterDatabase" vbProcedure="false">Pattern!$A$9:$H$69</definedName>
    <definedName function="false" hidden="true" localSheetId="1" name="_xlnm._FilterDatabase" vbProcedure="false">Products!$A$4:$G$64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<sst xmlns="http://schemas.openxmlformats.org/spreadsheetml/2006/main" count="260" uniqueCount="157">
  <si>
    <t xml:space="preserve">TA metric map: from metric to warehouse</t>
  </si>
  <si>
    <t xml:space="preserve">Fill three small lists. Joined together they show which fields and tables every metric and product depends on, and where the custom business rules live.</t>
  </si>
  <si>
    <t xml:space="preserve">How it fits together</t>
  </si>
  <si>
    <t xml:space="preserve">Products</t>
  </si>
  <si>
    <t xml:space="preserve">What people look at: the scorecard, dashboards, data pulls. One row per product.</t>
  </si>
  <si>
    <t xml:space="preserve">Metrics</t>
  </si>
  <si>
    <t xml:space="preserve">What is measured, with its definition and reporting population. One row per metric.</t>
  </si>
  <si>
    <t xml:space="preserve">Metric to Product</t>
  </si>
  <si>
    <t xml:space="preserve">Which products show which metrics. One row per metric per product.</t>
  </si>
  <si>
    <t xml:space="preserve">Fields</t>
  </si>
  <si>
    <t xml:space="preserve">The columns the metrics need, raw or derived. Derived fields carry the business rule in the Logic column. One row per field.</t>
  </si>
  <si>
    <t xml:space="preserve">Metric to Field</t>
  </si>
  <si>
    <t xml:space="preserve">Which fields each metric needs and the role each plays. One row per metric per field.</t>
  </si>
  <si>
    <t xml:space="preserve">Pattern</t>
  </si>
  <si>
    <t xml:space="preserve">Read-only. Formulas that count reuse: fields shared by many metrics, products that depend on a field, fields with data issues. This is where the architecture shows itself.</t>
  </si>
  <si>
    <t xml:space="preserve">How to fill it in</t>
  </si>
  <si>
    <t xml:space="preserve">1</t>
  </si>
  <si>
    <t xml:space="preserve">Add each product on Products. The ID (P-001, P-002 ...) is yours to assign; keep it unique.</t>
  </si>
  <si>
    <t xml:space="preserve">2</t>
  </si>
  <si>
    <t xml:space="preserve">Add each metric on Metrics. Write the definition in plain words, and name the reporting population (which reqs or hires are in scope).</t>
  </si>
  <si>
    <t xml:space="preserve">3</t>
  </si>
  <si>
    <t xml:space="preserve">On Metric to Product, add one row for every place the metric appears. Type the IDs; names fill in automatically.</t>
  </si>
  <si>
    <t xml:space="preserve">4</t>
  </si>
  <si>
    <t xml:space="preserve">Add every field a metric needs on Fields. Raw fields come straight from a warehouse table: leave Derived from and Logic blank. Derived fields are built by our team: say which fields feed them and write the rule.</t>
  </si>
  <si>
    <t xml:space="preserve">5</t>
  </si>
  <si>
    <t xml:space="preserve">On Metric to Field, add one row per field each metric needs, and say what role it plays (start of clock, end of clock, exclusion, attribution, dimension).</t>
  </si>
  <si>
    <t xml:space="preserve">6</t>
  </si>
  <si>
    <t xml:space="preserve">Open Pattern. Nothing to fill; read it.</t>
  </si>
  <si>
    <t xml:space="preserve">Reading the pattern</t>
  </si>
  <si>
    <t xml:space="preserve">Shared fields</t>
  </si>
  <si>
    <t xml:space="preserve">A field used by many metrics is a candidate column for a certified table.</t>
  </si>
  <si>
    <t xml:space="preserve">Derived fields</t>
  </si>
  <si>
    <t xml:space="preserve">Every field with Logic filled in is part of the business layer. Filter Fields by Type = Derived to see the whole layer.</t>
  </si>
  <si>
    <t xml:space="preserve">Fields with issues</t>
  </si>
  <si>
    <t xml:space="preserve">A field marked Issue that many metrics depend on goes to the top of the audit list for upstream fixes.</t>
  </si>
  <si>
    <t xml:space="preserve">Colour code</t>
  </si>
  <si>
    <t xml:space="preserve">Dark blue header</t>
  </si>
  <si>
    <t xml:space="preserve">Column names.</t>
  </si>
  <si>
    <t xml:space="preserve">Light blue cells</t>
  </si>
  <si>
    <t xml:space="preserve">IDs. Type them; they are the keys that join the sheets.</t>
  </si>
  <si>
    <t xml:space="preserve">Cream cells</t>
  </si>
  <si>
    <t xml:space="preserve">Free text for the team to fill in.</t>
  </si>
  <si>
    <t xml:space="preserve">Green text</t>
  </si>
  <si>
    <t xml:space="preserve">Formulas. Do not type over them.</t>
  </si>
  <si>
    <t xml:space="preserve">Examples</t>
  </si>
  <si>
    <t xml:space="preserve">The first rows on each sheet are worked examples (cycle time and recruiter credit). Replace or extend them.</t>
  </si>
  <si>
    <t xml:space="preserve">One row per product people look at. ID is the key used on Metric to Product.</t>
  </si>
  <si>
    <t xml:space="preserve">Product ID</t>
  </si>
  <si>
    <t xml:space="preserve">Product name</t>
  </si>
  <si>
    <t xml:space="preserve">Type</t>
  </si>
  <si>
    <t xml:space="preserve">Tool</t>
  </si>
  <si>
    <t xml:space="preserve">Audience</t>
  </si>
  <si>
    <t xml:space="preserve">Owner</t>
  </si>
  <si>
    <t xml:space="preserve">Notes</t>
  </si>
  <si>
    <t xml:space="preserve">P-001</t>
  </si>
  <si>
    <t xml:space="preserve">TA scorecard</t>
  </si>
  <si>
    <t xml:space="preserve">Scorecard</t>
  </si>
  <si>
    <t xml:space="preserve">Tableau</t>
  </si>
  <si>
    <t xml:space="preserve">Executives</t>
  </si>
  <si>
    <t xml:space="preserve">Example row</t>
  </si>
  <si>
    <t xml:space="preserve">P-002</t>
  </si>
  <si>
    <t xml:space="preserve">Recruiter view</t>
  </si>
  <si>
    <t xml:space="preserve">Dashboard</t>
  </si>
  <si>
    <t xml:space="preserve">Recruiting team</t>
  </si>
  <si>
    <t xml:space="preserve">P-003</t>
  </si>
  <si>
    <t xml:space="preserve">Hiring manager view</t>
  </si>
  <si>
    <t xml:space="preserve">Hiring managers</t>
  </si>
  <si>
    <t xml:space="preserve">One row per metric. The definition is the agreed rule in plain words; the population says which reqs or hires are counted.</t>
  </si>
  <si>
    <t xml:space="preserve">Metric ID</t>
  </si>
  <si>
    <t xml:space="preserve">Metric name</t>
  </si>
  <si>
    <t xml:space="preserve">Definition (plain words)</t>
  </si>
  <si>
    <t xml:space="preserve">Reporting population</t>
  </si>
  <si>
    <t xml:space="preserve">Grain (one row per)</t>
  </si>
  <si>
    <t xml:space="preserve">Unit</t>
  </si>
  <si>
    <t xml:space="preserve">Status</t>
  </si>
  <si>
    <t xml:space="preserve">Products using it</t>
  </si>
  <si>
    <t xml:space="preserve">Fields needed</t>
  </si>
  <si>
    <t xml:space="preserve">M-001</t>
  </si>
  <si>
    <t xml:space="preserve">Cycle time (approved to accepted)</t>
  </si>
  <si>
    <t xml:space="preserve">Calendar days from requisition approval to offer acceptance. If a requisition is transferred, the clock keeps running from the original approval date.</t>
  </si>
  <si>
    <t xml:space="preserve">Standard requisitions only. Evergreen and cancelled requisitions excluded.</t>
  </si>
  <si>
    <t xml:space="preserve">Opening</t>
  </si>
  <si>
    <t xml:space="preserve">Days</t>
  </si>
  <si>
    <t xml:space="preserve">Draft</t>
  </si>
  <si>
    <t xml:space="preserve">Example row. One of several clocks called cycle time today; this is the proposed scorecard version.</t>
  </si>
  <si>
    <t xml:space="preserve">M-002</t>
  </si>
  <si>
    <t xml:space="preserve">Hires by recruiter</t>
  </si>
  <si>
    <t xml:space="preserve">Count of accepted offers credited to a recruiter. Credit goes to the recruiter who owned the requisition at the time of offer.</t>
  </si>
  <si>
    <t xml:space="preserve">All accepted offers in the period.</t>
  </si>
  <si>
    <t xml:space="preserve">Hire</t>
  </si>
  <si>
    <t xml:space="preserve">Count</t>
  </si>
  <si>
    <t xml:space="preserve">Example row. Shows how an attribution rule becomes a derived field.</t>
  </si>
  <si>
    <t xml:space="preserve">One row per place a metric appears. Type the two IDs; names fill in.</t>
  </si>
  <si>
    <t xml:space="preserve">How it is shown</t>
  </si>
  <si>
    <t xml:space="preserve">Headline tile, quarterly average</t>
  </si>
  <si>
    <t xml:space="preserve">Trend by recruiter, monthly</t>
  </si>
  <si>
    <t xml:space="preserve">Average per hiring manager</t>
  </si>
  <si>
    <t xml:space="preserve">Bar by recruiter, quarter to date</t>
  </si>
  <si>
    <t xml:space="preserve">One row per field the metrics need. Raw fields come straight from a table; Derived fields are built by our team and carry the rule in Logic. Every Derived row is part of the business layer.</t>
  </si>
  <si>
    <t xml:space="preserve">Field ID</t>
  </si>
  <si>
    <t xml:space="preserve">Field name</t>
  </si>
  <si>
    <t xml:space="preserve">Source table</t>
  </si>
  <si>
    <t xml:space="preserve">Source layer</t>
  </si>
  <si>
    <t xml:space="preserve">Derived from (field IDs)</t>
  </si>
  <si>
    <t xml:space="preserve">Logic (the business rule)</t>
  </si>
  <si>
    <t xml:space="preserve">Data quality</t>
  </si>
  <si>
    <t xml:space="preserve">Issue / note</t>
  </si>
  <si>
    <t xml:space="preserve">Metrics using it</t>
  </si>
  <si>
    <t xml:space="preserve">Products reached</t>
  </si>
  <si>
    <t xml:space="preserve">F-001</t>
  </si>
  <si>
    <t xml:space="preserve">Requisition approved date</t>
  </si>
  <si>
    <t xml:space="preserve">Raw</t>
  </si>
  <si>
    <t xml:space="preserve">HRDW requisition table</t>
  </si>
  <si>
    <t xml:space="preserve">HRDW</t>
  </si>
  <si>
    <t xml:space="preserve">Clean</t>
  </si>
  <si>
    <t xml:space="preserve">F-002</t>
  </si>
  <si>
    <t xml:space="preserve">Offer accepted date</t>
  </si>
  <si>
    <t xml:space="preserve">HRDW offer table</t>
  </si>
  <si>
    <t xml:space="preserve">F-003</t>
  </si>
  <si>
    <t xml:space="preserve">Evergreen flag</t>
  </si>
  <si>
    <t xml:space="preserve">Issue</t>
  </si>
  <si>
    <t xml:space="preserve">Example row. Flag arrives blank for some requisitions; needs an upstream fix.</t>
  </si>
  <si>
    <t xml:space="preserve">F-004</t>
  </si>
  <si>
    <t xml:space="preserve">Requisition status</t>
  </si>
  <si>
    <t xml:space="preserve">F-005</t>
  </si>
  <si>
    <t xml:space="preserve">Original requisition link</t>
  </si>
  <si>
    <t xml:space="preserve">Derived</t>
  </si>
  <si>
    <t xml:space="preserve">Team: requisition linkage table</t>
  </si>
  <si>
    <t xml:space="preserve">Team custom</t>
  </si>
  <si>
    <t xml:space="preserve">F-006</t>
  </si>
  <si>
    <t xml:space="preserve">When a requisition is transferred, map the new requisition ID to the original so the clock continues from the original approval date.</t>
  </si>
  <si>
    <t xml:space="preserve">Unknown</t>
  </si>
  <si>
    <t xml:space="preserve">Example row. Does not exist upstream; only our team builds it.</t>
  </si>
  <si>
    <t xml:space="preserve">Requisition transfer history</t>
  </si>
  <si>
    <t xml:space="preserve">HRDW requisition history table</t>
  </si>
  <si>
    <t xml:space="preserve">F-007</t>
  </si>
  <si>
    <t xml:space="preserve">Requisition owner history</t>
  </si>
  <si>
    <t xml:space="preserve">F-008</t>
  </si>
  <si>
    <t xml:space="preserve">Credited recruiter</t>
  </si>
  <si>
    <t xml:space="preserve">Team: application table</t>
  </si>
  <si>
    <t xml:space="preserve">F-007, F-002</t>
  </si>
  <si>
    <t xml:space="preserve">Recruiter who owned the requisition on the offer accepted date. Not the recruiter tagged on the requisition today.</t>
  </si>
  <si>
    <t xml:space="preserve">Example row. The attribution rule to agree with TAAA.</t>
  </si>
  <si>
    <t xml:space="preserve">One row per field a metric needs. Type the two IDs; names fill in. Role says what the field does in the calculation.</t>
  </si>
  <si>
    <t xml:space="preserve">Role in the metric</t>
  </si>
  <si>
    <t xml:space="preserve">Products using this metric</t>
  </si>
  <si>
    <t xml:space="preserve">Start of clock</t>
  </si>
  <si>
    <t xml:space="preserve">End of clock</t>
  </si>
  <si>
    <t xml:space="preserve">Exclusion</t>
  </si>
  <si>
    <t xml:space="preserve">Linkage</t>
  </si>
  <si>
    <t xml:space="preserve">Event counted</t>
  </si>
  <si>
    <t xml:space="preserve">Attribution</t>
  </si>
  <si>
    <t xml:space="preserve">Read-only. What the three lists say when joined. Sort any table by its count column to see what matters most.</t>
  </si>
  <si>
    <t xml:space="preserve">Metrics not yet agreed</t>
  </si>
  <si>
    <t xml:space="preserve">Fields: how widely each is reused</t>
  </si>
  <si>
    <t xml:space="preserve">Metrics: reach and readiness</t>
  </si>
  <si>
    <t xml:space="preserve">In business layer?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</si>
</sst>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7B3A"/>
      <name val="Arial"/>
      <family val="0"/>
      <charset val="1"/>
    </font>
    <font>
      <sz val="10"/>
      <color rgb="FF1E7B3A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20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F2933"/>
      </patternFill>
    </fill>
    <fill>
      <patternFill patternType="solid">
        <fgColor rgb="FFEAF0F5"/>
        <bgColor rgb="FFD9E4EC"/>
      </patternFill>
    </fill>
    <fill>
      <patternFill patternType="solid">
        <fgColor rgb="FFFFF8DC"/>
        <bgColor rgb="FFFFFFFF"/>
      </patternFill>
    </fill>
    <fill>
      <patternFill patternType="solid">
        <fgColor rgb="FF1B3A5C"/>
        <bgColor rgb="FF1F29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0B1F3A"/>
          <bgColor rgb="FF000000"/>
        </patternFill>
      </fill>
    </dxf>
    <dxf>
      <fill>
        <patternFill patternType="solid">
          <fgColor rgb="FFEAF0F5"/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7B3A"/>
          <bgColor rgb="FF000000"/>
        </patternFill>
      </fill>
    </dxf>
    <dxf>
      <font>
        <name val="Arial"/>
        <charset val="1"/>
        <family val="0"/>
        <b val="1"/>
        <color rgb="FF1E7B3A"/>
      </font>
    </dxf>
    <dxf>
      <font>
        <name val="Arial"/>
        <charset val="1"/>
        <family val="0"/>
        <color rgb="FFB7791F"/>
      </font>
    </dxf>
    <dxf>
      <font>
        <name val="Arial"/>
        <charset val="1"/>
        <family val="0"/>
        <b val="1"/>
        <color rgb="FFB85042"/>
      </font>
    </dxf>
    <dxf>
      <fill>
        <patternFill patternType="solid">
          <fgColor rgb="FFD9E4EC"/>
          <bgColor rgb="FF000000"/>
        </patternFill>
      </fill>
    </dxf>
    <dxf>
      <fill>
        <patternFill patternType="solid">
          <fgColor rgb="FFB85042"/>
          <bgColor rgb="FF000000"/>
        </patternFill>
      </fill>
    </dxf>
    <dxf>
      <font>
        <name val="Arial"/>
        <charset val="1"/>
        <family val="0"/>
        <color rgb="FF1E7B3A"/>
      </font>
    </dxf>
    <dxf>
      <fill>
        <patternFill>
          <bgColor rgb="FFD9E4EC"/>
        </patternFill>
      </fill>
    </dxf>
    <dxf>
      <fill>
        <patternFill patternType="solid">
          <fgColor rgb="FF1B3A5C"/>
          <bgColor rgb="FF000000"/>
        </patternFill>
      </fill>
    </dxf>
    <dxf>
      <font>
        <name val="Arial"/>
        <charset val="1"/>
        <family val="0"/>
        <b val="1"/>
        <color rgb="FF0B1F3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A"/>
      <rgbColor rgb="FF000080"/>
      <rgbColor rgb="FFB7791F"/>
      <rgbColor rgb="FF800080"/>
      <rgbColor rgb="FF008080"/>
      <rgbColor rgb="FFC0C0C0"/>
      <rgbColor rgb="FF808080"/>
      <rgbColor rgb="FF9999FF"/>
      <rgbColor rgb="FFB85042"/>
      <rgbColor rgb="FFFFF8DC"/>
      <rgbColor rgb="FFEAF0F5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4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B3A5C"/>
      <rgbColor rgb="FF339966"/>
      <rgbColor rgb="FF0B1F3A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23.8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/>
      <c r="B11" s="6"/>
    </row>
    <row r="12" customFormat="false" ht="15" hidden="false" customHeight="false" outlineLevel="0" collapsed="false">
      <c r="A12" s="3" t="s">
        <v>15</v>
      </c>
      <c r="B12" s="4"/>
    </row>
    <row r="13" customFormat="false" ht="15" hidden="false" customHeight="false" outlineLevel="0" collapsed="false">
      <c r="A13" s="5" t="s">
        <v>16</v>
      </c>
      <c r="B13" s="6" t="s">
        <v>17</v>
      </c>
    </row>
    <row r="14" customFormat="false" ht="15" hidden="false" customHeight="false" outlineLevel="0" collapsed="false">
      <c r="A14" s="5" t="s">
        <v>18</v>
      </c>
      <c r="B14" s="6" t="s">
        <v>19</v>
      </c>
    </row>
    <row r="15" customFormat="false" ht="15" hidden="false" customHeight="false" outlineLevel="0" collapsed="false">
      <c r="A15" s="5" t="s">
        <v>20</v>
      </c>
      <c r="B15" s="6" t="s">
        <v>21</v>
      </c>
    </row>
    <row r="16" customFormat="false" ht="23.85" hidden="false" customHeight="false" outlineLevel="0" collapsed="false">
      <c r="A16" s="5" t="s">
        <v>22</v>
      </c>
      <c r="B16" s="6" t="s">
        <v>23</v>
      </c>
    </row>
    <row r="17" customFormat="false" ht="23.85" hidden="false" customHeight="false" outlineLevel="0" collapsed="false">
      <c r="A17" s="5" t="s">
        <v>24</v>
      </c>
      <c r="B17" s="6" t="s">
        <v>25</v>
      </c>
    </row>
    <row r="18" customFormat="false" ht="15" hidden="false" customHeight="false" outlineLevel="0" collapsed="false">
      <c r="A18" s="5" t="s">
        <v>26</v>
      </c>
      <c r="B18" s="6" t="s">
        <v>27</v>
      </c>
    </row>
    <row r="19" customFormat="false" ht="15" hidden="false" customHeight="false" outlineLevel="0" collapsed="false">
      <c r="A19" s="5"/>
      <c r="B19" s="6"/>
    </row>
    <row r="20" customFormat="false" ht="15" hidden="false" customHeight="false" outlineLevel="0" collapsed="false">
      <c r="A20" s="3" t="s">
        <v>28</v>
      </c>
      <c r="B20" s="4"/>
    </row>
    <row r="21" customFormat="false" ht="15" hidden="false" customHeight="false" outlineLevel="0" collapsed="false">
      <c r="A21" s="5" t="s">
        <v>29</v>
      </c>
      <c r="B21" s="6" t="s">
        <v>30</v>
      </c>
    </row>
    <row r="22" customFormat="false" ht="15" hidden="false" customHeight="false" outlineLevel="0" collapsed="false">
      <c r="A22" s="5" t="s">
        <v>31</v>
      </c>
      <c r="B22" s="6" t="s">
        <v>32</v>
      </c>
    </row>
    <row r="23" customFormat="false" ht="15" hidden="false" customHeight="false" outlineLevel="0" collapsed="false">
      <c r="A23" s="5" t="s">
        <v>33</v>
      </c>
      <c r="B23" s="6" t="s">
        <v>34</v>
      </c>
    </row>
    <row r="24" customFormat="false" ht="15" hidden="false" customHeight="false" outlineLevel="0" collapsed="false">
      <c r="A24" s="5"/>
      <c r="B24" s="6"/>
    </row>
    <row r="25" customFormat="false" ht="15" hidden="false" customHeight="false" outlineLevel="0" collapsed="false">
      <c r="A25" s="3" t="s">
        <v>35</v>
      </c>
      <c r="B25" s="4"/>
    </row>
    <row r="26" customFormat="false" ht="15" hidden="false" customHeight="false" outlineLevel="0" collapsed="false">
      <c r="A26" s="7" t="s">
        <v>36</v>
      </c>
      <c r="B26" s="6" t="s">
        <v>37</v>
      </c>
    </row>
    <row r="27" customFormat="false" ht="15" hidden="false" customHeight="false" outlineLevel="0" collapsed="false">
      <c r="A27" s="8" t="s">
        <v>38</v>
      </c>
      <c r="B27" s="6" t="s">
        <v>39</v>
      </c>
    </row>
    <row r="28" customFormat="false" ht="15" hidden="false" customHeight="false" outlineLevel="0" collapsed="false">
      <c r="A28" s="9" t="s">
        <v>40</v>
      </c>
      <c r="B28" s="6" t="s">
        <v>41</v>
      </c>
    </row>
    <row r="29" customFormat="false" ht="15" hidden="false" customHeight="false" outlineLevel="0" collapsed="false">
      <c r="A29" s="10" t="s">
        <v>42</v>
      </c>
      <c r="B29" s="6" t="s">
        <v>43</v>
      </c>
    </row>
    <row r="30" customFormat="false" ht="15" hidden="false" customHeight="false" outlineLevel="0" collapsed="false">
      <c r="A30" s="5"/>
      <c r="B30" s="6"/>
    </row>
    <row r="31" customFormat="false" ht="15" hidden="false" customHeight="false" outlineLevel="0" collapsed="false">
      <c r="A31" s="5" t="s">
        <v>44</v>
      </c>
      <c r="B31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tru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3</v>
      </c>
    </row>
    <row r="2" customFormat="false" ht="15" hidden="false" customHeight="false" outlineLevel="0" collapsed="false">
      <c r="A2" s="2" t="s">
        <v>46</v>
      </c>
    </row>
    <row r="4" customFormat="false" ht="30" hidden="false" customHeight="true" outlineLevel="0" collapsed="false">
      <c r="A4" s="11" t="s">
        <v>47</v>
      </c>
      <c r="B4" s="11" t="s">
        <v>48</v>
      </c>
      <c r="C4" s="11" t="s">
        <v>49</v>
      </c>
      <c r="D4" s="11" t="s">
        <v>50</v>
      </c>
      <c r="E4" s="11" t="s">
        <v>51</v>
      </c>
      <c r="F4" s="11" t="s">
        <v>52</v>
      </c>
      <c r="G4" s="11" t="s">
        <v>53</v>
      </c>
    </row>
    <row r="5" customFormat="false" ht="15" hidden="false" customHeight="false" outlineLevel="0" collapsed="false">
      <c r="A5" s="12" t="s">
        <v>54</v>
      </c>
      <c r="B5" s="13" t="s">
        <v>55</v>
      </c>
      <c r="C5" s="13" t="s">
        <v>56</v>
      </c>
      <c r="D5" s="13" t="s">
        <v>57</v>
      </c>
      <c r="E5" s="13" t="s">
        <v>58</v>
      </c>
      <c r="F5" s="13"/>
      <c r="G5" s="13" t="s">
        <v>59</v>
      </c>
    </row>
    <row r="6" customFormat="false" ht="15" hidden="false" customHeight="false" outlineLevel="0" collapsed="false">
      <c r="A6" s="12" t="s">
        <v>60</v>
      </c>
      <c r="B6" s="13" t="s">
        <v>61</v>
      </c>
      <c r="C6" s="13" t="s">
        <v>62</v>
      </c>
      <c r="D6" s="13" t="s">
        <v>57</v>
      </c>
      <c r="E6" s="13" t="s">
        <v>63</v>
      </c>
      <c r="F6" s="13"/>
      <c r="G6" s="13" t="s">
        <v>59</v>
      </c>
    </row>
    <row r="7" customFormat="false" ht="15" hidden="false" customHeight="false" outlineLevel="0" collapsed="false">
      <c r="A7" s="12" t="s">
        <v>64</v>
      </c>
      <c r="B7" s="13" t="s">
        <v>65</v>
      </c>
      <c r="C7" s="13" t="s">
        <v>62</v>
      </c>
      <c r="D7" s="13" t="s">
        <v>57</v>
      </c>
      <c r="E7" s="13" t="s">
        <v>66</v>
      </c>
      <c r="F7" s="13"/>
      <c r="G7" s="13" t="s">
        <v>59</v>
      </c>
    </row>
    <row r="8" customFormat="false" ht="15" hidden="false" customHeight="false" outlineLevel="0" collapsed="false">
      <c r="A8" s="12"/>
      <c r="B8" s="13"/>
      <c r="C8" s="13"/>
      <c r="D8" s="13"/>
      <c r="E8" s="13"/>
      <c r="F8" s="13"/>
      <c r="G8" s="13"/>
    </row>
    <row r="9" customFormat="false" ht="15" hidden="false" customHeight="false" outlineLevel="0" collapsed="false">
      <c r="A9" s="12"/>
      <c r="B9" s="13"/>
      <c r="C9" s="13"/>
      <c r="D9" s="13"/>
      <c r="E9" s="13"/>
      <c r="F9" s="13"/>
      <c r="G9" s="13"/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13"/>
      <c r="G10" s="13"/>
    </row>
    <row r="11" customFormat="false" ht="15" hidden="false" customHeight="false" outlineLevel="0" collapsed="false">
      <c r="A11" s="12"/>
      <c r="B11" s="13"/>
      <c r="C11" s="13"/>
      <c r="D11" s="13"/>
      <c r="E11" s="13"/>
      <c r="F11" s="13"/>
      <c r="G11" s="13"/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13"/>
      <c r="G12" s="13"/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3"/>
      <c r="G14" s="13"/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3"/>
      <c r="G15" s="13"/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3"/>
      <c r="G16" s="13"/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3"/>
      <c r="G17" s="13"/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3"/>
      <c r="G18" s="13"/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3"/>
      <c r="G19" s="13"/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  <c r="G20" s="13"/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3"/>
      <c r="G21" s="13"/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3"/>
      <c r="G22" s="13"/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3"/>
      <c r="G23" s="13"/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3"/>
      <c r="G24" s="13"/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3"/>
      <c r="G25" s="13"/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3"/>
      <c r="G26" s="13"/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3"/>
      <c r="G27" s="13"/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3"/>
      <c r="G28" s="13"/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3"/>
      <c r="G29" s="13"/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3"/>
      <c r="G30" s="13"/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3"/>
      <c r="G31" s="13"/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3"/>
      <c r="G32" s="13"/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3"/>
      <c r="G33" s="13"/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3"/>
      <c r="G35" s="13"/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3"/>
      <c r="G36" s="13"/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3"/>
      <c r="G37" s="13"/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3"/>
      <c r="G38" s="13"/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3"/>
      <c r="G39" s="13"/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3"/>
      <c r="G40" s="13"/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3"/>
      <c r="G42" s="13"/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3"/>
      <c r="G43" s="13"/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3"/>
      <c r="G44" s="13"/>
    </row>
    <row r="45" customFormat="false" ht="15" hidden="false" customHeight="false" outlineLevel="0" collapsed="false">
      <c r="A45" s="12"/>
      <c r="B45" s="13"/>
      <c r="C45" s="13"/>
      <c r="D45" s="13"/>
      <c r="E45" s="13"/>
      <c r="F45" s="13"/>
      <c r="G45" s="13"/>
    </row>
    <row r="46" customFormat="false" ht="15" hidden="false" customHeight="false" outlineLevel="0" collapsed="false">
      <c r="A46" s="12"/>
      <c r="B46" s="13"/>
      <c r="C46" s="13"/>
      <c r="D46" s="13"/>
      <c r="E46" s="13"/>
      <c r="F46" s="13"/>
      <c r="G46" s="13"/>
    </row>
    <row r="47" customFormat="false" ht="15" hidden="false" customHeight="false" outlineLevel="0" collapsed="false">
      <c r="A47" s="12"/>
      <c r="B47" s="13"/>
      <c r="C47" s="13"/>
      <c r="D47" s="13"/>
      <c r="E47" s="13"/>
      <c r="F47" s="13"/>
      <c r="G47" s="13"/>
    </row>
    <row r="48" customFormat="false" ht="15" hidden="false" customHeight="false" outlineLevel="0" collapsed="false">
      <c r="A48" s="12"/>
      <c r="B48" s="13"/>
      <c r="C48" s="13"/>
      <c r="D48" s="13"/>
      <c r="E48" s="13"/>
      <c r="F48" s="13"/>
      <c r="G48" s="13"/>
    </row>
    <row r="49" customFormat="false" ht="15" hidden="false" customHeight="false" outlineLevel="0" collapsed="false">
      <c r="A49" s="12"/>
      <c r="B49" s="13"/>
      <c r="C49" s="13"/>
      <c r="D49" s="13"/>
      <c r="E49" s="13"/>
      <c r="F49" s="13"/>
      <c r="G49" s="13"/>
    </row>
    <row r="50" customFormat="false" ht="15" hidden="false" customHeight="false" outlineLevel="0" collapsed="false">
      <c r="A50" s="12"/>
      <c r="B50" s="13"/>
      <c r="C50" s="13"/>
      <c r="D50" s="13"/>
      <c r="E50" s="13"/>
      <c r="F50" s="13"/>
      <c r="G50" s="13"/>
    </row>
    <row r="51" customFormat="false" ht="15" hidden="false" customHeight="false" outlineLevel="0" collapsed="false">
      <c r="A51" s="12"/>
      <c r="B51" s="13"/>
      <c r="C51" s="13"/>
      <c r="D51" s="13"/>
      <c r="E51" s="13"/>
      <c r="F51" s="13"/>
      <c r="G51" s="13"/>
    </row>
    <row r="52" customFormat="false" ht="15" hidden="false" customHeight="false" outlineLevel="0" collapsed="false">
      <c r="A52" s="12"/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A53" s="12"/>
      <c r="B53" s="13"/>
      <c r="C53" s="13"/>
      <c r="D53" s="13"/>
      <c r="E53" s="13"/>
      <c r="F53" s="13"/>
      <c r="G53" s="13"/>
    </row>
    <row r="54" customFormat="false" ht="15" hidden="false" customHeight="false" outlineLevel="0" collapsed="false">
      <c r="A54" s="12"/>
      <c r="B54" s="13"/>
      <c r="C54" s="13"/>
      <c r="D54" s="13"/>
      <c r="E54" s="13"/>
      <c r="F54" s="13"/>
      <c r="G54" s="13"/>
    </row>
    <row r="55" customFormat="false" ht="15" hidden="false" customHeight="false" outlineLevel="0" collapsed="false">
      <c r="A55" s="12"/>
      <c r="B55" s="13"/>
      <c r="C55" s="13"/>
      <c r="D55" s="13"/>
      <c r="E55" s="13"/>
      <c r="F55" s="13"/>
      <c r="G55" s="13"/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3"/>
      <c r="G56" s="13"/>
    </row>
    <row r="57" customFormat="false" ht="15" hidden="false" customHeight="false" outlineLevel="0" collapsed="false">
      <c r="A57" s="12"/>
      <c r="B57" s="13"/>
      <c r="C57" s="13"/>
      <c r="D57" s="13"/>
      <c r="E57" s="13"/>
      <c r="F57" s="13"/>
      <c r="G57" s="13"/>
    </row>
    <row r="58" customFormat="false" ht="15" hidden="false" customHeight="false" outlineLevel="0" collapsed="false">
      <c r="A58" s="12"/>
      <c r="B58" s="13"/>
      <c r="C58" s="13"/>
      <c r="D58" s="13"/>
      <c r="E58" s="13"/>
      <c r="F58" s="13"/>
      <c r="G58" s="13"/>
    </row>
    <row r="59" customFormat="false" ht="15" hidden="false" customHeight="false" outlineLevel="0" collapsed="false">
      <c r="A59" s="12"/>
      <c r="B59" s="13"/>
      <c r="C59" s="13"/>
      <c r="D59" s="13"/>
      <c r="E59" s="13"/>
      <c r="F59" s="13"/>
      <c r="G59" s="13"/>
    </row>
    <row r="60" customFormat="false" ht="15" hidden="false" customHeight="false" outlineLevel="0" collapsed="false">
      <c r="A60" s="12"/>
      <c r="B60" s="13"/>
      <c r="C60" s="13"/>
      <c r="D60" s="13"/>
      <c r="E60" s="13"/>
      <c r="F60" s="13"/>
      <c r="G60" s="13"/>
    </row>
    <row r="61" customFormat="false" ht="15" hidden="false" customHeight="false" outlineLevel="0" collapsed="false">
      <c r="A61" s="12"/>
      <c r="B61" s="13"/>
      <c r="C61" s="13"/>
      <c r="D61" s="13"/>
      <c r="E61" s="13"/>
      <c r="F61" s="13"/>
      <c r="G61" s="13"/>
    </row>
    <row r="62" customFormat="false" ht="15" hidden="false" customHeight="false" outlineLevel="0" collapsed="false">
      <c r="A62" s="12"/>
      <c r="B62" s="13"/>
      <c r="C62" s="13"/>
      <c r="D62" s="13"/>
      <c r="E62" s="13"/>
      <c r="F62" s="13"/>
      <c r="G62" s="13"/>
    </row>
    <row r="63" customFormat="false" ht="15" hidden="false" customHeight="false" outlineLevel="0" collapsed="false">
      <c r="A63" s="12"/>
      <c r="B63" s="13"/>
      <c r="C63" s="13"/>
      <c r="D63" s="13"/>
      <c r="E63" s="13"/>
      <c r="F63" s="13"/>
      <c r="G63" s="13"/>
    </row>
    <row r="64" customFormat="false" ht="15" hidden="false" customHeight="false" outlineLevel="0" collapsed="false">
      <c r="A64" s="12"/>
      <c r="B64" s="13"/>
      <c r="C64" s="13"/>
      <c r="D64" s="13"/>
      <c r="E64" s="13"/>
      <c r="F64" s="13"/>
      <c r="G64" s="13"/>
    </row>
  </sheetData>
  <autoFilter ref="A4:G64"/>
  <dataValidations count="2">
    <dataValidation allowBlank="true" errorStyle="stop" operator="between" showDropDown="false" showErrorMessage="false" showInputMessage="false" sqref="C5:C64" type="list">
      <formula1>"Scorecard,Dashboard,Data pull,Table,Other"</formula1>
      <formula2>0</formula2>
    </dataValidation>
    <dataValidation allowBlank="true" errorStyle="stop" operator="between" showDropDown="false" showErrorMessage="false" showInputMessage="false" sqref="D5:D64" type="list">
      <formula1>"Tableau,QuickSight,Snowflake,Excel,Other"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tru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42"/>
  </cols>
  <sheetData>
    <row r="1" customFormat="false" ht="17.35" hidden="false" customHeight="false" outlineLevel="0" collapsed="false">
      <c r="A1" s="1" t="s">
        <v>5</v>
      </c>
    </row>
    <row r="2" customFormat="false" ht="15" hidden="false" customHeight="false" outlineLevel="0" collapsed="false">
      <c r="A2" s="2" t="s">
        <v>67</v>
      </c>
    </row>
    <row r="4" customFormat="false" ht="30" hidden="false" customHeight="true" outlineLevel="0" collapsed="false">
      <c r="A4" s="11" t="s">
        <v>68</v>
      </c>
      <c r="B4" s="11" t="s">
        <v>69</v>
      </c>
      <c r="C4" s="11" t="s">
        <v>70</v>
      </c>
      <c r="D4" s="11" t="s">
        <v>71</v>
      </c>
      <c r="E4" s="11" t="s">
        <v>72</v>
      </c>
      <c r="F4" s="11" t="s">
        <v>73</v>
      </c>
      <c r="G4" s="11" t="s">
        <v>74</v>
      </c>
      <c r="H4" s="11" t="s">
        <v>52</v>
      </c>
      <c r="I4" s="11" t="s">
        <v>75</v>
      </c>
      <c r="J4" s="11" t="s">
        <v>76</v>
      </c>
      <c r="K4" s="11" t="s">
        <v>53</v>
      </c>
    </row>
    <row r="5" customFormat="false" ht="35.05" hidden="false" customHeight="false" outlineLevel="0" collapsed="false">
      <c r="A5" s="12" t="s">
        <v>77</v>
      </c>
      <c r="B5" s="13" t="s">
        <v>78</v>
      </c>
      <c r="C5" s="13" t="s">
        <v>79</v>
      </c>
      <c r="D5" s="13" t="s">
        <v>80</v>
      </c>
      <c r="E5" s="13" t="s">
        <v>81</v>
      </c>
      <c r="F5" s="13" t="s">
        <v>82</v>
      </c>
      <c r="G5" s="13" t="s">
        <v>83</v>
      </c>
      <c r="H5" s="13"/>
      <c r="I5" s="14" t="n">
        <f aca="false">IF(A5="","",COUNTIF('Metric to Product'!$A:$A,A5))</f>
        <v>3</v>
      </c>
      <c r="J5" s="14" t="n">
        <f aca="false">IF(A5="","",COUNTIF('Metric to Field'!$A:$A,A5))</f>
        <v>5</v>
      </c>
      <c r="K5" s="13" t="s">
        <v>84</v>
      </c>
    </row>
    <row r="6" customFormat="false" ht="23.85" hidden="false" customHeight="false" outlineLevel="0" collapsed="false">
      <c r="A6" s="12" t="s">
        <v>85</v>
      </c>
      <c r="B6" s="13" t="s">
        <v>86</v>
      </c>
      <c r="C6" s="13" t="s">
        <v>87</v>
      </c>
      <c r="D6" s="13" t="s">
        <v>88</v>
      </c>
      <c r="E6" s="13" t="s">
        <v>89</v>
      </c>
      <c r="F6" s="13" t="s">
        <v>90</v>
      </c>
      <c r="G6" s="13" t="s">
        <v>83</v>
      </c>
      <c r="H6" s="13"/>
      <c r="I6" s="14" t="n">
        <f aca="false">IF(A6="","",COUNTIF('Metric to Product'!$A:$A,A6))</f>
        <v>1</v>
      </c>
      <c r="J6" s="14" t="n">
        <f aca="false">IF(A6="","",COUNTIF('Metric to Field'!$A:$A,A6))</f>
        <v>2</v>
      </c>
      <c r="K6" s="13" t="s">
        <v>91</v>
      </c>
    </row>
    <row r="7" customFormat="false" ht="15" hidden="false" customHeight="false" outlineLevel="0" collapsed="false">
      <c r="A7" s="12"/>
      <c r="B7" s="13"/>
      <c r="C7" s="13"/>
      <c r="D7" s="13"/>
      <c r="E7" s="13"/>
      <c r="F7" s="13"/>
      <c r="G7" s="13"/>
      <c r="H7" s="13"/>
      <c r="I7" s="14" t="str">
        <f aca="false">IF(A7="","",COUNTIF('Metric to Product'!$A:$A,A7))</f>
        <v/>
      </c>
      <c r="J7" s="14" t="str">
        <f aca="false">IF(A7="","",COUNTIF('Metric to Field'!$A:$A,A7))</f>
        <v/>
      </c>
      <c r="K7" s="13"/>
    </row>
    <row r="8" customFormat="false" ht="15" hidden="false" customHeight="false" outlineLevel="0" collapsed="false">
      <c r="A8" s="12"/>
      <c r="B8" s="13"/>
      <c r="C8" s="13"/>
      <c r="D8" s="13"/>
      <c r="E8" s="13"/>
      <c r="F8" s="13"/>
      <c r="G8" s="13"/>
      <c r="H8" s="13"/>
      <c r="I8" s="14" t="str">
        <f aca="false">IF(A8="","",COUNTIF('Metric to Product'!$A:$A,A8))</f>
        <v/>
      </c>
      <c r="J8" s="14" t="str">
        <f aca="false">IF(A8="","",COUNTIF('Metric to Field'!$A:$A,A8))</f>
        <v/>
      </c>
      <c r="K8" s="13"/>
    </row>
    <row r="9" customFormat="false" ht="15" hidden="false" customHeight="false" outlineLevel="0" collapsed="false">
      <c r="A9" s="12"/>
      <c r="B9" s="13"/>
      <c r="C9" s="13"/>
      <c r="D9" s="13"/>
      <c r="E9" s="13"/>
      <c r="F9" s="13"/>
      <c r="G9" s="13"/>
      <c r="H9" s="13"/>
      <c r="I9" s="14" t="str">
        <f aca="false">IF(A9="","",COUNTIF('Metric to Product'!$A:$A,A9))</f>
        <v/>
      </c>
      <c r="J9" s="14" t="str">
        <f aca="false">IF(A9="","",COUNTIF('Metric to Field'!$A:$A,A9))</f>
        <v/>
      </c>
      <c r="K9" s="13"/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13"/>
      <c r="G10" s="13"/>
      <c r="H10" s="13"/>
      <c r="I10" s="14" t="str">
        <f aca="false">IF(A10="","",COUNTIF('Metric to Product'!$A:$A,A10))</f>
        <v/>
      </c>
      <c r="J10" s="14" t="str">
        <f aca="false">IF(A10="","",COUNTIF('Metric to Field'!$A:$A,A10))</f>
        <v/>
      </c>
      <c r="K10" s="13"/>
    </row>
    <row r="11" customFormat="false" ht="15" hidden="false" customHeight="false" outlineLevel="0" collapsed="false">
      <c r="A11" s="12"/>
      <c r="B11" s="13"/>
      <c r="C11" s="13"/>
      <c r="D11" s="13"/>
      <c r="E11" s="13"/>
      <c r="F11" s="13"/>
      <c r="G11" s="13"/>
      <c r="H11" s="13"/>
      <c r="I11" s="14" t="str">
        <f aca="false">IF(A11="","",COUNTIF('Metric to Product'!$A:$A,A11))</f>
        <v/>
      </c>
      <c r="J11" s="14" t="str">
        <f aca="false">IF(A11="","",COUNTIF('Metric to Field'!$A:$A,A11))</f>
        <v/>
      </c>
      <c r="K11" s="13"/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13"/>
      <c r="G12" s="13"/>
      <c r="H12" s="13"/>
      <c r="I12" s="14" t="str">
        <f aca="false">IF(A12="","",COUNTIF('Metric to Product'!$A:$A,A12))</f>
        <v/>
      </c>
      <c r="J12" s="14" t="str">
        <f aca="false">IF(A12="","",COUNTIF('Metric to Field'!$A:$A,A12))</f>
        <v/>
      </c>
      <c r="K12" s="13"/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3"/>
      <c r="G13" s="13"/>
      <c r="H13" s="13"/>
      <c r="I13" s="14" t="str">
        <f aca="false">IF(A13="","",COUNTIF('Metric to Product'!$A:$A,A13))</f>
        <v/>
      </c>
      <c r="J13" s="14" t="str">
        <f aca="false">IF(A13="","",COUNTIF('Metric to Field'!$A:$A,A13))</f>
        <v/>
      </c>
      <c r="K13" s="13"/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3"/>
      <c r="G14" s="13"/>
      <c r="H14" s="13"/>
      <c r="I14" s="14" t="str">
        <f aca="false">IF(A14="","",COUNTIF('Metric to Product'!$A:$A,A14))</f>
        <v/>
      </c>
      <c r="J14" s="14" t="str">
        <f aca="false">IF(A14="","",COUNTIF('Metric to Field'!$A:$A,A14))</f>
        <v/>
      </c>
      <c r="K14" s="13"/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3"/>
      <c r="G15" s="13"/>
      <c r="H15" s="13"/>
      <c r="I15" s="14" t="str">
        <f aca="false">IF(A15="","",COUNTIF('Metric to Product'!$A:$A,A15))</f>
        <v/>
      </c>
      <c r="J15" s="14" t="str">
        <f aca="false">IF(A15="","",COUNTIF('Metric to Field'!$A:$A,A15))</f>
        <v/>
      </c>
      <c r="K15" s="13"/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3"/>
      <c r="G16" s="13"/>
      <c r="H16" s="13"/>
      <c r="I16" s="14" t="str">
        <f aca="false">IF(A16="","",COUNTIF('Metric to Product'!$A:$A,A16))</f>
        <v/>
      </c>
      <c r="J16" s="14" t="str">
        <f aca="false">IF(A16="","",COUNTIF('Metric to Field'!$A:$A,A16))</f>
        <v/>
      </c>
      <c r="K16" s="13"/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3"/>
      <c r="G17" s="13"/>
      <c r="H17" s="13"/>
      <c r="I17" s="14" t="str">
        <f aca="false">IF(A17="","",COUNTIF('Metric to Product'!$A:$A,A17))</f>
        <v/>
      </c>
      <c r="J17" s="14" t="str">
        <f aca="false">IF(A17="","",COUNTIF('Metric to Field'!$A:$A,A17))</f>
        <v/>
      </c>
      <c r="K17" s="13"/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3"/>
      <c r="G18" s="13"/>
      <c r="H18" s="13"/>
      <c r="I18" s="14" t="str">
        <f aca="false">IF(A18="","",COUNTIF('Metric to Product'!$A:$A,A18))</f>
        <v/>
      </c>
      <c r="J18" s="14" t="str">
        <f aca="false">IF(A18="","",COUNTIF('Metric to Field'!$A:$A,A18))</f>
        <v/>
      </c>
      <c r="K18" s="13"/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3"/>
      <c r="G19" s="13"/>
      <c r="H19" s="13"/>
      <c r="I19" s="14" t="str">
        <f aca="false">IF(A19="","",COUNTIF('Metric to Product'!$A:$A,A19))</f>
        <v/>
      </c>
      <c r="J19" s="14" t="str">
        <f aca="false">IF(A19="","",COUNTIF('Metric to Field'!$A:$A,A19))</f>
        <v/>
      </c>
      <c r="K19" s="13"/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  <c r="G20" s="13"/>
      <c r="H20" s="13"/>
      <c r="I20" s="14" t="str">
        <f aca="false">IF(A20="","",COUNTIF('Metric to Product'!$A:$A,A20))</f>
        <v/>
      </c>
      <c r="J20" s="14" t="str">
        <f aca="false">IF(A20="","",COUNTIF('Metric to Field'!$A:$A,A20))</f>
        <v/>
      </c>
      <c r="K20" s="13"/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3"/>
      <c r="G21" s="13"/>
      <c r="H21" s="13"/>
      <c r="I21" s="14" t="str">
        <f aca="false">IF(A21="","",COUNTIF('Metric to Product'!$A:$A,A21))</f>
        <v/>
      </c>
      <c r="J21" s="14" t="str">
        <f aca="false">IF(A21="","",COUNTIF('Metric to Field'!$A:$A,A21))</f>
        <v/>
      </c>
      <c r="K21" s="13"/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3"/>
      <c r="G22" s="13"/>
      <c r="H22" s="13"/>
      <c r="I22" s="14" t="str">
        <f aca="false">IF(A22="","",COUNTIF('Metric to Product'!$A:$A,A22))</f>
        <v/>
      </c>
      <c r="J22" s="14" t="str">
        <f aca="false">IF(A22="","",COUNTIF('Metric to Field'!$A:$A,A22))</f>
        <v/>
      </c>
      <c r="K22" s="13"/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3"/>
      <c r="G23" s="13"/>
      <c r="H23" s="13"/>
      <c r="I23" s="14" t="str">
        <f aca="false">IF(A23="","",COUNTIF('Metric to Product'!$A:$A,A23))</f>
        <v/>
      </c>
      <c r="J23" s="14" t="str">
        <f aca="false">IF(A23="","",COUNTIF('Metric to Field'!$A:$A,A23))</f>
        <v/>
      </c>
      <c r="K23" s="13"/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3"/>
      <c r="G24" s="13"/>
      <c r="H24" s="13"/>
      <c r="I24" s="14" t="str">
        <f aca="false">IF(A24="","",COUNTIF('Metric to Product'!$A:$A,A24))</f>
        <v/>
      </c>
      <c r="J24" s="14" t="str">
        <f aca="false">IF(A24="","",COUNTIF('Metric to Field'!$A:$A,A24))</f>
        <v/>
      </c>
      <c r="K24" s="13"/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3"/>
      <c r="G25" s="13"/>
      <c r="H25" s="13"/>
      <c r="I25" s="14" t="str">
        <f aca="false">IF(A25="","",COUNTIF('Metric to Product'!$A:$A,A25))</f>
        <v/>
      </c>
      <c r="J25" s="14" t="str">
        <f aca="false">IF(A25="","",COUNTIF('Metric to Field'!$A:$A,A25))</f>
        <v/>
      </c>
      <c r="K25" s="13"/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3"/>
      <c r="G26" s="13"/>
      <c r="H26" s="13"/>
      <c r="I26" s="14" t="str">
        <f aca="false">IF(A26="","",COUNTIF('Metric to Product'!$A:$A,A26))</f>
        <v/>
      </c>
      <c r="J26" s="14" t="str">
        <f aca="false">IF(A26="","",COUNTIF('Metric to Field'!$A:$A,A26))</f>
        <v/>
      </c>
      <c r="K26" s="13"/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3"/>
      <c r="G27" s="13"/>
      <c r="H27" s="13"/>
      <c r="I27" s="14" t="str">
        <f aca="false">IF(A27="","",COUNTIF('Metric to Product'!$A:$A,A27))</f>
        <v/>
      </c>
      <c r="J27" s="14" t="str">
        <f aca="false">IF(A27="","",COUNTIF('Metric to Field'!$A:$A,A27))</f>
        <v/>
      </c>
      <c r="K27" s="13"/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3"/>
      <c r="G28" s="13"/>
      <c r="H28" s="13"/>
      <c r="I28" s="14" t="str">
        <f aca="false">IF(A28="","",COUNTIF('Metric to Product'!$A:$A,A28))</f>
        <v/>
      </c>
      <c r="J28" s="14" t="str">
        <f aca="false">IF(A28="","",COUNTIF('Metric to Field'!$A:$A,A28))</f>
        <v/>
      </c>
      <c r="K28" s="13"/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3"/>
      <c r="G29" s="13"/>
      <c r="H29" s="13"/>
      <c r="I29" s="14" t="str">
        <f aca="false">IF(A29="","",COUNTIF('Metric to Product'!$A:$A,A29))</f>
        <v/>
      </c>
      <c r="J29" s="14" t="str">
        <f aca="false">IF(A29="","",COUNTIF('Metric to Field'!$A:$A,A29))</f>
        <v/>
      </c>
      <c r="K29" s="13"/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3"/>
      <c r="G30" s="13"/>
      <c r="H30" s="13"/>
      <c r="I30" s="14" t="str">
        <f aca="false">IF(A30="","",COUNTIF('Metric to Product'!$A:$A,A30))</f>
        <v/>
      </c>
      <c r="J30" s="14" t="str">
        <f aca="false">IF(A30="","",COUNTIF('Metric to Field'!$A:$A,A30))</f>
        <v/>
      </c>
      <c r="K30" s="13"/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3"/>
      <c r="G31" s="13"/>
      <c r="H31" s="13"/>
      <c r="I31" s="14" t="str">
        <f aca="false">IF(A31="","",COUNTIF('Metric to Product'!$A:$A,A31))</f>
        <v/>
      </c>
      <c r="J31" s="14" t="str">
        <f aca="false">IF(A31="","",COUNTIF('Metric to Field'!$A:$A,A31))</f>
        <v/>
      </c>
      <c r="K31" s="13"/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3"/>
      <c r="G32" s="13"/>
      <c r="H32" s="13"/>
      <c r="I32" s="14" t="str">
        <f aca="false">IF(A32="","",COUNTIF('Metric to Product'!$A:$A,A32))</f>
        <v/>
      </c>
      <c r="J32" s="14" t="str">
        <f aca="false">IF(A32="","",COUNTIF('Metric to Field'!$A:$A,A32))</f>
        <v/>
      </c>
      <c r="K32" s="13"/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3"/>
      <c r="G33" s="13"/>
      <c r="H33" s="13"/>
      <c r="I33" s="14" t="str">
        <f aca="false">IF(A33="","",COUNTIF('Metric to Product'!$A:$A,A33))</f>
        <v/>
      </c>
      <c r="J33" s="14" t="str">
        <f aca="false">IF(A33="","",COUNTIF('Metric to Field'!$A:$A,A33))</f>
        <v/>
      </c>
      <c r="K33" s="13"/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3"/>
      <c r="G34" s="13"/>
      <c r="H34" s="13"/>
      <c r="I34" s="14" t="str">
        <f aca="false">IF(A34="","",COUNTIF('Metric to Product'!$A:$A,A34))</f>
        <v/>
      </c>
      <c r="J34" s="14" t="str">
        <f aca="false">IF(A34="","",COUNTIF('Metric to Field'!$A:$A,A34))</f>
        <v/>
      </c>
      <c r="K34" s="13"/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3"/>
      <c r="G35" s="13"/>
      <c r="H35" s="13"/>
      <c r="I35" s="14" t="str">
        <f aca="false">IF(A35="","",COUNTIF('Metric to Product'!$A:$A,A35))</f>
        <v/>
      </c>
      <c r="J35" s="14" t="str">
        <f aca="false">IF(A35="","",COUNTIF('Metric to Field'!$A:$A,A35))</f>
        <v/>
      </c>
      <c r="K35" s="13"/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3"/>
      <c r="G36" s="13"/>
      <c r="H36" s="13"/>
      <c r="I36" s="14" t="str">
        <f aca="false">IF(A36="","",COUNTIF('Metric to Product'!$A:$A,A36))</f>
        <v/>
      </c>
      <c r="J36" s="14" t="str">
        <f aca="false">IF(A36="","",COUNTIF('Metric to Field'!$A:$A,A36))</f>
        <v/>
      </c>
      <c r="K36" s="13"/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3"/>
      <c r="G37" s="13"/>
      <c r="H37" s="13"/>
      <c r="I37" s="14" t="str">
        <f aca="false">IF(A37="","",COUNTIF('Metric to Product'!$A:$A,A37))</f>
        <v/>
      </c>
      <c r="J37" s="14" t="str">
        <f aca="false">IF(A37="","",COUNTIF('Metric to Field'!$A:$A,A37))</f>
        <v/>
      </c>
      <c r="K37" s="13"/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3"/>
      <c r="G38" s="13"/>
      <c r="H38" s="13"/>
      <c r="I38" s="14" t="str">
        <f aca="false">IF(A38="","",COUNTIF('Metric to Product'!$A:$A,A38))</f>
        <v/>
      </c>
      <c r="J38" s="14" t="str">
        <f aca="false">IF(A38="","",COUNTIF('Metric to Field'!$A:$A,A38))</f>
        <v/>
      </c>
      <c r="K38" s="13"/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3"/>
      <c r="G39" s="13"/>
      <c r="H39" s="13"/>
      <c r="I39" s="14" t="str">
        <f aca="false">IF(A39="","",COUNTIF('Metric to Product'!$A:$A,A39))</f>
        <v/>
      </c>
      <c r="J39" s="14" t="str">
        <f aca="false">IF(A39="","",COUNTIF('Metric to Field'!$A:$A,A39))</f>
        <v/>
      </c>
      <c r="K39" s="13"/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3"/>
      <c r="G40" s="13"/>
      <c r="H40" s="13"/>
      <c r="I40" s="14" t="str">
        <f aca="false">IF(A40="","",COUNTIF('Metric to Product'!$A:$A,A40))</f>
        <v/>
      </c>
      <c r="J40" s="14" t="str">
        <f aca="false">IF(A40="","",COUNTIF('Metric to Field'!$A:$A,A40))</f>
        <v/>
      </c>
      <c r="K40" s="13"/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3"/>
      <c r="G41" s="13"/>
      <c r="H41" s="13"/>
      <c r="I41" s="14" t="str">
        <f aca="false">IF(A41="","",COUNTIF('Metric to Product'!$A:$A,A41))</f>
        <v/>
      </c>
      <c r="J41" s="14" t="str">
        <f aca="false">IF(A41="","",COUNTIF('Metric to Field'!$A:$A,A41))</f>
        <v/>
      </c>
      <c r="K41" s="13"/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3"/>
      <c r="G42" s="13"/>
      <c r="H42" s="13"/>
      <c r="I42" s="14" t="str">
        <f aca="false">IF(A42="","",COUNTIF('Metric to Product'!$A:$A,A42))</f>
        <v/>
      </c>
      <c r="J42" s="14" t="str">
        <f aca="false">IF(A42="","",COUNTIF('Metric to Field'!$A:$A,A42))</f>
        <v/>
      </c>
      <c r="K42" s="13"/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3"/>
      <c r="G43" s="13"/>
      <c r="H43" s="13"/>
      <c r="I43" s="14" t="str">
        <f aca="false">IF(A43="","",COUNTIF('Metric to Product'!$A:$A,A43))</f>
        <v/>
      </c>
      <c r="J43" s="14" t="str">
        <f aca="false">IF(A43="","",COUNTIF('Metric to Field'!$A:$A,A43))</f>
        <v/>
      </c>
      <c r="K43" s="13"/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3"/>
      <c r="G44" s="13"/>
      <c r="H44" s="13"/>
      <c r="I44" s="14" t="str">
        <f aca="false">IF(A44="","",COUNTIF('Metric to Product'!$A:$A,A44))</f>
        <v/>
      </c>
      <c r="J44" s="14" t="str">
        <f aca="false">IF(A44="","",COUNTIF('Metric to Field'!$A:$A,A44))</f>
        <v/>
      </c>
      <c r="K44" s="13"/>
    </row>
    <row r="45" customFormat="false" ht="15" hidden="false" customHeight="false" outlineLevel="0" collapsed="false">
      <c r="A45" s="12"/>
      <c r="B45" s="13"/>
      <c r="C45" s="13"/>
      <c r="D45" s="13"/>
      <c r="E45" s="13"/>
      <c r="F45" s="13"/>
      <c r="G45" s="13"/>
      <c r="H45" s="13"/>
      <c r="I45" s="14" t="str">
        <f aca="false">IF(A45="","",COUNTIF('Metric to Product'!$A:$A,A45))</f>
        <v/>
      </c>
      <c r="J45" s="14" t="str">
        <f aca="false">IF(A45="","",COUNTIF('Metric to Field'!$A:$A,A45))</f>
        <v/>
      </c>
      <c r="K45" s="13"/>
    </row>
    <row r="46" customFormat="false" ht="15" hidden="false" customHeight="false" outlineLevel="0" collapsed="false">
      <c r="A46" s="12"/>
      <c r="B46" s="13"/>
      <c r="C46" s="13"/>
      <c r="D46" s="13"/>
      <c r="E46" s="13"/>
      <c r="F46" s="13"/>
      <c r="G46" s="13"/>
      <c r="H46" s="13"/>
      <c r="I46" s="14" t="str">
        <f aca="false">IF(A46="","",COUNTIF('Metric to Product'!$A:$A,A46))</f>
        <v/>
      </c>
      <c r="J46" s="14" t="str">
        <f aca="false">IF(A46="","",COUNTIF('Metric to Field'!$A:$A,A46))</f>
        <v/>
      </c>
      <c r="K46" s="13"/>
    </row>
    <row r="47" customFormat="false" ht="15" hidden="false" customHeight="false" outlineLevel="0" collapsed="false">
      <c r="A47" s="12"/>
      <c r="B47" s="13"/>
      <c r="C47" s="13"/>
      <c r="D47" s="13"/>
      <c r="E47" s="13"/>
      <c r="F47" s="13"/>
      <c r="G47" s="13"/>
      <c r="H47" s="13"/>
      <c r="I47" s="14" t="str">
        <f aca="false">IF(A47="","",COUNTIF('Metric to Product'!$A:$A,A47))</f>
        <v/>
      </c>
      <c r="J47" s="14" t="str">
        <f aca="false">IF(A47="","",COUNTIF('Metric to Field'!$A:$A,A47))</f>
        <v/>
      </c>
      <c r="K47" s="13"/>
    </row>
    <row r="48" customFormat="false" ht="15" hidden="false" customHeight="false" outlineLevel="0" collapsed="false">
      <c r="A48" s="12"/>
      <c r="B48" s="13"/>
      <c r="C48" s="13"/>
      <c r="D48" s="13"/>
      <c r="E48" s="13"/>
      <c r="F48" s="13"/>
      <c r="G48" s="13"/>
      <c r="H48" s="13"/>
      <c r="I48" s="14" t="str">
        <f aca="false">IF(A48="","",COUNTIF('Metric to Product'!$A:$A,A48))</f>
        <v/>
      </c>
      <c r="J48" s="14" t="str">
        <f aca="false">IF(A48="","",COUNTIF('Metric to Field'!$A:$A,A48))</f>
        <v/>
      </c>
      <c r="K48" s="13"/>
    </row>
    <row r="49" customFormat="false" ht="15" hidden="false" customHeight="false" outlineLevel="0" collapsed="false">
      <c r="A49" s="12"/>
      <c r="B49" s="13"/>
      <c r="C49" s="13"/>
      <c r="D49" s="13"/>
      <c r="E49" s="13"/>
      <c r="F49" s="13"/>
      <c r="G49" s="13"/>
      <c r="H49" s="13"/>
      <c r="I49" s="14" t="str">
        <f aca="false">IF(A49="","",COUNTIF('Metric to Product'!$A:$A,A49))</f>
        <v/>
      </c>
      <c r="J49" s="14" t="str">
        <f aca="false">IF(A49="","",COUNTIF('Metric to Field'!$A:$A,A49))</f>
        <v/>
      </c>
      <c r="K49" s="13"/>
    </row>
    <row r="50" customFormat="false" ht="15" hidden="false" customHeight="false" outlineLevel="0" collapsed="false">
      <c r="A50" s="12"/>
      <c r="B50" s="13"/>
      <c r="C50" s="13"/>
      <c r="D50" s="13"/>
      <c r="E50" s="13"/>
      <c r="F50" s="13"/>
      <c r="G50" s="13"/>
      <c r="H50" s="13"/>
      <c r="I50" s="14" t="str">
        <f aca="false">IF(A50="","",COUNTIF('Metric to Product'!$A:$A,A50))</f>
        <v/>
      </c>
      <c r="J50" s="14" t="str">
        <f aca="false">IF(A50="","",COUNTIF('Metric to Field'!$A:$A,A50))</f>
        <v/>
      </c>
      <c r="K50" s="13"/>
    </row>
    <row r="51" customFormat="false" ht="15" hidden="false" customHeight="false" outlineLevel="0" collapsed="false">
      <c r="A51" s="12"/>
      <c r="B51" s="13"/>
      <c r="C51" s="13"/>
      <c r="D51" s="13"/>
      <c r="E51" s="13"/>
      <c r="F51" s="13"/>
      <c r="G51" s="13"/>
      <c r="H51" s="13"/>
      <c r="I51" s="14" t="str">
        <f aca="false">IF(A51="","",COUNTIF('Metric to Product'!$A:$A,A51))</f>
        <v/>
      </c>
      <c r="J51" s="14" t="str">
        <f aca="false">IF(A51="","",COUNTIF('Metric to Field'!$A:$A,A51))</f>
        <v/>
      </c>
      <c r="K51" s="13"/>
    </row>
    <row r="52" customFormat="false" ht="15" hidden="false" customHeight="false" outlineLevel="0" collapsed="false">
      <c r="A52" s="12"/>
      <c r="B52" s="13"/>
      <c r="C52" s="13"/>
      <c r="D52" s="13"/>
      <c r="E52" s="13"/>
      <c r="F52" s="13"/>
      <c r="G52" s="13"/>
      <c r="H52" s="13"/>
      <c r="I52" s="14" t="str">
        <f aca="false">IF(A52="","",COUNTIF('Metric to Product'!$A:$A,A52))</f>
        <v/>
      </c>
      <c r="J52" s="14" t="str">
        <f aca="false">IF(A52="","",COUNTIF('Metric to Field'!$A:$A,A52))</f>
        <v/>
      </c>
      <c r="K52" s="13"/>
    </row>
    <row r="53" customFormat="false" ht="15" hidden="false" customHeight="false" outlineLevel="0" collapsed="false">
      <c r="A53" s="12"/>
      <c r="B53" s="13"/>
      <c r="C53" s="13"/>
      <c r="D53" s="13"/>
      <c r="E53" s="13"/>
      <c r="F53" s="13"/>
      <c r="G53" s="13"/>
      <c r="H53" s="13"/>
      <c r="I53" s="14" t="str">
        <f aca="false">IF(A53="","",COUNTIF('Metric to Product'!$A:$A,A53))</f>
        <v/>
      </c>
      <c r="J53" s="14" t="str">
        <f aca="false">IF(A53="","",COUNTIF('Metric to Field'!$A:$A,A53))</f>
        <v/>
      </c>
      <c r="K53" s="13"/>
    </row>
    <row r="54" customFormat="false" ht="15" hidden="false" customHeight="false" outlineLevel="0" collapsed="false">
      <c r="A54" s="12"/>
      <c r="B54" s="13"/>
      <c r="C54" s="13"/>
      <c r="D54" s="13"/>
      <c r="E54" s="13"/>
      <c r="F54" s="13"/>
      <c r="G54" s="13"/>
      <c r="H54" s="13"/>
      <c r="I54" s="14" t="str">
        <f aca="false">IF(A54="","",COUNTIF('Metric to Product'!$A:$A,A54))</f>
        <v/>
      </c>
      <c r="J54" s="14" t="str">
        <f aca="false">IF(A54="","",COUNTIF('Metric to Field'!$A:$A,A54))</f>
        <v/>
      </c>
      <c r="K54" s="13"/>
    </row>
    <row r="55" customFormat="false" ht="15" hidden="false" customHeight="false" outlineLevel="0" collapsed="false">
      <c r="A55" s="12"/>
      <c r="B55" s="13"/>
      <c r="C55" s="13"/>
      <c r="D55" s="13"/>
      <c r="E55" s="13"/>
      <c r="F55" s="13"/>
      <c r="G55" s="13"/>
      <c r="H55" s="13"/>
      <c r="I55" s="14" t="str">
        <f aca="false">IF(A55="","",COUNTIF('Metric to Product'!$A:$A,A55))</f>
        <v/>
      </c>
      <c r="J55" s="14" t="str">
        <f aca="false">IF(A55="","",COUNTIF('Metric to Field'!$A:$A,A55))</f>
        <v/>
      </c>
      <c r="K55" s="13"/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3"/>
      <c r="G56" s="13"/>
      <c r="H56" s="13"/>
      <c r="I56" s="14" t="str">
        <f aca="false">IF(A56="","",COUNTIF('Metric to Product'!$A:$A,A56))</f>
        <v/>
      </c>
      <c r="J56" s="14" t="str">
        <f aca="false">IF(A56="","",COUNTIF('Metric to Field'!$A:$A,A56))</f>
        <v/>
      </c>
      <c r="K56" s="13"/>
    </row>
    <row r="57" customFormat="false" ht="15" hidden="false" customHeight="false" outlineLevel="0" collapsed="false">
      <c r="A57" s="12"/>
      <c r="B57" s="13"/>
      <c r="C57" s="13"/>
      <c r="D57" s="13"/>
      <c r="E57" s="13"/>
      <c r="F57" s="13"/>
      <c r="G57" s="13"/>
      <c r="H57" s="13"/>
      <c r="I57" s="14" t="str">
        <f aca="false">IF(A57="","",COUNTIF('Metric to Product'!$A:$A,A57))</f>
        <v/>
      </c>
      <c r="J57" s="14" t="str">
        <f aca="false">IF(A57="","",COUNTIF('Metric to Field'!$A:$A,A57))</f>
        <v/>
      </c>
      <c r="K57" s="13"/>
    </row>
    <row r="58" customFormat="false" ht="15" hidden="false" customHeight="false" outlineLevel="0" collapsed="false">
      <c r="A58" s="12"/>
      <c r="B58" s="13"/>
      <c r="C58" s="13"/>
      <c r="D58" s="13"/>
      <c r="E58" s="13"/>
      <c r="F58" s="13"/>
      <c r="G58" s="13"/>
      <c r="H58" s="13"/>
      <c r="I58" s="14" t="str">
        <f aca="false">IF(A58="","",COUNTIF('Metric to Product'!$A:$A,A58))</f>
        <v/>
      </c>
      <c r="J58" s="14" t="str">
        <f aca="false">IF(A58="","",COUNTIF('Metric to Field'!$A:$A,A58))</f>
        <v/>
      </c>
      <c r="K58" s="13"/>
    </row>
    <row r="59" customFormat="false" ht="15" hidden="false" customHeight="false" outlineLevel="0" collapsed="false">
      <c r="A59" s="12"/>
      <c r="B59" s="13"/>
      <c r="C59" s="13"/>
      <c r="D59" s="13"/>
      <c r="E59" s="13"/>
      <c r="F59" s="13"/>
      <c r="G59" s="13"/>
      <c r="H59" s="13"/>
      <c r="I59" s="14" t="str">
        <f aca="false">IF(A59="","",COUNTIF('Metric to Product'!$A:$A,A59))</f>
        <v/>
      </c>
      <c r="J59" s="14" t="str">
        <f aca="false">IF(A59="","",COUNTIF('Metric to Field'!$A:$A,A59))</f>
        <v/>
      </c>
      <c r="K59" s="13"/>
    </row>
    <row r="60" customFormat="false" ht="15" hidden="false" customHeight="false" outlineLevel="0" collapsed="false">
      <c r="A60" s="12"/>
      <c r="B60" s="13"/>
      <c r="C60" s="13"/>
      <c r="D60" s="13"/>
      <c r="E60" s="13"/>
      <c r="F60" s="13"/>
      <c r="G60" s="13"/>
      <c r="H60" s="13"/>
      <c r="I60" s="14" t="str">
        <f aca="false">IF(A60="","",COUNTIF('Metric to Product'!$A:$A,A60))</f>
        <v/>
      </c>
      <c r="J60" s="14" t="str">
        <f aca="false">IF(A60="","",COUNTIF('Metric to Field'!$A:$A,A60))</f>
        <v/>
      </c>
      <c r="K60" s="13"/>
    </row>
    <row r="61" customFormat="false" ht="15" hidden="false" customHeight="false" outlineLevel="0" collapsed="false">
      <c r="A61" s="12"/>
      <c r="B61" s="13"/>
      <c r="C61" s="13"/>
      <c r="D61" s="13"/>
      <c r="E61" s="13"/>
      <c r="F61" s="13"/>
      <c r="G61" s="13"/>
      <c r="H61" s="13"/>
      <c r="I61" s="14" t="str">
        <f aca="false">IF(A61="","",COUNTIF('Metric to Product'!$A:$A,A61))</f>
        <v/>
      </c>
      <c r="J61" s="14" t="str">
        <f aca="false">IF(A61="","",COUNTIF('Metric to Field'!$A:$A,A61))</f>
        <v/>
      </c>
      <c r="K61" s="13"/>
    </row>
    <row r="62" customFormat="false" ht="15" hidden="false" customHeight="false" outlineLevel="0" collapsed="false">
      <c r="A62" s="12"/>
      <c r="B62" s="13"/>
      <c r="C62" s="13"/>
      <c r="D62" s="13"/>
      <c r="E62" s="13"/>
      <c r="F62" s="13"/>
      <c r="G62" s="13"/>
      <c r="H62" s="13"/>
      <c r="I62" s="14" t="str">
        <f aca="false">IF(A62="","",COUNTIF('Metric to Product'!$A:$A,A62))</f>
        <v/>
      </c>
      <c r="J62" s="14" t="str">
        <f aca="false">IF(A62="","",COUNTIF('Metric to Field'!$A:$A,A62))</f>
        <v/>
      </c>
      <c r="K62" s="13"/>
    </row>
    <row r="63" customFormat="false" ht="15" hidden="false" customHeight="false" outlineLevel="0" collapsed="false">
      <c r="A63" s="12"/>
      <c r="B63" s="13"/>
      <c r="C63" s="13"/>
      <c r="D63" s="13"/>
      <c r="E63" s="13"/>
      <c r="F63" s="13"/>
      <c r="G63" s="13"/>
      <c r="H63" s="13"/>
      <c r="I63" s="14" t="str">
        <f aca="false">IF(A63="","",COUNTIF('Metric to Product'!$A:$A,A63))</f>
        <v/>
      </c>
      <c r="J63" s="14" t="str">
        <f aca="false">IF(A63="","",COUNTIF('Metric to Field'!$A:$A,A63))</f>
        <v/>
      </c>
      <c r="K63" s="13"/>
    </row>
    <row r="64" customFormat="false" ht="15" hidden="false" customHeight="false" outlineLevel="0" collapsed="false">
      <c r="A64" s="12"/>
      <c r="B64" s="13"/>
      <c r="C64" s="13"/>
      <c r="D64" s="13"/>
      <c r="E64" s="13"/>
      <c r="F64" s="13"/>
      <c r="G64" s="13"/>
      <c r="H64" s="13"/>
      <c r="I64" s="14" t="str">
        <f aca="false">IF(A64="","",COUNTIF('Metric to Product'!$A:$A,A64))</f>
        <v/>
      </c>
      <c r="J64" s="14" t="str">
        <f aca="false">IF(A64="","",COUNTIF('Metric to Field'!$A:$A,A64))</f>
        <v/>
      </c>
      <c r="K64" s="13"/>
    </row>
  </sheetData>
  <autoFilter ref="A4:K64"/>
  <conditionalFormatting sqref="G5:G64">
    <cfRule type="cellIs" priority="2" operator="equal" aboveAverage="0" equalAverage="0" bottom="0" percent="0" rank="0" text="" dxfId="8">
      <formula>"Certified"</formula>
    </cfRule>
    <cfRule type="cellIs" priority="3" operator="equal" aboveAverage="0" equalAverage="0" bottom="0" percent="0" rank="0" text="" dxfId="9">
      <formula>"Draft"</formula>
    </cfRule>
  </conditionalFormatting>
  <dataValidations count="2">
    <dataValidation allowBlank="true" errorStyle="stop" operator="between" showDropDown="false" showErrorMessage="false" showInputMessage="false" sqref="G5:G64" type="list">
      <formula1>"Draft,Under review,Agreed,Certified"</formula1>
      <formula2>0</formula2>
    </dataValidation>
    <dataValidation allowBlank="true" errorStyle="stop" operator="between" showDropDown="false" showErrorMessage="false" showInputMessage="false" sqref="E5:E64" type="list">
      <formula1>"Requisition,Opening,Application,Offer,Hire,Interview,Other"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tru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92</v>
      </c>
    </row>
    <row r="4" customFormat="false" ht="30" hidden="false" customHeight="true" outlineLevel="0" collapsed="false">
      <c r="A4" s="11" t="s">
        <v>68</v>
      </c>
      <c r="B4" s="11" t="s">
        <v>47</v>
      </c>
      <c r="C4" s="11" t="s">
        <v>69</v>
      </c>
      <c r="D4" s="11" t="s">
        <v>48</v>
      </c>
      <c r="E4" s="11" t="s">
        <v>93</v>
      </c>
      <c r="F4" s="11" t="s">
        <v>53</v>
      </c>
    </row>
    <row r="5" customFormat="false" ht="15" hidden="false" customHeight="false" outlineLevel="0" collapsed="false">
      <c r="A5" s="12" t="s">
        <v>77</v>
      </c>
      <c r="B5" s="12" t="s">
        <v>54</v>
      </c>
      <c r="C5" s="15" t="str">
        <f aca="false">IF(A5="","",IFERROR(INDEX(Metrics!$B:$B,MATCH(A5,Metrics!$A:$A,0)),"ID not found"))</f>
        <v>Cycle time (approved to accepted)</v>
      </c>
      <c r="D5" s="15" t="str">
        <f aca="false">IF(B5="","",IFERROR(INDEX(Products!$B:$B,MATCH(B5,Products!$A:$A,0)),"ID not found"))</f>
        <v>TA scorecard</v>
      </c>
      <c r="E5" s="13" t="s">
        <v>94</v>
      </c>
      <c r="F5" s="13" t="s">
        <v>59</v>
      </c>
    </row>
    <row r="6" customFormat="false" ht="15" hidden="false" customHeight="false" outlineLevel="0" collapsed="false">
      <c r="A6" s="12" t="s">
        <v>77</v>
      </c>
      <c r="B6" s="12" t="s">
        <v>60</v>
      </c>
      <c r="C6" s="15" t="str">
        <f aca="false">IF(A6="","",IFERROR(INDEX(Metrics!$B:$B,MATCH(A6,Metrics!$A:$A,0)),"ID not found"))</f>
        <v>Cycle time (approved to accepted)</v>
      </c>
      <c r="D6" s="15" t="str">
        <f aca="false">IF(B6="","",IFERROR(INDEX(Products!$B:$B,MATCH(B6,Products!$A:$A,0)),"ID not found"))</f>
        <v>Recruiter view</v>
      </c>
      <c r="E6" s="13" t="s">
        <v>95</v>
      </c>
      <c r="F6" s="13" t="s">
        <v>59</v>
      </c>
    </row>
    <row r="7" customFormat="false" ht="15" hidden="false" customHeight="false" outlineLevel="0" collapsed="false">
      <c r="A7" s="12" t="s">
        <v>77</v>
      </c>
      <c r="B7" s="12" t="s">
        <v>64</v>
      </c>
      <c r="C7" s="15" t="str">
        <f aca="false">IF(A7="","",IFERROR(INDEX(Metrics!$B:$B,MATCH(A7,Metrics!$A:$A,0)),"ID not found"))</f>
        <v>Cycle time (approved to accepted)</v>
      </c>
      <c r="D7" s="15" t="str">
        <f aca="false">IF(B7="","",IFERROR(INDEX(Products!$B:$B,MATCH(B7,Products!$A:$A,0)),"ID not found"))</f>
        <v>Hiring manager view</v>
      </c>
      <c r="E7" s="13" t="s">
        <v>96</v>
      </c>
      <c r="F7" s="13" t="s">
        <v>59</v>
      </c>
    </row>
    <row r="8" customFormat="false" ht="15" hidden="false" customHeight="false" outlineLevel="0" collapsed="false">
      <c r="A8" s="12" t="s">
        <v>85</v>
      </c>
      <c r="B8" s="12" t="s">
        <v>60</v>
      </c>
      <c r="C8" s="15" t="str">
        <f aca="false">IF(A8="","",IFERROR(INDEX(Metrics!$B:$B,MATCH(A8,Metrics!$A:$A,0)),"ID not found"))</f>
        <v>Hires by recruiter</v>
      </c>
      <c r="D8" s="15" t="str">
        <f aca="false">IF(B8="","",IFERROR(INDEX(Products!$B:$B,MATCH(B8,Products!$A:$A,0)),"ID not found"))</f>
        <v>Recruiter view</v>
      </c>
      <c r="E8" s="13" t="s">
        <v>97</v>
      </c>
      <c r="F8" s="13" t="s">
        <v>59</v>
      </c>
    </row>
    <row r="9" customFormat="false" ht="15" hidden="false" customHeight="false" outlineLevel="0" collapsed="false">
      <c r="A9" s="12"/>
      <c r="B9" s="12"/>
      <c r="C9" s="15" t="str">
        <f aca="false">IF(A9="","",IFERROR(INDEX(Metrics!$B:$B,MATCH(A9,Metrics!$A:$A,0)),"ID not found"))</f>
        <v/>
      </c>
      <c r="D9" s="15" t="str">
        <f aca="false">IF(B9="","",IFERROR(INDEX(Products!$B:$B,MATCH(B9,Products!$A:$A,0)),"ID not found"))</f>
        <v/>
      </c>
      <c r="E9" s="13"/>
      <c r="F9" s="13"/>
    </row>
    <row r="10" customFormat="false" ht="15" hidden="false" customHeight="false" outlineLevel="0" collapsed="false">
      <c r="A10" s="12"/>
      <c r="B10" s="12"/>
      <c r="C10" s="15" t="str">
        <f aca="false">IF(A10="","",IFERROR(INDEX(Metrics!$B:$B,MATCH(A10,Metrics!$A:$A,0)),"ID not found"))</f>
        <v/>
      </c>
      <c r="D10" s="15" t="str">
        <f aca="false">IF(B10="","",IFERROR(INDEX(Products!$B:$B,MATCH(B10,Products!$A:$A,0)),"ID not found"))</f>
        <v/>
      </c>
      <c r="E10" s="13"/>
      <c r="F10" s="13"/>
    </row>
    <row r="11" customFormat="false" ht="15" hidden="false" customHeight="false" outlineLevel="0" collapsed="false">
      <c r="A11" s="12"/>
      <c r="B11" s="12"/>
      <c r="C11" s="15" t="str">
        <f aca="false">IF(A11="","",IFERROR(INDEX(Metrics!$B:$B,MATCH(A11,Metrics!$A:$A,0)),"ID not found"))</f>
        <v/>
      </c>
      <c r="D11" s="15" t="str">
        <f aca="false">IF(B11="","",IFERROR(INDEX(Products!$B:$B,MATCH(B11,Products!$A:$A,0)),"ID not found"))</f>
        <v/>
      </c>
      <c r="E11" s="13"/>
      <c r="F11" s="13"/>
    </row>
    <row r="12" customFormat="false" ht="15" hidden="false" customHeight="false" outlineLevel="0" collapsed="false">
      <c r="A12" s="12"/>
      <c r="B12" s="12"/>
      <c r="C12" s="15" t="str">
        <f aca="false">IF(A12="","",IFERROR(INDEX(Metrics!$B:$B,MATCH(A12,Metrics!$A:$A,0)),"ID not found"))</f>
        <v/>
      </c>
      <c r="D12" s="15" t="str">
        <f aca="false">IF(B12="","",IFERROR(INDEX(Products!$B:$B,MATCH(B12,Products!$A:$A,0)),"ID not found"))</f>
        <v/>
      </c>
      <c r="E12" s="13"/>
      <c r="F12" s="13"/>
    </row>
    <row r="13" customFormat="false" ht="15" hidden="false" customHeight="false" outlineLevel="0" collapsed="false">
      <c r="A13" s="12"/>
      <c r="B13" s="12"/>
      <c r="C13" s="15" t="str">
        <f aca="false">IF(A13="","",IFERROR(INDEX(Metrics!$B:$B,MATCH(A13,Metrics!$A:$A,0)),"ID not found"))</f>
        <v/>
      </c>
      <c r="D13" s="15" t="str">
        <f aca="false">IF(B13="","",IFERROR(INDEX(Products!$B:$B,MATCH(B13,Products!$A:$A,0)),"ID not found"))</f>
        <v/>
      </c>
      <c r="E13" s="13"/>
      <c r="F13" s="13"/>
    </row>
    <row r="14" customFormat="false" ht="15" hidden="false" customHeight="false" outlineLevel="0" collapsed="false">
      <c r="A14" s="12"/>
      <c r="B14" s="12"/>
      <c r="C14" s="15" t="str">
        <f aca="false">IF(A14="","",IFERROR(INDEX(Metrics!$B:$B,MATCH(A14,Metrics!$A:$A,0)),"ID not found"))</f>
        <v/>
      </c>
      <c r="D14" s="15" t="str">
        <f aca="false">IF(B14="","",IFERROR(INDEX(Products!$B:$B,MATCH(B14,Products!$A:$A,0)),"ID not found"))</f>
        <v/>
      </c>
      <c r="E14" s="13"/>
      <c r="F14" s="13"/>
    </row>
    <row r="15" customFormat="false" ht="15" hidden="false" customHeight="false" outlineLevel="0" collapsed="false">
      <c r="A15" s="12"/>
      <c r="B15" s="12"/>
      <c r="C15" s="15" t="str">
        <f aca="false">IF(A15="","",IFERROR(INDEX(Metrics!$B:$B,MATCH(A15,Metrics!$A:$A,0)),"ID not found"))</f>
        <v/>
      </c>
      <c r="D15" s="15" t="str">
        <f aca="false">IF(B15="","",IFERROR(INDEX(Products!$B:$B,MATCH(B15,Products!$A:$A,0)),"ID not found"))</f>
        <v/>
      </c>
      <c r="E15" s="13"/>
      <c r="F15" s="13"/>
    </row>
    <row r="16" customFormat="false" ht="15" hidden="false" customHeight="false" outlineLevel="0" collapsed="false">
      <c r="A16" s="12"/>
      <c r="B16" s="12"/>
      <c r="C16" s="15" t="str">
        <f aca="false">IF(A16="","",IFERROR(INDEX(Metrics!$B:$B,MATCH(A16,Metrics!$A:$A,0)),"ID not found"))</f>
        <v/>
      </c>
      <c r="D16" s="15" t="str">
        <f aca="false">IF(B16="","",IFERROR(INDEX(Products!$B:$B,MATCH(B16,Products!$A:$A,0)),"ID not found"))</f>
        <v/>
      </c>
      <c r="E16" s="13"/>
      <c r="F16" s="13"/>
    </row>
    <row r="17" customFormat="false" ht="15" hidden="false" customHeight="false" outlineLevel="0" collapsed="false">
      <c r="A17" s="12"/>
      <c r="B17" s="12"/>
      <c r="C17" s="15" t="str">
        <f aca="false">IF(A17="","",IFERROR(INDEX(Metrics!$B:$B,MATCH(A17,Metrics!$A:$A,0)),"ID not found"))</f>
        <v/>
      </c>
      <c r="D17" s="15" t="str">
        <f aca="false">IF(B17="","",IFERROR(INDEX(Products!$B:$B,MATCH(B17,Products!$A:$A,0)),"ID not found"))</f>
        <v/>
      </c>
      <c r="E17" s="13"/>
      <c r="F17" s="13"/>
    </row>
    <row r="18" customFormat="false" ht="15" hidden="false" customHeight="false" outlineLevel="0" collapsed="false">
      <c r="A18" s="12"/>
      <c r="B18" s="12"/>
      <c r="C18" s="15" t="str">
        <f aca="false">IF(A18="","",IFERROR(INDEX(Metrics!$B:$B,MATCH(A18,Metrics!$A:$A,0)),"ID not found"))</f>
        <v/>
      </c>
      <c r="D18" s="15" t="str">
        <f aca="false">IF(B18="","",IFERROR(INDEX(Products!$B:$B,MATCH(B18,Products!$A:$A,0)),"ID not found"))</f>
        <v/>
      </c>
      <c r="E18" s="13"/>
      <c r="F18" s="13"/>
    </row>
    <row r="19" customFormat="false" ht="15" hidden="false" customHeight="false" outlineLevel="0" collapsed="false">
      <c r="A19" s="12"/>
      <c r="B19" s="12"/>
      <c r="C19" s="15" t="str">
        <f aca="false">IF(A19="","",IFERROR(INDEX(Metrics!$B:$B,MATCH(A19,Metrics!$A:$A,0)),"ID not found"))</f>
        <v/>
      </c>
      <c r="D19" s="15" t="str">
        <f aca="false">IF(B19="","",IFERROR(INDEX(Products!$B:$B,MATCH(B19,Products!$A:$A,0)),"ID not found"))</f>
        <v/>
      </c>
      <c r="E19" s="13"/>
      <c r="F19" s="13"/>
    </row>
    <row r="20" customFormat="false" ht="15" hidden="false" customHeight="false" outlineLevel="0" collapsed="false">
      <c r="A20" s="12"/>
      <c r="B20" s="12"/>
      <c r="C20" s="15" t="str">
        <f aca="false">IF(A20="","",IFERROR(INDEX(Metrics!$B:$B,MATCH(A20,Metrics!$A:$A,0)),"ID not found"))</f>
        <v/>
      </c>
      <c r="D20" s="15" t="str">
        <f aca="false">IF(B20="","",IFERROR(INDEX(Products!$B:$B,MATCH(B20,Products!$A:$A,0)),"ID not found"))</f>
        <v/>
      </c>
      <c r="E20" s="13"/>
      <c r="F20" s="13"/>
    </row>
    <row r="21" customFormat="false" ht="15" hidden="false" customHeight="false" outlineLevel="0" collapsed="false">
      <c r="A21" s="12"/>
      <c r="B21" s="12"/>
      <c r="C21" s="15" t="str">
        <f aca="false">IF(A21="","",IFERROR(INDEX(Metrics!$B:$B,MATCH(A21,Metrics!$A:$A,0)),"ID not found"))</f>
        <v/>
      </c>
      <c r="D21" s="15" t="str">
        <f aca="false">IF(B21="","",IFERROR(INDEX(Products!$B:$B,MATCH(B21,Products!$A:$A,0)),"ID not found"))</f>
        <v/>
      </c>
      <c r="E21" s="13"/>
      <c r="F21" s="13"/>
    </row>
    <row r="22" customFormat="false" ht="15" hidden="false" customHeight="false" outlineLevel="0" collapsed="false">
      <c r="A22" s="12"/>
      <c r="B22" s="12"/>
      <c r="C22" s="15" t="str">
        <f aca="false">IF(A22="","",IFERROR(INDEX(Metrics!$B:$B,MATCH(A22,Metrics!$A:$A,0)),"ID not found"))</f>
        <v/>
      </c>
      <c r="D22" s="15" t="str">
        <f aca="false">IF(B22="","",IFERROR(INDEX(Products!$B:$B,MATCH(B22,Products!$A:$A,0)),"ID not found"))</f>
        <v/>
      </c>
      <c r="E22" s="13"/>
      <c r="F22" s="13"/>
    </row>
    <row r="23" customFormat="false" ht="15" hidden="false" customHeight="false" outlineLevel="0" collapsed="false">
      <c r="A23" s="12"/>
      <c r="B23" s="12"/>
      <c r="C23" s="15" t="str">
        <f aca="false">IF(A23="","",IFERROR(INDEX(Metrics!$B:$B,MATCH(A23,Metrics!$A:$A,0)),"ID not found"))</f>
        <v/>
      </c>
      <c r="D23" s="15" t="str">
        <f aca="false">IF(B23="","",IFERROR(INDEX(Products!$B:$B,MATCH(B23,Products!$A:$A,0)),"ID not found"))</f>
        <v/>
      </c>
      <c r="E23" s="13"/>
      <c r="F23" s="13"/>
    </row>
    <row r="24" customFormat="false" ht="15" hidden="false" customHeight="false" outlineLevel="0" collapsed="false">
      <c r="A24" s="12"/>
      <c r="B24" s="12"/>
      <c r="C24" s="15" t="str">
        <f aca="false">IF(A24="","",IFERROR(INDEX(Metrics!$B:$B,MATCH(A24,Metrics!$A:$A,0)),"ID not found"))</f>
        <v/>
      </c>
      <c r="D24" s="15" t="str">
        <f aca="false">IF(B24="","",IFERROR(INDEX(Products!$B:$B,MATCH(B24,Products!$A:$A,0)),"ID not found"))</f>
        <v/>
      </c>
      <c r="E24" s="13"/>
      <c r="F24" s="13"/>
    </row>
    <row r="25" customFormat="false" ht="15" hidden="false" customHeight="false" outlineLevel="0" collapsed="false">
      <c r="A25" s="12"/>
      <c r="B25" s="12"/>
      <c r="C25" s="15" t="str">
        <f aca="false">IF(A25="","",IFERROR(INDEX(Metrics!$B:$B,MATCH(A25,Metrics!$A:$A,0)),"ID not found"))</f>
        <v/>
      </c>
      <c r="D25" s="15" t="str">
        <f aca="false">IF(B25="","",IFERROR(INDEX(Products!$B:$B,MATCH(B25,Products!$A:$A,0)),"ID not found"))</f>
        <v/>
      </c>
      <c r="E25" s="13"/>
      <c r="F25" s="13"/>
    </row>
    <row r="26" customFormat="false" ht="15" hidden="false" customHeight="false" outlineLevel="0" collapsed="false">
      <c r="A26" s="12"/>
      <c r="B26" s="12"/>
      <c r="C26" s="15" t="str">
        <f aca="false">IF(A26="","",IFERROR(INDEX(Metrics!$B:$B,MATCH(A26,Metrics!$A:$A,0)),"ID not found"))</f>
        <v/>
      </c>
      <c r="D26" s="15" t="str">
        <f aca="false">IF(B26="","",IFERROR(INDEX(Products!$B:$B,MATCH(B26,Products!$A:$A,0)),"ID not found"))</f>
        <v/>
      </c>
      <c r="E26" s="13"/>
      <c r="F26" s="13"/>
    </row>
    <row r="27" customFormat="false" ht="15" hidden="false" customHeight="false" outlineLevel="0" collapsed="false">
      <c r="A27" s="12"/>
      <c r="B27" s="12"/>
      <c r="C27" s="15" t="str">
        <f aca="false">IF(A27="","",IFERROR(INDEX(Metrics!$B:$B,MATCH(A27,Metrics!$A:$A,0)),"ID not found"))</f>
        <v/>
      </c>
      <c r="D27" s="15" t="str">
        <f aca="false">IF(B27="","",IFERROR(INDEX(Products!$B:$B,MATCH(B27,Products!$A:$A,0)),"ID not found"))</f>
        <v/>
      </c>
      <c r="E27" s="13"/>
      <c r="F27" s="13"/>
    </row>
    <row r="28" customFormat="false" ht="15" hidden="false" customHeight="false" outlineLevel="0" collapsed="false">
      <c r="A28" s="12"/>
      <c r="B28" s="12"/>
      <c r="C28" s="15" t="str">
        <f aca="false">IF(A28="","",IFERROR(INDEX(Metrics!$B:$B,MATCH(A28,Metrics!$A:$A,0)),"ID not found"))</f>
        <v/>
      </c>
      <c r="D28" s="15" t="str">
        <f aca="false">IF(B28="","",IFERROR(INDEX(Products!$B:$B,MATCH(B28,Products!$A:$A,0)),"ID not found"))</f>
        <v/>
      </c>
      <c r="E28" s="13"/>
      <c r="F28" s="13"/>
    </row>
    <row r="29" customFormat="false" ht="15" hidden="false" customHeight="false" outlineLevel="0" collapsed="false">
      <c r="A29" s="12"/>
      <c r="B29" s="12"/>
      <c r="C29" s="15" t="str">
        <f aca="false">IF(A29="","",IFERROR(INDEX(Metrics!$B:$B,MATCH(A29,Metrics!$A:$A,0)),"ID not found"))</f>
        <v/>
      </c>
      <c r="D29" s="15" t="str">
        <f aca="false">IF(B29="","",IFERROR(INDEX(Products!$B:$B,MATCH(B29,Products!$A:$A,0)),"ID not found"))</f>
        <v/>
      </c>
      <c r="E29" s="13"/>
      <c r="F29" s="13"/>
    </row>
    <row r="30" customFormat="false" ht="15" hidden="false" customHeight="false" outlineLevel="0" collapsed="false">
      <c r="A30" s="12"/>
      <c r="B30" s="12"/>
      <c r="C30" s="15" t="str">
        <f aca="false">IF(A30="","",IFERROR(INDEX(Metrics!$B:$B,MATCH(A30,Metrics!$A:$A,0)),"ID not found"))</f>
        <v/>
      </c>
      <c r="D30" s="15" t="str">
        <f aca="false">IF(B30="","",IFERROR(INDEX(Products!$B:$B,MATCH(B30,Products!$A:$A,0)),"ID not found"))</f>
        <v/>
      </c>
      <c r="E30" s="13"/>
      <c r="F30" s="13"/>
    </row>
    <row r="31" customFormat="false" ht="15" hidden="false" customHeight="false" outlineLevel="0" collapsed="false">
      <c r="A31" s="12"/>
      <c r="B31" s="12"/>
      <c r="C31" s="15" t="str">
        <f aca="false">IF(A31="","",IFERROR(INDEX(Metrics!$B:$B,MATCH(A31,Metrics!$A:$A,0)),"ID not found"))</f>
        <v/>
      </c>
      <c r="D31" s="15" t="str">
        <f aca="false">IF(B31="","",IFERROR(INDEX(Products!$B:$B,MATCH(B31,Products!$A:$A,0)),"ID not found"))</f>
        <v/>
      </c>
      <c r="E31" s="13"/>
      <c r="F31" s="13"/>
    </row>
    <row r="32" customFormat="false" ht="15" hidden="false" customHeight="false" outlineLevel="0" collapsed="false">
      <c r="A32" s="12"/>
      <c r="B32" s="12"/>
      <c r="C32" s="15" t="str">
        <f aca="false">IF(A32="","",IFERROR(INDEX(Metrics!$B:$B,MATCH(A32,Metrics!$A:$A,0)),"ID not found"))</f>
        <v/>
      </c>
      <c r="D32" s="15" t="str">
        <f aca="false">IF(B32="","",IFERROR(INDEX(Products!$B:$B,MATCH(B32,Products!$A:$A,0)),"ID not found"))</f>
        <v/>
      </c>
      <c r="E32" s="13"/>
      <c r="F32" s="13"/>
    </row>
    <row r="33" customFormat="false" ht="15" hidden="false" customHeight="false" outlineLevel="0" collapsed="false">
      <c r="A33" s="12"/>
      <c r="B33" s="12"/>
      <c r="C33" s="15" t="str">
        <f aca="false">IF(A33="","",IFERROR(INDEX(Metrics!$B:$B,MATCH(A33,Metrics!$A:$A,0)),"ID not found"))</f>
        <v/>
      </c>
      <c r="D33" s="15" t="str">
        <f aca="false">IF(B33="","",IFERROR(INDEX(Products!$B:$B,MATCH(B33,Products!$A:$A,0)),"ID not found"))</f>
        <v/>
      </c>
      <c r="E33" s="13"/>
      <c r="F33" s="13"/>
    </row>
    <row r="34" customFormat="false" ht="15" hidden="false" customHeight="false" outlineLevel="0" collapsed="false">
      <c r="A34" s="12"/>
      <c r="B34" s="12"/>
      <c r="C34" s="15" t="str">
        <f aca="false">IF(A34="","",IFERROR(INDEX(Metrics!$B:$B,MATCH(A34,Metrics!$A:$A,0)),"ID not found"))</f>
        <v/>
      </c>
      <c r="D34" s="15" t="str">
        <f aca="false">IF(B34="","",IFERROR(INDEX(Products!$B:$B,MATCH(B34,Products!$A:$A,0)),"ID not found"))</f>
        <v/>
      </c>
      <c r="E34" s="13"/>
      <c r="F34" s="13"/>
    </row>
    <row r="35" customFormat="false" ht="15" hidden="false" customHeight="false" outlineLevel="0" collapsed="false">
      <c r="A35" s="12"/>
      <c r="B35" s="12"/>
      <c r="C35" s="15" t="str">
        <f aca="false">IF(A35="","",IFERROR(INDEX(Metrics!$B:$B,MATCH(A35,Metrics!$A:$A,0)),"ID not found"))</f>
        <v/>
      </c>
      <c r="D35" s="15" t="str">
        <f aca="false">IF(B35="","",IFERROR(INDEX(Products!$B:$B,MATCH(B35,Products!$A:$A,0)),"ID not found"))</f>
        <v/>
      </c>
      <c r="E35" s="13"/>
      <c r="F35" s="13"/>
    </row>
    <row r="36" customFormat="false" ht="15" hidden="false" customHeight="false" outlineLevel="0" collapsed="false">
      <c r="A36" s="12"/>
      <c r="B36" s="12"/>
      <c r="C36" s="15" t="str">
        <f aca="false">IF(A36="","",IFERROR(INDEX(Metrics!$B:$B,MATCH(A36,Metrics!$A:$A,0)),"ID not found"))</f>
        <v/>
      </c>
      <c r="D36" s="15" t="str">
        <f aca="false">IF(B36="","",IFERROR(INDEX(Products!$B:$B,MATCH(B36,Products!$A:$A,0)),"ID not found"))</f>
        <v/>
      </c>
      <c r="E36" s="13"/>
      <c r="F36" s="13"/>
    </row>
    <row r="37" customFormat="false" ht="15" hidden="false" customHeight="false" outlineLevel="0" collapsed="false">
      <c r="A37" s="12"/>
      <c r="B37" s="12"/>
      <c r="C37" s="15" t="str">
        <f aca="false">IF(A37="","",IFERROR(INDEX(Metrics!$B:$B,MATCH(A37,Metrics!$A:$A,0)),"ID not found"))</f>
        <v/>
      </c>
      <c r="D37" s="15" t="str">
        <f aca="false">IF(B37="","",IFERROR(INDEX(Products!$B:$B,MATCH(B37,Products!$A:$A,0)),"ID not found"))</f>
        <v/>
      </c>
      <c r="E37" s="13"/>
      <c r="F37" s="13"/>
    </row>
    <row r="38" customFormat="false" ht="15" hidden="false" customHeight="false" outlineLevel="0" collapsed="false">
      <c r="A38" s="12"/>
      <c r="B38" s="12"/>
      <c r="C38" s="15" t="str">
        <f aca="false">IF(A38="","",IFERROR(INDEX(Metrics!$B:$B,MATCH(A38,Metrics!$A:$A,0)),"ID not found"))</f>
        <v/>
      </c>
      <c r="D38" s="15" t="str">
        <f aca="false">IF(B38="","",IFERROR(INDEX(Products!$B:$B,MATCH(B38,Products!$A:$A,0)),"ID not found"))</f>
        <v/>
      </c>
      <c r="E38" s="13"/>
      <c r="F38" s="13"/>
    </row>
    <row r="39" customFormat="false" ht="15" hidden="false" customHeight="false" outlineLevel="0" collapsed="false">
      <c r="A39" s="12"/>
      <c r="B39" s="12"/>
      <c r="C39" s="15" t="str">
        <f aca="false">IF(A39="","",IFERROR(INDEX(Metrics!$B:$B,MATCH(A39,Metrics!$A:$A,0)),"ID not found"))</f>
        <v/>
      </c>
      <c r="D39" s="15" t="str">
        <f aca="false">IF(B39="","",IFERROR(INDEX(Products!$B:$B,MATCH(B39,Products!$A:$A,0)),"ID not found"))</f>
        <v/>
      </c>
      <c r="E39" s="13"/>
      <c r="F39" s="13"/>
    </row>
    <row r="40" customFormat="false" ht="15" hidden="false" customHeight="false" outlineLevel="0" collapsed="false">
      <c r="A40" s="12"/>
      <c r="B40" s="12"/>
      <c r="C40" s="15" t="str">
        <f aca="false">IF(A40="","",IFERROR(INDEX(Metrics!$B:$B,MATCH(A40,Metrics!$A:$A,0)),"ID not found"))</f>
        <v/>
      </c>
      <c r="D40" s="15" t="str">
        <f aca="false">IF(B40="","",IFERROR(INDEX(Products!$B:$B,MATCH(B40,Products!$A:$A,0)),"ID not found"))</f>
        <v/>
      </c>
      <c r="E40" s="13"/>
      <c r="F40" s="13"/>
    </row>
    <row r="41" customFormat="false" ht="15" hidden="false" customHeight="false" outlineLevel="0" collapsed="false">
      <c r="A41" s="12"/>
      <c r="B41" s="12"/>
      <c r="C41" s="15" t="str">
        <f aca="false">IF(A41="","",IFERROR(INDEX(Metrics!$B:$B,MATCH(A41,Metrics!$A:$A,0)),"ID not found"))</f>
        <v/>
      </c>
      <c r="D41" s="15" t="str">
        <f aca="false">IF(B41="","",IFERROR(INDEX(Products!$B:$B,MATCH(B41,Products!$A:$A,0)),"ID not found"))</f>
        <v/>
      </c>
      <c r="E41" s="13"/>
      <c r="F41" s="13"/>
    </row>
    <row r="42" customFormat="false" ht="15" hidden="false" customHeight="false" outlineLevel="0" collapsed="false">
      <c r="A42" s="12"/>
      <c r="B42" s="12"/>
      <c r="C42" s="15" t="str">
        <f aca="false">IF(A42="","",IFERROR(INDEX(Metrics!$B:$B,MATCH(A42,Metrics!$A:$A,0)),"ID not found"))</f>
        <v/>
      </c>
      <c r="D42" s="15" t="str">
        <f aca="false">IF(B42="","",IFERROR(INDEX(Products!$B:$B,MATCH(B42,Products!$A:$A,0)),"ID not found"))</f>
        <v/>
      </c>
      <c r="E42" s="13"/>
      <c r="F42" s="13"/>
    </row>
    <row r="43" customFormat="false" ht="15" hidden="false" customHeight="false" outlineLevel="0" collapsed="false">
      <c r="A43" s="12"/>
      <c r="B43" s="12"/>
      <c r="C43" s="15" t="str">
        <f aca="false">IF(A43="","",IFERROR(INDEX(Metrics!$B:$B,MATCH(A43,Metrics!$A:$A,0)),"ID not found"))</f>
        <v/>
      </c>
      <c r="D43" s="15" t="str">
        <f aca="false">IF(B43="","",IFERROR(INDEX(Products!$B:$B,MATCH(B43,Products!$A:$A,0)),"ID not found"))</f>
        <v/>
      </c>
      <c r="E43" s="13"/>
      <c r="F43" s="13"/>
    </row>
    <row r="44" customFormat="false" ht="15" hidden="false" customHeight="false" outlineLevel="0" collapsed="false">
      <c r="A44" s="12"/>
      <c r="B44" s="12"/>
      <c r="C44" s="15" t="str">
        <f aca="false">IF(A44="","",IFERROR(INDEX(Metrics!$B:$B,MATCH(A44,Metrics!$A:$A,0)),"ID not found"))</f>
        <v/>
      </c>
      <c r="D44" s="15" t="str">
        <f aca="false">IF(B44="","",IFERROR(INDEX(Products!$B:$B,MATCH(B44,Products!$A:$A,0)),"ID not found"))</f>
        <v/>
      </c>
      <c r="E44" s="13"/>
      <c r="F44" s="13"/>
    </row>
    <row r="45" customFormat="false" ht="15" hidden="false" customHeight="false" outlineLevel="0" collapsed="false">
      <c r="A45" s="12"/>
      <c r="B45" s="12"/>
      <c r="C45" s="15" t="str">
        <f aca="false">IF(A45="","",IFERROR(INDEX(Metrics!$B:$B,MATCH(A45,Metrics!$A:$A,0)),"ID not found"))</f>
        <v/>
      </c>
      <c r="D45" s="15" t="str">
        <f aca="false">IF(B45="","",IFERROR(INDEX(Products!$B:$B,MATCH(B45,Products!$A:$A,0)),"ID not found"))</f>
        <v/>
      </c>
      <c r="E45" s="13"/>
      <c r="F45" s="13"/>
    </row>
    <row r="46" customFormat="false" ht="15" hidden="false" customHeight="false" outlineLevel="0" collapsed="false">
      <c r="A46" s="12"/>
      <c r="B46" s="12"/>
      <c r="C46" s="15" t="str">
        <f aca="false">IF(A46="","",IFERROR(INDEX(Metrics!$B:$B,MATCH(A46,Metrics!$A:$A,0)),"ID not found"))</f>
        <v/>
      </c>
      <c r="D46" s="15" t="str">
        <f aca="false">IF(B46="","",IFERROR(INDEX(Products!$B:$B,MATCH(B46,Products!$A:$A,0)),"ID not found"))</f>
        <v/>
      </c>
      <c r="E46" s="13"/>
      <c r="F46" s="13"/>
    </row>
    <row r="47" customFormat="false" ht="15" hidden="false" customHeight="false" outlineLevel="0" collapsed="false">
      <c r="A47" s="12"/>
      <c r="B47" s="12"/>
      <c r="C47" s="15" t="str">
        <f aca="false">IF(A47="","",IFERROR(INDEX(Metrics!$B:$B,MATCH(A47,Metrics!$A:$A,0)),"ID not found"))</f>
        <v/>
      </c>
      <c r="D47" s="15" t="str">
        <f aca="false">IF(B47="","",IFERROR(INDEX(Products!$B:$B,MATCH(B47,Products!$A:$A,0)),"ID not found"))</f>
        <v/>
      </c>
      <c r="E47" s="13"/>
      <c r="F47" s="13"/>
    </row>
    <row r="48" customFormat="false" ht="15" hidden="false" customHeight="false" outlineLevel="0" collapsed="false">
      <c r="A48" s="12"/>
      <c r="B48" s="12"/>
      <c r="C48" s="15" t="str">
        <f aca="false">IF(A48="","",IFERROR(INDEX(Metrics!$B:$B,MATCH(A48,Metrics!$A:$A,0)),"ID not found"))</f>
        <v/>
      </c>
      <c r="D48" s="15" t="str">
        <f aca="false">IF(B48="","",IFERROR(INDEX(Products!$B:$B,MATCH(B48,Products!$A:$A,0)),"ID not found"))</f>
        <v/>
      </c>
      <c r="E48" s="13"/>
      <c r="F48" s="13"/>
    </row>
    <row r="49" customFormat="false" ht="15" hidden="false" customHeight="false" outlineLevel="0" collapsed="false">
      <c r="A49" s="12"/>
      <c r="B49" s="12"/>
      <c r="C49" s="15" t="str">
        <f aca="false">IF(A49="","",IFERROR(INDEX(Metrics!$B:$B,MATCH(A49,Metrics!$A:$A,0)),"ID not found"))</f>
        <v/>
      </c>
      <c r="D49" s="15" t="str">
        <f aca="false">IF(B49="","",IFERROR(INDEX(Products!$B:$B,MATCH(B49,Products!$A:$A,0)),"ID not found"))</f>
        <v/>
      </c>
      <c r="E49" s="13"/>
      <c r="F49" s="13"/>
    </row>
    <row r="50" customFormat="false" ht="15" hidden="false" customHeight="false" outlineLevel="0" collapsed="false">
      <c r="A50" s="12"/>
      <c r="B50" s="12"/>
      <c r="C50" s="15" t="str">
        <f aca="false">IF(A50="","",IFERROR(INDEX(Metrics!$B:$B,MATCH(A50,Metrics!$A:$A,0)),"ID not found"))</f>
        <v/>
      </c>
      <c r="D50" s="15" t="str">
        <f aca="false">IF(B50="","",IFERROR(INDEX(Products!$B:$B,MATCH(B50,Products!$A:$A,0)),"ID not found"))</f>
        <v/>
      </c>
      <c r="E50" s="13"/>
      <c r="F50" s="13"/>
    </row>
    <row r="51" customFormat="false" ht="15" hidden="false" customHeight="false" outlineLevel="0" collapsed="false">
      <c r="A51" s="12"/>
      <c r="B51" s="12"/>
      <c r="C51" s="15" t="str">
        <f aca="false">IF(A51="","",IFERROR(INDEX(Metrics!$B:$B,MATCH(A51,Metrics!$A:$A,0)),"ID not found"))</f>
        <v/>
      </c>
      <c r="D51" s="15" t="str">
        <f aca="false">IF(B51="","",IFERROR(INDEX(Products!$B:$B,MATCH(B51,Products!$A:$A,0)),"ID not found"))</f>
        <v/>
      </c>
      <c r="E51" s="13"/>
      <c r="F51" s="13"/>
    </row>
    <row r="52" customFormat="false" ht="15" hidden="false" customHeight="false" outlineLevel="0" collapsed="false">
      <c r="A52" s="12"/>
      <c r="B52" s="12"/>
      <c r="C52" s="15" t="str">
        <f aca="false">IF(A52="","",IFERROR(INDEX(Metrics!$B:$B,MATCH(A52,Metrics!$A:$A,0)),"ID not found"))</f>
        <v/>
      </c>
      <c r="D52" s="15" t="str">
        <f aca="false">IF(B52="","",IFERROR(INDEX(Products!$B:$B,MATCH(B52,Products!$A:$A,0)),"ID not found"))</f>
        <v/>
      </c>
      <c r="E52" s="13"/>
      <c r="F52" s="13"/>
    </row>
    <row r="53" customFormat="false" ht="15" hidden="false" customHeight="false" outlineLevel="0" collapsed="false">
      <c r="A53" s="12"/>
      <c r="B53" s="12"/>
      <c r="C53" s="15" t="str">
        <f aca="false">IF(A53="","",IFERROR(INDEX(Metrics!$B:$B,MATCH(A53,Metrics!$A:$A,0)),"ID not found"))</f>
        <v/>
      </c>
      <c r="D53" s="15" t="str">
        <f aca="false">IF(B53="","",IFERROR(INDEX(Products!$B:$B,MATCH(B53,Products!$A:$A,0)),"ID not found"))</f>
        <v/>
      </c>
      <c r="E53" s="13"/>
      <c r="F53" s="13"/>
    </row>
    <row r="54" customFormat="false" ht="15" hidden="false" customHeight="false" outlineLevel="0" collapsed="false">
      <c r="A54" s="12"/>
      <c r="B54" s="12"/>
      <c r="C54" s="15" t="str">
        <f aca="false">IF(A54="","",IFERROR(INDEX(Metrics!$B:$B,MATCH(A54,Metrics!$A:$A,0)),"ID not found"))</f>
        <v/>
      </c>
      <c r="D54" s="15" t="str">
        <f aca="false">IF(B54="","",IFERROR(INDEX(Products!$B:$B,MATCH(B54,Products!$A:$A,0)),"ID not found"))</f>
        <v/>
      </c>
      <c r="E54" s="13"/>
      <c r="F54" s="13"/>
    </row>
    <row r="55" customFormat="false" ht="15" hidden="false" customHeight="false" outlineLevel="0" collapsed="false">
      <c r="A55" s="12"/>
      <c r="B55" s="12"/>
      <c r="C55" s="15" t="str">
        <f aca="false">IF(A55="","",IFERROR(INDEX(Metrics!$B:$B,MATCH(A55,Metrics!$A:$A,0)),"ID not found"))</f>
        <v/>
      </c>
      <c r="D55" s="15" t="str">
        <f aca="false">IF(B55="","",IFERROR(INDEX(Products!$B:$B,MATCH(B55,Products!$A:$A,0)),"ID not found"))</f>
        <v/>
      </c>
      <c r="E55" s="13"/>
      <c r="F55" s="13"/>
    </row>
    <row r="56" customFormat="false" ht="15" hidden="false" customHeight="false" outlineLevel="0" collapsed="false">
      <c r="A56" s="12"/>
      <c r="B56" s="12"/>
      <c r="C56" s="15" t="str">
        <f aca="false">IF(A56="","",IFERROR(INDEX(Metrics!$B:$B,MATCH(A56,Metrics!$A:$A,0)),"ID not found"))</f>
        <v/>
      </c>
      <c r="D56" s="15" t="str">
        <f aca="false">IF(B56="","",IFERROR(INDEX(Products!$B:$B,MATCH(B56,Products!$A:$A,0)),"ID not found"))</f>
        <v/>
      </c>
      <c r="E56" s="13"/>
      <c r="F56" s="13"/>
    </row>
    <row r="57" customFormat="false" ht="15" hidden="false" customHeight="false" outlineLevel="0" collapsed="false">
      <c r="A57" s="12"/>
      <c r="B57" s="12"/>
      <c r="C57" s="15" t="str">
        <f aca="false">IF(A57="","",IFERROR(INDEX(Metrics!$B:$B,MATCH(A57,Metrics!$A:$A,0)),"ID not found"))</f>
        <v/>
      </c>
      <c r="D57" s="15" t="str">
        <f aca="false">IF(B57="","",IFERROR(INDEX(Products!$B:$B,MATCH(B57,Products!$A:$A,0)),"ID not found"))</f>
        <v/>
      </c>
      <c r="E57" s="13"/>
      <c r="F57" s="13"/>
    </row>
    <row r="58" customFormat="false" ht="15" hidden="false" customHeight="false" outlineLevel="0" collapsed="false">
      <c r="A58" s="12"/>
      <c r="B58" s="12"/>
      <c r="C58" s="15" t="str">
        <f aca="false">IF(A58="","",IFERROR(INDEX(Metrics!$B:$B,MATCH(A58,Metrics!$A:$A,0)),"ID not found"))</f>
        <v/>
      </c>
      <c r="D58" s="15" t="str">
        <f aca="false">IF(B58="","",IFERROR(INDEX(Products!$B:$B,MATCH(B58,Products!$A:$A,0)),"ID not found"))</f>
        <v/>
      </c>
      <c r="E58" s="13"/>
      <c r="F58" s="13"/>
    </row>
    <row r="59" customFormat="false" ht="15" hidden="false" customHeight="false" outlineLevel="0" collapsed="false">
      <c r="A59" s="12"/>
      <c r="B59" s="12"/>
      <c r="C59" s="15" t="str">
        <f aca="false">IF(A59="","",IFERROR(INDEX(Metrics!$B:$B,MATCH(A59,Metrics!$A:$A,0)),"ID not found"))</f>
        <v/>
      </c>
      <c r="D59" s="15" t="str">
        <f aca="false">IF(B59="","",IFERROR(INDEX(Products!$B:$B,MATCH(B59,Products!$A:$A,0)),"ID not found"))</f>
        <v/>
      </c>
      <c r="E59" s="13"/>
      <c r="F59" s="13"/>
    </row>
    <row r="60" customFormat="false" ht="15" hidden="false" customHeight="false" outlineLevel="0" collapsed="false">
      <c r="A60" s="12"/>
      <c r="B60" s="12"/>
      <c r="C60" s="15" t="str">
        <f aca="false">IF(A60="","",IFERROR(INDEX(Metrics!$B:$B,MATCH(A60,Metrics!$A:$A,0)),"ID not found"))</f>
        <v/>
      </c>
      <c r="D60" s="15" t="str">
        <f aca="false">IF(B60="","",IFERROR(INDEX(Products!$B:$B,MATCH(B60,Products!$A:$A,0)),"ID not found"))</f>
        <v/>
      </c>
      <c r="E60" s="13"/>
      <c r="F60" s="13"/>
    </row>
    <row r="61" customFormat="false" ht="15" hidden="false" customHeight="false" outlineLevel="0" collapsed="false">
      <c r="A61" s="12"/>
      <c r="B61" s="12"/>
      <c r="C61" s="15" t="str">
        <f aca="false">IF(A61="","",IFERROR(INDEX(Metrics!$B:$B,MATCH(A61,Metrics!$A:$A,0)),"ID not found"))</f>
        <v/>
      </c>
      <c r="D61" s="15" t="str">
        <f aca="false">IF(B61="","",IFERROR(INDEX(Products!$B:$B,MATCH(B61,Products!$A:$A,0)),"ID not found"))</f>
        <v/>
      </c>
      <c r="E61" s="13"/>
      <c r="F61" s="13"/>
    </row>
    <row r="62" customFormat="false" ht="15" hidden="false" customHeight="false" outlineLevel="0" collapsed="false">
      <c r="A62" s="12"/>
      <c r="B62" s="12"/>
      <c r="C62" s="15" t="str">
        <f aca="false">IF(A62="","",IFERROR(INDEX(Metrics!$B:$B,MATCH(A62,Metrics!$A:$A,0)),"ID not found"))</f>
        <v/>
      </c>
      <c r="D62" s="15" t="str">
        <f aca="false">IF(B62="","",IFERROR(INDEX(Products!$B:$B,MATCH(B62,Products!$A:$A,0)),"ID not found"))</f>
        <v/>
      </c>
      <c r="E62" s="13"/>
      <c r="F62" s="13"/>
    </row>
    <row r="63" customFormat="false" ht="15" hidden="false" customHeight="false" outlineLevel="0" collapsed="false">
      <c r="A63" s="12"/>
      <c r="B63" s="12"/>
      <c r="C63" s="15" t="str">
        <f aca="false">IF(A63="","",IFERROR(INDEX(Metrics!$B:$B,MATCH(A63,Metrics!$A:$A,0)),"ID not found"))</f>
        <v/>
      </c>
      <c r="D63" s="15" t="str">
        <f aca="false">IF(B63="","",IFERROR(INDEX(Products!$B:$B,MATCH(B63,Products!$A:$A,0)),"ID not found"))</f>
        <v/>
      </c>
      <c r="E63" s="13"/>
      <c r="F63" s="13"/>
    </row>
    <row r="64" customFormat="false" ht="15" hidden="false" customHeight="false" outlineLevel="0" collapsed="false">
      <c r="A64" s="12"/>
      <c r="B64" s="12"/>
      <c r="C64" s="15" t="str">
        <f aca="false">IF(A64="","",IFERROR(INDEX(Metrics!$B:$B,MATCH(A64,Metrics!$A:$A,0)),"ID not found"))</f>
        <v/>
      </c>
      <c r="D64" s="15" t="str">
        <f aca="false">IF(B64="","",IFERROR(INDEX(Products!$B:$B,MATCH(B64,Products!$A:$A,0)),"ID not found"))</f>
        <v/>
      </c>
      <c r="E64" s="13"/>
      <c r="F64" s="13"/>
    </row>
  </sheetData>
  <autoFilter ref="A4:F64"/>
  <conditionalFormatting sqref="C5:D64">
    <cfRule type="cellIs" priority="2" operator="equal" aboveAverage="0" equalAverage="0" bottom="0" percent="0" rank="0" text="" dxfId="10">
      <formula>"ID not found"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tru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1" min="10" style="0" width="11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98</v>
      </c>
    </row>
    <row r="4" customFormat="false" ht="30" hidden="false" customHeight="true" outlineLevel="0" collapsed="false">
      <c r="A4" s="11" t="s">
        <v>99</v>
      </c>
      <c r="B4" s="11" t="s">
        <v>100</v>
      </c>
      <c r="C4" s="11" t="s">
        <v>49</v>
      </c>
      <c r="D4" s="11" t="s">
        <v>101</v>
      </c>
      <c r="E4" s="11" t="s">
        <v>102</v>
      </c>
      <c r="F4" s="11" t="s">
        <v>103</v>
      </c>
      <c r="G4" s="11" t="s">
        <v>104</v>
      </c>
      <c r="H4" s="11" t="s">
        <v>105</v>
      </c>
      <c r="I4" s="11" t="s">
        <v>106</v>
      </c>
      <c r="J4" s="11" t="s">
        <v>107</v>
      </c>
      <c r="K4" s="11" t="s">
        <v>108</v>
      </c>
    </row>
    <row r="5" customFormat="false" ht="15" hidden="false" customHeight="false" outlineLevel="0" collapsed="false">
      <c r="A5" s="12" t="s">
        <v>109</v>
      </c>
      <c r="B5" s="13" t="s">
        <v>110</v>
      </c>
      <c r="C5" s="13" t="s">
        <v>111</v>
      </c>
      <c r="D5" s="13" t="s">
        <v>112</v>
      </c>
      <c r="E5" s="13" t="s">
        <v>113</v>
      </c>
      <c r="F5" s="13"/>
      <c r="G5" s="13"/>
      <c r="H5" s="13" t="s">
        <v>114</v>
      </c>
      <c r="I5" s="13" t="s">
        <v>59</v>
      </c>
      <c r="J5" s="14" t="n">
        <f aca="false">IF(A5="","",COUNTIF('Metric to Field'!$B:$B,A5))</f>
        <v>1</v>
      </c>
      <c r="K5" s="14" t="n">
        <f aca="false">IF(A5="","",SUMPRODUCT(('Metric to Field'!$B$5:$B$64=A5)*('Metric to Field'!$F$5:$F$64)))</f>
        <v>3</v>
      </c>
    </row>
    <row r="6" customFormat="false" ht="15" hidden="false" customHeight="false" outlineLevel="0" collapsed="false">
      <c r="A6" s="12" t="s">
        <v>115</v>
      </c>
      <c r="B6" s="13" t="s">
        <v>116</v>
      </c>
      <c r="C6" s="13" t="s">
        <v>111</v>
      </c>
      <c r="D6" s="13" t="s">
        <v>117</v>
      </c>
      <c r="E6" s="13" t="s">
        <v>113</v>
      </c>
      <c r="F6" s="13"/>
      <c r="G6" s="13"/>
      <c r="H6" s="13" t="s">
        <v>114</v>
      </c>
      <c r="I6" s="13" t="s">
        <v>59</v>
      </c>
      <c r="J6" s="14" t="n">
        <f aca="false">IF(A6="","",COUNTIF('Metric to Field'!$B:$B,A6))</f>
        <v>2</v>
      </c>
      <c r="K6" s="14" t="n">
        <f aca="false">IF(A6="","",SUMPRODUCT(('Metric to Field'!$B$5:$B$64=A6)*('Metric to Field'!$F$5:$F$64)))</f>
        <v>4</v>
      </c>
    </row>
    <row r="7" customFormat="false" ht="23.85" hidden="false" customHeight="false" outlineLevel="0" collapsed="false">
      <c r="A7" s="12" t="s">
        <v>118</v>
      </c>
      <c r="B7" s="13" t="s">
        <v>119</v>
      </c>
      <c r="C7" s="13" t="s">
        <v>111</v>
      </c>
      <c r="D7" s="13" t="s">
        <v>112</v>
      </c>
      <c r="E7" s="13" t="s">
        <v>113</v>
      </c>
      <c r="F7" s="13"/>
      <c r="G7" s="13"/>
      <c r="H7" s="13" t="s">
        <v>120</v>
      </c>
      <c r="I7" s="13" t="s">
        <v>121</v>
      </c>
      <c r="J7" s="14" t="n">
        <f aca="false">IF(A7="","",COUNTIF('Metric to Field'!$B:$B,A7))</f>
        <v>1</v>
      </c>
      <c r="K7" s="14" t="n">
        <f aca="false">IF(A7="","",SUMPRODUCT(('Metric to Field'!$B$5:$B$64=A7)*('Metric to Field'!$F$5:$F$64)))</f>
        <v>3</v>
      </c>
    </row>
    <row r="8" customFormat="false" ht="15" hidden="false" customHeight="false" outlineLevel="0" collapsed="false">
      <c r="A8" s="12" t="s">
        <v>122</v>
      </c>
      <c r="B8" s="13" t="s">
        <v>123</v>
      </c>
      <c r="C8" s="13" t="s">
        <v>111</v>
      </c>
      <c r="D8" s="13" t="s">
        <v>112</v>
      </c>
      <c r="E8" s="13" t="s">
        <v>113</v>
      </c>
      <c r="F8" s="13"/>
      <c r="G8" s="13"/>
      <c r="H8" s="13" t="s">
        <v>114</v>
      </c>
      <c r="I8" s="13" t="s">
        <v>59</v>
      </c>
      <c r="J8" s="14" t="n">
        <f aca="false">IF(A8="","",COUNTIF('Metric to Field'!$B:$B,A8))</f>
        <v>1</v>
      </c>
      <c r="K8" s="14" t="n">
        <f aca="false">IF(A8="","",SUMPRODUCT(('Metric to Field'!$B$5:$B$64=A8)*('Metric to Field'!$F$5:$F$64)))</f>
        <v>3</v>
      </c>
    </row>
    <row r="9" customFormat="false" ht="35.05" hidden="false" customHeight="false" outlineLevel="0" collapsed="false">
      <c r="A9" s="12" t="s">
        <v>124</v>
      </c>
      <c r="B9" s="13" t="s">
        <v>125</v>
      </c>
      <c r="C9" s="13" t="s">
        <v>126</v>
      </c>
      <c r="D9" s="13" t="s">
        <v>127</v>
      </c>
      <c r="E9" s="13" t="s">
        <v>128</v>
      </c>
      <c r="F9" s="13" t="s">
        <v>129</v>
      </c>
      <c r="G9" s="13" t="s">
        <v>130</v>
      </c>
      <c r="H9" s="13" t="s">
        <v>131</v>
      </c>
      <c r="I9" s="13" t="s">
        <v>132</v>
      </c>
      <c r="J9" s="14" t="n">
        <f aca="false">IF(A9="","",COUNTIF('Metric to Field'!$B:$B,A9))</f>
        <v>1</v>
      </c>
      <c r="K9" s="14" t="n">
        <f aca="false">IF(A9="","",SUMPRODUCT(('Metric to Field'!$B$5:$B$64=A9)*('Metric to Field'!$F$5:$F$64)))</f>
        <v>3</v>
      </c>
    </row>
    <row r="10" customFormat="false" ht="15" hidden="false" customHeight="false" outlineLevel="0" collapsed="false">
      <c r="A10" s="12" t="s">
        <v>129</v>
      </c>
      <c r="B10" s="13" t="s">
        <v>133</v>
      </c>
      <c r="C10" s="13" t="s">
        <v>111</v>
      </c>
      <c r="D10" s="13" t="s">
        <v>134</v>
      </c>
      <c r="E10" s="13" t="s">
        <v>113</v>
      </c>
      <c r="F10" s="13"/>
      <c r="G10" s="13"/>
      <c r="H10" s="13" t="s">
        <v>131</v>
      </c>
      <c r="I10" s="13" t="s">
        <v>59</v>
      </c>
      <c r="J10" s="14" t="n">
        <f aca="false">IF(A10="","",COUNTIF('Metric to Field'!$B:$B,A10))</f>
        <v>0</v>
      </c>
      <c r="K10" s="14" t="n">
        <f aca="false">IF(A10="","",SUMPRODUCT(('Metric to Field'!$B$5:$B$64=A10)*('Metric to Field'!$F$5:$F$64)))</f>
        <v>0</v>
      </c>
    </row>
    <row r="11" customFormat="false" ht="15" hidden="false" customHeight="false" outlineLevel="0" collapsed="false">
      <c r="A11" s="12" t="s">
        <v>135</v>
      </c>
      <c r="B11" s="13" t="s">
        <v>136</v>
      </c>
      <c r="C11" s="13" t="s">
        <v>111</v>
      </c>
      <c r="D11" s="13" t="s">
        <v>134</v>
      </c>
      <c r="E11" s="13" t="s">
        <v>113</v>
      </c>
      <c r="F11" s="13"/>
      <c r="G11" s="13"/>
      <c r="H11" s="13" t="s">
        <v>114</v>
      </c>
      <c r="I11" s="13" t="s">
        <v>59</v>
      </c>
      <c r="J11" s="14" t="n">
        <f aca="false">IF(A11="","",COUNTIF('Metric to Field'!$B:$B,A11))</f>
        <v>0</v>
      </c>
      <c r="K11" s="14" t="n">
        <f aca="false">IF(A11="","",SUMPRODUCT(('Metric to Field'!$B$5:$B$64=A11)*('Metric to Field'!$F$5:$F$64)))</f>
        <v>0</v>
      </c>
    </row>
    <row r="12" customFormat="false" ht="23.85" hidden="false" customHeight="false" outlineLevel="0" collapsed="false">
      <c r="A12" s="12" t="s">
        <v>137</v>
      </c>
      <c r="B12" s="13" t="s">
        <v>138</v>
      </c>
      <c r="C12" s="13" t="s">
        <v>126</v>
      </c>
      <c r="D12" s="13" t="s">
        <v>139</v>
      </c>
      <c r="E12" s="13" t="s">
        <v>128</v>
      </c>
      <c r="F12" s="13" t="s">
        <v>140</v>
      </c>
      <c r="G12" s="13" t="s">
        <v>141</v>
      </c>
      <c r="H12" s="13" t="s">
        <v>131</v>
      </c>
      <c r="I12" s="13" t="s">
        <v>142</v>
      </c>
      <c r="J12" s="14" t="n">
        <f aca="false">IF(A12="","",COUNTIF('Metric to Field'!$B:$B,A12))</f>
        <v>1</v>
      </c>
      <c r="K12" s="14" t="n">
        <f aca="false">IF(A12="","",SUMPRODUCT(('Metric to Field'!$B$5:$B$64=A12)*('Metric to Field'!$F$5:$F$64)))</f>
        <v>1</v>
      </c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3"/>
      <c r="G13" s="13"/>
      <c r="H13" s="13"/>
      <c r="I13" s="13"/>
      <c r="J13" s="14" t="str">
        <f aca="false">IF(A13="","",COUNTIF('Metric to Field'!$B:$B,A13))</f>
        <v/>
      </c>
      <c r="K13" s="14" t="str">
        <f aca="false">IF(A13="","",SUMPRODUCT(('Metric to Field'!$B$5:$B$64=A13)*('Metric to Field'!$F$5:$F$64)))</f>
        <v/>
      </c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3"/>
      <c r="G14" s="13"/>
      <c r="H14" s="13"/>
      <c r="I14" s="13"/>
      <c r="J14" s="14" t="str">
        <f aca="false">IF(A14="","",COUNTIF('Metric to Field'!$B:$B,A14))</f>
        <v/>
      </c>
      <c r="K14" s="14" t="str">
        <f aca="false">IF(A14="","",SUMPRODUCT(('Metric to Field'!$B$5:$B$64=A14)*('Metric to Field'!$F$5:$F$64)))</f>
        <v/>
      </c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3"/>
      <c r="G15" s="13"/>
      <c r="H15" s="13"/>
      <c r="I15" s="13"/>
      <c r="J15" s="14" t="str">
        <f aca="false">IF(A15="","",COUNTIF('Metric to Field'!$B:$B,A15))</f>
        <v/>
      </c>
      <c r="K15" s="14" t="str">
        <f aca="false">IF(A15="","",SUMPRODUCT(('Metric to Field'!$B$5:$B$64=A15)*('Metric to Field'!$F$5:$F$64)))</f>
        <v/>
      </c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3"/>
      <c r="G16" s="13"/>
      <c r="H16" s="13"/>
      <c r="I16" s="13"/>
      <c r="J16" s="14" t="str">
        <f aca="false">IF(A16="","",COUNTIF('Metric to Field'!$B:$B,A16))</f>
        <v/>
      </c>
      <c r="K16" s="14" t="str">
        <f aca="false">IF(A16="","",SUMPRODUCT(('Metric to Field'!$B$5:$B$64=A16)*('Metric to Field'!$F$5:$F$64)))</f>
        <v/>
      </c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3"/>
      <c r="G17" s="13"/>
      <c r="H17" s="13"/>
      <c r="I17" s="13"/>
      <c r="J17" s="14" t="str">
        <f aca="false">IF(A17="","",COUNTIF('Metric to Field'!$B:$B,A17))</f>
        <v/>
      </c>
      <c r="K17" s="14" t="str">
        <f aca="false">IF(A17="","",SUMPRODUCT(('Metric to Field'!$B$5:$B$64=A17)*('Metric to Field'!$F$5:$F$64)))</f>
        <v/>
      </c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3"/>
      <c r="G18" s="13"/>
      <c r="H18" s="13"/>
      <c r="I18" s="13"/>
      <c r="J18" s="14" t="str">
        <f aca="false">IF(A18="","",COUNTIF('Metric to Field'!$B:$B,A18))</f>
        <v/>
      </c>
      <c r="K18" s="14" t="str">
        <f aca="false">IF(A18="","",SUMPRODUCT(('Metric to Field'!$B$5:$B$64=A18)*('Metric to Field'!$F$5:$F$64)))</f>
        <v/>
      </c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3"/>
      <c r="G19" s="13"/>
      <c r="H19" s="13"/>
      <c r="I19" s="13"/>
      <c r="J19" s="14" t="str">
        <f aca="false">IF(A19="","",COUNTIF('Metric to Field'!$B:$B,A19))</f>
        <v/>
      </c>
      <c r="K19" s="14" t="str">
        <f aca="false">IF(A19="","",SUMPRODUCT(('Metric to Field'!$B$5:$B$64=A19)*('Metric to Field'!$F$5:$F$64)))</f>
        <v/>
      </c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  <c r="G20" s="13"/>
      <c r="H20" s="13"/>
      <c r="I20" s="13"/>
      <c r="J20" s="14" t="str">
        <f aca="false">IF(A20="","",COUNTIF('Metric to Field'!$B:$B,A20))</f>
        <v/>
      </c>
      <c r="K20" s="14" t="str">
        <f aca="false">IF(A20="","",SUMPRODUCT(('Metric to Field'!$B$5:$B$64=A20)*('Metric to Field'!$F$5:$F$64)))</f>
        <v/>
      </c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3"/>
      <c r="G21" s="13"/>
      <c r="H21" s="13"/>
      <c r="I21" s="13"/>
      <c r="J21" s="14" t="str">
        <f aca="false">IF(A21="","",COUNTIF('Metric to Field'!$B:$B,A21))</f>
        <v/>
      </c>
      <c r="K21" s="14" t="str">
        <f aca="false">IF(A21="","",SUMPRODUCT(('Metric to Field'!$B$5:$B$64=A21)*('Metric to Field'!$F$5:$F$64)))</f>
        <v/>
      </c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3"/>
      <c r="G22" s="13"/>
      <c r="H22" s="13"/>
      <c r="I22" s="13"/>
      <c r="J22" s="14" t="str">
        <f aca="false">IF(A22="","",COUNTIF('Metric to Field'!$B:$B,A22))</f>
        <v/>
      </c>
      <c r="K22" s="14" t="str">
        <f aca="false">IF(A22="","",SUMPRODUCT(('Metric to Field'!$B$5:$B$64=A22)*('Metric to Field'!$F$5:$F$64)))</f>
        <v/>
      </c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3"/>
      <c r="G23" s="13"/>
      <c r="H23" s="13"/>
      <c r="I23" s="13"/>
      <c r="J23" s="14" t="str">
        <f aca="false">IF(A23="","",COUNTIF('Metric to Field'!$B:$B,A23))</f>
        <v/>
      </c>
      <c r="K23" s="14" t="str">
        <f aca="false">IF(A23="","",SUMPRODUCT(('Metric to Field'!$B$5:$B$64=A23)*('Metric to Field'!$F$5:$F$64)))</f>
        <v/>
      </c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3"/>
      <c r="G24" s="13"/>
      <c r="H24" s="13"/>
      <c r="I24" s="13"/>
      <c r="J24" s="14" t="str">
        <f aca="false">IF(A24="","",COUNTIF('Metric to Field'!$B:$B,A24))</f>
        <v/>
      </c>
      <c r="K24" s="14" t="str">
        <f aca="false">IF(A24="","",SUMPRODUCT(('Metric to Field'!$B$5:$B$64=A24)*('Metric to Field'!$F$5:$F$64)))</f>
        <v/>
      </c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3"/>
      <c r="G25" s="13"/>
      <c r="H25" s="13"/>
      <c r="I25" s="13"/>
      <c r="J25" s="14" t="str">
        <f aca="false">IF(A25="","",COUNTIF('Metric to Field'!$B:$B,A25))</f>
        <v/>
      </c>
      <c r="K25" s="14" t="str">
        <f aca="false">IF(A25="","",SUMPRODUCT(('Metric to Field'!$B$5:$B$64=A25)*('Metric to Field'!$F$5:$F$64)))</f>
        <v/>
      </c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3"/>
      <c r="G26" s="13"/>
      <c r="H26" s="13"/>
      <c r="I26" s="13"/>
      <c r="J26" s="14" t="str">
        <f aca="false">IF(A26="","",COUNTIF('Metric to Field'!$B:$B,A26))</f>
        <v/>
      </c>
      <c r="K26" s="14" t="str">
        <f aca="false">IF(A26="","",SUMPRODUCT(('Metric to Field'!$B$5:$B$64=A26)*('Metric to Field'!$F$5:$F$64)))</f>
        <v/>
      </c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3"/>
      <c r="G27" s="13"/>
      <c r="H27" s="13"/>
      <c r="I27" s="13"/>
      <c r="J27" s="14" t="str">
        <f aca="false">IF(A27="","",COUNTIF('Metric to Field'!$B:$B,A27))</f>
        <v/>
      </c>
      <c r="K27" s="14" t="str">
        <f aca="false">IF(A27="","",SUMPRODUCT(('Metric to Field'!$B$5:$B$64=A27)*('Metric to Field'!$F$5:$F$64)))</f>
        <v/>
      </c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3"/>
      <c r="G28" s="13"/>
      <c r="H28" s="13"/>
      <c r="I28" s="13"/>
      <c r="J28" s="14" t="str">
        <f aca="false">IF(A28="","",COUNTIF('Metric to Field'!$B:$B,A28))</f>
        <v/>
      </c>
      <c r="K28" s="14" t="str">
        <f aca="false">IF(A28="","",SUMPRODUCT(('Metric to Field'!$B$5:$B$64=A28)*('Metric to Field'!$F$5:$F$64)))</f>
        <v/>
      </c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3"/>
      <c r="G29" s="13"/>
      <c r="H29" s="13"/>
      <c r="I29" s="13"/>
      <c r="J29" s="14" t="str">
        <f aca="false">IF(A29="","",COUNTIF('Metric to Field'!$B:$B,A29))</f>
        <v/>
      </c>
      <c r="K29" s="14" t="str">
        <f aca="false">IF(A29="","",SUMPRODUCT(('Metric to Field'!$B$5:$B$64=A29)*('Metric to Field'!$F$5:$F$64)))</f>
        <v/>
      </c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3"/>
      <c r="G30" s="13"/>
      <c r="H30" s="13"/>
      <c r="I30" s="13"/>
      <c r="J30" s="14" t="str">
        <f aca="false">IF(A30="","",COUNTIF('Metric to Field'!$B:$B,A30))</f>
        <v/>
      </c>
      <c r="K30" s="14" t="str">
        <f aca="false">IF(A30="","",SUMPRODUCT(('Metric to Field'!$B$5:$B$64=A30)*('Metric to Field'!$F$5:$F$64)))</f>
        <v/>
      </c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3"/>
      <c r="G31" s="13"/>
      <c r="H31" s="13"/>
      <c r="I31" s="13"/>
      <c r="J31" s="14" t="str">
        <f aca="false">IF(A31="","",COUNTIF('Metric to Field'!$B:$B,A31))</f>
        <v/>
      </c>
      <c r="K31" s="14" t="str">
        <f aca="false">IF(A31="","",SUMPRODUCT(('Metric to Field'!$B$5:$B$64=A31)*('Metric to Field'!$F$5:$F$64)))</f>
        <v/>
      </c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3"/>
      <c r="G32" s="13"/>
      <c r="H32" s="13"/>
      <c r="I32" s="13"/>
      <c r="J32" s="14" t="str">
        <f aca="false">IF(A32="","",COUNTIF('Metric to Field'!$B:$B,A32))</f>
        <v/>
      </c>
      <c r="K32" s="14" t="str">
        <f aca="false">IF(A32="","",SUMPRODUCT(('Metric to Field'!$B$5:$B$64=A32)*('Metric to Field'!$F$5:$F$64)))</f>
        <v/>
      </c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3"/>
      <c r="G33" s="13"/>
      <c r="H33" s="13"/>
      <c r="I33" s="13"/>
      <c r="J33" s="14" t="str">
        <f aca="false">IF(A33="","",COUNTIF('Metric to Field'!$B:$B,A33))</f>
        <v/>
      </c>
      <c r="K33" s="14" t="str">
        <f aca="false">IF(A33="","",SUMPRODUCT(('Metric to Field'!$B$5:$B$64=A33)*('Metric to Field'!$F$5:$F$64)))</f>
        <v/>
      </c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3"/>
      <c r="G34" s="13"/>
      <c r="H34" s="13"/>
      <c r="I34" s="13"/>
      <c r="J34" s="14" t="str">
        <f aca="false">IF(A34="","",COUNTIF('Metric to Field'!$B:$B,A34))</f>
        <v/>
      </c>
      <c r="K34" s="14" t="str">
        <f aca="false">IF(A34="","",SUMPRODUCT(('Metric to Field'!$B$5:$B$64=A34)*('Metric to Field'!$F$5:$F$64)))</f>
        <v/>
      </c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3"/>
      <c r="G35" s="13"/>
      <c r="H35" s="13"/>
      <c r="I35" s="13"/>
      <c r="J35" s="14" t="str">
        <f aca="false">IF(A35="","",COUNTIF('Metric to Field'!$B:$B,A35))</f>
        <v/>
      </c>
      <c r="K35" s="14" t="str">
        <f aca="false">IF(A35="","",SUMPRODUCT(('Metric to Field'!$B$5:$B$64=A35)*('Metric to Field'!$F$5:$F$64)))</f>
        <v/>
      </c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3"/>
      <c r="G36" s="13"/>
      <c r="H36" s="13"/>
      <c r="I36" s="13"/>
      <c r="J36" s="14" t="str">
        <f aca="false">IF(A36="","",COUNTIF('Metric to Field'!$B:$B,A36))</f>
        <v/>
      </c>
      <c r="K36" s="14" t="str">
        <f aca="false">IF(A36="","",SUMPRODUCT(('Metric to Field'!$B$5:$B$64=A36)*('Metric to Field'!$F$5:$F$64)))</f>
        <v/>
      </c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3"/>
      <c r="G37" s="13"/>
      <c r="H37" s="13"/>
      <c r="I37" s="13"/>
      <c r="J37" s="14" t="str">
        <f aca="false">IF(A37="","",COUNTIF('Metric to Field'!$B:$B,A37))</f>
        <v/>
      </c>
      <c r="K37" s="14" t="str">
        <f aca="false">IF(A37="","",SUMPRODUCT(('Metric to Field'!$B$5:$B$64=A37)*('Metric to Field'!$F$5:$F$64)))</f>
        <v/>
      </c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3"/>
      <c r="G38" s="13"/>
      <c r="H38" s="13"/>
      <c r="I38" s="13"/>
      <c r="J38" s="14" t="str">
        <f aca="false">IF(A38="","",COUNTIF('Metric to Field'!$B:$B,A38))</f>
        <v/>
      </c>
      <c r="K38" s="14" t="str">
        <f aca="false">IF(A38="","",SUMPRODUCT(('Metric to Field'!$B$5:$B$64=A38)*('Metric to Field'!$F$5:$F$64)))</f>
        <v/>
      </c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3"/>
      <c r="G39" s="13"/>
      <c r="H39" s="13"/>
      <c r="I39" s="13"/>
      <c r="J39" s="14" t="str">
        <f aca="false">IF(A39="","",COUNTIF('Metric to Field'!$B:$B,A39))</f>
        <v/>
      </c>
      <c r="K39" s="14" t="str">
        <f aca="false">IF(A39="","",SUMPRODUCT(('Metric to Field'!$B$5:$B$64=A39)*('Metric to Field'!$F$5:$F$64)))</f>
        <v/>
      </c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3"/>
      <c r="G40" s="13"/>
      <c r="H40" s="13"/>
      <c r="I40" s="13"/>
      <c r="J40" s="14" t="str">
        <f aca="false">IF(A40="","",COUNTIF('Metric to Field'!$B:$B,A40))</f>
        <v/>
      </c>
      <c r="K40" s="14" t="str">
        <f aca="false">IF(A40="","",SUMPRODUCT(('Metric to Field'!$B$5:$B$64=A40)*('Metric to Field'!$F$5:$F$64)))</f>
        <v/>
      </c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3"/>
      <c r="G41" s="13"/>
      <c r="H41" s="13"/>
      <c r="I41" s="13"/>
      <c r="J41" s="14" t="str">
        <f aca="false">IF(A41="","",COUNTIF('Metric to Field'!$B:$B,A41))</f>
        <v/>
      </c>
      <c r="K41" s="14" t="str">
        <f aca="false">IF(A41="","",SUMPRODUCT(('Metric to Field'!$B$5:$B$64=A41)*('Metric to Field'!$F$5:$F$64)))</f>
        <v/>
      </c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3"/>
      <c r="G42" s="13"/>
      <c r="H42" s="13"/>
      <c r="I42" s="13"/>
      <c r="J42" s="14" t="str">
        <f aca="false">IF(A42="","",COUNTIF('Metric to Field'!$B:$B,A42))</f>
        <v/>
      </c>
      <c r="K42" s="14" t="str">
        <f aca="false">IF(A42="","",SUMPRODUCT(('Metric to Field'!$B$5:$B$64=A42)*('Metric to Field'!$F$5:$F$64)))</f>
        <v/>
      </c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3"/>
      <c r="G43" s="13"/>
      <c r="H43" s="13"/>
      <c r="I43" s="13"/>
      <c r="J43" s="14" t="str">
        <f aca="false">IF(A43="","",COUNTIF('Metric to Field'!$B:$B,A43))</f>
        <v/>
      </c>
      <c r="K43" s="14" t="str">
        <f aca="false">IF(A43="","",SUMPRODUCT(('Metric to Field'!$B$5:$B$64=A43)*('Metric to Field'!$F$5:$F$64)))</f>
        <v/>
      </c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3"/>
      <c r="G44" s="13"/>
      <c r="H44" s="13"/>
      <c r="I44" s="13"/>
      <c r="J44" s="14" t="str">
        <f aca="false">IF(A44="","",COUNTIF('Metric to Field'!$B:$B,A44))</f>
        <v/>
      </c>
      <c r="K44" s="14" t="str">
        <f aca="false">IF(A44="","",SUMPRODUCT(('Metric to Field'!$B$5:$B$64=A44)*('Metric to Field'!$F$5:$F$64)))</f>
        <v/>
      </c>
    </row>
    <row r="45" customFormat="false" ht="15" hidden="false" customHeight="false" outlineLevel="0" collapsed="false">
      <c r="A45" s="12"/>
      <c r="B45" s="13"/>
      <c r="C45" s="13"/>
      <c r="D45" s="13"/>
      <c r="E45" s="13"/>
      <c r="F45" s="13"/>
      <c r="G45" s="13"/>
      <c r="H45" s="13"/>
      <c r="I45" s="13"/>
      <c r="J45" s="14" t="str">
        <f aca="false">IF(A45="","",COUNTIF('Metric to Field'!$B:$B,A45))</f>
        <v/>
      </c>
      <c r="K45" s="14" t="str">
        <f aca="false">IF(A45="","",SUMPRODUCT(('Metric to Field'!$B$5:$B$64=A45)*('Metric to Field'!$F$5:$F$64)))</f>
        <v/>
      </c>
    </row>
    <row r="46" customFormat="false" ht="15" hidden="false" customHeight="false" outlineLevel="0" collapsed="false">
      <c r="A46" s="12"/>
      <c r="B46" s="13"/>
      <c r="C46" s="13"/>
      <c r="D46" s="13"/>
      <c r="E46" s="13"/>
      <c r="F46" s="13"/>
      <c r="G46" s="13"/>
      <c r="H46" s="13"/>
      <c r="I46" s="13"/>
      <c r="J46" s="14" t="str">
        <f aca="false">IF(A46="","",COUNTIF('Metric to Field'!$B:$B,A46))</f>
        <v/>
      </c>
      <c r="K46" s="14" t="str">
        <f aca="false">IF(A46="","",SUMPRODUCT(('Metric to Field'!$B$5:$B$64=A46)*('Metric to Field'!$F$5:$F$64)))</f>
        <v/>
      </c>
    </row>
    <row r="47" customFormat="false" ht="15" hidden="false" customHeight="false" outlineLevel="0" collapsed="false">
      <c r="A47" s="12"/>
      <c r="B47" s="13"/>
      <c r="C47" s="13"/>
      <c r="D47" s="13"/>
      <c r="E47" s="13"/>
      <c r="F47" s="13"/>
      <c r="G47" s="13"/>
      <c r="H47" s="13"/>
      <c r="I47" s="13"/>
      <c r="J47" s="14" t="str">
        <f aca="false">IF(A47="","",COUNTIF('Metric to Field'!$B:$B,A47))</f>
        <v/>
      </c>
      <c r="K47" s="14" t="str">
        <f aca="false">IF(A47="","",SUMPRODUCT(('Metric to Field'!$B$5:$B$64=A47)*('Metric to Field'!$F$5:$F$64)))</f>
        <v/>
      </c>
    </row>
    <row r="48" customFormat="false" ht="15" hidden="false" customHeight="false" outlineLevel="0" collapsed="false">
      <c r="A48" s="12"/>
      <c r="B48" s="13"/>
      <c r="C48" s="13"/>
      <c r="D48" s="13"/>
      <c r="E48" s="13"/>
      <c r="F48" s="13"/>
      <c r="G48" s="13"/>
      <c r="H48" s="13"/>
      <c r="I48" s="13"/>
      <c r="J48" s="14" t="str">
        <f aca="false">IF(A48="","",COUNTIF('Metric to Field'!$B:$B,A48))</f>
        <v/>
      </c>
      <c r="K48" s="14" t="str">
        <f aca="false">IF(A48="","",SUMPRODUCT(('Metric to Field'!$B$5:$B$64=A48)*('Metric to Field'!$F$5:$F$64)))</f>
        <v/>
      </c>
    </row>
    <row r="49" customFormat="false" ht="15" hidden="false" customHeight="false" outlineLevel="0" collapsed="false">
      <c r="A49" s="12"/>
      <c r="B49" s="13"/>
      <c r="C49" s="13"/>
      <c r="D49" s="13"/>
      <c r="E49" s="13"/>
      <c r="F49" s="13"/>
      <c r="G49" s="13"/>
      <c r="H49" s="13"/>
      <c r="I49" s="13"/>
      <c r="J49" s="14" t="str">
        <f aca="false">IF(A49="","",COUNTIF('Metric to Field'!$B:$B,A49))</f>
        <v/>
      </c>
      <c r="K49" s="14" t="str">
        <f aca="false">IF(A49="","",SUMPRODUCT(('Metric to Field'!$B$5:$B$64=A49)*('Metric to Field'!$F$5:$F$64)))</f>
        <v/>
      </c>
    </row>
    <row r="50" customFormat="false" ht="15" hidden="false" customHeight="false" outlineLevel="0" collapsed="false">
      <c r="A50" s="12"/>
      <c r="B50" s="13"/>
      <c r="C50" s="13"/>
      <c r="D50" s="13"/>
      <c r="E50" s="13"/>
      <c r="F50" s="13"/>
      <c r="G50" s="13"/>
      <c r="H50" s="13"/>
      <c r="I50" s="13"/>
      <c r="J50" s="14" t="str">
        <f aca="false">IF(A50="","",COUNTIF('Metric to Field'!$B:$B,A50))</f>
        <v/>
      </c>
      <c r="K50" s="14" t="str">
        <f aca="false">IF(A50="","",SUMPRODUCT(('Metric to Field'!$B$5:$B$64=A50)*('Metric to Field'!$F$5:$F$64)))</f>
        <v/>
      </c>
    </row>
    <row r="51" customFormat="false" ht="15" hidden="false" customHeight="false" outlineLevel="0" collapsed="false">
      <c r="A51" s="12"/>
      <c r="B51" s="13"/>
      <c r="C51" s="13"/>
      <c r="D51" s="13"/>
      <c r="E51" s="13"/>
      <c r="F51" s="13"/>
      <c r="G51" s="13"/>
      <c r="H51" s="13"/>
      <c r="I51" s="13"/>
      <c r="J51" s="14" t="str">
        <f aca="false">IF(A51="","",COUNTIF('Metric to Field'!$B:$B,A51))</f>
        <v/>
      </c>
      <c r="K51" s="14" t="str">
        <f aca="false">IF(A51="","",SUMPRODUCT(('Metric to Field'!$B$5:$B$64=A51)*('Metric to Field'!$F$5:$F$64)))</f>
        <v/>
      </c>
    </row>
    <row r="52" customFormat="false" ht="15" hidden="false" customHeight="false" outlineLevel="0" collapsed="false">
      <c r="A52" s="12"/>
      <c r="B52" s="13"/>
      <c r="C52" s="13"/>
      <c r="D52" s="13"/>
      <c r="E52" s="13"/>
      <c r="F52" s="13"/>
      <c r="G52" s="13"/>
      <c r="H52" s="13"/>
      <c r="I52" s="13"/>
      <c r="J52" s="14" t="str">
        <f aca="false">IF(A52="","",COUNTIF('Metric to Field'!$B:$B,A52))</f>
        <v/>
      </c>
      <c r="K52" s="14" t="str">
        <f aca="false">IF(A52="","",SUMPRODUCT(('Metric to Field'!$B$5:$B$64=A52)*('Metric to Field'!$F$5:$F$64)))</f>
        <v/>
      </c>
    </row>
    <row r="53" customFormat="false" ht="15" hidden="false" customHeight="false" outlineLevel="0" collapsed="false">
      <c r="A53" s="12"/>
      <c r="B53" s="13"/>
      <c r="C53" s="13"/>
      <c r="D53" s="13"/>
      <c r="E53" s="13"/>
      <c r="F53" s="13"/>
      <c r="G53" s="13"/>
      <c r="H53" s="13"/>
      <c r="I53" s="13"/>
      <c r="J53" s="14" t="str">
        <f aca="false">IF(A53="","",COUNTIF('Metric to Field'!$B:$B,A53))</f>
        <v/>
      </c>
      <c r="K53" s="14" t="str">
        <f aca="false">IF(A53="","",SUMPRODUCT(('Metric to Field'!$B$5:$B$64=A53)*('Metric to Field'!$F$5:$F$64)))</f>
        <v/>
      </c>
    </row>
    <row r="54" customFormat="false" ht="15" hidden="false" customHeight="false" outlineLevel="0" collapsed="false">
      <c r="A54" s="12"/>
      <c r="B54" s="13"/>
      <c r="C54" s="13"/>
      <c r="D54" s="13"/>
      <c r="E54" s="13"/>
      <c r="F54" s="13"/>
      <c r="G54" s="13"/>
      <c r="H54" s="13"/>
      <c r="I54" s="13"/>
      <c r="J54" s="14" t="str">
        <f aca="false">IF(A54="","",COUNTIF('Metric to Field'!$B:$B,A54))</f>
        <v/>
      </c>
      <c r="K54" s="14" t="str">
        <f aca="false">IF(A54="","",SUMPRODUCT(('Metric to Field'!$B$5:$B$64=A54)*('Metric to Field'!$F$5:$F$64)))</f>
        <v/>
      </c>
    </row>
    <row r="55" customFormat="false" ht="15" hidden="false" customHeight="false" outlineLevel="0" collapsed="false">
      <c r="A55" s="12"/>
      <c r="B55" s="13"/>
      <c r="C55" s="13"/>
      <c r="D55" s="13"/>
      <c r="E55" s="13"/>
      <c r="F55" s="13"/>
      <c r="G55" s="13"/>
      <c r="H55" s="13"/>
      <c r="I55" s="13"/>
      <c r="J55" s="14" t="str">
        <f aca="false">IF(A55="","",COUNTIF('Metric to Field'!$B:$B,A55))</f>
        <v/>
      </c>
      <c r="K55" s="14" t="str">
        <f aca="false">IF(A55="","",SUMPRODUCT(('Metric to Field'!$B$5:$B$64=A55)*('Metric to Field'!$F$5:$F$64)))</f>
        <v/>
      </c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3"/>
      <c r="G56" s="13"/>
      <c r="H56" s="13"/>
      <c r="I56" s="13"/>
      <c r="J56" s="14" t="str">
        <f aca="false">IF(A56="","",COUNTIF('Metric to Field'!$B:$B,A56))</f>
        <v/>
      </c>
      <c r="K56" s="14" t="str">
        <f aca="false">IF(A56="","",SUMPRODUCT(('Metric to Field'!$B$5:$B$64=A56)*('Metric to Field'!$F$5:$F$64)))</f>
        <v/>
      </c>
    </row>
    <row r="57" customFormat="false" ht="15" hidden="false" customHeight="false" outlineLevel="0" collapsed="false">
      <c r="A57" s="12"/>
      <c r="B57" s="13"/>
      <c r="C57" s="13"/>
      <c r="D57" s="13"/>
      <c r="E57" s="13"/>
      <c r="F57" s="13"/>
      <c r="G57" s="13"/>
      <c r="H57" s="13"/>
      <c r="I57" s="13"/>
      <c r="J57" s="14" t="str">
        <f aca="false">IF(A57="","",COUNTIF('Metric to Field'!$B:$B,A57))</f>
        <v/>
      </c>
      <c r="K57" s="14" t="str">
        <f aca="false">IF(A57="","",SUMPRODUCT(('Metric to Field'!$B$5:$B$64=A57)*('Metric to Field'!$F$5:$F$64)))</f>
        <v/>
      </c>
    </row>
    <row r="58" customFormat="false" ht="15" hidden="false" customHeight="false" outlineLevel="0" collapsed="false">
      <c r="A58" s="12"/>
      <c r="B58" s="13"/>
      <c r="C58" s="13"/>
      <c r="D58" s="13"/>
      <c r="E58" s="13"/>
      <c r="F58" s="13"/>
      <c r="G58" s="13"/>
      <c r="H58" s="13"/>
      <c r="I58" s="13"/>
      <c r="J58" s="14" t="str">
        <f aca="false">IF(A58="","",COUNTIF('Metric to Field'!$B:$B,A58))</f>
        <v/>
      </c>
      <c r="K58" s="14" t="str">
        <f aca="false">IF(A58="","",SUMPRODUCT(('Metric to Field'!$B$5:$B$64=A58)*('Metric to Field'!$F$5:$F$64)))</f>
        <v/>
      </c>
    </row>
    <row r="59" customFormat="false" ht="15" hidden="false" customHeight="false" outlineLevel="0" collapsed="false">
      <c r="A59" s="12"/>
      <c r="B59" s="13"/>
      <c r="C59" s="13"/>
      <c r="D59" s="13"/>
      <c r="E59" s="13"/>
      <c r="F59" s="13"/>
      <c r="G59" s="13"/>
      <c r="H59" s="13"/>
      <c r="I59" s="13"/>
      <c r="J59" s="14" t="str">
        <f aca="false">IF(A59="","",COUNTIF('Metric to Field'!$B:$B,A59))</f>
        <v/>
      </c>
      <c r="K59" s="14" t="str">
        <f aca="false">IF(A59="","",SUMPRODUCT(('Metric to Field'!$B$5:$B$64=A59)*('Metric to Field'!$F$5:$F$64)))</f>
        <v/>
      </c>
    </row>
    <row r="60" customFormat="false" ht="15" hidden="false" customHeight="false" outlineLevel="0" collapsed="false">
      <c r="A60" s="12"/>
      <c r="B60" s="13"/>
      <c r="C60" s="13"/>
      <c r="D60" s="13"/>
      <c r="E60" s="13"/>
      <c r="F60" s="13"/>
      <c r="G60" s="13"/>
      <c r="H60" s="13"/>
      <c r="I60" s="13"/>
      <c r="J60" s="14" t="str">
        <f aca="false">IF(A60="","",COUNTIF('Metric to Field'!$B:$B,A60))</f>
        <v/>
      </c>
      <c r="K60" s="14" t="str">
        <f aca="false">IF(A60="","",SUMPRODUCT(('Metric to Field'!$B$5:$B$64=A60)*('Metric to Field'!$F$5:$F$64)))</f>
        <v/>
      </c>
    </row>
    <row r="61" customFormat="false" ht="15" hidden="false" customHeight="false" outlineLevel="0" collapsed="false">
      <c r="A61" s="12"/>
      <c r="B61" s="13"/>
      <c r="C61" s="13"/>
      <c r="D61" s="13"/>
      <c r="E61" s="13"/>
      <c r="F61" s="13"/>
      <c r="G61" s="13"/>
      <c r="H61" s="13"/>
      <c r="I61" s="13"/>
      <c r="J61" s="14" t="str">
        <f aca="false">IF(A61="","",COUNTIF('Metric to Field'!$B:$B,A61))</f>
        <v/>
      </c>
      <c r="K61" s="14" t="str">
        <f aca="false">IF(A61="","",SUMPRODUCT(('Metric to Field'!$B$5:$B$64=A61)*('Metric to Field'!$F$5:$F$64)))</f>
        <v/>
      </c>
    </row>
    <row r="62" customFormat="false" ht="15" hidden="false" customHeight="false" outlineLevel="0" collapsed="false">
      <c r="A62" s="12"/>
      <c r="B62" s="13"/>
      <c r="C62" s="13"/>
      <c r="D62" s="13"/>
      <c r="E62" s="13"/>
      <c r="F62" s="13"/>
      <c r="G62" s="13"/>
      <c r="H62" s="13"/>
      <c r="I62" s="13"/>
      <c r="J62" s="14" t="str">
        <f aca="false">IF(A62="","",COUNTIF('Metric to Field'!$B:$B,A62))</f>
        <v/>
      </c>
      <c r="K62" s="14" t="str">
        <f aca="false">IF(A62="","",SUMPRODUCT(('Metric to Field'!$B$5:$B$64=A62)*('Metric to Field'!$F$5:$F$64)))</f>
        <v/>
      </c>
    </row>
    <row r="63" customFormat="false" ht="15" hidden="false" customHeight="false" outlineLevel="0" collapsed="false">
      <c r="A63" s="12"/>
      <c r="B63" s="13"/>
      <c r="C63" s="13"/>
      <c r="D63" s="13"/>
      <c r="E63" s="13"/>
      <c r="F63" s="13"/>
      <c r="G63" s="13"/>
      <c r="H63" s="13"/>
      <c r="I63" s="13"/>
      <c r="J63" s="14" t="str">
        <f aca="false">IF(A63="","",COUNTIF('Metric to Field'!$B:$B,A63))</f>
        <v/>
      </c>
      <c r="K63" s="14" t="str">
        <f aca="false">IF(A63="","",SUMPRODUCT(('Metric to Field'!$B$5:$B$64=A63)*('Metric to Field'!$F$5:$F$64)))</f>
        <v/>
      </c>
    </row>
    <row r="64" customFormat="false" ht="15" hidden="false" customHeight="false" outlineLevel="0" collapsed="false">
      <c r="A64" s="12"/>
      <c r="B64" s="13"/>
      <c r="C64" s="13"/>
      <c r="D64" s="13"/>
      <c r="E64" s="13"/>
      <c r="F64" s="13"/>
      <c r="G64" s="13"/>
      <c r="H64" s="13"/>
      <c r="I64" s="13"/>
      <c r="J64" s="14" t="str">
        <f aca="false">IF(A64="","",COUNTIF('Metric to Field'!$B:$B,A64))</f>
        <v/>
      </c>
      <c r="K64" s="14" t="str">
        <f aca="false">IF(A64="","",SUMPRODUCT(('Metric to Field'!$B$5:$B$64=A64)*('Metric to Field'!$F$5:$F$64)))</f>
        <v/>
      </c>
    </row>
  </sheetData>
  <autoFilter ref="A4:K64"/>
  <conditionalFormatting sqref="H5:H64">
    <cfRule type="cellIs" priority="2" operator="equal" aboveAverage="0" equalAverage="0" bottom="0" percent="0" rank="0" text="" dxfId="10">
      <formula>"Issue"</formula>
    </cfRule>
    <cfRule type="cellIs" priority="3" operator="equal" aboveAverage="0" equalAverage="0" bottom="0" percent="0" rank="0" text="" dxfId="13">
      <formula>"Clean"</formula>
    </cfRule>
  </conditionalFormatting>
  <conditionalFormatting sqref="A5:K64">
    <cfRule type="expression" priority="4" aboveAverage="0" equalAverage="0" bottom="0" percent="0" rank="0" text="" dxfId="14">
      <formula>$C5="Derived"</formula>
    </cfRule>
  </conditionalFormatting>
  <dataValidations count="3">
    <dataValidation allowBlank="true" errorStyle="stop" operator="between" showDropDown="false" showErrorMessage="false" showInputMessage="false" sqref="C5:C64" type="list">
      <formula1>"Raw,Derived"</formula1>
      <formula2>0</formula2>
    </dataValidation>
    <dataValidation allowBlank="true" errorStyle="stop" operator="between" showDropDown="false" showErrorMessage="false" showInputMessage="false" sqref="E5:E64" type="list">
      <formula1>"HRDW,Team custom,Platform,Other"</formula1>
      <formula2>0</formula2>
    </dataValidation>
    <dataValidation allowBlank="true" errorStyle="stop" operator="between" showDropDown="false" showErrorMessage="false" showInputMessage="false" sqref="H5:H64" type="list">
      <formula1>"Clean,Issue,Unknown"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tru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143</v>
      </c>
    </row>
    <row r="4" customFormat="false" ht="30" hidden="false" customHeight="true" outlineLevel="0" collapsed="false">
      <c r="A4" s="11" t="s">
        <v>68</v>
      </c>
      <c r="B4" s="11" t="s">
        <v>99</v>
      </c>
      <c r="C4" s="11" t="s">
        <v>69</v>
      </c>
      <c r="D4" s="11" t="s">
        <v>100</v>
      </c>
      <c r="E4" s="11" t="s">
        <v>144</v>
      </c>
      <c r="F4" s="11" t="s">
        <v>145</v>
      </c>
      <c r="G4" s="11" t="s">
        <v>53</v>
      </c>
    </row>
    <row r="5" customFormat="false" ht="15" hidden="false" customHeight="false" outlineLevel="0" collapsed="false">
      <c r="A5" s="12" t="s">
        <v>77</v>
      </c>
      <c r="B5" s="12" t="s">
        <v>109</v>
      </c>
      <c r="C5" s="15" t="str">
        <f aca="false">IF(A5="","",IFERROR(INDEX(Metrics!$B:$B,MATCH(A5,Metrics!$A:$A,0)),"ID not found"))</f>
        <v>Cycle time (approved to accepted)</v>
      </c>
      <c r="D5" s="15" t="str">
        <f aca="false">IF(B5="","",IFERROR(INDEX(Fields!$B:$B,MATCH(B5,Fields!$A:$A,0)),"ID not found"))</f>
        <v>Requisition approved date</v>
      </c>
      <c r="E5" s="13" t="s">
        <v>146</v>
      </c>
      <c r="F5" s="14" t="n">
        <f aca="false">IF(A5="",0,COUNTIF('Metric to Product'!$A:$A,A5))</f>
        <v>3</v>
      </c>
      <c r="G5" s="13" t="s">
        <v>59</v>
      </c>
    </row>
    <row r="6" customFormat="false" ht="15" hidden="false" customHeight="false" outlineLevel="0" collapsed="false">
      <c r="A6" s="12" t="s">
        <v>77</v>
      </c>
      <c r="B6" s="12" t="s">
        <v>115</v>
      </c>
      <c r="C6" s="15" t="str">
        <f aca="false">IF(A6="","",IFERROR(INDEX(Metrics!$B:$B,MATCH(A6,Metrics!$A:$A,0)),"ID not found"))</f>
        <v>Cycle time (approved to accepted)</v>
      </c>
      <c r="D6" s="15" t="str">
        <f aca="false">IF(B6="","",IFERROR(INDEX(Fields!$B:$B,MATCH(B6,Fields!$A:$A,0)),"ID not found"))</f>
        <v>Offer accepted date</v>
      </c>
      <c r="E6" s="13" t="s">
        <v>147</v>
      </c>
      <c r="F6" s="14" t="n">
        <f aca="false">IF(A6="",0,COUNTIF('Metric to Product'!$A:$A,A6))</f>
        <v>3</v>
      </c>
      <c r="G6" s="13" t="s">
        <v>59</v>
      </c>
    </row>
    <row r="7" customFormat="false" ht="15" hidden="false" customHeight="false" outlineLevel="0" collapsed="false">
      <c r="A7" s="12" t="s">
        <v>77</v>
      </c>
      <c r="B7" s="12" t="s">
        <v>118</v>
      </c>
      <c r="C7" s="15" t="str">
        <f aca="false">IF(A7="","",IFERROR(INDEX(Metrics!$B:$B,MATCH(A7,Metrics!$A:$A,0)),"ID not found"))</f>
        <v>Cycle time (approved to accepted)</v>
      </c>
      <c r="D7" s="15" t="str">
        <f aca="false">IF(B7="","",IFERROR(INDEX(Fields!$B:$B,MATCH(B7,Fields!$A:$A,0)),"ID not found"))</f>
        <v>Evergreen flag</v>
      </c>
      <c r="E7" s="13" t="s">
        <v>148</v>
      </c>
      <c r="F7" s="14" t="n">
        <f aca="false">IF(A7="",0,COUNTIF('Metric to Product'!$A:$A,A7))</f>
        <v>3</v>
      </c>
      <c r="G7" s="13" t="s">
        <v>59</v>
      </c>
    </row>
    <row r="8" customFormat="false" ht="15" hidden="false" customHeight="false" outlineLevel="0" collapsed="false">
      <c r="A8" s="12" t="s">
        <v>77</v>
      </c>
      <c r="B8" s="12" t="s">
        <v>122</v>
      </c>
      <c r="C8" s="15" t="str">
        <f aca="false">IF(A8="","",IFERROR(INDEX(Metrics!$B:$B,MATCH(A8,Metrics!$A:$A,0)),"ID not found"))</f>
        <v>Cycle time (approved to accepted)</v>
      </c>
      <c r="D8" s="15" t="str">
        <f aca="false">IF(B8="","",IFERROR(INDEX(Fields!$B:$B,MATCH(B8,Fields!$A:$A,0)),"ID not found"))</f>
        <v>Requisition status</v>
      </c>
      <c r="E8" s="13" t="s">
        <v>148</v>
      </c>
      <c r="F8" s="14" t="n">
        <f aca="false">IF(A8="",0,COUNTIF('Metric to Product'!$A:$A,A8))</f>
        <v>3</v>
      </c>
      <c r="G8" s="13" t="s">
        <v>59</v>
      </c>
    </row>
    <row r="9" customFormat="false" ht="15" hidden="false" customHeight="false" outlineLevel="0" collapsed="false">
      <c r="A9" s="12" t="s">
        <v>77</v>
      </c>
      <c r="B9" s="12" t="s">
        <v>124</v>
      </c>
      <c r="C9" s="15" t="str">
        <f aca="false">IF(A9="","",IFERROR(INDEX(Metrics!$B:$B,MATCH(A9,Metrics!$A:$A,0)),"ID not found"))</f>
        <v>Cycle time (approved to accepted)</v>
      </c>
      <c r="D9" s="15" t="str">
        <f aca="false">IF(B9="","",IFERROR(INDEX(Fields!$B:$B,MATCH(B9,Fields!$A:$A,0)),"ID not found"))</f>
        <v>Original requisition link</v>
      </c>
      <c r="E9" s="13" t="s">
        <v>149</v>
      </c>
      <c r="F9" s="14" t="n">
        <f aca="false">IF(A9="",0,COUNTIF('Metric to Product'!$A:$A,A9))</f>
        <v>3</v>
      </c>
      <c r="G9" s="13" t="s">
        <v>59</v>
      </c>
    </row>
    <row r="10" customFormat="false" ht="15" hidden="false" customHeight="false" outlineLevel="0" collapsed="false">
      <c r="A10" s="12" t="s">
        <v>85</v>
      </c>
      <c r="B10" s="12" t="s">
        <v>115</v>
      </c>
      <c r="C10" s="15" t="str">
        <f aca="false">IF(A10="","",IFERROR(INDEX(Metrics!$B:$B,MATCH(A10,Metrics!$A:$A,0)),"ID not found"))</f>
        <v>Hires by recruiter</v>
      </c>
      <c r="D10" s="15" t="str">
        <f aca="false">IF(B10="","",IFERROR(INDEX(Fields!$B:$B,MATCH(B10,Fields!$A:$A,0)),"ID not found"))</f>
        <v>Offer accepted date</v>
      </c>
      <c r="E10" s="13" t="s">
        <v>150</v>
      </c>
      <c r="F10" s="14" t="n">
        <f aca="false">IF(A10="",0,COUNTIF('Metric to Product'!$A:$A,A10))</f>
        <v>1</v>
      </c>
      <c r="G10" s="13" t="s">
        <v>59</v>
      </c>
    </row>
    <row r="11" customFormat="false" ht="15" hidden="false" customHeight="false" outlineLevel="0" collapsed="false">
      <c r="A11" s="12" t="s">
        <v>85</v>
      </c>
      <c r="B11" s="12" t="s">
        <v>137</v>
      </c>
      <c r="C11" s="15" t="str">
        <f aca="false">IF(A11="","",IFERROR(INDEX(Metrics!$B:$B,MATCH(A11,Metrics!$A:$A,0)),"ID not found"))</f>
        <v>Hires by recruiter</v>
      </c>
      <c r="D11" s="15" t="str">
        <f aca="false">IF(B11="","",IFERROR(INDEX(Fields!$B:$B,MATCH(B11,Fields!$A:$A,0)),"ID not found"))</f>
        <v>Credited recruiter</v>
      </c>
      <c r="E11" s="13" t="s">
        <v>151</v>
      </c>
      <c r="F11" s="14" t="n">
        <f aca="false">IF(A11="",0,COUNTIF('Metric to Product'!$A:$A,A11))</f>
        <v>1</v>
      </c>
      <c r="G11" s="13" t="s">
        <v>59</v>
      </c>
    </row>
    <row r="12" customFormat="false" ht="15" hidden="false" customHeight="false" outlineLevel="0" collapsed="false">
      <c r="A12" s="12"/>
      <c r="B12" s="12"/>
      <c r="C12" s="15" t="str">
        <f aca="false">IF(A12="","",IFERROR(INDEX(Metrics!$B:$B,MATCH(A12,Metrics!$A:$A,0)),"ID not found"))</f>
        <v/>
      </c>
      <c r="D12" s="15" t="str">
        <f aca="false">IF(B12="","",IFERROR(INDEX(Fields!$B:$B,MATCH(B12,Fields!$A:$A,0)),"ID not found"))</f>
        <v/>
      </c>
      <c r="E12" s="13"/>
      <c r="F12" s="14" t="n">
        <f aca="false">IF(A12="",0,COUNTIF('Metric to Product'!$A:$A,A12))</f>
        <v>0</v>
      </c>
      <c r="G12" s="13"/>
    </row>
    <row r="13" customFormat="false" ht="15" hidden="false" customHeight="false" outlineLevel="0" collapsed="false">
      <c r="A13" s="12"/>
      <c r="B13" s="12"/>
      <c r="C13" s="15" t="str">
        <f aca="false">IF(A13="","",IFERROR(INDEX(Metrics!$B:$B,MATCH(A13,Metrics!$A:$A,0)),"ID not found"))</f>
        <v/>
      </c>
      <c r="D13" s="15" t="str">
        <f aca="false">IF(B13="","",IFERROR(INDEX(Fields!$B:$B,MATCH(B13,Fields!$A:$A,0)),"ID not found"))</f>
        <v/>
      </c>
      <c r="E13" s="13"/>
      <c r="F13" s="14" t="n">
        <f aca="false">IF(A13="",0,COUNTIF('Metric to Product'!$A:$A,A13))</f>
        <v>0</v>
      </c>
      <c r="G13" s="13"/>
    </row>
    <row r="14" customFormat="false" ht="15" hidden="false" customHeight="false" outlineLevel="0" collapsed="false">
      <c r="A14" s="12"/>
      <c r="B14" s="12"/>
      <c r="C14" s="15" t="str">
        <f aca="false">IF(A14="","",IFERROR(INDEX(Metrics!$B:$B,MATCH(A14,Metrics!$A:$A,0)),"ID not found"))</f>
        <v/>
      </c>
      <c r="D14" s="15" t="str">
        <f aca="false">IF(B14="","",IFERROR(INDEX(Fields!$B:$B,MATCH(B14,Fields!$A:$A,0)),"ID not found"))</f>
        <v/>
      </c>
      <c r="E14" s="13"/>
      <c r="F14" s="14" t="n">
        <f aca="false">IF(A14="",0,COUNTIF('Metric to Product'!$A:$A,A14))</f>
        <v>0</v>
      </c>
      <c r="G14" s="13"/>
    </row>
    <row r="15" customFormat="false" ht="15" hidden="false" customHeight="false" outlineLevel="0" collapsed="false">
      <c r="A15" s="12"/>
      <c r="B15" s="12"/>
      <c r="C15" s="15" t="str">
        <f aca="false">IF(A15="","",IFERROR(INDEX(Metrics!$B:$B,MATCH(A15,Metrics!$A:$A,0)),"ID not found"))</f>
        <v/>
      </c>
      <c r="D15" s="15" t="str">
        <f aca="false">IF(B15="","",IFERROR(INDEX(Fields!$B:$B,MATCH(B15,Fields!$A:$A,0)),"ID not found"))</f>
        <v/>
      </c>
      <c r="E15" s="13"/>
      <c r="F15" s="14" t="n">
        <f aca="false">IF(A15="",0,COUNTIF('Metric to Product'!$A:$A,A15))</f>
        <v>0</v>
      </c>
      <c r="G15" s="13"/>
    </row>
    <row r="16" customFormat="false" ht="15" hidden="false" customHeight="false" outlineLevel="0" collapsed="false">
      <c r="A16" s="12"/>
      <c r="B16" s="12"/>
      <c r="C16" s="15" t="str">
        <f aca="false">IF(A16="","",IFERROR(INDEX(Metrics!$B:$B,MATCH(A16,Metrics!$A:$A,0)),"ID not found"))</f>
        <v/>
      </c>
      <c r="D16" s="15" t="str">
        <f aca="false">IF(B16="","",IFERROR(INDEX(Fields!$B:$B,MATCH(B16,Fields!$A:$A,0)),"ID not found"))</f>
        <v/>
      </c>
      <c r="E16" s="13"/>
      <c r="F16" s="14" t="n">
        <f aca="false">IF(A16="",0,COUNTIF('Metric to Product'!$A:$A,A16))</f>
        <v>0</v>
      </c>
      <c r="G16" s="13"/>
    </row>
    <row r="17" customFormat="false" ht="15" hidden="false" customHeight="false" outlineLevel="0" collapsed="false">
      <c r="A17" s="12"/>
      <c r="B17" s="12"/>
      <c r="C17" s="15" t="str">
        <f aca="false">IF(A17="","",IFERROR(INDEX(Metrics!$B:$B,MATCH(A17,Metrics!$A:$A,0)),"ID not found"))</f>
        <v/>
      </c>
      <c r="D17" s="15" t="str">
        <f aca="false">IF(B17="","",IFERROR(INDEX(Fields!$B:$B,MATCH(B17,Fields!$A:$A,0)),"ID not found"))</f>
        <v/>
      </c>
      <c r="E17" s="13"/>
      <c r="F17" s="14" t="n">
        <f aca="false">IF(A17="",0,COUNTIF('Metric to Product'!$A:$A,A17))</f>
        <v>0</v>
      </c>
      <c r="G17" s="13"/>
    </row>
    <row r="18" customFormat="false" ht="15" hidden="false" customHeight="false" outlineLevel="0" collapsed="false">
      <c r="A18" s="12"/>
      <c r="B18" s="12"/>
      <c r="C18" s="15" t="str">
        <f aca="false">IF(A18="","",IFERROR(INDEX(Metrics!$B:$B,MATCH(A18,Metrics!$A:$A,0)),"ID not found"))</f>
        <v/>
      </c>
      <c r="D18" s="15" t="str">
        <f aca="false">IF(B18="","",IFERROR(INDEX(Fields!$B:$B,MATCH(B18,Fields!$A:$A,0)),"ID not found"))</f>
        <v/>
      </c>
      <c r="E18" s="13"/>
      <c r="F18" s="14" t="n">
        <f aca="false">IF(A18="",0,COUNTIF('Metric to Product'!$A:$A,A18))</f>
        <v>0</v>
      </c>
      <c r="G18" s="13"/>
    </row>
    <row r="19" customFormat="false" ht="15" hidden="false" customHeight="false" outlineLevel="0" collapsed="false">
      <c r="A19" s="12"/>
      <c r="B19" s="12"/>
      <c r="C19" s="15" t="str">
        <f aca="false">IF(A19="","",IFERROR(INDEX(Metrics!$B:$B,MATCH(A19,Metrics!$A:$A,0)),"ID not found"))</f>
        <v/>
      </c>
      <c r="D19" s="15" t="str">
        <f aca="false">IF(B19="","",IFERROR(INDEX(Fields!$B:$B,MATCH(B19,Fields!$A:$A,0)),"ID not found"))</f>
        <v/>
      </c>
      <c r="E19" s="13"/>
      <c r="F19" s="14" t="n">
        <f aca="false">IF(A19="",0,COUNTIF('Metric to Product'!$A:$A,A19))</f>
        <v>0</v>
      </c>
      <c r="G19" s="13"/>
    </row>
    <row r="20" customFormat="false" ht="15" hidden="false" customHeight="false" outlineLevel="0" collapsed="false">
      <c r="A20" s="12"/>
      <c r="B20" s="12"/>
      <c r="C20" s="15" t="str">
        <f aca="false">IF(A20="","",IFERROR(INDEX(Metrics!$B:$B,MATCH(A20,Metrics!$A:$A,0)),"ID not found"))</f>
        <v/>
      </c>
      <c r="D20" s="15" t="str">
        <f aca="false">IF(B20="","",IFERROR(INDEX(Fields!$B:$B,MATCH(B20,Fields!$A:$A,0)),"ID not found"))</f>
        <v/>
      </c>
      <c r="E20" s="13"/>
      <c r="F20" s="14" t="n">
        <f aca="false">IF(A20="",0,COUNTIF('Metric to Product'!$A:$A,A20))</f>
        <v>0</v>
      </c>
      <c r="G20" s="13"/>
    </row>
    <row r="21" customFormat="false" ht="15" hidden="false" customHeight="false" outlineLevel="0" collapsed="false">
      <c r="A21" s="12"/>
      <c r="B21" s="12"/>
      <c r="C21" s="15" t="str">
        <f aca="false">IF(A21="","",IFERROR(INDEX(Metrics!$B:$B,MATCH(A21,Metrics!$A:$A,0)),"ID not found"))</f>
        <v/>
      </c>
      <c r="D21" s="15" t="str">
        <f aca="false">IF(B21="","",IFERROR(INDEX(Fields!$B:$B,MATCH(B21,Fields!$A:$A,0)),"ID not found"))</f>
        <v/>
      </c>
      <c r="E21" s="13"/>
      <c r="F21" s="14" t="n">
        <f aca="false">IF(A21="",0,COUNTIF('Metric to Product'!$A:$A,A21))</f>
        <v>0</v>
      </c>
      <c r="G21" s="13"/>
    </row>
    <row r="22" customFormat="false" ht="15" hidden="false" customHeight="false" outlineLevel="0" collapsed="false">
      <c r="A22" s="12"/>
      <c r="B22" s="12"/>
      <c r="C22" s="15" t="str">
        <f aca="false">IF(A22="","",IFERROR(INDEX(Metrics!$B:$B,MATCH(A22,Metrics!$A:$A,0)),"ID not found"))</f>
        <v/>
      </c>
      <c r="D22" s="15" t="str">
        <f aca="false">IF(B22="","",IFERROR(INDEX(Fields!$B:$B,MATCH(B22,Fields!$A:$A,0)),"ID not found"))</f>
        <v/>
      </c>
      <c r="E22" s="13"/>
      <c r="F22" s="14" t="n">
        <f aca="false">IF(A22="",0,COUNTIF('Metric to Product'!$A:$A,A22))</f>
        <v>0</v>
      </c>
      <c r="G22" s="13"/>
    </row>
    <row r="23" customFormat="false" ht="15" hidden="false" customHeight="false" outlineLevel="0" collapsed="false">
      <c r="A23" s="12"/>
      <c r="B23" s="12"/>
      <c r="C23" s="15" t="str">
        <f aca="false">IF(A23="","",IFERROR(INDEX(Metrics!$B:$B,MATCH(A23,Metrics!$A:$A,0)),"ID not found"))</f>
        <v/>
      </c>
      <c r="D23" s="15" t="str">
        <f aca="false">IF(B23="","",IFERROR(INDEX(Fields!$B:$B,MATCH(B23,Fields!$A:$A,0)),"ID not found"))</f>
        <v/>
      </c>
      <c r="E23" s="13"/>
      <c r="F23" s="14" t="n">
        <f aca="false">IF(A23="",0,COUNTIF('Metric to Product'!$A:$A,A23))</f>
        <v>0</v>
      </c>
      <c r="G23" s="13"/>
    </row>
    <row r="24" customFormat="false" ht="15" hidden="false" customHeight="false" outlineLevel="0" collapsed="false">
      <c r="A24" s="12"/>
      <c r="B24" s="12"/>
      <c r="C24" s="15" t="str">
        <f aca="false">IF(A24="","",IFERROR(INDEX(Metrics!$B:$B,MATCH(A24,Metrics!$A:$A,0)),"ID not found"))</f>
        <v/>
      </c>
      <c r="D24" s="15" t="str">
        <f aca="false">IF(B24="","",IFERROR(INDEX(Fields!$B:$B,MATCH(B24,Fields!$A:$A,0)),"ID not found"))</f>
        <v/>
      </c>
      <c r="E24" s="13"/>
      <c r="F24" s="14" t="n">
        <f aca="false">IF(A24="",0,COUNTIF('Metric to Product'!$A:$A,A24))</f>
        <v>0</v>
      </c>
      <c r="G24" s="13"/>
    </row>
    <row r="25" customFormat="false" ht="15" hidden="false" customHeight="false" outlineLevel="0" collapsed="false">
      <c r="A25" s="12"/>
      <c r="B25" s="12"/>
      <c r="C25" s="15" t="str">
        <f aca="false">IF(A25="","",IFERROR(INDEX(Metrics!$B:$B,MATCH(A25,Metrics!$A:$A,0)),"ID not found"))</f>
        <v/>
      </c>
      <c r="D25" s="15" t="str">
        <f aca="false">IF(B25="","",IFERROR(INDEX(Fields!$B:$B,MATCH(B25,Fields!$A:$A,0)),"ID not found"))</f>
        <v/>
      </c>
      <c r="E25" s="13"/>
      <c r="F25" s="14" t="n">
        <f aca="false">IF(A25="",0,COUNTIF('Metric to Product'!$A:$A,A25))</f>
        <v>0</v>
      </c>
      <c r="G25" s="13"/>
    </row>
    <row r="26" customFormat="false" ht="15" hidden="false" customHeight="false" outlineLevel="0" collapsed="false">
      <c r="A26" s="12"/>
      <c r="B26" s="12"/>
      <c r="C26" s="15" t="str">
        <f aca="false">IF(A26="","",IFERROR(INDEX(Metrics!$B:$B,MATCH(A26,Metrics!$A:$A,0)),"ID not found"))</f>
        <v/>
      </c>
      <c r="D26" s="15" t="str">
        <f aca="false">IF(B26="","",IFERROR(INDEX(Fields!$B:$B,MATCH(B26,Fields!$A:$A,0)),"ID not found"))</f>
        <v/>
      </c>
      <c r="E26" s="13"/>
      <c r="F26" s="14" t="n">
        <f aca="false">IF(A26="",0,COUNTIF('Metric to Product'!$A:$A,A26))</f>
        <v>0</v>
      </c>
      <c r="G26" s="13"/>
    </row>
    <row r="27" customFormat="false" ht="15" hidden="false" customHeight="false" outlineLevel="0" collapsed="false">
      <c r="A27" s="12"/>
      <c r="B27" s="12"/>
      <c r="C27" s="15" t="str">
        <f aca="false">IF(A27="","",IFERROR(INDEX(Metrics!$B:$B,MATCH(A27,Metrics!$A:$A,0)),"ID not found"))</f>
        <v/>
      </c>
      <c r="D27" s="15" t="str">
        <f aca="false">IF(B27="","",IFERROR(INDEX(Fields!$B:$B,MATCH(B27,Fields!$A:$A,0)),"ID not found"))</f>
        <v/>
      </c>
      <c r="E27" s="13"/>
      <c r="F27" s="14" t="n">
        <f aca="false">IF(A27="",0,COUNTIF('Metric to Product'!$A:$A,A27))</f>
        <v>0</v>
      </c>
      <c r="G27" s="13"/>
    </row>
    <row r="28" customFormat="false" ht="15" hidden="false" customHeight="false" outlineLevel="0" collapsed="false">
      <c r="A28" s="12"/>
      <c r="B28" s="12"/>
      <c r="C28" s="15" t="str">
        <f aca="false">IF(A28="","",IFERROR(INDEX(Metrics!$B:$B,MATCH(A28,Metrics!$A:$A,0)),"ID not found"))</f>
        <v/>
      </c>
      <c r="D28" s="15" t="str">
        <f aca="false">IF(B28="","",IFERROR(INDEX(Fields!$B:$B,MATCH(B28,Fields!$A:$A,0)),"ID not found"))</f>
        <v/>
      </c>
      <c r="E28" s="13"/>
      <c r="F28" s="14" t="n">
        <f aca="false">IF(A28="",0,COUNTIF('Metric to Product'!$A:$A,A28))</f>
        <v>0</v>
      </c>
      <c r="G28" s="13"/>
    </row>
    <row r="29" customFormat="false" ht="15" hidden="false" customHeight="false" outlineLevel="0" collapsed="false">
      <c r="A29" s="12"/>
      <c r="B29" s="12"/>
      <c r="C29" s="15" t="str">
        <f aca="false">IF(A29="","",IFERROR(INDEX(Metrics!$B:$B,MATCH(A29,Metrics!$A:$A,0)),"ID not found"))</f>
        <v/>
      </c>
      <c r="D29" s="15" t="str">
        <f aca="false">IF(B29="","",IFERROR(INDEX(Fields!$B:$B,MATCH(B29,Fields!$A:$A,0)),"ID not found"))</f>
        <v/>
      </c>
      <c r="E29" s="13"/>
      <c r="F29" s="14" t="n">
        <f aca="false">IF(A29="",0,COUNTIF('Metric to Product'!$A:$A,A29))</f>
        <v>0</v>
      </c>
      <c r="G29" s="13"/>
    </row>
    <row r="30" customFormat="false" ht="15" hidden="false" customHeight="false" outlineLevel="0" collapsed="false">
      <c r="A30" s="12"/>
      <c r="B30" s="12"/>
      <c r="C30" s="15" t="str">
        <f aca="false">IF(A30="","",IFERROR(INDEX(Metrics!$B:$B,MATCH(A30,Metrics!$A:$A,0)),"ID not found"))</f>
        <v/>
      </c>
      <c r="D30" s="15" t="str">
        <f aca="false">IF(B30="","",IFERROR(INDEX(Fields!$B:$B,MATCH(B30,Fields!$A:$A,0)),"ID not found"))</f>
        <v/>
      </c>
      <c r="E30" s="13"/>
      <c r="F30" s="14" t="n">
        <f aca="false">IF(A30="",0,COUNTIF('Metric to Product'!$A:$A,A30))</f>
        <v>0</v>
      </c>
      <c r="G30" s="13"/>
    </row>
    <row r="31" customFormat="false" ht="15" hidden="false" customHeight="false" outlineLevel="0" collapsed="false">
      <c r="A31" s="12"/>
      <c r="B31" s="12"/>
      <c r="C31" s="15" t="str">
        <f aca="false">IF(A31="","",IFERROR(INDEX(Metrics!$B:$B,MATCH(A31,Metrics!$A:$A,0)),"ID not found"))</f>
        <v/>
      </c>
      <c r="D31" s="15" t="str">
        <f aca="false">IF(B31="","",IFERROR(INDEX(Fields!$B:$B,MATCH(B31,Fields!$A:$A,0)),"ID not found"))</f>
        <v/>
      </c>
      <c r="E31" s="13"/>
      <c r="F31" s="14" t="n">
        <f aca="false">IF(A31="",0,COUNTIF('Metric to Product'!$A:$A,A31))</f>
        <v>0</v>
      </c>
      <c r="G31" s="13"/>
    </row>
    <row r="32" customFormat="false" ht="15" hidden="false" customHeight="false" outlineLevel="0" collapsed="false">
      <c r="A32" s="12"/>
      <c r="B32" s="12"/>
      <c r="C32" s="15" t="str">
        <f aca="false">IF(A32="","",IFERROR(INDEX(Metrics!$B:$B,MATCH(A32,Metrics!$A:$A,0)),"ID not found"))</f>
        <v/>
      </c>
      <c r="D32" s="15" t="str">
        <f aca="false">IF(B32="","",IFERROR(INDEX(Fields!$B:$B,MATCH(B32,Fields!$A:$A,0)),"ID not found"))</f>
        <v/>
      </c>
      <c r="E32" s="13"/>
      <c r="F32" s="14" t="n">
        <f aca="false">IF(A32="",0,COUNTIF('Metric to Product'!$A:$A,A32))</f>
        <v>0</v>
      </c>
      <c r="G32" s="13"/>
    </row>
    <row r="33" customFormat="false" ht="15" hidden="false" customHeight="false" outlineLevel="0" collapsed="false">
      <c r="A33" s="12"/>
      <c r="B33" s="12"/>
      <c r="C33" s="15" t="str">
        <f aca="false">IF(A33="","",IFERROR(INDEX(Metrics!$B:$B,MATCH(A33,Metrics!$A:$A,0)),"ID not found"))</f>
        <v/>
      </c>
      <c r="D33" s="15" t="str">
        <f aca="false">IF(B33="","",IFERROR(INDEX(Fields!$B:$B,MATCH(B33,Fields!$A:$A,0)),"ID not found"))</f>
        <v/>
      </c>
      <c r="E33" s="13"/>
      <c r="F33" s="14" t="n">
        <f aca="false">IF(A33="",0,COUNTIF('Metric to Product'!$A:$A,A33))</f>
        <v>0</v>
      </c>
      <c r="G33" s="13"/>
    </row>
    <row r="34" customFormat="false" ht="15" hidden="false" customHeight="false" outlineLevel="0" collapsed="false">
      <c r="A34" s="12"/>
      <c r="B34" s="12"/>
      <c r="C34" s="15" t="str">
        <f aca="false">IF(A34="","",IFERROR(INDEX(Metrics!$B:$B,MATCH(A34,Metrics!$A:$A,0)),"ID not found"))</f>
        <v/>
      </c>
      <c r="D34" s="15" t="str">
        <f aca="false">IF(B34="","",IFERROR(INDEX(Fields!$B:$B,MATCH(B34,Fields!$A:$A,0)),"ID not found"))</f>
        <v/>
      </c>
      <c r="E34" s="13"/>
      <c r="F34" s="14" t="n">
        <f aca="false">IF(A34="",0,COUNTIF('Metric to Product'!$A:$A,A34))</f>
        <v>0</v>
      </c>
      <c r="G34" s="13"/>
    </row>
    <row r="35" customFormat="false" ht="15" hidden="false" customHeight="false" outlineLevel="0" collapsed="false">
      <c r="A35" s="12"/>
      <c r="B35" s="12"/>
      <c r="C35" s="15" t="str">
        <f aca="false">IF(A35="","",IFERROR(INDEX(Metrics!$B:$B,MATCH(A35,Metrics!$A:$A,0)),"ID not found"))</f>
        <v/>
      </c>
      <c r="D35" s="15" t="str">
        <f aca="false">IF(B35="","",IFERROR(INDEX(Fields!$B:$B,MATCH(B35,Fields!$A:$A,0)),"ID not found"))</f>
        <v/>
      </c>
      <c r="E35" s="13"/>
      <c r="F35" s="14" t="n">
        <f aca="false">IF(A35="",0,COUNTIF('Metric to Product'!$A:$A,A35))</f>
        <v>0</v>
      </c>
      <c r="G35" s="13"/>
    </row>
    <row r="36" customFormat="false" ht="15" hidden="false" customHeight="false" outlineLevel="0" collapsed="false">
      <c r="A36" s="12"/>
      <c r="B36" s="12"/>
      <c r="C36" s="15" t="str">
        <f aca="false">IF(A36="","",IFERROR(INDEX(Metrics!$B:$B,MATCH(A36,Metrics!$A:$A,0)),"ID not found"))</f>
        <v/>
      </c>
      <c r="D36" s="15" t="str">
        <f aca="false">IF(B36="","",IFERROR(INDEX(Fields!$B:$B,MATCH(B36,Fields!$A:$A,0)),"ID not found"))</f>
        <v/>
      </c>
      <c r="E36" s="13"/>
      <c r="F36" s="14" t="n">
        <f aca="false">IF(A36="",0,COUNTIF('Metric to Product'!$A:$A,A36))</f>
        <v>0</v>
      </c>
      <c r="G36" s="13"/>
    </row>
    <row r="37" customFormat="false" ht="15" hidden="false" customHeight="false" outlineLevel="0" collapsed="false">
      <c r="A37" s="12"/>
      <c r="B37" s="12"/>
      <c r="C37" s="15" t="str">
        <f aca="false">IF(A37="","",IFERROR(INDEX(Metrics!$B:$B,MATCH(A37,Metrics!$A:$A,0)),"ID not found"))</f>
        <v/>
      </c>
      <c r="D37" s="15" t="str">
        <f aca="false">IF(B37="","",IFERROR(INDEX(Fields!$B:$B,MATCH(B37,Fields!$A:$A,0)),"ID not found"))</f>
        <v/>
      </c>
      <c r="E37" s="13"/>
      <c r="F37" s="14" t="n">
        <f aca="false">IF(A37="",0,COUNTIF('Metric to Product'!$A:$A,A37))</f>
        <v>0</v>
      </c>
      <c r="G37" s="13"/>
    </row>
    <row r="38" customFormat="false" ht="15" hidden="false" customHeight="false" outlineLevel="0" collapsed="false">
      <c r="A38" s="12"/>
      <c r="B38" s="12"/>
      <c r="C38" s="15" t="str">
        <f aca="false">IF(A38="","",IFERROR(INDEX(Metrics!$B:$B,MATCH(A38,Metrics!$A:$A,0)),"ID not found"))</f>
        <v/>
      </c>
      <c r="D38" s="15" t="str">
        <f aca="false">IF(B38="","",IFERROR(INDEX(Fields!$B:$B,MATCH(B38,Fields!$A:$A,0)),"ID not found"))</f>
        <v/>
      </c>
      <c r="E38" s="13"/>
      <c r="F38" s="14" t="n">
        <f aca="false">IF(A38="",0,COUNTIF('Metric to Product'!$A:$A,A38))</f>
        <v>0</v>
      </c>
      <c r="G38" s="13"/>
    </row>
    <row r="39" customFormat="false" ht="15" hidden="false" customHeight="false" outlineLevel="0" collapsed="false">
      <c r="A39" s="12"/>
      <c r="B39" s="12"/>
      <c r="C39" s="15" t="str">
        <f aca="false">IF(A39="","",IFERROR(INDEX(Metrics!$B:$B,MATCH(A39,Metrics!$A:$A,0)),"ID not found"))</f>
        <v/>
      </c>
      <c r="D39" s="15" t="str">
        <f aca="false">IF(B39="","",IFERROR(INDEX(Fields!$B:$B,MATCH(B39,Fields!$A:$A,0)),"ID not found"))</f>
        <v/>
      </c>
      <c r="E39" s="13"/>
      <c r="F39" s="14" t="n">
        <f aca="false">IF(A39="",0,COUNTIF('Metric to Product'!$A:$A,A39))</f>
        <v>0</v>
      </c>
      <c r="G39" s="13"/>
    </row>
    <row r="40" customFormat="false" ht="15" hidden="false" customHeight="false" outlineLevel="0" collapsed="false">
      <c r="A40" s="12"/>
      <c r="B40" s="12"/>
      <c r="C40" s="15" t="str">
        <f aca="false">IF(A40="","",IFERROR(INDEX(Metrics!$B:$B,MATCH(A40,Metrics!$A:$A,0)),"ID not found"))</f>
        <v/>
      </c>
      <c r="D40" s="15" t="str">
        <f aca="false">IF(B40="","",IFERROR(INDEX(Fields!$B:$B,MATCH(B40,Fields!$A:$A,0)),"ID not found"))</f>
        <v/>
      </c>
      <c r="E40" s="13"/>
      <c r="F40" s="14" t="n">
        <f aca="false">IF(A40="",0,COUNTIF('Metric to Product'!$A:$A,A40))</f>
        <v>0</v>
      </c>
      <c r="G40" s="13"/>
    </row>
    <row r="41" customFormat="false" ht="15" hidden="false" customHeight="false" outlineLevel="0" collapsed="false">
      <c r="A41" s="12"/>
      <c r="B41" s="12"/>
      <c r="C41" s="15" t="str">
        <f aca="false">IF(A41="","",IFERROR(INDEX(Metrics!$B:$B,MATCH(A41,Metrics!$A:$A,0)),"ID not found"))</f>
        <v/>
      </c>
      <c r="D41" s="15" t="str">
        <f aca="false">IF(B41="","",IFERROR(INDEX(Fields!$B:$B,MATCH(B41,Fields!$A:$A,0)),"ID not found"))</f>
        <v/>
      </c>
      <c r="E41" s="13"/>
      <c r="F41" s="14" t="n">
        <f aca="false">IF(A41="",0,COUNTIF('Metric to Product'!$A:$A,A41))</f>
        <v>0</v>
      </c>
      <c r="G41" s="13"/>
    </row>
    <row r="42" customFormat="false" ht="15" hidden="false" customHeight="false" outlineLevel="0" collapsed="false">
      <c r="A42" s="12"/>
      <c r="B42" s="12"/>
      <c r="C42" s="15" t="str">
        <f aca="false">IF(A42="","",IFERROR(INDEX(Metrics!$B:$B,MATCH(A42,Metrics!$A:$A,0)),"ID not found"))</f>
        <v/>
      </c>
      <c r="D42" s="15" t="str">
        <f aca="false">IF(B42="","",IFERROR(INDEX(Fields!$B:$B,MATCH(B42,Fields!$A:$A,0)),"ID not found"))</f>
        <v/>
      </c>
      <c r="E42" s="13"/>
      <c r="F42" s="14" t="n">
        <f aca="false">IF(A42="",0,COUNTIF('Metric to Product'!$A:$A,A42))</f>
        <v>0</v>
      </c>
      <c r="G42" s="13"/>
    </row>
    <row r="43" customFormat="false" ht="15" hidden="false" customHeight="false" outlineLevel="0" collapsed="false">
      <c r="A43" s="12"/>
      <c r="B43" s="12"/>
      <c r="C43" s="15" t="str">
        <f aca="false">IF(A43="","",IFERROR(INDEX(Metrics!$B:$B,MATCH(A43,Metrics!$A:$A,0)),"ID not found"))</f>
        <v/>
      </c>
      <c r="D43" s="15" t="str">
        <f aca="false">IF(B43="","",IFERROR(INDEX(Fields!$B:$B,MATCH(B43,Fields!$A:$A,0)),"ID not found"))</f>
        <v/>
      </c>
      <c r="E43" s="13"/>
      <c r="F43" s="14" t="n">
        <f aca="false">IF(A43="",0,COUNTIF('Metric to Product'!$A:$A,A43))</f>
        <v>0</v>
      </c>
      <c r="G43" s="13"/>
    </row>
    <row r="44" customFormat="false" ht="15" hidden="false" customHeight="false" outlineLevel="0" collapsed="false">
      <c r="A44" s="12"/>
      <c r="B44" s="12"/>
      <c r="C44" s="15" t="str">
        <f aca="false">IF(A44="","",IFERROR(INDEX(Metrics!$B:$B,MATCH(A44,Metrics!$A:$A,0)),"ID not found"))</f>
        <v/>
      </c>
      <c r="D44" s="15" t="str">
        <f aca="false">IF(B44="","",IFERROR(INDEX(Fields!$B:$B,MATCH(B44,Fields!$A:$A,0)),"ID not found"))</f>
        <v/>
      </c>
      <c r="E44" s="13"/>
      <c r="F44" s="14" t="n">
        <f aca="false">IF(A44="",0,COUNTIF('Metric to Product'!$A:$A,A44))</f>
        <v>0</v>
      </c>
      <c r="G44" s="13"/>
    </row>
    <row r="45" customFormat="false" ht="15" hidden="false" customHeight="false" outlineLevel="0" collapsed="false">
      <c r="A45" s="12"/>
      <c r="B45" s="12"/>
      <c r="C45" s="15" t="str">
        <f aca="false">IF(A45="","",IFERROR(INDEX(Metrics!$B:$B,MATCH(A45,Metrics!$A:$A,0)),"ID not found"))</f>
        <v/>
      </c>
      <c r="D45" s="15" t="str">
        <f aca="false">IF(B45="","",IFERROR(INDEX(Fields!$B:$B,MATCH(B45,Fields!$A:$A,0)),"ID not found"))</f>
        <v/>
      </c>
      <c r="E45" s="13"/>
      <c r="F45" s="14" t="n">
        <f aca="false">IF(A45="",0,COUNTIF('Metric to Product'!$A:$A,A45))</f>
        <v>0</v>
      </c>
      <c r="G45" s="13"/>
    </row>
    <row r="46" customFormat="false" ht="15" hidden="false" customHeight="false" outlineLevel="0" collapsed="false">
      <c r="A46" s="12"/>
      <c r="B46" s="12"/>
      <c r="C46" s="15" t="str">
        <f aca="false">IF(A46="","",IFERROR(INDEX(Metrics!$B:$B,MATCH(A46,Metrics!$A:$A,0)),"ID not found"))</f>
        <v/>
      </c>
      <c r="D46" s="15" t="str">
        <f aca="false">IF(B46="","",IFERROR(INDEX(Fields!$B:$B,MATCH(B46,Fields!$A:$A,0)),"ID not found"))</f>
        <v/>
      </c>
      <c r="E46" s="13"/>
      <c r="F46" s="14" t="n">
        <f aca="false">IF(A46="",0,COUNTIF('Metric to Product'!$A:$A,A46))</f>
        <v>0</v>
      </c>
      <c r="G46" s="13"/>
    </row>
    <row r="47" customFormat="false" ht="15" hidden="false" customHeight="false" outlineLevel="0" collapsed="false">
      <c r="A47" s="12"/>
      <c r="B47" s="12"/>
      <c r="C47" s="15" t="str">
        <f aca="false">IF(A47="","",IFERROR(INDEX(Metrics!$B:$B,MATCH(A47,Metrics!$A:$A,0)),"ID not found"))</f>
        <v/>
      </c>
      <c r="D47" s="15" t="str">
        <f aca="false">IF(B47="","",IFERROR(INDEX(Fields!$B:$B,MATCH(B47,Fields!$A:$A,0)),"ID not found"))</f>
        <v/>
      </c>
      <c r="E47" s="13"/>
      <c r="F47" s="14" t="n">
        <f aca="false">IF(A47="",0,COUNTIF('Metric to Product'!$A:$A,A47))</f>
        <v>0</v>
      </c>
      <c r="G47" s="13"/>
    </row>
    <row r="48" customFormat="false" ht="15" hidden="false" customHeight="false" outlineLevel="0" collapsed="false">
      <c r="A48" s="12"/>
      <c r="B48" s="12"/>
      <c r="C48" s="15" t="str">
        <f aca="false">IF(A48="","",IFERROR(INDEX(Metrics!$B:$B,MATCH(A48,Metrics!$A:$A,0)),"ID not found"))</f>
        <v/>
      </c>
      <c r="D48" s="15" t="str">
        <f aca="false">IF(B48="","",IFERROR(INDEX(Fields!$B:$B,MATCH(B48,Fields!$A:$A,0)),"ID not found"))</f>
        <v/>
      </c>
      <c r="E48" s="13"/>
      <c r="F48" s="14" t="n">
        <f aca="false">IF(A48="",0,COUNTIF('Metric to Product'!$A:$A,A48))</f>
        <v>0</v>
      </c>
      <c r="G48" s="13"/>
    </row>
    <row r="49" customFormat="false" ht="15" hidden="false" customHeight="false" outlineLevel="0" collapsed="false">
      <c r="A49" s="12"/>
      <c r="B49" s="12"/>
      <c r="C49" s="15" t="str">
        <f aca="false">IF(A49="","",IFERROR(INDEX(Metrics!$B:$B,MATCH(A49,Metrics!$A:$A,0)),"ID not found"))</f>
        <v/>
      </c>
      <c r="D49" s="15" t="str">
        <f aca="false">IF(B49="","",IFERROR(INDEX(Fields!$B:$B,MATCH(B49,Fields!$A:$A,0)),"ID not found"))</f>
        <v/>
      </c>
      <c r="E49" s="13"/>
      <c r="F49" s="14" t="n">
        <f aca="false">IF(A49="",0,COUNTIF('Metric to Product'!$A:$A,A49))</f>
        <v>0</v>
      </c>
      <c r="G49" s="13"/>
    </row>
    <row r="50" customFormat="false" ht="15" hidden="false" customHeight="false" outlineLevel="0" collapsed="false">
      <c r="A50" s="12"/>
      <c r="B50" s="12"/>
      <c r="C50" s="15" t="str">
        <f aca="false">IF(A50="","",IFERROR(INDEX(Metrics!$B:$B,MATCH(A50,Metrics!$A:$A,0)),"ID not found"))</f>
        <v/>
      </c>
      <c r="D50" s="15" t="str">
        <f aca="false">IF(B50="","",IFERROR(INDEX(Fields!$B:$B,MATCH(B50,Fields!$A:$A,0)),"ID not found"))</f>
        <v/>
      </c>
      <c r="E50" s="13"/>
      <c r="F50" s="14" t="n">
        <f aca="false">IF(A50="",0,COUNTIF('Metric to Product'!$A:$A,A50))</f>
        <v>0</v>
      </c>
      <c r="G50" s="13"/>
    </row>
    <row r="51" customFormat="false" ht="15" hidden="false" customHeight="false" outlineLevel="0" collapsed="false">
      <c r="A51" s="12"/>
      <c r="B51" s="12"/>
      <c r="C51" s="15" t="str">
        <f aca="false">IF(A51="","",IFERROR(INDEX(Metrics!$B:$B,MATCH(A51,Metrics!$A:$A,0)),"ID not found"))</f>
        <v/>
      </c>
      <c r="D51" s="15" t="str">
        <f aca="false">IF(B51="","",IFERROR(INDEX(Fields!$B:$B,MATCH(B51,Fields!$A:$A,0)),"ID not found"))</f>
        <v/>
      </c>
      <c r="E51" s="13"/>
      <c r="F51" s="14" t="n">
        <f aca="false">IF(A51="",0,COUNTIF('Metric to Product'!$A:$A,A51))</f>
        <v>0</v>
      </c>
      <c r="G51" s="13"/>
    </row>
    <row r="52" customFormat="false" ht="15" hidden="false" customHeight="false" outlineLevel="0" collapsed="false">
      <c r="A52" s="12"/>
      <c r="B52" s="12"/>
      <c r="C52" s="15" t="str">
        <f aca="false">IF(A52="","",IFERROR(INDEX(Metrics!$B:$B,MATCH(A52,Metrics!$A:$A,0)),"ID not found"))</f>
        <v/>
      </c>
      <c r="D52" s="15" t="str">
        <f aca="false">IF(B52="","",IFERROR(INDEX(Fields!$B:$B,MATCH(B52,Fields!$A:$A,0)),"ID not found"))</f>
        <v/>
      </c>
      <c r="E52" s="13"/>
      <c r="F52" s="14" t="n">
        <f aca="false">IF(A52="",0,COUNTIF('Metric to Product'!$A:$A,A52))</f>
        <v>0</v>
      </c>
      <c r="G52" s="13"/>
    </row>
    <row r="53" customFormat="false" ht="15" hidden="false" customHeight="false" outlineLevel="0" collapsed="false">
      <c r="A53" s="12"/>
      <c r="B53" s="12"/>
      <c r="C53" s="15" t="str">
        <f aca="false">IF(A53="","",IFERROR(INDEX(Metrics!$B:$B,MATCH(A53,Metrics!$A:$A,0)),"ID not found"))</f>
        <v/>
      </c>
      <c r="D53" s="15" t="str">
        <f aca="false">IF(B53="","",IFERROR(INDEX(Fields!$B:$B,MATCH(B53,Fields!$A:$A,0)),"ID not found"))</f>
        <v/>
      </c>
      <c r="E53" s="13"/>
      <c r="F53" s="14" t="n">
        <f aca="false">IF(A53="",0,COUNTIF('Metric to Product'!$A:$A,A53))</f>
        <v>0</v>
      </c>
      <c r="G53" s="13"/>
    </row>
    <row r="54" customFormat="false" ht="15" hidden="false" customHeight="false" outlineLevel="0" collapsed="false">
      <c r="A54" s="12"/>
      <c r="B54" s="12"/>
      <c r="C54" s="15" t="str">
        <f aca="false">IF(A54="","",IFERROR(INDEX(Metrics!$B:$B,MATCH(A54,Metrics!$A:$A,0)),"ID not found"))</f>
        <v/>
      </c>
      <c r="D54" s="15" t="str">
        <f aca="false">IF(B54="","",IFERROR(INDEX(Fields!$B:$B,MATCH(B54,Fields!$A:$A,0)),"ID not found"))</f>
        <v/>
      </c>
      <c r="E54" s="13"/>
      <c r="F54" s="14" t="n">
        <f aca="false">IF(A54="",0,COUNTIF('Metric to Product'!$A:$A,A54))</f>
        <v>0</v>
      </c>
      <c r="G54" s="13"/>
    </row>
    <row r="55" customFormat="false" ht="15" hidden="false" customHeight="false" outlineLevel="0" collapsed="false">
      <c r="A55" s="12"/>
      <c r="B55" s="12"/>
      <c r="C55" s="15" t="str">
        <f aca="false">IF(A55="","",IFERROR(INDEX(Metrics!$B:$B,MATCH(A55,Metrics!$A:$A,0)),"ID not found"))</f>
        <v/>
      </c>
      <c r="D55" s="15" t="str">
        <f aca="false">IF(B55="","",IFERROR(INDEX(Fields!$B:$B,MATCH(B55,Fields!$A:$A,0)),"ID not found"))</f>
        <v/>
      </c>
      <c r="E55" s="13"/>
      <c r="F55" s="14" t="n">
        <f aca="false">IF(A55="",0,COUNTIF('Metric to Product'!$A:$A,A55))</f>
        <v>0</v>
      </c>
      <c r="G55" s="13"/>
    </row>
    <row r="56" customFormat="false" ht="15" hidden="false" customHeight="false" outlineLevel="0" collapsed="false">
      <c r="A56" s="12"/>
      <c r="B56" s="12"/>
      <c r="C56" s="15" t="str">
        <f aca="false">IF(A56="","",IFERROR(INDEX(Metrics!$B:$B,MATCH(A56,Metrics!$A:$A,0)),"ID not found"))</f>
        <v/>
      </c>
      <c r="D56" s="15" t="str">
        <f aca="false">IF(B56="","",IFERROR(INDEX(Fields!$B:$B,MATCH(B56,Fields!$A:$A,0)),"ID not found"))</f>
        <v/>
      </c>
      <c r="E56" s="13"/>
      <c r="F56" s="14" t="n">
        <f aca="false">IF(A56="",0,COUNTIF('Metric to Product'!$A:$A,A56))</f>
        <v>0</v>
      </c>
      <c r="G56" s="13"/>
    </row>
    <row r="57" customFormat="false" ht="15" hidden="false" customHeight="false" outlineLevel="0" collapsed="false">
      <c r="A57" s="12"/>
      <c r="B57" s="12"/>
      <c r="C57" s="15" t="str">
        <f aca="false">IF(A57="","",IFERROR(INDEX(Metrics!$B:$B,MATCH(A57,Metrics!$A:$A,0)),"ID not found"))</f>
        <v/>
      </c>
      <c r="D57" s="15" t="str">
        <f aca="false">IF(B57="","",IFERROR(INDEX(Fields!$B:$B,MATCH(B57,Fields!$A:$A,0)),"ID not found"))</f>
        <v/>
      </c>
      <c r="E57" s="13"/>
      <c r="F57" s="14" t="n">
        <f aca="false">IF(A57="",0,COUNTIF('Metric to Product'!$A:$A,A57))</f>
        <v>0</v>
      </c>
      <c r="G57" s="13"/>
    </row>
    <row r="58" customFormat="false" ht="15" hidden="false" customHeight="false" outlineLevel="0" collapsed="false">
      <c r="A58" s="12"/>
      <c r="B58" s="12"/>
      <c r="C58" s="15" t="str">
        <f aca="false">IF(A58="","",IFERROR(INDEX(Metrics!$B:$B,MATCH(A58,Metrics!$A:$A,0)),"ID not found"))</f>
        <v/>
      </c>
      <c r="D58" s="15" t="str">
        <f aca="false">IF(B58="","",IFERROR(INDEX(Fields!$B:$B,MATCH(B58,Fields!$A:$A,0)),"ID not found"))</f>
        <v/>
      </c>
      <c r="E58" s="13"/>
      <c r="F58" s="14" t="n">
        <f aca="false">IF(A58="",0,COUNTIF('Metric to Product'!$A:$A,A58))</f>
        <v>0</v>
      </c>
      <c r="G58" s="13"/>
    </row>
    <row r="59" customFormat="false" ht="15" hidden="false" customHeight="false" outlineLevel="0" collapsed="false">
      <c r="A59" s="12"/>
      <c r="B59" s="12"/>
      <c r="C59" s="15" t="str">
        <f aca="false">IF(A59="","",IFERROR(INDEX(Metrics!$B:$B,MATCH(A59,Metrics!$A:$A,0)),"ID not found"))</f>
        <v/>
      </c>
      <c r="D59" s="15" t="str">
        <f aca="false">IF(B59="","",IFERROR(INDEX(Fields!$B:$B,MATCH(B59,Fields!$A:$A,0)),"ID not found"))</f>
        <v/>
      </c>
      <c r="E59" s="13"/>
      <c r="F59" s="14" t="n">
        <f aca="false">IF(A59="",0,COUNTIF('Metric to Product'!$A:$A,A59))</f>
        <v>0</v>
      </c>
      <c r="G59" s="13"/>
    </row>
    <row r="60" customFormat="false" ht="15" hidden="false" customHeight="false" outlineLevel="0" collapsed="false">
      <c r="A60" s="12"/>
      <c r="B60" s="12"/>
      <c r="C60" s="15" t="str">
        <f aca="false">IF(A60="","",IFERROR(INDEX(Metrics!$B:$B,MATCH(A60,Metrics!$A:$A,0)),"ID not found"))</f>
        <v/>
      </c>
      <c r="D60" s="15" t="str">
        <f aca="false">IF(B60="","",IFERROR(INDEX(Fields!$B:$B,MATCH(B60,Fields!$A:$A,0)),"ID not found"))</f>
        <v/>
      </c>
      <c r="E60" s="13"/>
      <c r="F60" s="14" t="n">
        <f aca="false">IF(A60="",0,COUNTIF('Metric to Product'!$A:$A,A60))</f>
        <v>0</v>
      </c>
      <c r="G60" s="13"/>
    </row>
    <row r="61" customFormat="false" ht="15" hidden="false" customHeight="false" outlineLevel="0" collapsed="false">
      <c r="A61" s="12"/>
      <c r="B61" s="12"/>
      <c r="C61" s="15" t="str">
        <f aca="false">IF(A61="","",IFERROR(INDEX(Metrics!$B:$B,MATCH(A61,Metrics!$A:$A,0)),"ID not found"))</f>
        <v/>
      </c>
      <c r="D61" s="15" t="str">
        <f aca="false">IF(B61="","",IFERROR(INDEX(Fields!$B:$B,MATCH(B61,Fields!$A:$A,0)),"ID not found"))</f>
        <v/>
      </c>
      <c r="E61" s="13"/>
      <c r="F61" s="14" t="n">
        <f aca="false">IF(A61="",0,COUNTIF('Metric to Product'!$A:$A,A61))</f>
        <v>0</v>
      </c>
      <c r="G61" s="13"/>
    </row>
    <row r="62" customFormat="false" ht="15" hidden="false" customHeight="false" outlineLevel="0" collapsed="false">
      <c r="A62" s="12"/>
      <c r="B62" s="12"/>
      <c r="C62" s="15" t="str">
        <f aca="false">IF(A62="","",IFERROR(INDEX(Metrics!$B:$B,MATCH(A62,Metrics!$A:$A,0)),"ID not found"))</f>
        <v/>
      </c>
      <c r="D62" s="15" t="str">
        <f aca="false">IF(B62="","",IFERROR(INDEX(Fields!$B:$B,MATCH(B62,Fields!$A:$A,0)),"ID not found"))</f>
        <v/>
      </c>
      <c r="E62" s="13"/>
      <c r="F62" s="14" t="n">
        <f aca="false">IF(A62="",0,COUNTIF('Metric to Product'!$A:$A,A62))</f>
        <v>0</v>
      </c>
      <c r="G62" s="13"/>
    </row>
    <row r="63" customFormat="false" ht="15" hidden="false" customHeight="false" outlineLevel="0" collapsed="false">
      <c r="A63" s="12"/>
      <c r="B63" s="12"/>
      <c r="C63" s="15" t="str">
        <f aca="false">IF(A63="","",IFERROR(INDEX(Metrics!$B:$B,MATCH(A63,Metrics!$A:$A,0)),"ID not found"))</f>
        <v/>
      </c>
      <c r="D63" s="15" t="str">
        <f aca="false">IF(B63="","",IFERROR(INDEX(Fields!$B:$B,MATCH(B63,Fields!$A:$A,0)),"ID not found"))</f>
        <v/>
      </c>
      <c r="E63" s="13"/>
      <c r="F63" s="14" t="n">
        <f aca="false">IF(A63="",0,COUNTIF('Metric to Product'!$A:$A,A63))</f>
        <v>0</v>
      </c>
      <c r="G63" s="13"/>
    </row>
    <row r="64" customFormat="false" ht="15" hidden="false" customHeight="false" outlineLevel="0" collapsed="false">
      <c r="A64" s="12"/>
      <c r="B64" s="12"/>
      <c r="C64" s="15" t="str">
        <f aca="false">IF(A64="","",IFERROR(INDEX(Metrics!$B:$B,MATCH(A64,Metrics!$A:$A,0)),"ID not found"))</f>
        <v/>
      </c>
      <c r="D64" s="15" t="str">
        <f aca="false">IF(B64="","",IFERROR(INDEX(Fields!$B:$B,MATCH(B64,Fields!$A:$A,0)),"ID not found"))</f>
        <v/>
      </c>
      <c r="E64" s="13"/>
      <c r="F64" s="14" t="n">
        <f aca="false">IF(A64="",0,COUNTIF('Metric to Product'!$A:$A,A64))</f>
        <v>0</v>
      </c>
      <c r="G64" s="13"/>
    </row>
  </sheetData>
  <autoFilter ref="A4:G64"/>
  <conditionalFormatting sqref="C5:D64">
    <cfRule type="cellIs" priority="2" operator="equal" aboveAverage="0" equalAverage="0" bottom="0" percent="0" rank="0" text="" dxfId="10">
      <formula>"ID not found"</formula>
    </cfRule>
  </conditionalFormatting>
  <dataValidations count="1">
    <dataValidation allowBlank="true" errorStyle="stop" operator="between" showDropDown="false" showErrorMessage="false" showInputMessage="false" sqref="E5:E64" type="list">
      <formula1>"Start of clock,End of clock,Event counted,Exclusion,Attribution,Linkage,Dimension,Other"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O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11"/>
    <col collapsed="false" customWidth="true" hidden="false" outlineLevel="0" max="11" min="11" style="0" width="32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152</v>
      </c>
    </row>
    <row r="4" customFormat="false" ht="27.75" hidden="false" customHeight="true" outlineLevel="0" collapsed="false">
      <c r="A4" s="16" t="s">
        <v>5</v>
      </c>
      <c r="B4" s="16" t="s">
        <v>3</v>
      </c>
      <c r="C4" s="16" t="s">
        <v>9</v>
      </c>
      <c r="D4" s="16" t="s">
        <v>31</v>
      </c>
      <c r="E4" s="16" t="s">
        <v>33</v>
      </c>
      <c r="F4" s="16" t="s">
        <v>153</v>
      </c>
    </row>
    <row r="5" customFormat="false" ht="30" hidden="false" customHeight="true" outlineLevel="0" collapsed="false">
      <c r="A5" s="17" t="n">
        <f aca="false">COUNTA(Metrics!A5:A64)</f>
        <v>2</v>
      </c>
      <c r="B5" s="17" t="n">
        <f aca="false">COUNTA(Products!A5:A64)</f>
        <v>3</v>
      </c>
      <c r="C5" s="17" t="n">
        <f aca="false">COUNTA(Fields!A5:A64)</f>
        <v>8</v>
      </c>
      <c r="D5" s="17" t="n">
        <f aca="false">COUNTIF(Fields!C5:C64,"Derived")</f>
        <v>2</v>
      </c>
      <c r="E5" s="17" t="n">
        <f aca="false">COUNTIF(Fields!H5:H64,"Issue")</f>
        <v>1</v>
      </c>
      <c r="F5" s="17" t="n">
        <f aca="false">COUNTIF(Metrics!G5:G64,"Draft")+COUNTIF(Metrics!G5:G64,"Under review")</f>
        <v>2</v>
      </c>
    </row>
    <row r="8" customFormat="false" ht="15" hidden="false" customHeight="false" outlineLevel="0" collapsed="false">
      <c r="A8" s="3" t="s">
        <v>154</v>
      </c>
      <c r="J8" s="3" t="s">
        <v>155</v>
      </c>
    </row>
    <row r="9" customFormat="false" ht="30" hidden="false" customHeight="true" outlineLevel="0" collapsed="false">
      <c r="A9" s="18" t="s">
        <v>99</v>
      </c>
      <c r="B9" s="18" t="s">
        <v>100</v>
      </c>
      <c r="C9" s="18" t="s">
        <v>49</v>
      </c>
      <c r="D9" s="18" t="s">
        <v>102</v>
      </c>
      <c r="E9" s="18" t="s">
        <v>105</v>
      </c>
      <c r="F9" s="18" t="s">
        <v>107</v>
      </c>
      <c r="G9" s="18" t="s">
        <v>108</v>
      </c>
      <c r="H9" s="18" t="s">
        <v>156</v>
      </c>
      <c r="J9" s="18" t="s">
        <v>68</v>
      </c>
      <c r="K9" s="18" t="s">
        <v>69</v>
      </c>
      <c r="L9" s="18" t="s">
        <v>74</v>
      </c>
      <c r="M9" s="18" t="s">
        <v>3</v>
      </c>
      <c r="N9" s="18" t="s">
        <v>9</v>
      </c>
      <c r="O9" s="18" t="s">
        <v>33</v>
      </c>
    </row>
    <row r="10" customFormat="false" ht="15" hidden="false" customHeight="false" outlineLevel="0" collapsed="false">
      <c r="A10" s="14" t="str">
        <f aca="false">IF(Fields!A5="","",Fields!A5)</f>
        <v>F-001</v>
      </c>
      <c r="B10" s="14" t="str">
        <f aca="false">IF(Fields!A5="","",Fields!B5)</f>
        <v>Requisition approved date</v>
      </c>
      <c r="C10" s="14" t="str">
        <f aca="false">IF(Fields!A5="","",Fields!C5)</f>
        <v>Raw</v>
      </c>
      <c r="D10" s="14" t="str">
        <f aca="false">IF(Fields!A5="","",Fields!E5)</f>
        <v>HRDW</v>
      </c>
      <c r="E10" s="15" t="str">
        <f aca="false">IF(Fields!A5="","",Fields!H5)</f>
        <v>Clean</v>
      </c>
      <c r="F10" s="14" t="n">
        <f aca="false">IF(Fields!A5="","",Fields!J5)</f>
        <v>1</v>
      </c>
      <c r="G10" s="14" t="n">
        <f aca="false">IF(Fields!A5="","",Fields!K5)</f>
        <v>3</v>
      </c>
      <c r="H10" s="14" t="str">
        <f aca="false">IF(Fields!A5="","",IF(Fields!C5="Derived","Yes","No"))</f>
        <v>No</v>
      </c>
      <c r="J10" s="14" t="str">
        <f aca="false">IF(Metrics!A5="","",Metrics!A5)</f>
        <v>M-001</v>
      </c>
      <c r="K10" s="14" t="str">
        <f aca="false">IF(Metrics!A5="","",Metrics!B5)</f>
        <v>Cycle time (approved to accepted)</v>
      </c>
      <c r="L10" s="14" t="str">
        <f aca="false">IF(Metrics!A5="","",Metrics!G5)</f>
        <v>Draft</v>
      </c>
      <c r="M10" s="14" t="n">
        <f aca="false">IF(Metrics!A5="","",Metrics!I5)</f>
        <v>3</v>
      </c>
      <c r="N10" s="14" t="n">
        <f aca="false">IF(Metrics!A5="","",Metrics!J5)</f>
        <v>5</v>
      </c>
      <c r="O10" s="14" t="n">
        <f aca="false">IF(Metrics!A5="","",SUMPRODUCT(('Metric to Field'!$A$5:$A$64=Metrics!A5)*(IFERROR(INDEX(Fields!$H$5:$H$64,MATCH('Metric to Field'!$B$5:$B$64,Fields!$A$5:$A$64,0)),"")="Issue")))</f>
        <v>1</v>
      </c>
    </row>
    <row r="11" customFormat="false" ht="15" hidden="false" customHeight="false" outlineLevel="0" collapsed="false">
      <c r="A11" s="14" t="str">
        <f aca="false">IF(Fields!A6="","",Fields!A6)</f>
        <v>F-002</v>
      </c>
      <c r="B11" s="14" t="str">
        <f aca="false">IF(Fields!A6="","",Fields!B6)</f>
        <v>Offer accepted date</v>
      </c>
      <c r="C11" s="14" t="str">
        <f aca="false">IF(Fields!A6="","",Fields!C6)</f>
        <v>Raw</v>
      </c>
      <c r="D11" s="14" t="str">
        <f aca="false">IF(Fields!A6="","",Fields!E6)</f>
        <v>HRDW</v>
      </c>
      <c r="E11" s="15" t="str">
        <f aca="false">IF(Fields!A6="","",Fields!H6)</f>
        <v>Clean</v>
      </c>
      <c r="F11" s="14" t="n">
        <f aca="false">IF(Fields!A6="","",Fields!J6)</f>
        <v>2</v>
      </c>
      <c r="G11" s="14" t="n">
        <f aca="false">IF(Fields!A6="","",Fields!K6)</f>
        <v>4</v>
      </c>
      <c r="H11" s="14" t="str">
        <f aca="false">IF(Fields!A6="","",IF(Fields!C6="Derived","Yes","No"))</f>
        <v>No</v>
      </c>
      <c r="J11" s="14" t="str">
        <f aca="false">IF(Metrics!A6="","",Metrics!A6)</f>
        <v>M-002</v>
      </c>
      <c r="K11" s="14" t="str">
        <f aca="false">IF(Metrics!A6="","",Metrics!B6)</f>
        <v>Hires by recruiter</v>
      </c>
      <c r="L11" s="14" t="str">
        <f aca="false">IF(Metrics!A6="","",Metrics!G6)</f>
        <v>Draft</v>
      </c>
      <c r="M11" s="14" t="n">
        <f aca="false">IF(Metrics!A6="","",Metrics!I6)</f>
        <v>1</v>
      </c>
      <c r="N11" s="14" t="n">
        <f aca="false">IF(Metrics!A6="","",Metrics!J6)</f>
        <v>2</v>
      </c>
      <c r="O11" s="14" t="n">
        <f aca="false">IF(Metrics!A6="","",SUMPRODUCT(('Metric to Field'!$A$5:$A$64=Metrics!A6)*(IFERROR(INDEX(Fields!$H$5:$H$64,MATCH('Metric to Field'!$B$5:$B$64,Fields!$A$5:$A$64,0)),"")="Issue")))</f>
        <v>0</v>
      </c>
    </row>
    <row r="12" customFormat="false" ht="15" hidden="false" customHeight="false" outlineLevel="0" collapsed="false">
      <c r="A12" s="14" t="str">
        <f aca="false">IF(Fields!A7="","",Fields!A7)</f>
        <v>F-003</v>
      </c>
      <c r="B12" s="14" t="str">
        <f aca="false">IF(Fields!A7="","",Fields!B7)</f>
        <v>Evergreen flag</v>
      </c>
      <c r="C12" s="14" t="str">
        <f aca="false">IF(Fields!A7="","",Fields!C7)</f>
        <v>Raw</v>
      </c>
      <c r="D12" s="14" t="str">
        <f aca="false">IF(Fields!A7="","",Fields!E7)</f>
        <v>HRDW</v>
      </c>
      <c r="E12" s="15" t="str">
        <f aca="false">IF(Fields!A7="","",Fields!H7)</f>
        <v>Issue</v>
      </c>
      <c r="F12" s="14" t="n">
        <f aca="false">IF(Fields!A7="","",Fields!J7)</f>
        <v>1</v>
      </c>
      <c r="G12" s="14" t="n">
        <f aca="false">IF(Fields!A7="","",Fields!K7)</f>
        <v>3</v>
      </c>
      <c r="H12" s="14" t="str">
        <f aca="false">IF(Fields!A7="","",IF(Fields!C7="Derived","Yes","No"))</f>
        <v>No</v>
      </c>
      <c r="J12" s="14" t="str">
        <f aca="false">IF(Metrics!A7="","",Metrics!A7)</f>
        <v/>
      </c>
      <c r="K12" s="14" t="str">
        <f aca="false">IF(Metrics!A7="","",Metrics!B7)</f>
        <v/>
      </c>
      <c r="L12" s="14" t="str">
        <f aca="false">IF(Metrics!A7="","",Metrics!G7)</f>
        <v/>
      </c>
      <c r="M12" s="14" t="str">
        <f aca="false">IF(Metrics!A7="","",Metrics!I7)</f>
        <v/>
      </c>
      <c r="N12" s="14" t="str">
        <f aca="false">IF(Metrics!A7="","",Metrics!J7)</f>
        <v/>
      </c>
      <c r="O12" s="14" t="str">
        <f aca="false">IF(Metrics!A7="","",SUMPRODUCT(('Metric to Field'!$A$5:$A$64=Metrics!A7)*(IFERROR(INDEX(Fields!$H$5:$H$64,MATCH('Metric to Field'!$B$5:$B$64,Fields!$A$5:$A$64,0)),"")="Issue")))</f>
        <v/>
      </c>
    </row>
    <row r="13" customFormat="false" ht="15" hidden="false" customHeight="false" outlineLevel="0" collapsed="false">
      <c r="A13" s="14" t="str">
        <f aca="false">IF(Fields!A8="","",Fields!A8)</f>
        <v>F-004</v>
      </c>
      <c r="B13" s="14" t="str">
        <f aca="false">IF(Fields!A8="","",Fields!B8)</f>
        <v>Requisition status</v>
      </c>
      <c r="C13" s="14" t="str">
        <f aca="false">IF(Fields!A8="","",Fields!C8)</f>
        <v>Raw</v>
      </c>
      <c r="D13" s="14" t="str">
        <f aca="false">IF(Fields!A8="","",Fields!E8)</f>
        <v>HRDW</v>
      </c>
      <c r="E13" s="15" t="str">
        <f aca="false">IF(Fields!A8="","",Fields!H8)</f>
        <v>Clean</v>
      </c>
      <c r="F13" s="14" t="n">
        <f aca="false">IF(Fields!A8="","",Fields!J8)</f>
        <v>1</v>
      </c>
      <c r="G13" s="14" t="n">
        <f aca="false">IF(Fields!A8="","",Fields!K8)</f>
        <v>3</v>
      </c>
      <c r="H13" s="14" t="str">
        <f aca="false">IF(Fields!A8="","",IF(Fields!C8="Derived","Yes","No"))</f>
        <v>No</v>
      </c>
      <c r="J13" s="14" t="str">
        <f aca="false">IF(Metrics!A8="","",Metrics!A8)</f>
        <v/>
      </c>
      <c r="K13" s="14" t="str">
        <f aca="false">IF(Metrics!A8="","",Metrics!B8)</f>
        <v/>
      </c>
      <c r="L13" s="14" t="str">
        <f aca="false">IF(Metrics!A8="","",Metrics!G8)</f>
        <v/>
      </c>
      <c r="M13" s="14" t="str">
        <f aca="false">IF(Metrics!A8="","",Metrics!I8)</f>
        <v/>
      </c>
      <c r="N13" s="14" t="str">
        <f aca="false">IF(Metrics!A8="","",Metrics!J8)</f>
        <v/>
      </c>
      <c r="O13" s="14" t="str">
        <f aca="false">IF(Metrics!A8="","",SUMPRODUCT(('Metric to Field'!$A$5:$A$64=Metrics!A8)*(IFERROR(INDEX(Fields!$H$5:$H$64,MATCH('Metric to Field'!$B$5:$B$64,Fields!$A$5:$A$64,0)),"")="Issue")))</f>
        <v/>
      </c>
    </row>
    <row r="14" customFormat="false" ht="15" hidden="false" customHeight="false" outlineLevel="0" collapsed="false">
      <c r="A14" s="14" t="str">
        <f aca="false">IF(Fields!A9="","",Fields!A9)</f>
        <v>F-005</v>
      </c>
      <c r="B14" s="14" t="str">
        <f aca="false">IF(Fields!A9="","",Fields!B9)</f>
        <v>Original requisition link</v>
      </c>
      <c r="C14" s="14" t="str">
        <f aca="false">IF(Fields!A9="","",Fields!C9)</f>
        <v>Derived</v>
      </c>
      <c r="D14" s="14" t="str">
        <f aca="false">IF(Fields!A9="","",Fields!E9)</f>
        <v>Team custom</v>
      </c>
      <c r="E14" s="15" t="str">
        <f aca="false">IF(Fields!A9="","",Fields!H9)</f>
        <v>Unknown</v>
      </c>
      <c r="F14" s="14" t="n">
        <f aca="false">IF(Fields!A9="","",Fields!J9)</f>
        <v>1</v>
      </c>
      <c r="G14" s="14" t="n">
        <f aca="false">IF(Fields!A9="","",Fields!K9)</f>
        <v>3</v>
      </c>
      <c r="H14" s="14" t="str">
        <f aca="false">IF(Fields!A9="","",IF(Fields!C9="Derived","Yes","No"))</f>
        <v>Yes</v>
      </c>
      <c r="J14" s="14" t="str">
        <f aca="false">IF(Metrics!A9="","",Metrics!A9)</f>
        <v/>
      </c>
      <c r="K14" s="14" t="str">
        <f aca="false">IF(Metrics!A9="","",Metrics!B9)</f>
        <v/>
      </c>
      <c r="L14" s="14" t="str">
        <f aca="false">IF(Metrics!A9="","",Metrics!G9)</f>
        <v/>
      </c>
      <c r="M14" s="14" t="str">
        <f aca="false">IF(Metrics!A9="","",Metrics!I9)</f>
        <v/>
      </c>
      <c r="N14" s="14" t="str">
        <f aca="false">IF(Metrics!A9="","",Metrics!J9)</f>
        <v/>
      </c>
      <c r="O14" s="14" t="str">
        <f aca="false">IF(Metrics!A9="","",SUMPRODUCT(('Metric to Field'!$A$5:$A$64=Metrics!A9)*(IFERROR(INDEX(Fields!$H$5:$H$64,MATCH('Metric to Field'!$B$5:$B$64,Fields!$A$5:$A$64,0)),"")="Issue")))</f>
        <v/>
      </c>
    </row>
    <row r="15" customFormat="false" ht="15" hidden="false" customHeight="false" outlineLevel="0" collapsed="false">
      <c r="A15" s="14" t="str">
        <f aca="false">IF(Fields!A10="","",Fields!A10)</f>
        <v>F-006</v>
      </c>
      <c r="B15" s="14" t="str">
        <f aca="false">IF(Fields!A10="","",Fields!B10)</f>
        <v>Requisition transfer history</v>
      </c>
      <c r="C15" s="14" t="str">
        <f aca="false">IF(Fields!A10="","",Fields!C10)</f>
        <v>Raw</v>
      </c>
      <c r="D15" s="14" t="str">
        <f aca="false">IF(Fields!A10="","",Fields!E10)</f>
        <v>HRDW</v>
      </c>
      <c r="E15" s="15" t="str">
        <f aca="false">IF(Fields!A10="","",Fields!H10)</f>
        <v>Unknown</v>
      </c>
      <c r="F15" s="14" t="n">
        <f aca="false">IF(Fields!A10="","",Fields!J10)</f>
        <v>0</v>
      </c>
      <c r="G15" s="14" t="n">
        <f aca="false">IF(Fields!A10="","",Fields!K10)</f>
        <v>0</v>
      </c>
      <c r="H15" s="14" t="str">
        <f aca="false">IF(Fields!A10="","",IF(Fields!C10="Derived","Yes","No"))</f>
        <v>No</v>
      </c>
      <c r="J15" s="14" t="str">
        <f aca="false">IF(Metrics!A10="","",Metrics!A10)</f>
        <v/>
      </c>
      <c r="K15" s="14" t="str">
        <f aca="false">IF(Metrics!A10="","",Metrics!B10)</f>
        <v/>
      </c>
      <c r="L15" s="14" t="str">
        <f aca="false">IF(Metrics!A10="","",Metrics!G10)</f>
        <v/>
      </c>
      <c r="M15" s="14" t="str">
        <f aca="false">IF(Metrics!A10="","",Metrics!I10)</f>
        <v/>
      </c>
      <c r="N15" s="14" t="str">
        <f aca="false">IF(Metrics!A10="","",Metrics!J10)</f>
        <v/>
      </c>
      <c r="O15" s="14" t="str">
        <f aca="false">IF(Metrics!A10="","",SUMPRODUCT(('Metric to Field'!$A$5:$A$64=Metrics!A10)*(IFERROR(INDEX(Fields!$H$5:$H$64,MATCH('Metric to Field'!$B$5:$B$64,Fields!$A$5:$A$64,0)),"")="Issue")))</f>
        <v/>
      </c>
    </row>
    <row r="16" customFormat="false" ht="15" hidden="false" customHeight="false" outlineLevel="0" collapsed="false">
      <c r="A16" s="14" t="str">
        <f aca="false">IF(Fields!A11="","",Fields!A11)</f>
        <v>F-007</v>
      </c>
      <c r="B16" s="14" t="str">
        <f aca="false">IF(Fields!A11="","",Fields!B11)</f>
        <v>Requisition owner history</v>
      </c>
      <c r="C16" s="14" t="str">
        <f aca="false">IF(Fields!A11="","",Fields!C11)</f>
        <v>Raw</v>
      </c>
      <c r="D16" s="14" t="str">
        <f aca="false">IF(Fields!A11="","",Fields!E11)</f>
        <v>HRDW</v>
      </c>
      <c r="E16" s="15" t="str">
        <f aca="false">IF(Fields!A11="","",Fields!H11)</f>
        <v>Clean</v>
      </c>
      <c r="F16" s="14" t="n">
        <f aca="false">IF(Fields!A11="","",Fields!J11)</f>
        <v>0</v>
      </c>
      <c r="G16" s="14" t="n">
        <f aca="false">IF(Fields!A11="","",Fields!K11)</f>
        <v>0</v>
      </c>
      <c r="H16" s="14" t="str">
        <f aca="false">IF(Fields!A11="","",IF(Fields!C11="Derived","Yes","No"))</f>
        <v>No</v>
      </c>
      <c r="J16" s="14" t="str">
        <f aca="false">IF(Metrics!A11="","",Metrics!A11)</f>
        <v/>
      </c>
      <c r="K16" s="14" t="str">
        <f aca="false">IF(Metrics!A11="","",Metrics!B11)</f>
        <v/>
      </c>
      <c r="L16" s="14" t="str">
        <f aca="false">IF(Metrics!A11="","",Metrics!G11)</f>
        <v/>
      </c>
      <c r="M16" s="14" t="str">
        <f aca="false">IF(Metrics!A11="","",Metrics!I11)</f>
        <v/>
      </c>
      <c r="N16" s="14" t="str">
        <f aca="false">IF(Metrics!A11="","",Metrics!J11)</f>
        <v/>
      </c>
      <c r="O16" s="14" t="str">
        <f aca="false">IF(Metrics!A11="","",SUMPRODUCT(('Metric to Field'!$A$5:$A$64=Metrics!A11)*(IFERROR(INDEX(Fields!$H$5:$H$64,MATCH('Metric to Field'!$B$5:$B$64,Fields!$A$5:$A$64,0)),"")="Issue")))</f>
        <v/>
      </c>
    </row>
    <row r="17" customFormat="false" ht="15" hidden="false" customHeight="false" outlineLevel="0" collapsed="false">
      <c r="A17" s="14" t="str">
        <f aca="false">IF(Fields!A12="","",Fields!A12)</f>
        <v>F-008</v>
      </c>
      <c r="B17" s="14" t="str">
        <f aca="false">IF(Fields!A12="","",Fields!B12)</f>
        <v>Credited recruiter</v>
      </c>
      <c r="C17" s="14" t="str">
        <f aca="false">IF(Fields!A12="","",Fields!C12)</f>
        <v>Derived</v>
      </c>
      <c r="D17" s="14" t="str">
        <f aca="false">IF(Fields!A12="","",Fields!E12)</f>
        <v>Team custom</v>
      </c>
      <c r="E17" s="15" t="str">
        <f aca="false">IF(Fields!A12="","",Fields!H12)</f>
        <v>Unknown</v>
      </c>
      <c r="F17" s="14" t="n">
        <f aca="false">IF(Fields!A12="","",Fields!J12)</f>
        <v>1</v>
      </c>
      <c r="G17" s="14" t="n">
        <f aca="false">IF(Fields!A12="","",Fields!K12)</f>
        <v>1</v>
      </c>
      <c r="H17" s="14" t="str">
        <f aca="false">IF(Fields!A12="","",IF(Fields!C12="Derived","Yes","No"))</f>
        <v>Yes</v>
      </c>
      <c r="J17" s="14" t="str">
        <f aca="false">IF(Metrics!A12="","",Metrics!A12)</f>
        <v/>
      </c>
      <c r="K17" s="14" t="str">
        <f aca="false">IF(Metrics!A12="","",Metrics!B12)</f>
        <v/>
      </c>
      <c r="L17" s="14" t="str">
        <f aca="false">IF(Metrics!A12="","",Metrics!G12)</f>
        <v/>
      </c>
      <c r="M17" s="14" t="str">
        <f aca="false">IF(Metrics!A12="","",Metrics!I12)</f>
        <v/>
      </c>
      <c r="N17" s="14" t="str">
        <f aca="false">IF(Metrics!A12="","",Metrics!J12)</f>
        <v/>
      </c>
      <c r="O17" s="14" t="str">
        <f aca="false">IF(Metrics!A12="","",SUMPRODUCT(('Metric to Field'!$A$5:$A$64=Metrics!A12)*(IFERROR(INDEX(Fields!$H$5:$H$64,MATCH('Metric to Field'!$B$5:$B$64,Fields!$A$5:$A$64,0)),"")="Issue")))</f>
        <v/>
      </c>
    </row>
    <row r="18" customFormat="false" ht="15" hidden="false" customHeight="false" outlineLevel="0" collapsed="false">
      <c r="A18" s="14" t="str">
        <f aca="false">IF(Fields!A13="","",Fields!A13)</f>
        <v/>
      </c>
      <c r="B18" s="14" t="str">
        <f aca="false">IF(Fields!A13="","",Fields!B13)</f>
        <v/>
      </c>
      <c r="C18" s="14" t="str">
        <f aca="false">IF(Fields!A13="","",Fields!C13)</f>
        <v/>
      </c>
      <c r="D18" s="14" t="str">
        <f aca="false">IF(Fields!A13="","",Fields!E13)</f>
        <v/>
      </c>
      <c r="E18" s="15" t="str">
        <f aca="false">IF(Fields!A13="","",Fields!H13)</f>
        <v/>
      </c>
      <c r="F18" s="14" t="str">
        <f aca="false">IF(Fields!A13="","",Fields!J13)</f>
        <v/>
      </c>
      <c r="G18" s="14" t="str">
        <f aca="false">IF(Fields!A13="","",Fields!K13)</f>
        <v/>
      </c>
      <c r="H18" s="14" t="str">
        <f aca="false">IF(Fields!A13="","",IF(Fields!C13="Derived","Yes","No"))</f>
        <v/>
      </c>
      <c r="J18" s="14" t="str">
        <f aca="false">IF(Metrics!A13="","",Metrics!A13)</f>
        <v/>
      </c>
      <c r="K18" s="14" t="str">
        <f aca="false">IF(Metrics!A13="","",Metrics!B13)</f>
        <v/>
      </c>
      <c r="L18" s="14" t="str">
        <f aca="false">IF(Metrics!A13="","",Metrics!G13)</f>
        <v/>
      </c>
      <c r="M18" s="14" t="str">
        <f aca="false">IF(Metrics!A13="","",Metrics!I13)</f>
        <v/>
      </c>
      <c r="N18" s="14" t="str">
        <f aca="false">IF(Metrics!A13="","",Metrics!J13)</f>
        <v/>
      </c>
      <c r="O18" s="14" t="str">
        <f aca="false">IF(Metrics!A13="","",SUMPRODUCT(('Metric to Field'!$A$5:$A$64=Metrics!A13)*(IFERROR(INDEX(Fields!$H$5:$H$64,MATCH('Metric to Field'!$B$5:$B$64,Fields!$A$5:$A$64,0)),"")="Issue")))</f>
        <v/>
      </c>
    </row>
    <row r="19" customFormat="false" ht="15" hidden="false" customHeight="false" outlineLevel="0" collapsed="false">
      <c r="A19" s="14" t="str">
        <f aca="false">IF(Fields!A14="","",Fields!A14)</f>
        <v/>
      </c>
      <c r="B19" s="14" t="str">
        <f aca="false">IF(Fields!A14="","",Fields!B14)</f>
        <v/>
      </c>
      <c r="C19" s="14" t="str">
        <f aca="false">IF(Fields!A14="","",Fields!C14)</f>
        <v/>
      </c>
      <c r="D19" s="14" t="str">
        <f aca="false">IF(Fields!A14="","",Fields!E14)</f>
        <v/>
      </c>
      <c r="E19" s="15" t="str">
        <f aca="false">IF(Fields!A14="","",Fields!H14)</f>
        <v/>
      </c>
      <c r="F19" s="14" t="str">
        <f aca="false">IF(Fields!A14="","",Fields!J14)</f>
        <v/>
      </c>
      <c r="G19" s="14" t="str">
        <f aca="false">IF(Fields!A14="","",Fields!K14)</f>
        <v/>
      </c>
      <c r="H19" s="14" t="str">
        <f aca="false">IF(Fields!A14="","",IF(Fields!C14="Derived","Yes","No"))</f>
        <v/>
      </c>
      <c r="J19" s="14" t="str">
        <f aca="false">IF(Metrics!A14="","",Metrics!A14)</f>
        <v/>
      </c>
      <c r="K19" s="14" t="str">
        <f aca="false">IF(Metrics!A14="","",Metrics!B14)</f>
        <v/>
      </c>
      <c r="L19" s="14" t="str">
        <f aca="false">IF(Metrics!A14="","",Metrics!G14)</f>
        <v/>
      </c>
      <c r="M19" s="14" t="str">
        <f aca="false">IF(Metrics!A14="","",Metrics!I14)</f>
        <v/>
      </c>
      <c r="N19" s="14" t="str">
        <f aca="false">IF(Metrics!A14="","",Metrics!J14)</f>
        <v/>
      </c>
      <c r="O19" s="14" t="str">
        <f aca="false">IF(Metrics!A14="","",SUMPRODUCT(('Metric to Field'!$A$5:$A$64=Metrics!A14)*(IFERROR(INDEX(Fields!$H$5:$H$64,MATCH('Metric to Field'!$B$5:$B$64,Fields!$A$5:$A$64,0)),"")="Issue")))</f>
        <v/>
      </c>
    </row>
    <row r="20" customFormat="false" ht="15" hidden="false" customHeight="false" outlineLevel="0" collapsed="false">
      <c r="A20" s="14" t="str">
        <f aca="false">IF(Fields!A15="","",Fields!A15)</f>
        <v/>
      </c>
      <c r="B20" s="14" t="str">
        <f aca="false">IF(Fields!A15="","",Fields!B15)</f>
        <v/>
      </c>
      <c r="C20" s="14" t="str">
        <f aca="false">IF(Fields!A15="","",Fields!C15)</f>
        <v/>
      </c>
      <c r="D20" s="14" t="str">
        <f aca="false">IF(Fields!A15="","",Fields!E15)</f>
        <v/>
      </c>
      <c r="E20" s="15" t="str">
        <f aca="false">IF(Fields!A15="","",Fields!H15)</f>
        <v/>
      </c>
      <c r="F20" s="14" t="str">
        <f aca="false">IF(Fields!A15="","",Fields!J15)</f>
        <v/>
      </c>
      <c r="G20" s="14" t="str">
        <f aca="false">IF(Fields!A15="","",Fields!K15)</f>
        <v/>
      </c>
      <c r="H20" s="14" t="str">
        <f aca="false">IF(Fields!A15="","",IF(Fields!C15="Derived","Yes","No"))</f>
        <v/>
      </c>
      <c r="J20" s="14" t="str">
        <f aca="false">IF(Metrics!A15="","",Metrics!A15)</f>
        <v/>
      </c>
      <c r="K20" s="14" t="str">
        <f aca="false">IF(Metrics!A15="","",Metrics!B15)</f>
        <v/>
      </c>
      <c r="L20" s="14" t="str">
        <f aca="false">IF(Metrics!A15="","",Metrics!G15)</f>
        <v/>
      </c>
      <c r="M20" s="14" t="str">
        <f aca="false">IF(Metrics!A15="","",Metrics!I15)</f>
        <v/>
      </c>
      <c r="N20" s="14" t="str">
        <f aca="false">IF(Metrics!A15="","",Metrics!J15)</f>
        <v/>
      </c>
      <c r="O20" s="14" t="str">
        <f aca="false">IF(Metrics!A15="","",SUMPRODUCT(('Metric to Field'!$A$5:$A$64=Metrics!A15)*(IFERROR(INDEX(Fields!$H$5:$H$64,MATCH('Metric to Field'!$B$5:$B$64,Fields!$A$5:$A$64,0)),"")="Issue")))</f>
        <v/>
      </c>
    </row>
    <row r="21" customFormat="false" ht="15" hidden="false" customHeight="false" outlineLevel="0" collapsed="false">
      <c r="A21" s="14" t="str">
        <f aca="false">IF(Fields!A16="","",Fields!A16)</f>
        <v/>
      </c>
      <c r="B21" s="14" t="str">
        <f aca="false">IF(Fields!A16="","",Fields!B16)</f>
        <v/>
      </c>
      <c r="C21" s="14" t="str">
        <f aca="false">IF(Fields!A16="","",Fields!C16)</f>
        <v/>
      </c>
      <c r="D21" s="14" t="str">
        <f aca="false">IF(Fields!A16="","",Fields!E16)</f>
        <v/>
      </c>
      <c r="E21" s="15" t="str">
        <f aca="false">IF(Fields!A16="","",Fields!H16)</f>
        <v/>
      </c>
      <c r="F21" s="14" t="str">
        <f aca="false">IF(Fields!A16="","",Fields!J16)</f>
        <v/>
      </c>
      <c r="G21" s="14" t="str">
        <f aca="false">IF(Fields!A16="","",Fields!K16)</f>
        <v/>
      </c>
      <c r="H21" s="14" t="str">
        <f aca="false">IF(Fields!A16="","",IF(Fields!C16="Derived","Yes","No"))</f>
        <v/>
      </c>
      <c r="J21" s="14" t="str">
        <f aca="false">IF(Metrics!A16="","",Metrics!A16)</f>
        <v/>
      </c>
      <c r="K21" s="14" t="str">
        <f aca="false">IF(Metrics!A16="","",Metrics!B16)</f>
        <v/>
      </c>
      <c r="L21" s="14" t="str">
        <f aca="false">IF(Metrics!A16="","",Metrics!G16)</f>
        <v/>
      </c>
      <c r="M21" s="14" t="str">
        <f aca="false">IF(Metrics!A16="","",Metrics!I16)</f>
        <v/>
      </c>
      <c r="N21" s="14" t="str">
        <f aca="false">IF(Metrics!A16="","",Metrics!J16)</f>
        <v/>
      </c>
      <c r="O21" s="14" t="str">
        <f aca="false">IF(Metrics!A16="","",SUMPRODUCT(('Metric to Field'!$A$5:$A$64=Metrics!A16)*(IFERROR(INDEX(Fields!$H$5:$H$64,MATCH('Metric to Field'!$B$5:$B$64,Fields!$A$5:$A$64,0)),"")="Issue")))</f>
        <v/>
      </c>
    </row>
    <row r="22" customFormat="false" ht="15" hidden="false" customHeight="false" outlineLevel="0" collapsed="false">
      <c r="A22" s="14" t="str">
        <f aca="false">IF(Fields!A17="","",Fields!A17)</f>
        <v/>
      </c>
      <c r="B22" s="14" t="str">
        <f aca="false">IF(Fields!A17="","",Fields!B17)</f>
        <v/>
      </c>
      <c r="C22" s="14" t="str">
        <f aca="false">IF(Fields!A17="","",Fields!C17)</f>
        <v/>
      </c>
      <c r="D22" s="14" t="str">
        <f aca="false">IF(Fields!A17="","",Fields!E17)</f>
        <v/>
      </c>
      <c r="E22" s="15" t="str">
        <f aca="false">IF(Fields!A17="","",Fields!H17)</f>
        <v/>
      </c>
      <c r="F22" s="14" t="str">
        <f aca="false">IF(Fields!A17="","",Fields!J17)</f>
        <v/>
      </c>
      <c r="G22" s="14" t="str">
        <f aca="false">IF(Fields!A17="","",Fields!K17)</f>
        <v/>
      </c>
      <c r="H22" s="14" t="str">
        <f aca="false">IF(Fields!A17="","",IF(Fields!C17="Derived","Yes","No"))</f>
        <v/>
      </c>
      <c r="J22" s="14" t="str">
        <f aca="false">IF(Metrics!A17="","",Metrics!A17)</f>
        <v/>
      </c>
      <c r="K22" s="14" t="str">
        <f aca="false">IF(Metrics!A17="","",Metrics!B17)</f>
        <v/>
      </c>
      <c r="L22" s="14" t="str">
        <f aca="false">IF(Metrics!A17="","",Metrics!G17)</f>
        <v/>
      </c>
      <c r="M22" s="14" t="str">
        <f aca="false">IF(Metrics!A17="","",Metrics!I17)</f>
        <v/>
      </c>
      <c r="N22" s="14" t="str">
        <f aca="false">IF(Metrics!A17="","",Metrics!J17)</f>
        <v/>
      </c>
      <c r="O22" s="14" t="str">
        <f aca="false">IF(Metrics!A17="","",SUMPRODUCT(('Metric to Field'!$A$5:$A$64=Metrics!A17)*(IFERROR(INDEX(Fields!$H$5:$H$64,MATCH('Metric to Field'!$B$5:$B$64,Fields!$A$5:$A$64,0)),"")="Issue")))</f>
        <v/>
      </c>
    </row>
    <row r="23" customFormat="false" ht="15" hidden="false" customHeight="false" outlineLevel="0" collapsed="false">
      <c r="A23" s="14" t="str">
        <f aca="false">IF(Fields!A18="","",Fields!A18)</f>
        <v/>
      </c>
      <c r="B23" s="14" t="str">
        <f aca="false">IF(Fields!A18="","",Fields!B18)</f>
        <v/>
      </c>
      <c r="C23" s="14" t="str">
        <f aca="false">IF(Fields!A18="","",Fields!C18)</f>
        <v/>
      </c>
      <c r="D23" s="14" t="str">
        <f aca="false">IF(Fields!A18="","",Fields!E18)</f>
        <v/>
      </c>
      <c r="E23" s="15" t="str">
        <f aca="false">IF(Fields!A18="","",Fields!H18)</f>
        <v/>
      </c>
      <c r="F23" s="14" t="str">
        <f aca="false">IF(Fields!A18="","",Fields!J18)</f>
        <v/>
      </c>
      <c r="G23" s="14" t="str">
        <f aca="false">IF(Fields!A18="","",Fields!K18)</f>
        <v/>
      </c>
      <c r="H23" s="14" t="str">
        <f aca="false">IF(Fields!A18="","",IF(Fields!C18="Derived","Yes","No"))</f>
        <v/>
      </c>
      <c r="J23" s="14" t="str">
        <f aca="false">IF(Metrics!A18="","",Metrics!A18)</f>
        <v/>
      </c>
      <c r="K23" s="14" t="str">
        <f aca="false">IF(Metrics!A18="","",Metrics!B18)</f>
        <v/>
      </c>
      <c r="L23" s="14" t="str">
        <f aca="false">IF(Metrics!A18="","",Metrics!G18)</f>
        <v/>
      </c>
      <c r="M23" s="14" t="str">
        <f aca="false">IF(Metrics!A18="","",Metrics!I18)</f>
        <v/>
      </c>
      <c r="N23" s="14" t="str">
        <f aca="false">IF(Metrics!A18="","",Metrics!J18)</f>
        <v/>
      </c>
      <c r="O23" s="14" t="str">
        <f aca="false">IF(Metrics!A18="","",SUMPRODUCT(('Metric to Field'!$A$5:$A$64=Metrics!A18)*(IFERROR(INDEX(Fields!$H$5:$H$64,MATCH('Metric to Field'!$B$5:$B$64,Fields!$A$5:$A$64,0)),"")="Issue")))</f>
        <v/>
      </c>
    </row>
    <row r="24" customFormat="false" ht="15" hidden="false" customHeight="false" outlineLevel="0" collapsed="false">
      <c r="A24" s="14" t="str">
        <f aca="false">IF(Fields!A19="","",Fields!A19)</f>
        <v/>
      </c>
      <c r="B24" s="14" t="str">
        <f aca="false">IF(Fields!A19="","",Fields!B19)</f>
        <v/>
      </c>
      <c r="C24" s="14" t="str">
        <f aca="false">IF(Fields!A19="","",Fields!C19)</f>
        <v/>
      </c>
      <c r="D24" s="14" t="str">
        <f aca="false">IF(Fields!A19="","",Fields!E19)</f>
        <v/>
      </c>
      <c r="E24" s="15" t="str">
        <f aca="false">IF(Fields!A19="","",Fields!H19)</f>
        <v/>
      </c>
      <c r="F24" s="14" t="str">
        <f aca="false">IF(Fields!A19="","",Fields!J19)</f>
        <v/>
      </c>
      <c r="G24" s="14" t="str">
        <f aca="false">IF(Fields!A19="","",Fields!K19)</f>
        <v/>
      </c>
      <c r="H24" s="14" t="str">
        <f aca="false">IF(Fields!A19="","",IF(Fields!C19="Derived","Yes","No"))</f>
        <v/>
      </c>
      <c r="J24" s="14" t="str">
        <f aca="false">IF(Metrics!A19="","",Metrics!A19)</f>
        <v/>
      </c>
      <c r="K24" s="14" t="str">
        <f aca="false">IF(Metrics!A19="","",Metrics!B19)</f>
        <v/>
      </c>
      <c r="L24" s="14" t="str">
        <f aca="false">IF(Metrics!A19="","",Metrics!G19)</f>
        <v/>
      </c>
      <c r="M24" s="14" t="str">
        <f aca="false">IF(Metrics!A19="","",Metrics!I19)</f>
        <v/>
      </c>
      <c r="N24" s="14" t="str">
        <f aca="false">IF(Metrics!A19="","",Metrics!J19)</f>
        <v/>
      </c>
      <c r="O24" s="14" t="str">
        <f aca="false">IF(Metrics!A19="","",SUMPRODUCT(('Metric to Field'!$A$5:$A$64=Metrics!A19)*(IFERROR(INDEX(Fields!$H$5:$H$64,MATCH('Metric to Field'!$B$5:$B$64,Fields!$A$5:$A$64,0)),"")="Issue")))</f>
        <v/>
      </c>
    </row>
    <row r="25" customFormat="false" ht="15" hidden="false" customHeight="false" outlineLevel="0" collapsed="false">
      <c r="A25" s="14" t="str">
        <f aca="false">IF(Fields!A20="","",Fields!A20)</f>
        <v/>
      </c>
      <c r="B25" s="14" t="str">
        <f aca="false">IF(Fields!A20="","",Fields!B20)</f>
        <v/>
      </c>
      <c r="C25" s="14" t="str">
        <f aca="false">IF(Fields!A20="","",Fields!C20)</f>
        <v/>
      </c>
      <c r="D25" s="14" t="str">
        <f aca="false">IF(Fields!A20="","",Fields!E20)</f>
        <v/>
      </c>
      <c r="E25" s="15" t="str">
        <f aca="false">IF(Fields!A20="","",Fields!H20)</f>
        <v/>
      </c>
      <c r="F25" s="14" t="str">
        <f aca="false">IF(Fields!A20="","",Fields!J20)</f>
        <v/>
      </c>
      <c r="G25" s="14" t="str">
        <f aca="false">IF(Fields!A20="","",Fields!K20)</f>
        <v/>
      </c>
      <c r="H25" s="14" t="str">
        <f aca="false">IF(Fields!A20="","",IF(Fields!C20="Derived","Yes","No"))</f>
        <v/>
      </c>
      <c r="J25" s="14" t="str">
        <f aca="false">IF(Metrics!A20="","",Metrics!A20)</f>
        <v/>
      </c>
      <c r="K25" s="14" t="str">
        <f aca="false">IF(Metrics!A20="","",Metrics!B20)</f>
        <v/>
      </c>
      <c r="L25" s="14" t="str">
        <f aca="false">IF(Metrics!A20="","",Metrics!G20)</f>
        <v/>
      </c>
      <c r="M25" s="14" t="str">
        <f aca="false">IF(Metrics!A20="","",Metrics!I20)</f>
        <v/>
      </c>
      <c r="N25" s="14" t="str">
        <f aca="false">IF(Metrics!A20="","",Metrics!J20)</f>
        <v/>
      </c>
      <c r="O25" s="14" t="str">
        <f aca="false">IF(Metrics!A20="","",SUMPRODUCT(('Metric to Field'!$A$5:$A$64=Metrics!A20)*(IFERROR(INDEX(Fields!$H$5:$H$64,MATCH('Metric to Field'!$B$5:$B$64,Fields!$A$5:$A$64,0)),"")="Issue")))</f>
        <v/>
      </c>
    </row>
    <row r="26" customFormat="false" ht="15" hidden="false" customHeight="false" outlineLevel="0" collapsed="false">
      <c r="A26" s="14" t="str">
        <f aca="false">IF(Fields!A21="","",Fields!A21)</f>
        <v/>
      </c>
      <c r="B26" s="14" t="str">
        <f aca="false">IF(Fields!A21="","",Fields!B21)</f>
        <v/>
      </c>
      <c r="C26" s="14" t="str">
        <f aca="false">IF(Fields!A21="","",Fields!C21)</f>
        <v/>
      </c>
      <c r="D26" s="14" t="str">
        <f aca="false">IF(Fields!A21="","",Fields!E21)</f>
        <v/>
      </c>
      <c r="E26" s="15" t="str">
        <f aca="false">IF(Fields!A21="","",Fields!H21)</f>
        <v/>
      </c>
      <c r="F26" s="14" t="str">
        <f aca="false">IF(Fields!A21="","",Fields!J21)</f>
        <v/>
      </c>
      <c r="G26" s="14" t="str">
        <f aca="false">IF(Fields!A21="","",Fields!K21)</f>
        <v/>
      </c>
      <c r="H26" s="14" t="str">
        <f aca="false">IF(Fields!A21="","",IF(Fields!C21="Derived","Yes","No"))</f>
        <v/>
      </c>
      <c r="J26" s="14" t="str">
        <f aca="false">IF(Metrics!A21="","",Metrics!A21)</f>
        <v/>
      </c>
      <c r="K26" s="14" t="str">
        <f aca="false">IF(Metrics!A21="","",Metrics!B21)</f>
        <v/>
      </c>
      <c r="L26" s="14" t="str">
        <f aca="false">IF(Metrics!A21="","",Metrics!G21)</f>
        <v/>
      </c>
      <c r="M26" s="14" t="str">
        <f aca="false">IF(Metrics!A21="","",Metrics!I21)</f>
        <v/>
      </c>
      <c r="N26" s="14" t="str">
        <f aca="false">IF(Metrics!A21="","",Metrics!J21)</f>
        <v/>
      </c>
      <c r="O26" s="14" t="str">
        <f aca="false">IF(Metrics!A21="","",SUMPRODUCT(('Metric to Field'!$A$5:$A$64=Metrics!A21)*(IFERROR(INDEX(Fields!$H$5:$H$64,MATCH('Metric to Field'!$B$5:$B$64,Fields!$A$5:$A$64,0)),"")="Issue")))</f>
        <v/>
      </c>
    </row>
    <row r="27" customFormat="false" ht="15" hidden="false" customHeight="false" outlineLevel="0" collapsed="false">
      <c r="A27" s="14" t="str">
        <f aca="false">IF(Fields!A22="","",Fields!A22)</f>
        <v/>
      </c>
      <c r="B27" s="14" t="str">
        <f aca="false">IF(Fields!A22="","",Fields!B22)</f>
        <v/>
      </c>
      <c r="C27" s="14" t="str">
        <f aca="false">IF(Fields!A22="","",Fields!C22)</f>
        <v/>
      </c>
      <c r="D27" s="14" t="str">
        <f aca="false">IF(Fields!A22="","",Fields!E22)</f>
        <v/>
      </c>
      <c r="E27" s="15" t="str">
        <f aca="false">IF(Fields!A22="","",Fields!H22)</f>
        <v/>
      </c>
      <c r="F27" s="14" t="str">
        <f aca="false">IF(Fields!A22="","",Fields!J22)</f>
        <v/>
      </c>
      <c r="G27" s="14" t="str">
        <f aca="false">IF(Fields!A22="","",Fields!K22)</f>
        <v/>
      </c>
      <c r="H27" s="14" t="str">
        <f aca="false">IF(Fields!A22="","",IF(Fields!C22="Derived","Yes","No"))</f>
        <v/>
      </c>
      <c r="J27" s="14" t="str">
        <f aca="false">IF(Metrics!A22="","",Metrics!A22)</f>
        <v/>
      </c>
      <c r="K27" s="14" t="str">
        <f aca="false">IF(Metrics!A22="","",Metrics!B22)</f>
        <v/>
      </c>
      <c r="L27" s="14" t="str">
        <f aca="false">IF(Metrics!A22="","",Metrics!G22)</f>
        <v/>
      </c>
      <c r="M27" s="14" t="str">
        <f aca="false">IF(Metrics!A22="","",Metrics!I22)</f>
        <v/>
      </c>
      <c r="N27" s="14" t="str">
        <f aca="false">IF(Metrics!A22="","",Metrics!J22)</f>
        <v/>
      </c>
      <c r="O27" s="14" t="str">
        <f aca="false">IF(Metrics!A22="","",SUMPRODUCT(('Metric to Field'!$A$5:$A$64=Metrics!A22)*(IFERROR(INDEX(Fields!$H$5:$H$64,MATCH('Metric to Field'!$B$5:$B$64,Fields!$A$5:$A$64,0)),"")="Issue")))</f>
        <v/>
      </c>
    </row>
    <row r="28" customFormat="false" ht="15" hidden="false" customHeight="false" outlineLevel="0" collapsed="false">
      <c r="A28" s="14" t="str">
        <f aca="false">IF(Fields!A23="","",Fields!A23)</f>
        <v/>
      </c>
      <c r="B28" s="14" t="str">
        <f aca="false">IF(Fields!A23="","",Fields!B23)</f>
        <v/>
      </c>
      <c r="C28" s="14" t="str">
        <f aca="false">IF(Fields!A23="","",Fields!C23)</f>
        <v/>
      </c>
      <c r="D28" s="14" t="str">
        <f aca="false">IF(Fields!A23="","",Fields!E23)</f>
        <v/>
      </c>
      <c r="E28" s="15" t="str">
        <f aca="false">IF(Fields!A23="","",Fields!H23)</f>
        <v/>
      </c>
      <c r="F28" s="14" t="str">
        <f aca="false">IF(Fields!A23="","",Fields!J23)</f>
        <v/>
      </c>
      <c r="G28" s="14" t="str">
        <f aca="false">IF(Fields!A23="","",Fields!K23)</f>
        <v/>
      </c>
      <c r="H28" s="14" t="str">
        <f aca="false">IF(Fields!A23="","",IF(Fields!C23="Derived","Yes","No"))</f>
        <v/>
      </c>
      <c r="J28" s="14" t="str">
        <f aca="false">IF(Metrics!A23="","",Metrics!A23)</f>
        <v/>
      </c>
      <c r="K28" s="14" t="str">
        <f aca="false">IF(Metrics!A23="","",Metrics!B23)</f>
        <v/>
      </c>
      <c r="L28" s="14" t="str">
        <f aca="false">IF(Metrics!A23="","",Metrics!G23)</f>
        <v/>
      </c>
      <c r="M28" s="14" t="str">
        <f aca="false">IF(Metrics!A23="","",Metrics!I23)</f>
        <v/>
      </c>
      <c r="N28" s="14" t="str">
        <f aca="false">IF(Metrics!A23="","",Metrics!J23)</f>
        <v/>
      </c>
      <c r="O28" s="14" t="str">
        <f aca="false">IF(Metrics!A23="","",SUMPRODUCT(('Metric to Field'!$A$5:$A$64=Metrics!A23)*(IFERROR(INDEX(Fields!$H$5:$H$64,MATCH('Metric to Field'!$B$5:$B$64,Fields!$A$5:$A$64,0)),"")="Issue")))</f>
        <v/>
      </c>
    </row>
    <row r="29" customFormat="false" ht="15" hidden="false" customHeight="false" outlineLevel="0" collapsed="false">
      <c r="A29" s="14" t="str">
        <f aca="false">IF(Fields!A24="","",Fields!A24)</f>
        <v/>
      </c>
      <c r="B29" s="14" t="str">
        <f aca="false">IF(Fields!A24="","",Fields!B24)</f>
        <v/>
      </c>
      <c r="C29" s="14" t="str">
        <f aca="false">IF(Fields!A24="","",Fields!C24)</f>
        <v/>
      </c>
      <c r="D29" s="14" t="str">
        <f aca="false">IF(Fields!A24="","",Fields!E24)</f>
        <v/>
      </c>
      <c r="E29" s="15" t="str">
        <f aca="false">IF(Fields!A24="","",Fields!H24)</f>
        <v/>
      </c>
      <c r="F29" s="14" t="str">
        <f aca="false">IF(Fields!A24="","",Fields!J24)</f>
        <v/>
      </c>
      <c r="G29" s="14" t="str">
        <f aca="false">IF(Fields!A24="","",Fields!K24)</f>
        <v/>
      </c>
      <c r="H29" s="14" t="str">
        <f aca="false">IF(Fields!A24="","",IF(Fields!C24="Derived","Yes","No"))</f>
        <v/>
      </c>
      <c r="J29" s="14" t="str">
        <f aca="false">IF(Metrics!A24="","",Metrics!A24)</f>
        <v/>
      </c>
      <c r="K29" s="14" t="str">
        <f aca="false">IF(Metrics!A24="","",Metrics!B24)</f>
        <v/>
      </c>
      <c r="L29" s="14" t="str">
        <f aca="false">IF(Metrics!A24="","",Metrics!G24)</f>
        <v/>
      </c>
      <c r="M29" s="14" t="str">
        <f aca="false">IF(Metrics!A24="","",Metrics!I24)</f>
        <v/>
      </c>
      <c r="N29" s="14" t="str">
        <f aca="false">IF(Metrics!A24="","",Metrics!J24)</f>
        <v/>
      </c>
      <c r="O29" s="14" t="str">
        <f aca="false">IF(Metrics!A24="","",SUMPRODUCT(('Metric to Field'!$A$5:$A$64=Metrics!A24)*(IFERROR(INDEX(Fields!$H$5:$H$64,MATCH('Metric to Field'!$B$5:$B$64,Fields!$A$5:$A$64,0)),"")="Issue")))</f>
        <v/>
      </c>
    </row>
    <row r="30" customFormat="false" ht="15" hidden="false" customHeight="false" outlineLevel="0" collapsed="false">
      <c r="A30" s="14" t="str">
        <f aca="false">IF(Fields!A25="","",Fields!A25)</f>
        <v/>
      </c>
      <c r="B30" s="14" t="str">
        <f aca="false">IF(Fields!A25="","",Fields!B25)</f>
        <v/>
      </c>
      <c r="C30" s="14" t="str">
        <f aca="false">IF(Fields!A25="","",Fields!C25)</f>
        <v/>
      </c>
      <c r="D30" s="14" t="str">
        <f aca="false">IF(Fields!A25="","",Fields!E25)</f>
        <v/>
      </c>
      <c r="E30" s="15" t="str">
        <f aca="false">IF(Fields!A25="","",Fields!H25)</f>
        <v/>
      </c>
      <c r="F30" s="14" t="str">
        <f aca="false">IF(Fields!A25="","",Fields!J25)</f>
        <v/>
      </c>
      <c r="G30" s="14" t="str">
        <f aca="false">IF(Fields!A25="","",Fields!K25)</f>
        <v/>
      </c>
      <c r="H30" s="14" t="str">
        <f aca="false">IF(Fields!A25="","",IF(Fields!C25="Derived","Yes","No"))</f>
        <v/>
      </c>
      <c r="J30" s="14" t="str">
        <f aca="false">IF(Metrics!A25="","",Metrics!A25)</f>
        <v/>
      </c>
      <c r="K30" s="14" t="str">
        <f aca="false">IF(Metrics!A25="","",Metrics!B25)</f>
        <v/>
      </c>
      <c r="L30" s="14" t="str">
        <f aca="false">IF(Metrics!A25="","",Metrics!G25)</f>
        <v/>
      </c>
      <c r="M30" s="14" t="str">
        <f aca="false">IF(Metrics!A25="","",Metrics!I25)</f>
        <v/>
      </c>
      <c r="N30" s="14" t="str">
        <f aca="false">IF(Metrics!A25="","",Metrics!J25)</f>
        <v/>
      </c>
      <c r="O30" s="14" t="str">
        <f aca="false">IF(Metrics!A25="","",SUMPRODUCT(('Metric to Field'!$A$5:$A$64=Metrics!A25)*(IFERROR(INDEX(Fields!$H$5:$H$64,MATCH('Metric to Field'!$B$5:$B$64,Fields!$A$5:$A$64,0)),"")="Issue")))</f>
        <v/>
      </c>
    </row>
    <row r="31" customFormat="false" ht="15" hidden="false" customHeight="false" outlineLevel="0" collapsed="false">
      <c r="A31" s="14" t="str">
        <f aca="false">IF(Fields!A26="","",Fields!A26)</f>
        <v/>
      </c>
      <c r="B31" s="14" t="str">
        <f aca="false">IF(Fields!A26="","",Fields!B26)</f>
        <v/>
      </c>
      <c r="C31" s="14" t="str">
        <f aca="false">IF(Fields!A26="","",Fields!C26)</f>
        <v/>
      </c>
      <c r="D31" s="14" t="str">
        <f aca="false">IF(Fields!A26="","",Fields!E26)</f>
        <v/>
      </c>
      <c r="E31" s="15" t="str">
        <f aca="false">IF(Fields!A26="","",Fields!H26)</f>
        <v/>
      </c>
      <c r="F31" s="14" t="str">
        <f aca="false">IF(Fields!A26="","",Fields!J26)</f>
        <v/>
      </c>
      <c r="G31" s="14" t="str">
        <f aca="false">IF(Fields!A26="","",Fields!K26)</f>
        <v/>
      </c>
      <c r="H31" s="14" t="str">
        <f aca="false">IF(Fields!A26="","",IF(Fields!C26="Derived","Yes","No"))</f>
        <v/>
      </c>
      <c r="J31" s="14" t="str">
        <f aca="false">IF(Metrics!A26="","",Metrics!A26)</f>
        <v/>
      </c>
      <c r="K31" s="14" t="str">
        <f aca="false">IF(Metrics!A26="","",Metrics!B26)</f>
        <v/>
      </c>
      <c r="L31" s="14" t="str">
        <f aca="false">IF(Metrics!A26="","",Metrics!G26)</f>
        <v/>
      </c>
      <c r="M31" s="14" t="str">
        <f aca="false">IF(Metrics!A26="","",Metrics!I26)</f>
        <v/>
      </c>
      <c r="N31" s="14" t="str">
        <f aca="false">IF(Metrics!A26="","",Metrics!J26)</f>
        <v/>
      </c>
      <c r="O31" s="14" t="str">
        <f aca="false">IF(Metrics!A26="","",SUMPRODUCT(('Metric to Field'!$A$5:$A$64=Metrics!A26)*(IFERROR(INDEX(Fields!$H$5:$H$64,MATCH('Metric to Field'!$B$5:$B$64,Fields!$A$5:$A$64,0)),"")="Issue")))</f>
        <v/>
      </c>
    </row>
    <row r="32" customFormat="false" ht="15" hidden="false" customHeight="false" outlineLevel="0" collapsed="false">
      <c r="A32" s="14" t="str">
        <f aca="false">IF(Fields!A27="","",Fields!A27)</f>
        <v/>
      </c>
      <c r="B32" s="14" t="str">
        <f aca="false">IF(Fields!A27="","",Fields!B27)</f>
        <v/>
      </c>
      <c r="C32" s="14" t="str">
        <f aca="false">IF(Fields!A27="","",Fields!C27)</f>
        <v/>
      </c>
      <c r="D32" s="14" t="str">
        <f aca="false">IF(Fields!A27="","",Fields!E27)</f>
        <v/>
      </c>
      <c r="E32" s="15" t="str">
        <f aca="false">IF(Fields!A27="","",Fields!H27)</f>
        <v/>
      </c>
      <c r="F32" s="14" t="str">
        <f aca="false">IF(Fields!A27="","",Fields!J27)</f>
        <v/>
      </c>
      <c r="G32" s="14" t="str">
        <f aca="false">IF(Fields!A27="","",Fields!K27)</f>
        <v/>
      </c>
      <c r="H32" s="14" t="str">
        <f aca="false">IF(Fields!A27="","",IF(Fields!C27="Derived","Yes","No"))</f>
        <v/>
      </c>
      <c r="J32" s="14" t="str">
        <f aca="false">IF(Metrics!A27="","",Metrics!A27)</f>
        <v/>
      </c>
      <c r="K32" s="14" t="str">
        <f aca="false">IF(Metrics!A27="","",Metrics!B27)</f>
        <v/>
      </c>
      <c r="L32" s="14" t="str">
        <f aca="false">IF(Metrics!A27="","",Metrics!G27)</f>
        <v/>
      </c>
      <c r="M32" s="14" t="str">
        <f aca="false">IF(Metrics!A27="","",Metrics!I27)</f>
        <v/>
      </c>
      <c r="N32" s="14" t="str">
        <f aca="false">IF(Metrics!A27="","",Metrics!J27)</f>
        <v/>
      </c>
      <c r="O32" s="14" t="str">
        <f aca="false">IF(Metrics!A27="","",SUMPRODUCT(('Metric to Field'!$A$5:$A$64=Metrics!A27)*(IFERROR(INDEX(Fields!$H$5:$H$64,MATCH('Metric to Field'!$B$5:$B$64,Fields!$A$5:$A$64,0)),"")="Issue")))</f>
        <v/>
      </c>
    </row>
    <row r="33" customFormat="false" ht="15" hidden="false" customHeight="false" outlineLevel="0" collapsed="false">
      <c r="A33" s="14" t="str">
        <f aca="false">IF(Fields!A28="","",Fields!A28)</f>
        <v/>
      </c>
      <c r="B33" s="14" t="str">
        <f aca="false">IF(Fields!A28="","",Fields!B28)</f>
        <v/>
      </c>
      <c r="C33" s="14" t="str">
        <f aca="false">IF(Fields!A28="","",Fields!C28)</f>
        <v/>
      </c>
      <c r="D33" s="14" t="str">
        <f aca="false">IF(Fields!A28="","",Fields!E28)</f>
        <v/>
      </c>
      <c r="E33" s="15" t="str">
        <f aca="false">IF(Fields!A28="","",Fields!H28)</f>
        <v/>
      </c>
      <c r="F33" s="14" t="str">
        <f aca="false">IF(Fields!A28="","",Fields!J28)</f>
        <v/>
      </c>
      <c r="G33" s="14" t="str">
        <f aca="false">IF(Fields!A28="","",Fields!K28)</f>
        <v/>
      </c>
      <c r="H33" s="14" t="str">
        <f aca="false">IF(Fields!A28="","",IF(Fields!C28="Derived","Yes","No"))</f>
        <v/>
      </c>
      <c r="J33" s="14" t="str">
        <f aca="false">IF(Metrics!A28="","",Metrics!A28)</f>
        <v/>
      </c>
      <c r="K33" s="14" t="str">
        <f aca="false">IF(Metrics!A28="","",Metrics!B28)</f>
        <v/>
      </c>
      <c r="L33" s="14" t="str">
        <f aca="false">IF(Metrics!A28="","",Metrics!G28)</f>
        <v/>
      </c>
      <c r="M33" s="14" t="str">
        <f aca="false">IF(Metrics!A28="","",Metrics!I28)</f>
        <v/>
      </c>
      <c r="N33" s="14" t="str">
        <f aca="false">IF(Metrics!A28="","",Metrics!J28)</f>
        <v/>
      </c>
      <c r="O33" s="14" t="str">
        <f aca="false">IF(Metrics!A28="","",SUMPRODUCT(('Metric to Field'!$A$5:$A$64=Metrics!A28)*(IFERROR(INDEX(Fields!$H$5:$H$64,MATCH('Metric to Field'!$B$5:$B$64,Fields!$A$5:$A$64,0)),"")="Issue")))</f>
        <v/>
      </c>
    </row>
    <row r="34" customFormat="false" ht="15" hidden="false" customHeight="false" outlineLevel="0" collapsed="false">
      <c r="A34" s="14" t="str">
        <f aca="false">IF(Fields!A29="","",Fields!A29)</f>
        <v/>
      </c>
      <c r="B34" s="14" t="str">
        <f aca="false">IF(Fields!A29="","",Fields!B29)</f>
        <v/>
      </c>
      <c r="C34" s="14" t="str">
        <f aca="false">IF(Fields!A29="","",Fields!C29)</f>
        <v/>
      </c>
      <c r="D34" s="14" t="str">
        <f aca="false">IF(Fields!A29="","",Fields!E29)</f>
        <v/>
      </c>
      <c r="E34" s="15" t="str">
        <f aca="false">IF(Fields!A29="","",Fields!H29)</f>
        <v/>
      </c>
      <c r="F34" s="14" t="str">
        <f aca="false">IF(Fields!A29="","",Fields!J29)</f>
        <v/>
      </c>
      <c r="G34" s="14" t="str">
        <f aca="false">IF(Fields!A29="","",Fields!K29)</f>
        <v/>
      </c>
      <c r="H34" s="14" t="str">
        <f aca="false">IF(Fields!A29="","",IF(Fields!C29="Derived","Yes","No"))</f>
        <v/>
      </c>
      <c r="J34" s="14" t="str">
        <f aca="false">IF(Metrics!A29="","",Metrics!A29)</f>
        <v/>
      </c>
      <c r="K34" s="14" t="str">
        <f aca="false">IF(Metrics!A29="","",Metrics!B29)</f>
        <v/>
      </c>
      <c r="L34" s="14" t="str">
        <f aca="false">IF(Metrics!A29="","",Metrics!G29)</f>
        <v/>
      </c>
      <c r="M34" s="14" t="str">
        <f aca="false">IF(Metrics!A29="","",Metrics!I29)</f>
        <v/>
      </c>
      <c r="N34" s="14" t="str">
        <f aca="false">IF(Metrics!A29="","",Metrics!J29)</f>
        <v/>
      </c>
      <c r="O34" s="14" t="str">
        <f aca="false">IF(Metrics!A29="","",SUMPRODUCT(('Metric to Field'!$A$5:$A$64=Metrics!A29)*(IFERROR(INDEX(Fields!$H$5:$H$64,MATCH('Metric to Field'!$B$5:$B$64,Fields!$A$5:$A$64,0)),"")="Issue")))</f>
        <v/>
      </c>
    </row>
    <row r="35" customFormat="false" ht="15" hidden="false" customHeight="false" outlineLevel="0" collapsed="false">
      <c r="A35" s="14" t="str">
        <f aca="false">IF(Fields!A30="","",Fields!A30)</f>
        <v/>
      </c>
      <c r="B35" s="14" t="str">
        <f aca="false">IF(Fields!A30="","",Fields!B30)</f>
        <v/>
      </c>
      <c r="C35" s="14" t="str">
        <f aca="false">IF(Fields!A30="","",Fields!C30)</f>
        <v/>
      </c>
      <c r="D35" s="14" t="str">
        <f aca="false">IF(Fields!A30="","",Fields!E30)</f>
        <v/>
      </c>
      <c r="E35" s="15" t="str">
        <f aca="false">IF(Fields!A30="","",Fields!H30)</f>
        <v/>
      </c>
      <c r="F35" s="14" t="str">
        <f aca="false">IF(Fields!A30="","",Fields!J30)</f>
        <v/>
      </c>
      <c r="G35" s="14" t="str">
        <f aca="false">IF(Fields!A30="","",Fields!K30)</f>
        <v/>
      </c>
      <c r="H35" s="14" t="str">
        <f aca="false">IF(Fields!A30="","",IF(Fields!C30="Derived","Yes","No"))</f>
        <v/>
      </c>
      <c r="J35" s="14" t="str">
        <f aca="false">IF(Metrics!A30="","",Metrics!A30)</f>
        <v/>
      </c>
      <c r="K35" s="14" t="str">
        <f aca="false">IF(Metrics!A30="","",Metrics!B30)</f>
        <v/>
      </c>
      <c r="L35" s="14" t="str">
        <f aca="false">IF(Metrics!A30="","",Metrics!G30)</f>
        <v/>
      </c>
      <c r="M35" s="14" t="str">
        <f aca="false">IF(Metrics!A30="","",Metrics!I30)</f>
        <v/>
      </c>
      <c r="N35" s="14" t="str">
        <f aca="false">IF(Metrics!A30="","",Metrics!J30)</f>
        <v/>
      </c>
      <c r="O35" s="14" t="str">
        <f aca="false">IF(Metrics!A30="","",SUMPRODUCT(('Metric to Field'!$A$5:$A$64=Metrics!A30)*(IFERROR(INDEX(Fields!$H$5:$H$64,MATCH('Metric to Field'!$B$5:$B$64,Fields!$A$5:$A$64,0)),"")="Issue")))</f>
        <v/>
      </c>
    </row>
    <row r="36" customFormat="false" ht="15" hidden="false" customHeight="false" outlineLevel="0" collapsed="false">
      <c r="A36" s="14" t="str">
        <f aca="false">IF(Fields!A31="","",Fields!A31)</f>
        <v/>
      </c>
      <c r="B36" s="14" t="str">
        <f aca="false">IF(Fields!A31="","",Fields!B31)</f>
        <v/>
      </c>
      <c r="C36" s="14" t="str">
        <f aca="false">IF(Fields!A31="","",Fields!C31)</f>
        <v/>
      </c>
      <c r="D36" s="14" t="str">
        <f aca="false">IF(Fields!A31="","",Fields!E31)</f>
        <v/>
      </c>
      <c r="E36" s="15" t="str">
        <f aca="false">IF(Fields!A31="","",Fields!H31)</f>
        <v/>
      </c>
      <c r="F36" s="14" t="str">
        <f aca="false">IF(Fields!A31="","",Fields!J31)</f>
        <v/>
      </c>
      <c r="G36" s="14" t="str">
        <f aca="false">IF(Fields!A31="","",Fields!K31)</f>
        <v/>
      </c>
      <c r="H36" s="14" t="str">
        <f aca="false">IF(Fields!A31="","",IF(Fields!C31="Derived","Yes","No"))</f>
        <v/>
      </c>
      <c r="J36" s="14" t="str">
        <f aca="false">IF(Metrics!A31="","",Metrics!A31)</f>
        <v/>
      </c>
      <c r="K36" s="14" t="str">
        <f aca="false">IF(Metrics!A31="","",Metrics!B31)</f>
        <v/>
      </c>
      <c r="L36" s="14" t="str">
        <f aca="false">IF(Metrics!A31="","",Metrics!G31)</f>
        <v/>
      </c>
      <c r="M36" s="14" t="str">
        <f aca="false">IF(Metrics!A31="","",Metrics!I31)</f>
        <v/>
      </c>
      <c r="N36" s="14" t="str">
        <f aca="false">IF(Metrics!A31="","",Metrics!J31)</f>
        <v/>
      </c>
      <c r="O36" s="14" t="str">
        <f aca="false">IF(Metrics!A31="","",SUMPRODUCT(('Metric to Field'!$A$5:$A$64=Metrics!A31)*(IFERROR(INDEX(Fields!$H$5:$H$64,MATCH('Metric to Field'!$B$5:$B$64,Fields!$A$5:$A$64,0)),"")="Issue")))</f>
        <v/>
      </c>
    </row>
    <row r="37" customFormat="false" ht="15" hidden="false" customHeight="false" outlineLevel="0" collapsed="false">
      <c r="A37" s="14" t="str">
        <f aca="false">IF(Fields!A32="","",Fields!A32)</f>
        <v/>
      </c>
      <c r="B37" s="14" t="str">
        <f aca="false">IF(Fields!A32="","",Fields!B32)</f>
        <v/>
      </c>
      <c r="C37" s="14" t="str">
        <f aca="false">IF(Fields!A32="","",Fields!C32)</f>
        <v/>
      </c>
      <c r="D37" s="14" t="str">
        <f aca="false">IF(Fields!A32="","",Fields!E32)</f>
        <v/>
      </c>
      <c r="E37" s="15" t="str">
        <f aca="false">IF(Fields!A32="","",Fields!H32)</f>
        <v/>
      </c>
      <c r="F37" s="14" t="str">
        <f aca="false">IF(Fields!A32="","",Fields!J32)</f>
        <v/>
      </c>
      <c r="G37" s="14" t="str">
        <f aca="false">IF(Fields!A32="","",Fields!K32)</f>
        <v/>
      </c>
      <c r="H37" s="14" t="str">
        <f aca="false">IF(Fields!A32="","",IF(Fields!C32="Derived","Yes","No"))</f>
        <v/>
      </c>
      <c r="J37" s="14" t="str">
        <f aca="false">IF(Metrics!A32="","",Metrics!A32)</f>
        <v/>
      </c>
      <c r="K37" s="14" t="str">
        <f aca="false">IF(Metrics!A32="","",Metrics!B32)</f>
        <v/>
      </c>
      <c r="L37" s="14" t="str">
        <f aca="false">IF(Metrics!A32="","",Metrics!G32)</f>
        <v/>
      </c>
      <c r="M37" s="14" t="str">
        <f aca="false">IF(Metrics!A32="","",Metrics!I32)</f>
        <v/>
      </c>
      <c r="N37" s="14" t="str">
        <f aca="false">IF(Metrics!A32="","",Metrics!J32)</f>
        <v/>
      </c>
      <c r="O37" s="14" t="str">
        <f aca="false">IF(Metrics!A32="","",SUMPRODUCT(('Metric to Field'!$A$5:$A$64=Metrics!A32)*(IFERROR(INDEX(Fields!$H$5:$H$64,MATCH('Metric to Field'!$B$5:$B$64,Fields!$A$5:$A$64,0)),"")="Issue")))</f>
        <v/>
      </c>
    </row>
    <row r="38" customFormat="false" ht="15" hidden="false" customHeight="false" outlineLevel="0" collapsed="false">
      <c r="A38" s="14" t="str">
        <f aca="false">IF(Fields!A33="","",Fields!A33)</f>
        <v/>
      </c>
      <c r="B38" s="14" t="str">
        <f aca="false">IF(Fields!A33="","",Fields!B33)</f>
        <v/>
      </c>
      <c r="C38" s="14" t="str">
        <f aca="false">IF(Fields!A33="","",Fields!C33)</f>
        <v/>
      </c>
      <c r="D38" s="14" t="str">
        <f aca="false">IF(Fields!A33="","",Fields!E33)</f>
        <v/>
      </c>
      <c r="E38" s="15" t="str">
        <f aca="false">IF(Fields!A33="","",Fields!H33)</f>
        <v/>
      </c>
      <c r="F38" s="14" t="str">
        <f aca="false">IF(Fields!A33="","",Fields!J33)</f>
        <v/>
      </c>
      <c r="G38" s="14" t="str">
        <f aca="false">IF(Fields!A33="","",Fields!K33)</f>
        <v/>
      </c>
      <c r="H38" s="14" t="str">
        <f aca="false">IF(Fields!A33="","",IF(Fields!C33="Derived","Yes","No"))</f>
        <v/>
      </c>
      <c r="J38" s="14" t="str">
        <f aca="false">IF(Metrics!A33="","",Metrics!A33)</f>
        <v/>
      </c>
      <c r="K38" s="14" t="str">
        <f aca="false">IF(Metrics!A33="","",Metrics!B33)</f>
        <v/>
      </c>
      <c r="L38" s="14" t="str">
        <f aca="false">IF(Metrics!A33="","",Metrics!G33)</f>
        <v/>
      </c>
      <c r="M38" s="14" t="str">
        <f aca="false">IF(Metrics!A33="","",Metrics!I33)</f>
        <v/>
      </c>
      <c r="N38" s="14" t="str">
        <f aca="false">IF(Metrics!A33="","",Metrics!J33)</f>
        <v/>
      </c>
      <c r="O38" s="14" t="str">
        <f aca="false">IF(Metrics!A33="","",SUMPRODUCT(('Metric to Field'!$A$5:$A$64=Metrics!A33)*(IFERROR(INDEX(Fields!$H$5:$H$64,MATCH('Metric to Field'!$B$5:$B$64,Fields!$A$5:$A$64,0)),"")="Issue")))</f>
        <v/>
      </c>
    </row>
    <row r="39" customFormat="false" ht="15" hidden="false" customHeight="false" outlineLevel="0" collapsed="false">
      <c r="A39" s="14" t="str">
        <f aca="false">IF(Fields!A34="","",Fields!A34)</f>
        <v/>
      </c>
      <c r="B39" s="14" t="str">
        <f aca="false">IF(Fields!A34="","",Fields!B34)</f>
        <v/>
      </c>
      <c r="C39" s="14" t="str">
        <f aca="false">IF(Fields!A34="","",Fields!C34)</f>
        <v/>
      </c>
      <c r="D39" s="14" t="str">
        <f aca="false">IF(Fields!A34="","",Fields!E34)</f>
        <v/>
      </c>
      <c r="E39" s="15" t="str">
        <f aca="false">IF(Fields!A34="","",Fields!H34)</f>
        <v/>
      </c>
      <c r="F39" s="14" t="str">
        <f aca="false">IF(Fields!A34="","",Fields!J34)</f>
        <v/>
      </c>
      <c r="G39" s="14" t="str">
        <f aca="false">IF(Fields!A34="","",Fields!K34)</f>
        <v/>
      </c>
      <c r="H39" s="14" t="str">
        <f aca="false">IF(Fields!A34="","",IF(Fields!C34="Derived","Yes","No"))</f>
        <v/>
      </c>
      <c r="J39" s="14" t="str">
        <f aca="false">IF(Metrics!A34="","",Metrics!A34)</f>
        <v/>
      </c>
      <c r="K39" s="14" t="str">
        <f aca="false">IF(Metrics!A34="","",Metrics!B34)</f>
        <v/>
      </c>
      <c r="L39" s="14" t="str">
        <f aca="false">IF(Metrics!A34="","",Metrics!G34)</f>
        <v/>
      </c>
      <c r="M39" s="14" t="str">
        <f aca="false">IF(Metrics!A34="","",Metrics!I34)</f>
        <v/>
      </c>
      <c r="N39" s="14" t="str">
        <f aca="false">IF(Metrics!A34="","",Metrics!J34)</f>
        <v/>
      </c>
      <c r="O39" s="14" t="str">
        <f aca="false">IF(Metrics!A34="","",SUMPRODUCT(('Metric to Field'!$A$5:$A$64=Metrics!A34)*(IFERROR(INDEX(Fields!$H$5:$H$64,MATCH('Metric to Field'!$B$5:$B$64,Fields!$A$5:$A$64,0)),"")="Issue")))</f>
        <v/>
      </c>
    </row>
    <row r="40" customFormat="false" ht="15" hidden="false" customHeight="false" outlineLevel="0" collapsed="false">
      <c r="A40" s="14" t="str">
        <f aca="false">IF(Fields!A35="","",Fields!A35)</f>
        <v/>
      </c>
      <c r="B40" s="14" t="str">
        <f aca="false">IF(Fields!A35="","",Fields!B35)</f>
        <v/>
      </c>
      <c r="C40" s="14" t="str">
        <f aca="false">IF(Fields!A35="","",Fields!C35)</f>
        <v/>
      </c>
      <c r="D40" s="14" t="str">
        <f aca="false">IF(Fields!A35="","",Fields!E35)</f>
        <v/>
      </c>
      <c r="E40" s="15" t="str">
        <f aca="false">IF(Fields!A35="","",Fields!H35)</f>
        <v/>
      </c>
      <c r="F40" s="14" t="str">
        <f aca="false">IF(Fields!A35="","",Fields!J35)</f>
        <v/>
      </c>
      <c r="G40" s="14" t="str">
        <f aca="false">IF(Fields!A35="","",Fields!K35)</f>
        <v/>
      </c>
      <c r="H40" s="14" t="str">
        <f aca="false">IF(Fields!A35="","",IF(Fields!C35="Derived","Yes","No"))</f>
        <v/>
      </c>
      <c r="J40" s="14" t="str">
        <f aca="false">IF(Metrics!A35="","",Metrics!A35)</f>
        <v/>
      </c>
      <c r="K40" s="14" t="str">
        <f aca="false">IF(Metrics!A35="","",Metrics!B35)</f>
        <v/>
      </c>
      <c r="L40" s="14" t="str">
        <f aca="false">IF(Metrics!A35="","",Metrics!G35)</f>
        <v/>
      </c>
      <c r="M40" s="14" t="str">
        <f aca="false">IF(Metrics!A35="","",Metrics!I35)</f>
        <v/>
      </c>
      <c r="N40" s="14" t="str">
        <f aca="false">IF(Metrics!A35="","",Metrics!J35)</f>
        <v/>
      </c>
      <c r="O40" s="14" t="str">
        <f aca="false">IF(Metrics!A35="","",SUMPRODUCT(('Metric to Field'!$A$5:$A$64=Metrics!A35)*(IFERROR(INDEX(Fields!$H$5:$H$64,MATCH('Metric to Field'!$B$5:$B$64,Fields!$A$5:$A$64,0)),"")="Issue")))</f>
        <v/>
      </c>
    </row>
    <row r="41" customFormat="false" ht="15" hidden="false" customHeight="false" outlineLevel="0" collapsed="false">
      <c r="A41" s="14" t="str">
        <f aca="false">IF(Fields!A36="","",Fields!A36)</f>
        <v/>
      </c>
      <c r="B41" s="14" t="str">
        <f aca="false">IF(Fields!A36="","",Fields!B36)</f>
        <v/>
      </c>
      <c r="C41" s="14" t="str">
        <f aca="false">IF(Fields!A36="","",Fields!C36)</f>
        <v/>
      </c>
      <c r="D41" s="14" t="str">
        <f aca="false">IF(Fields!A36="","",Fields!E36)</f>
        <v/>
      </c>
      <c r="E41" s="15" t="str">
        <f aca="false">IF(Fields!A36="","",Fields!H36)</f>
        <v/>
      </c>
      <c r="F41" s="14" t="str">
        <f aca="false">IF(Fields!A36="","",Fields!J36)</f>
        <v/>
      </c>
      <c r="G41" s="14" t="str">
        <f aca="false">IF(Fields!A36="","",Fields!K36)</f>
        <v/>
      </c>
      <c r="H41" s="14" t="str">
        <f aca="false">IF(Fields!A36="","",IF(Fields!C36="Derived","Yes","No"))</f>
        <v/>
      </c>
      <c r="J41" s="14" t="str">
        <f aca="false">IF(Metrics!A36="","",Metrics!A36)</f>
        <v/>
      </c>
      <c r="K41" s="14" t="str">
        <f aca="false">IF(Metrics!A36="","",Metrics!B36)</f>
        <v/>
      </c>
      <c r="L41" s="14" t="str">
        <f aca="false">IF(Metrics!A36="","",Metrics!G36)</f>
        <v/>
      </c>
      <c r="M41" s="14" t="str">
        <f aca="false">IF(Metrics!A36="","",Metrics!I36)</f>
        <v/>
      </c>
      <c r="N41" s="14" t="str">
        <f aca="false">IF(Metrics!A36="","",Metrics!J36)</f>
        <v/>
      </c>
      <c r="O41" s="14" t="str">
        <f aca="false">IF(Metrics!A36="","",SUMPRODUCT(('Metric to Field'!$A$5:$A$64=Metrics!A36)*(IFERROR(INDEX(Fields!$H$5:$H$64,MATCH('Metric to Field'!$B$5:$B$64,Fields!$A$5:$A$64,0)),"")="Issue")))</f>
        <v/>
      </c>
    </row>
    <row r="42" customFormat="false" ht="15" hidden="false" customHeight="false" outlineLevel="0" collapsed="false">
      <c r="A42" s="14" t="str">
        <f aca="false">IF(Fields!A37="","",Fields!A37)</f>
        <v/>
      </c>
      <c r="B42" s="14" t="str">
        <f aca="false">IF(Fields!A37="","",Fields!B37)</f>
        <v/>
      </c>
      <c r="C42" s="14" t="str">
        <f aca="false">IF(Fields!A37="","",Fields!C37)</f>
        <v/>
      </c>
      <c r="D42" s="14" t="str">
        <f aca="false">IF(Fields!A37="","",Fields!E37)</f>
        <v/>
      </c>
      <c r="E42" s="15" t="str">
        <f aca="false">IF(Fields!A37="","",Fields!H37)</f>
        <v/>
      </c>
      <c r="F42" s="14" t="str">
        <f aca="false">IF(Fields!A37="","",Fields!J37)</f>
        <v/>
      </c>
      <c r="G42" s="14" t="str">
        <f aca="false">IF(Fields!A37="","",Fields!K37)</f>
        <v/>
      </c>
      <c r="H42" s="14" t="str">
        <f aca="false">IF(Fields!A37="","",IF(Fields!C37="Derived","Yes","No"))</f>
        <v/>
      </c>
      <c r="J42" s="14" t="str">
        <f aca="false">IF(Metrics!A37="","",Metrics!A37)</f>
        <v/>
      </c>
      <c r="K42" s="14" t="str">
        <f aca="false">IF(Metrics!A37="","",Metrics!B37)</f>
        <v/>
      </c>
      <c r="L42" s="14" t="str">
        <f aca="false">IF(Metrics!A37="","",Metrics!G37)</f>
        <v/>
      </c>
      <c r="M42" s="14" t="str">
        <f aca="false">IF(Metrics!A37="","",Metrics!I37)</f>
        <v/>
      </c>
      <c r="N42" s="14" t="str">
        <f aca="false">IF(Metrics!A37="","",Metrics!J37)</f>
        <v/>
      </c>
      <c r="O42" s="14" t="str">
        <f aca="false">IF(Metrics!A37="","",SUMPRODUCT(('Metric to Field'!$A$5:$A$64=Metrics!A37)*(IFERROR(INDEX(Fields!$H$5:$H$64,MATCH('Metric to Field'!$B$5:$B$64,Fields!$A$5:$A$64,0)),"")="Issue")))</f>
        <v/>
      </c>
    </row>
    <row r="43" customFormat="false" ht="15" hidden="false" customHeight="false" outlineLevel="0" collapsed="false">
      <c r="A43" s="14" t="str">
        <f aca="false">IF(Fields!A38="","",Fields!A38)</f>
        <v/>
      </c>
      <c r="B43" s="14" t="str">
        <f aca="false">IF(Fields!A38="","",Fields!B38)</f>
        <v/>
      </c>
      <c r="C43" s="14" t="str">
        <f aca="false">IF(Fields!A38="","",Fields!C38)</f>
        <v/>
      </c>
      <c r="D43" s="14" t="str">
        <f aca="false">IF(Fields!A38="","",Fields!E38)</f>
        <v/>
      </c>
      <c r="E43" s="15" t="str">
        <f aca="false">IF(Fields!A38="","",Fields!H38)</f>
        <v/>
      </c>
      <c r="F43" s="14" t="str">
        <f aca="false">IF(Fields!A38="","",Fields!J38)</f>
        <v/>
      </c>
      <c r="G43" s="14" t="str">
        <f aca="false">IF(Fields!A38="","",Fields!K38)</f>
        <v/>
      </c>
      <c r="H43" s="14" t="str">
        <f aca="false">IF(Fields!A38="","",IF(Fields!C38="Derived","Yes","No"))</f>
        <v/>
      </c>
      <c r="J43" s="14" t="str">
        <f aca="false">IF(Metrics!A38="","",Metrics!A38)</f>
        <v/>
      </c>
      <c r="K43" s="14" t="str">
        <f aca="false">IF(Metrics!A38="","",Metrics!B38)</f>
        <v/>
      </c>
      <c r="L43" s="14" t="str">
        <f aca="false">IF(Metrics!A38="","",Metrics!G38)</f>
        <v/>
      </c>
      <c r="M43" s="14" t="str">
        <f aca="false">IF(Metrics!A38="","",Metrics!I38)</f>
        <v/>
      </c>
      <c r="N43" s="14" t="str">
        <f aca="false">IF(Metrics!A38="","",Metrics!J38)</f>
        <v/>
      </c>
      <c r="O43" s="14" t="str">
        <f aca="false">IF(Metrics!A38="","",SUMPRODUCT(('Metric to Field'!$A$5:$A$64=Metrics!A38)*(IFERROR(INDEX(Fields!$H$5:$H$64,MATCH('Metric to Field'!$B$5:$B$64,Fields!$A$5:$A$64,0)),"")="Issue")))</f>
        <v/>
      </c>
    </row>
    <row r="44" customFormat="false" ht="15" hidden="false" customHeight="false" outlineLevel="0" collapsed="false">
      <c r="A44" s="14" t="str">
        <f aca="false">IF(Fields!A39="","",Fields!A39)</f>
        <v/>
      </c>
      <c r="B44" s="14" t="str">
        <f aca="false">IF(Fields!A39="","",Fields!B39)</f>
        <v/>
      </c>
      <c r="C44" s="14" t="str">
        <f aca="false">IF(Fields!A39="","",Fields!C39)</f>
        <v/>
      </c>
      <c r="D44" s="14" t="str">
        <f aca="false">IF(Fields!A39="","",Fields!E39)</f>
        <v/>
      </c>
      <c r="E44" s="15" t="str">
        <f aca="false">IF(Fields!A39="","",Fields!H39)</f>
        <v/>
      </c>
      <c r="F44" s="14" t="str">
        <f aca="false">IF(Fields!A39="","",Fields!J39)</f>
        <v/>
      </c>
      <c r="G44" s="14" t="str">
        <f aca="false">IF(Fields!A39="","",Fields!K39)</f>
        <v/>
      </c>
      <c r="H44" s="14" t="str">
        <f aca="false">IF(Fields!A39="","",IF(Fields!C39="Derived","Yes","No"))</f>
        <v/>
      </c>
      <c r="J44" s="14" t="str">
        <f aca="false">IF(Metrics!A39="","",Metrics!A39)</f>
        <v/>
      </c>
      <c r="K44" s="14" t="str">
        <f aca="false">IF(Metrics!A39="","",Metrics!B39)</f>
        <v/>
      </c>
      <c r="L44" s="14" t="str">
        <f aca="false">IF(Metrics!A39="","",Metrics!G39)</f>
        <v/>
      </c>
      <c r="M44" s="14" t="str">
        <f aca="false">IF(Metrics!A39="","",Metrics!I39)</f>
        <v/>
      </c>
      <c r="N44" s="14" t="str">
        <f aca="false">IF(Metrics!A39="","",Metrics!J39)</f>
        <v/>
      </c>
      <c r="O44" s="14" t="str">
        <f aca="false">IF(Metrics!A39="","",SUMPRODUCT(('Metric to Field'!$A$5:$A$64=Metrics!A39)*(IFERROR(INDEX(Fields!$H$5:$H$64,MATCH('Metric to Field'!$B$5:$B$64,Fields!$A$5:$A$64,0)),"")="Issue")))</f>
        <v/>
      </c>
    </row>
    <row r="45" customFormat="false" ht="15" hidden="false" customHeight="false" outlineLevel="0" collapsed="false">
      <c r="A45" s="14" t="str">
        <f aca="false">IF(Fields!A40="","",Fields!A40)</f>
        <v/>
      </c>
      <c r="B45" s="14" t="str">
        <f aca="false">IF(Fields!A40="","",Fields!B40)</f>
        <v/>
      </c>
      <c r="C45" s="14" t="str">
        <f aca="false">IF(Fields!A40="","",Fields!C40)</f>
        <v/>
      </c>
      <c r="D45" s="14" t="str">
        <f aca="false">IF(Fields!A40="","",Fields!E40)</f>
        <v/>
      </c>
      <c r="E45" s="15" t="str">
        <f aca="false">IF(Fields!A40="","",Fields!H40)</f>
        <v/>
      </c>
      <c r="F45" s="14" t="str">
        <f aca="false">IF(Fields!A40="","",Fields!J40)</f>
        <v/>
      </c>
      <c r="G45" s="14" t="str">
        <f aca="false">IF(Fields!A40="","",Fields!K40)</f>
        <v/>
      </c>
      <c r="H45" s="14" t="str">
        <f aca="false">IF(Fields!A40="","",IF(Fields!C40="Derived","Yes","No"))</f>
        <v/>
      </c>
      <c r="J45" s="14" t="str">
        <f aca="false">IF(Metrics!A40="","",Metrics!A40)</f>
        <v/>
      </c>
      <c r="K45" s="14" t="str">
        <f aca="false">IF(Metrics!A40="","",Metrics!B40)</f>
        <v/>
      </c>
      <c r="L45" s="14" t="str">
        <f aca="false">IF(Metrics!A40="","",Metrics!G40)</f>
        <v/>
      </c>
      <c r="M45" s="14" t="str">
        <f aca="false">IF(Metrics!A40="","",Metrics!I40)</f>
        <v/>
      </c>
      <c r="N45" s="14" t="str">
        <f aca="false">IF(Metrics!A40="","",Metrics!J40)</f>
        <v/>
      </c>
      <c r="O45" s="14" t="str">
        <f aca="false">IF(Metrics!A40="","",SUMPRODUCT(('Metric to Field'!$A$5:$A$64=Metrics!A40)*(IFERROR(INDEX(Fields!$H$5:$H$64,MATCH('Metric to Field'!$B$5:$B$64,Fields!$A$5:$A$64,0)),"")="Issue")))</f>
        <v/>
      </c>
    </row>
    <row r="46" customFormat="false" ht="15" hidden="false" customHeight="false" outlineLevel="0" collapsed="false">
      <c r="A46" s="14" t="str">
        <f aca="false">IF(Fields!A41="","",Fields!A41)</f>
        <v/>
      </c>
      <c r="B46" s="14" t="str">
        <f aca="false">IF(Fields!A41="","",Fields!B41)</f>
        <v/>
      </c>
      <c r="C46" s="14" t="str">
        <f aca="false">IF(Fields!A41="","",Fields!C41)</f>
        <v/>
      </c>
      <c r="D46" s="14" t="str">
        <f aca="false">IF(Fields!A41="","",Fields!E41)</f>
        <v/>
      </c>
      <c r="E46" s="15" t="str">
        <f aca="false">IF(Fields!A41="","",Fields!H41)</f>
        <v/>
      </c>
      <c r="F46" s="14" t="str">
        <f aca="false">IF(Fields!A41="","",Fields!J41)</f>
        <v/>
      </c>
      <c r="G46" s="14" t="str">
        <f aca="false">IF(Fields!A41="","",Fields!K41)</f>
        <v/>
      </c>
      <c r="H46" s="14" t="str">
        <f aca="false">IF(Fields!A41="","",IF(Fields!C41="Derived","Yes","No"))</f>
        <v/>
      </c>
      <c r="J46" s="14" t="str">
        <f aca="false">IF(Metrics!A41="","",Metrics!A41)</f>
        <v/>
      </c>
      <c r="K46" s="14" t="str">
        <f aca="false">IF(Metrics!A41="","",Metrics!B41)</f>
        <v/>
      </c>
      <c r="L46" s="14" t="str">
        <f aca="false">IF(Metrics!A41="","",Metrics!G41)</f>
        <v/>
      </c>
      <c r="M46" s="14" t="str">
        <f aca="false">IF(Metrics!A41="","",Metrics!I41)</f>
        <v/>
      </c>
      <c r="N46" s="14" t="str">
        <f aca="false">IF(Metrics!A41="","",Metrics!J41)</f>
        <v/>
      </c>
      <c r="O46" s="14" t="str">
        <f aca="false">IF(Metrics!A41="","",SUMPRODUCT(('Metric to Field'!$A$5:$A$64=Metrics!A41)*(IFERROR(INDEX(Fields!$H$5:$H$64,MATCH('Metric to Field'!$B$5:$B$64,Fields!$A$5:$A$64,0)),"")="Issue")))</f>
        <v/>
      </c>
    </row>
    <row r="47" customFormat="false" ht="15" hidden="false" customHeight="false" outlineLevel="0" collapsed="false">
      <c r="A47" s="14" t="str">
        <f aca="false">IF(Fields!A42="","",Fields!A42)</f>
        <v/>
      </c>
      <c r="B47" s="14" t="str">
        <f aca="false">IF(Fields!A42="","",Fields!B42)</f>
        <v/>
      </c>
      <c r="C47" s="14" t="str">
        <f aca="false">IF(Fields!A42="","",Fields!C42)</f>
        <v/>
      </c>
      <c r="D47" s="14" t="str">
        <f aca="false">IF(Fields!A42="","",Fields!E42)</f>
        <v/>
      </c>
      <c r="E47" s="15" t="str">
        <f aca="false">IF(Fields!A42="","",Fields!H42)</f>
        <v/>
      </c>
      <c r="F47" s="14" t="str">
        <f aca="false">IF(Fields!A42="","",Fields!J42)</f>
        <v/>
      </c>
      <c r="G47" s="14" t="str">
        <f aca="false">IF(Fields!A42="","",Fields!K42)</f>
        <v/>
      </c>
      <c r="H47" s="14" t="str">
        <f aca="false">IF(Fields!A42="","",IF(Fields!C42="Derived","Yes","No"))</f>
        <v/>
      </c>
      <c r="J47" s="14" t="str">
        <f aca="false">IF(Metrics!A42="","",Metrics!A42)</f>
        <v/>
      </c>
      <c r="K47" s="14" t="str">
        <f aca="false">IF(Metrics!A42="","",Metrics!B42)</f>
        <v/>
      </c>
      <c r="L47" s="14" t="str">
        <f aca="false">IF(Metrics!A42="","",Metrics!G42)</f>
        <v/>
      </c>
      <c r="M47" s="14" t="str">
        <f aca="false">IF(Metrics!A42="","",Metrics!I42)</f>
        <v/>
      </c>
      <c r="N47" s="14" t="str">
        <f aca="false">IF(Metrics!A42="","",Metrics!J42)</f>
        <v/>
      </c>
      <c r="O47" s="14" t="str">
        <f aca="false">IF(Metrics!A42="","",SUMPRODUCT(('Metric to Field'!$A$5:$A$64=Metrics!A42)*(IFERROR(INDEX(Fields!$H$5:$H$64,MATCH('Metric to Field'!$B$5:$B$64,Fields!$A$5:$A$64,0)),"")="Issue")))</f>
        <v/>
      </c>
    </row>
    <row r="48" customFormat="false" ht="15" hidden="false" customHeight="false" outlineLevel="0" collapsed="false">
      <c r="A48" s="14" t="str">
        <f aca="false">IF(Fields!A43="","",Fields!A43)</f>
        <v/>
      </c>
      <c r="B48" s="14" t="str">
        <f aca="false">IF(Fields!A43="","",Fields!B43)</f>
        <v/>
      </c>
      <c r="C48" s="14" t="str">
        <f aca="false">IF(Fields!A43="","",Fields!C43)</f>
        <v/>
      </c>
      <c r="D48" s="14" t="str">
        <f aca="false">IF(Fields!A43="","",Fields!E43)</f>
        <v/>
      </c>
      <c r="E48" s="15" t="str">
        <f aca="false">IF(Fields!A43="","",Fields!H43)</f>
        <v/>
      </c>
      <c r="F48" s="14" t="str">
        <f aca="false">IF(Fields!A43="","",Fields!J43)</f>
        <v/>
      </c>
      <c r="G48" s="14" t="str">
        <f aca="false">IF(Fields!A43="","",Fields!K43)</f>
        <v/>
      </c>
      <c r="H48" s="14" t="str">
        <f aca="false">IF(Fields!A43="","",IF(Fields!C43="Derived","Yes","No"))</f>
        <v/>
      </c>
      <c r="J48" s="14" t="str">
        <f aca="false">IF(Metrics!A43="","",Metrics!A43)</f>
        <v/>
      </c>
      <c r="K48" s="14" t="str">
        <f aca="false">IF(Metrics!A43="","",Metrics!B43)</f>
        <v/>
      </c>
      <c r="L48" s="14" t="str">
        <f aca="false">IF(Metrics!A43="","",Metrics!G43)</f>
        <v/>
      </c>
      <c r="M48" s="14" t="str">
        <f aca="false">IF(Metrics!A43="","",Metrics!I43)</f>
        <v/>
      </c>
      <c r="N48" s="14" t="str">
        <f aca="false">IF(Metrics!A43="","",Metrics!J43)</f>
        <v/>
      </c>
      <c r="O48" s="14" t="str">
        <f aca="false">IF(Metrics!A43="","",SUMPRODUCT(('Metric to Field'!$A$5:$A$64=Metrics!A43)*(IFERROR(INDEX(Fields!$H$5:$H$64,MATCH('Metric to Field'!$B$5:$B$64,Fields!$A$5:$A$64,0)),"")="Issue")))</f>
        <v/>
      </c>
    </row>
    <row r="49" customFormat="false" ht="15" hidden="false" customHeight="false" outlineLevel="0" collapsed="false">
      <c r="A49" s="14" t="str">
        <f aca="false">IF(Fields!A44="","",Fields!A44)</f>
        <v/>
      </c>
      <c r="B49" s="14" t="str">
        <f aca="false">IF(Fields!A44="","",Fields!B44)</f>
        <v/>
      </c>
      <c r="C49" s="14" t="str">
        <f aca="false">IF(Fields!A44="","",Fields!C44)</f>
        <v/>
      </c>
      <c r="D49" s="14" t="str">
        <f aca="false">IF(Fields!A44="","",Fields!E44)</f>
        <v/>
      </c>
      <c r="E49" s="15" t="str">
        <f aca="false">IF(Fields!A44="","",Fields!H44)</f>
        <v/>
      </c>
      <c r="F49" s="14" t="str">
        <f aca="false">IF(Fields!A44="","",Fields!J44)</f>
        <v/>
      </c>
      <c r="G49" s="14" t="str">
        <f aca="false">IF(Fields!A44="","",Fields!K44)</f>
        <v/>
      </c>
      <c r="H49" s="14" t="str">
        <f aca="false">IF(Fields!A44="","",IF(Fields!C44="Derived","Yes","No"))</f>
        <v/>
      </c>
      <c r="J49" s="14" t="str">
        <f aca="false">IF(Metrics!A44="","",Metrics!A44)</f>
        <v/>
      </c>
      <c r="K49" s="14" t="str">
        <f aca="false">IF(Metrics!A44="","",Metrics!B44)</f>
        <v/>
      </c>
      <c r="L49" s="14" t="str">
        <f aca="false">IF(Metrics!A44="","",Metrics!G44)</f>
        <v/>
      </c>
      <c r="M49" s="14" t="str">
        <f aca="false">IF(Metrics!A44="","",Metrics!I44)</f>
        <v/>
      </c>
      <c r="N49" s="14" t="str">
        <f aca="false">IF(Metrics!A44="","",Metrics!J44)</f>
        <v/>
      </c>
      <c r="O49" s="14" t="str">
        <f aca="false">IF(Metrics!A44="","",SUMPRODUCT(('Metric to Field'!$A$5:$A$64=Metrics!A44)*(IFERROR(INDEX(Fields!$H$5:$H$64,MATCH('Metric to Field'!$B$5:$B$64,Fields!$A$5:$A$64,0)),"")="Issue")))</f>
        <v/>
      </c>
    </row>
    <row r="50" customFormat="false" ht="15" hidden="false" customHeight="false" outlineLevel="0" collapsed="false">
      <c r="A50" s="14" t="str">
        <f aca="false">IF(Fields!A45="","",Fields!A45)</f>
        <v/>
      </c>
      <c r="B50" s="14" t="str">
        <f aca="false">IF(Fields!A45="","",Fields!B45)</f>
        <v/>
      </c>
      <c r="C50" s="14" t="str">
        <f aca="false">IF(Fields!A45="","",Fields!C45)</f>
        <v/>
      </c>
      <c r="D50" s="14" t="str">
        <f aca="false">IF(Fields!A45="","",Fields!E45)</f>
        <v/>
      </c>
      <c r="E50" s="15" t="str">
        <f aca="false">IF(Fields!A45="","",Fields!H45)</f>
        <v/>
      </c>
      <c r="F50" s="14" t="str">
        <f aca="false">IF(Fields!A45="","",Fields!J45)</f>
        <v/>
      </c>
      <c r="G50" s="14" t="str">
        <f aca="false">IF(Fields!A45="","",Fields!K45)</f>
        <v/>
      </c>
      <c r="H50" s="14" t="str">
        <f aca="false">IF(Fields!A45="","",IF(Fields!C45="Derived","Yes","No"))</f>
        <v/>
      </c>
      <c r="J50" s="14" t="str">
        <f aca="false">IF(Metrics!A45="","",Metrics!A45)</f>
        <v/>
      </c>
      <c r="K50" s="14" t="str">
        <f aca="false">IF(Metrics!A45="","",Metrics!B45)</f>
        <v/>
      </c>
      <c r="L50" s="14" t="str">
        <f aca="false">IF(Metrics!A45="","",Metrics!G45)</f>
        <v/>
      </c>
      <c r="M50" s="14" t="str">
        <f aca="false">IF(Metrics!A45="","",Metrics!I45)</f>
        <v/>
      </c>
      <c r="N50" s="14" t="str">
        <f aca="false">IF(Metrics!A45="","",Metrics!J45)</f>
        <v/>
      </c>
      <c r="O50" s="14" t="str">
        <f aca="false">IF(Metrics!A45="","",SUMPRODUCT(('Metric to Field'!$A$5:$A$64=Metrics!A45)*(IFERROR(INDEX(Fields!$H$5:$H$64,MATCH('Metric to Field'!$B$5:$B$64,Fields!$A$5:$A$64,0)),"")="Issue")))</f>
        <v/>
      </c>
    </row>
    <row r="51" customFormat="false" ht="15" hidden="false" customHeight="false" outlineLevel="0" collapsed="false">
      <c r="A51" s="14" t="str">
        <f aca="false">IF(Fields!A46="","",Fields!A46)</f>
        <v/>
      </c>
      <c r="B51" s="14" t="str">
        <f aca="false">IF(Fields!A46="","",Fields!B46)</f>
        <v/>
      </c>
      <c r="C51" s="14" t="str">
        <f aca="false">IF(Fields!A46="","",Fields!C46)</f>
        <v/>
      </c>
      <c r="D51" s="14" t="str">
        <f aca="false">IF(Fields!A46="","",Fields!E46)</f>
        <v/>
      </c>
      <c r="E51" s="15" t="str">
        <f aca="false">IF(Fields!A46="","",Fields!H46)</f>
        <v/>
      </c>
      <c r="F51" s="14" t="str">
        <f aca="false">IF(Fields!A46="","",Fields!J46)</f>
        <v/>
      </c>
      <c r="G51" s="14" t="str">
        <f aca="false">IF(Fields!A46="","",Fields!K46)</f>
        <v/>
      </c>
      <c r="H51" s="14" t="str">
        <f aca="false">IF(Fields!A46="","",IF(Fields!C46="Derived","Yes","No"))</f>
        <v/>
      </c>
      <c r="J51" s="14" t="str">
        <f aca="false">IF(Metrics!A46="","",Metrics!A46)</f>
        <v/>
      </c>
      <c r="K51" s="14" t="str">
        <f aca="false">IF(Metrics!A46="","",Metrics!B46)</f>
        <v/>
      </c>
      <c r="L51" s="14" t="str">
        <f aca="false">IF(Metrics!A46="","",Metrics!G46)</f>
        <v/>
      </c>
      <c r="M51" s="14" t="str">
        <f aca="false">IF(Metrics!A46="","",Metrics!I46)</f>
        <v/>
      </c>
      <c r="N51" s="14" t="str">
        <f aca="false">IF(Metrics!A46="","",Metrics!J46)</f>
        <v/>
      </c>
      <c r="O51" s="14" t="str">
        <f aca="false">IF(Metrics!A46="","",SUMPRODUCT(('Metric to Field'!$A$5:$A$64=Metrics!A46)*(IFERROR(INDEX(Fields!$H$5:$H$64,MATCH('Metric to Field'!$B$5:$B$64,Fields!$A$5:$A$64,0)),"")="Issue")))</f>
        <v/>
      </c>
    </row>
    <row r="52" customFormat="false" ht="15" hidden="false" customHeight="false" outlineLevel="0" collapsed="false">
      <c r="A52" s="14" t="str">
        <f aca="false">IF(Fields!A47="","",Fields!A47)</f>
        <v/>
      </c>
      <c r="B52" s="14" t="str">
        <f aca="false">IF(Fields!A47="","",Fields!B47)</f>
        <v/>
      </c>
      <c r="C52" s="14" t="str">
        <f aca="false">IF(Fields!A47="","",Fields!C47)</f>
        <v/>
      </c>
      <c r="D52" s="14" t="str">
        <f aca="false">IF(Fields!A47="","",Fields!E47)</f>
        <v/>
      </c>
      <c r="E52" s="15" t="str">
        <f aca="false">IF(Fields!A47="","",Fields!H47)</f>
        <v/>
      </c>
      <c r="F52" s="14" t="str">
        <f aca="false">IF(Fields!A47="","",Fields!J47)</f>
        <v/>
      </c>
      <c r="G52" s="14" t="str">
        <f aca="false">IF(Fields!A47="","",Fields!K47)</f>
        <v/>
      </c>
      <c r="H52" s="14" t="str">
        <f aca="false">IF(Fields!A47="","",IF(Fields!C47="Derived","Yes","No"))</f>
        <v/>
      </c>
      <c r="J52" s="14" t="str">
        <f aca="false">IF(Metrics!A47="","",Metrics!A47)</f>
        <v/>
      </c>
      <c r="K52" s="14" t="str">
        <f aca="false">IF(Metrics!A47="","",Metrics!B47)</f>
        <v/>
      </c>
      <c r="L52" s="14" t="str">
        <f aca="false">IF(Metrics!A47="","",Metrics!G47)</f>
        <v/>
      </c>
      <c r="M52" s="14" t="str">
        <f aca="false">IF(Metrics!A47="","",Metrics!I47)</f>
        <v/>
      </c>
      <c r="N52" s="14" t="str">
        <f aca="false">IF(Metrics!A47="","",Metrics!J47)</f>
        <v/>
      </c>
      <c r="O52" s="14" t="str">
        <f aca="false">IF(Metrics!A47="","",SUMPRODUCT(('Metric to Field'!$A$5:$A$64=Metrics!A47)*(IFERROR(INDEX(Fields!$H$5:$H$64,MATCH('Metric to Field'!$B$5:$B$64,Fields!$A$5:$A$64,0)),"")="Issue")))</f>
        <v/>
      </c>
    </row>
    <row r="53" customFormat="false" ht="15" hidden="false" customHeight="false" outlineLevel="0" collapsed="false">
      <c r="A53" s="14" t="str">
        <f aca="false">IF(Fields!A48="","",Fields!A48)</f>
        <v/>
      </c>
      <c r="B53" s="14" t="str">
        <f aca="false">IF(Fields!A48="","",Fields!B48)</f>
        <v/>
      </c>
      <c r="C53" s="14" t="str">
        <f aca="false">IF(Fields!A48="","",Fields!C48)</f>
        <v/>
      </c>
      <c r="D53" s="14" t="str">
        <f aca="false">IF(Fields!A48="","",Fields!E48)</f>
        <v/>
      </c>
      <c r="E53" s="15" t="str">
        <f aca="false">IF(Fields!A48="","",Fields!H48)</f>
        <v/>
      </c>
      <c r="F53" s="14" t="str">
        <f aca="false">IF(Fields!A48="","",Fields!J48)</f>
        <v/>
      </c>
      <c r="G53" s="14" t="str">
        <f aca="false">IF(Fields!A48="","",Fields!K48)</f>
        <v/>
      </c>
      <c r="H53" s="14" t="str">
        <f aca="false">IF(Fields!A48="","",IF(Fields!C48="Derived","Yes","No"))</f>
        <v/>
      </c>
      <c r="J53" s="14" t="str">
        <f aca="false">IF(Metrics!A48="","",Metrics!A48)</f>
        <v/>
      </c>
      <c r="K53" s="14" t="str">
        <f aca="false">IF(Metrics!A48="","",Metrics!B48)</f>
        <v/>
      </c>
      <c r="L53" s="14" t="str">
        <f aca="false">IF(Metrics!A48="","",Metrics!G48)</f>
        <v/>
      </c>
      <c r="M53" s="14" t="str">
        <f aca="false">IF(Metrics!A48="","",Metrics!I48)</f>
        <v/>
      </c>
      <c r="N53" s="14" t="str">
        <f aca="false">IF(Metrics!A48="","",Metrics!J48)</f>
        <v/>
      </c>
      <c r="O53" s="14" t="str">
        <f aca="false">IF(Metrics!A48="","",SUMPRODUCT(('Metric to Field'!$A$5:$A$64=Metrics!A48)*(IFERROR(INDEX(Fields!$H$5:$H$64,MATCH('Metric to Field'!$B$5:$B$64,Fields!$A$5:$A$64,0)),"")="Issue")))</f>
        <v/>
      </c>
    </row>
    <row r="54" customFormat="false" ht="15" hidden="false" customHeight="false" outlineLevel="0" collapsed="false">
      <c r="A54" s="14" t="str">
        <f aca="false">IF(Fields!A49="","",Fields!A49)</f>
        <v/>
      </c>
      <c r="B54" s="14" t="str">
        <f aca="false">IF(Fields!A49="","",Fields!B49)</f>
        <v/>
      </c>
      <c r="C54" s="14" t="str">
        <f aca="false">IF(Fields!A49="","",Fields!C49)</f>
        <v/>
      </c>
      <c r="D54" s="14" t="str">
        <f aca="false">IF(Fields!A49="","",Fields!E49)</f>
        <v/>
      </c>
      <c r="E54" s="15" t="str">
        <f aca="false">IF(Fields!A49="","",Fields!H49)</f>
        <v/>
      </c>
      <c r="F54" s="14" t="str">
        <f aca="false">IF(Fields!A49="","",Fields!J49)</f>
        <v/>
      </c>
      <c r="G54" s="14" t="str">
        <f aca="false">IF(Fields!A49="","",Fields!K49)</f>
        <v/>
      </c>
      <c r="H54" s="14" t="str">
        <f aca="false">IF(Fields!A49="","",IF(Fields!C49="Derived","Yes","No"))</f>
        <v/>
      </c>
      <c r="J54" s="14" t="str">
        <f aca="false">IF(Metrics!A49="","",Metrics!A49)</f>
        <v/>
      </c>
      <c r="K54" s="14" t="str">
        <f aca="false">IF(Metrics!A49="","",Metrics!B49)</f>
        <v/>
      </c>
      <c r="L54" s="14" t="str">
        <f aca="false">IF(Metrics!A49="","",Metrics!G49)</f>
        <v/>
      </c>
      <c r="M54" s="14" t="str">
        <f aca="false">IF(Metrics!A49="","",Metrics!I49)</f>
        <v/>
      </c>
      <c r="N54" s="14" t="str">
        <f aca="false">IF(Metrics!A49="","",Metrics!J49)</f>
        <v/>
      </c>
      <c r="O54" s="14" t="str">
        <f aca="false">IF(Metrics!A49="","",SUMPRODUCT(('Metric to Field'!$A$5:$A$64=Metrics!A49)*(IFERROR(INDEX(Fields!$H$5:$H$64,MATCH('Metric to Field'!$B$5:$B$64,Fields!$A$5:$A$64,0)),"")="Issue")))</f>
        <v/>
      </c>
    </row>
    <row r="55" customFormat="false" ht="15" hidden="false" customHeight="false" outlineLevel="0" collapsed="false">
      <c r="A55" s="14" t="str">
        <f aca="false">IF(Fields!A50="","",Fields!A50)</f>
        <v/>
      </c>
      <c r="B55" s="14" t="str">
        <f aca="false">IF(Fields!A50="","",Fields!B50)</f>
        <v/>
      </c>
      <c r="C55" s="14" t="str">
        <f aca="false">IF(Fields!A50="","",Fields!C50)</f>
        <v/>
      </c>
      <c r="D55" s="14" t="str">
        <f aca="false">IF(Fields!A50="","",Fields!E50)</f>
        <v/>
      </c>
      <c r="E55" s="15" t="str">
        <f aca="false">IF(Fields!A50="","",Fields!H50)</f>
        <v/>
      </c>
      <c r="F55" s="14" t="str">
        <f aca="false">IF(Fields!A50="","",Fields!J50)</f>
        <v/>
      </c>
      <c r="G55" s="14" t="str">
        <f aca="false">IF(Fields!A50="","",Fields!K50)</f>
        <v/>
      </c>
      <c r="H55" s="14" t="str">
        <f aca="false">IF(Fields!A50="","",IF(Fields!C50="Derived","Yes","No"))</f>
        <v/>
      </c>
      <c r="J55" s="14" t="str">
        <f aca="false">IF(Metrics!A50="","",Metrics!A50)</f>
        <v/>
      </c>
      <c r="K55" s="14" t="str">
        <f aca="false">IF(Metrics!A50="","",Metrics!B50)</f>
        <v/>
      </c>
      <c r="L55" s="14" t="str">
        <f aca="false">IF(Metrics!A50="","",Metrics!G50)</f>
        <v/>
      </c>
      <c r="M55" s="14" t="str">
        <f aca="false">IF(Metrics!A50="","",Metrics!I50)</f>
        <v/>
      </c>
      <c r="N55" s="14" t="str">
        <f aca="false">IF(Metrics!A50="","",Metrics!J50)</f>
        <v/>
      </c>
      <c r="O55" s="14" t="str">
        <f aca="false">IF(Metrics!A50="","",SUMPRODUCT(('Metric to Field'!$A$5:$A$64=Metrics!A50)*(IFERROR(INDEX(Fields!$H$5:$H$64,MATCH('Metric to Field'!$B$5:$B$64,Fields!$A$5:$A$64,0)),"")="Issue")))</f>
        <v/>
      </c>
    </row>
    <row r="56" customFormat="false" ht="15" hidden="false" customHeight="false" outlineLevel="0" collapsed="false">
      <c r="A56" s="14" t="str">
        <f aca="false">IF(Fields!A51="","",Fields!A51)</f>
        <v/>
      </c>
      <c r="B56" s="14" t="str">
        <f aca="false">IF(Fields!A51="","",Fields!B51)</f>
        <v/>
      </c>
      <c r="C56" s="14" t="str">
        <f aca="false">IF(Fields!A51="","",Fields!C51)</f>
        <v/>
      </c>
      <c r="D56" s="14" t="str">
        <f aca="false">IF(Fields!A51="","",Fields!E51)</f>
        <v/>
      </c>
      <c r="E56" s="15" t="str">
        <f aca="false">IF(Fields!A51="","",Fields!H51)</f>
        <v/>
      </c>
      <c r="F56" s="14" t="str">
        <f aca="false">IF(Fields!A51="","",Fields!J51)</f>
        <v/>
      </c>
      <c r="G56" s="14" t="str">
        <f aca="false">IF(Fields!A51="","",Fields!K51)</f>
        <v/>
      </c>
      <c r="H56" s="14" t="str">
        <f aca="false">IF(Fields!A51="","",IF(Fields!C51="Derived","Yes","No"))</f>
        <v/>
      </c>
      <c r="J56" s="14" t="str">
        <f aca="false">IF(Metrics!A51="","",Metrics!A51)</f>
        <v/>
      </c>
      <c r="K56" s="14" t="str">
        <f aca="false">IF(Metrics!A51="","",Metrics!B51)</f>
        <v/>
      </c>
      <c r="L56" s="14" t="str">
        <f aca="false">IF(Metrics!A51="","",Metrics!G51)</f>
        <v/>
      </c>
      <c r="M56" s="14" t="str">
        <f aca="false">IF(Metrics!A51="","",Metrics!I51)</f>
        <v/>
      </c>
      <c r="N56" s="14" t="str">
        <f aca="false">IF(Metrics!A51="","",Metrics!J51)</f>
        <v/>
      </c>
      <c r="O56" s="14" t="str">
        <f aca="false">IF(Metrics!A51="","",SUMPRODUCT(('Metric to Field'!$A$5:$A$64=Metrics!A51)*(IFERROR(INDEX(Fields!$H$5:$H$64,MATCH('Metric to Field'!$B$5:$B$64,Fields!$A$5:$A$64,0)),"")="Issue")))</f>
        <v/>
      </c>
    </row>
    <row r="57" customFormat="false" ht="15" hidden="false" customHeight="false" outlineLevel="0" collapsed="false">
      <c r="A57" s="14" t="str">
        <f aca="false">IF(Fields!A52="","",Fields!A52)</f>
        <v/>
      </c>
      <c r="B57" s="14" t="str">
        <f aca="false">IF(Fields!A52="","",Fields!B52)</f>
        <v/>
      </c>
      <c r="C57" s="14" t="str">
        <f aca="false">IF(Fields!A52="","",Fields!C52)</f>
        <v/>
      </c>
      <c r="D57" s="14" t="str">
        <f aca="false">IF(Fields!A52="","",Fields!E52)</f>
        <v/>
      </c>
      <c r="E57" s="15" t="str">
        <f aca="false">IF(Fields!A52="","",Fields!H52)</f>
        <v/>
      </c>
      <c r="F57" s="14" t="str">
        <f aca="false">IF(Fields!A52="","",Fields!J52)</f>
        <v/>
      </c>
      <c r="G57" s="14" t="str">
        <f aca="false">IF(Fields!A52="","",Fields!K52)</f>
        <v/>
      </c>
      <c r="H57" s="14" t="str">
        <f aca="false">IF(Fields!A52="","",IF(Fields!C52="Derived","Yes","No"))</f>
        <v/>
      </c>
      <c r="J57" s="14" t="str">
        <f aca="false">IF(Metrics!A52="","",Metrics!A52)</f>
        <v/>
      </c>
      <c r="K57" s="14" t="str">
        <f aca="false">IF(Metrics!A52="","",Metrics!B52)</f>
        <v/>
      </c>
      <c r="L57" s="14" t="str">
        <f aca="false">IF(Metrics!A52="","",Metrics!G52)</f>
        <v/>
      </c>
      <c r="M57" s="14" t="str">
        <f aca="false">IF(Metrics!A52="","",Metrics!I52)</f>
        <v/>
      </c>
      <c r="N57" s="14" t="str">
        <f aca="false">IF(Metrics!A52="","",Metrics!J52)</f>
        <v/>
      </c>
      <c r="O57" s="14" t="str">
        <f aca="false">IF(Metrics!A52="","",SUMPRODUCT(('Metric to Field'!$A$5:$A$64=Metrics!A52)*(IFERROR(INDEX(Fields!$H$5:$H$64,MATCH('Metric to Field'!$B$5:$B$64,Fields!$A$5:$A$64,0)),"")="Issue")))</f>
        <v/>
      </c>
    </row>
    <row r="58" customFormat="false" ht="15" hidden="false" customHeight="false" outlineLevel="0" collapsed="false">
      <c r="A58" s="14" t="str">
        <f aca="false">IF(Fields!A53="","",Fields!A53)</f>
        <v/>
      </c>
      <c r="B58" s="14" t="str">
        <f aca="false">IF(Fields!A53="","",Fields!B53)</f>
        <v/>
      </c>
      <c r="C58" s="14" t="str">
        <f aca="false">IF(Fields!A53="","",Fields!C53)</f>
        <v/>
      </c>
      <c r="D58" s="14" t="str">
        <f aca="false">IF(Fields!A53="","",Fields!E53)</f>
        <v/>
      </c>
      <c r="E58" s="15" t="str">
        <f aca="false">IF(Fields!A53="","",Fields!H53)</f>
        <v/>
      </c>
      <c r="F58" s="14" t="str">
        <f aca="false">IF(Fields!A53="","",Fields!J53)</f>
        <v/>
      </c>
      <c r="G58" s="14" t="str">
        <f aca="false">IF(Fields!A53="","",Fields!K53)</f>
        <v/>
      </c>
      <c r="H58" s="14" t="str">
        <f aca="false">IF(Fields!A53="","",IF(Fields!C53="Derived","Yes","No"))</f>
        <v/>
      </c>
      <c r="J58" s="14" t="str">
        <f aca="false">IF(Metrics!A53="","",Metrics!A53)</f>
        <v/>
      </c>
      <c r="K58" s="14" t="str">
        <f aca="false">IF(Metrics!A53="","",Metrics!B53)</f>
        <v/>
      </c>
      <c r="L58" s="14" t="str">
        <f aca="false">IF(Metrics!A53="","",Metrics!G53)</f>
        <v/>
      </c>
      <c r="M58" s="14" t="str">
        <f aca="false">IF(Metrics!A53="","",Metrics!I53)</f>
        <v/>
      </c>
      <c r="N58" s="14" t="str">
        <f aca="false">IF(Metrics!A53="","",Metrics!J53)</f>
        <v/>
      </c>
      <c r="O58" s="14" t="str">
        <f aca="false">IF(Metrics!A53="","",SUMPRODUCT(('Metric to Field'!$A$5:$A$64=Metrics!A53)*(IFERROR(INDEX(Fields!$H$5:$H$64,MATCH('Metric to Field'!$B$5:$B$64,Fields!$A$5:$A$64,0)),"")="Issue")))</f>
        <v/>
      </c>
    </row>
    <row r="59" customFormat="false" ht="15" hidden="false" customHeight="false" outlineLevel="0" collapsed="false">
      <c r="A59" s="14" t="str">
        <f aca="false">IF(Fields!A54="","",Fields!A54)</f>
        <v/>
      </c>
      <c r="B59" s="14" t="str">
        <f aca="false">IF(Fields!A54="","",Fields!B54)</f>
        <v/>
      </c>
      <c r="C59" s="14" t="str">
        <f aca="false">IF(Fields!A54="","",Fields!C54)</f>
        <v/>
      </c>
      <c r="D59" s="14" t="str">
        <f aca="false">IF(Fields!A54="","",Fields!E54)</f>
        <v/>
      </c>
      <c r="E59" s="15" t="str">
        <f aca="false">IF(Fields!A54="","",Fields!H54)</f>
        <v/>
      </c>
      <c r="F59" s="14" t="str">
        <f aca="false">IF(Fields!A54="","",Fields!J54)</f>
        <v/>
      </c>
      <c r="G59" s="14" t="str">
        <f aca="false">IF(Fields!A54="","",Fields!K54)</f>
        <v/>
      </c>
      <c r="H59" s="14" t="str">
        <f aca="false">IF(Fields!A54="","",IF(Fields!C54="Derived","Yes","No"))</f>
        <v/>
      </c>
      <c r="J59" s="14" t="str">
        <f aca="false">IF(Metrics!A54="","",Metrics!A54)</f>
        <v/>
      </c>
      <c r="K59" s="14" t="str">
        <f aca="false">IF(Metrics!A54="","",Metrics!B54)</f>
        <v/>
      </c>
      <c r="L59" s="14" t="str">
        <f aca="false">IF(Metrics!A54="","",Metrics!G54)</f>
        <v/>
      </c>
      <c r="M59" s="14" t="str">
        <f aca="false">IF(Metrics!A54="","",Metrics!I54)</f>
        <v/>
      </c>
      <c r="N59" s="14" t="str">
        <f aca="false">IF(Metrics!A54="","",Metrics!J54)</f>
        <v/>
      </c>
      <c r="O59" s="14" t="str">
        <f aca="false">IF(Metrics!A54="","",SUMPRODUCT(('Metric to Field'!$A$5:$A$64=Metrics!A54)*(IFERROR(INDEX(Fields!$H$5:$H$64,MATCH('Metric to Field'!$B$5:$B$64,Fields!$A$5:$A$64,0)),"")="Issue")))</f>
        <v/>
      </c>
    </row>
    <row r="60" customFormat="false" ht="15" hidden="false" customHeight="false" outlineLevel="0" collapsed="false">
      <c r="A60" s="14" t="str">
        <f aca="false">IF(Fields!A55="","",Fields!A55)</f>
        <v/>
      </c>
      <c r="B60" s="14" t="str">
        <f aca="false">IF(Fields!A55="","",Fields!B55)</f>
        <v/>
      </c>
      <c r="C60" s="14" t="str">
        <f aca="false">IF(Fields!A55="","",Fields!C55)</f>
        <v/>
      </c>
      <c r="D60" s="14" t="str">
        <f aca="false">IF(Fields!A55="","",Fields!E55)</f>
        <v/>
      </c>
      <c r="E60" s="15" t="str">
        <f aca="false">IF(Fields!A55="","",Fields!H55)</f>
        <v/>
      </c>
      <c r="F60" s="14" t="str">
        <f aca="false">IF(Fields!A55="","",Fields!J55)</f>
        <v/>
      </c>
      <c r="G60" s="14" t="str">
        <f aca="false">IF(Fields!A55="","",Fields!K55)</f>
        <v/>
      </c>
      <c r="H60" s="14" t="str">
        <f aca="false">IF(Fields!A55="","",IF(Fields!C55="Derived","Yes","No"))</f>
        <v/>
      </c>
      <c r="J60" s="14" t="str">
        <f aca="false">IF(Metrics!A55="","",Metrics!A55)</f>
        <v/>
      </c>
      <c r="K60" s="14" t="str">
        <f aca="false">IF(Metrics!A55="","",Metrics!B55)</f>
        <v/>
      </c>
      <c r="L60" s="14" t="str">
        <f aca="false">IF(Metrics!A55="","",Metrics!G55)</f>
        <v/>
      </c>
      <c r="M60" s="14" t="str">
        <f aca="false">IF(Metrics!A55="","",Metrics!I55)</f>
        <v/>
      </c>
      <c r="N60" s="14" t="str">
        <f aca="false">IF(Metrics!A55="","",Metrics!J55)</f>
        <v/>
      </c>
      <c r="O60" s="14" t="str">
        <f aca="false">IF(Metrics!A55="","",SUMPRODUCT(('Metric to Field'!$A$5:$A$64=Metrics!A55)*(IFERROR(INDEX(Fields!$H$5:$H$64,MATCH('Metric to Field'!$B$5:$B$64,Fields!$A$5:$A$64,0)),"")="Issue")))</f>
        <v/>
      </c>
    </row>
    <row r="61" customFormat="false" ht="15" hidden="false" customHeight="false" outlineLevel="0" collapsed="false">
      <c r="A61" s="14" t="str">
        <f aca="false">IF(Fields!A56="","",Fields!A56)</f>
        <v/>
      </c>
      <c r="B61" s="14" t="str">
        <f aca="false">IF(Fields!A56="","",Fields!B56)</f>
        <v/>
      </c>
      <c r="C61" s="14" t="str">
        <f aca="false">IF(Fields!A56="","",Fields!C56)</f>
        <v/>
      </c>
      <c r="D61" s="14" t="str">
        <f aca="false">IF(Fields!A56="","",Fields!E56)</f>
        <v/>
      </c>
      <c r="E61" s="15" t="str">
        <f aca="false">IF(Fields!A56="","",Fields!H56)</f>
        <v/>
      </c>
      <c r="F61" s="14" t="str">
        <f aca="false">IF(Fields!A56="","",Fields!J56)</f>
        <v/>
      </c>
      <c r="G61" s="14" t="str">
        <f aca="false">IF(Fields!A56="","",Fields!K56)</f>
        <v/>
      </c>
      <c r="H61" s="14" t="str">
        <f aca="false">IF(Fields!A56="","",IF(Fields!C56="Derived","Yes","No"))</f>
        <v/>
      </c>
      <c r="J61" s="14" t="str">
        <f aca="false">IF(Metrics!A56="","",Metrics!A56)</f>
        <v/>
      </c>
      <c r="K61" s="14" t="str">
        <f aca="false">IF(Metrics!A56="","",Metrics!B56)</f>
        <v/>
      </c>
      <c r="L61" s="14" t="str">
        <f aca="false">IF(Metrics!A56="","",Metrics!G56)</f>
        <v/>
      </c>
      <c r="M61" s="14" t="str">
        <f aca="false">IF(Metrics!A56="","",Metrics!I56)</f>
        <v/>
      </c>
      <c r="N61" s="14" t="str">
        <f aca="false">IF(Metrics!A56="","",Metrics!J56)</f>
        <v/>
      </c>
      <c r="O61" s="14" t="str">
        <f aca="false">IF(Metrics!A56="","",SUMPRODUCT(('Metric to Field'!$A$5:$A$64=Metrics!A56)*(IFERROR(INDEX(Fields!$H$5:$H$64,MATCH('Metric to Field'!$B$5:$B$64,Fields!$A$5:$A$64,0)),"")="Issue")))</f>
        <v/>
      </c>
    </row>
    <row r="62" customFormat="false" ht="15" hidden="false" customHeight="false" outlineLevel="0" collapsed="false">
      <c r="A62" s="14" t="str">
        <f aca="false">IF(Fields!A57="","",Fields!A57)</f>
        <v/>
      </c>
      <c r="B62" s="14" t="str">
        <f aca="false">IF(Fields!A57="","",Fields!B57)</f>
        <v/>
      </c>
      <c r="C62" s="14" t="str">
        <f aca="false">IF(Fields!A57="","",Fields!C57)</f>
        <v/>
      </c>
      <c r="D62" s="14" t="str">
        <f aca="false">IF(Fields!A57="","",Fields!E57)</f>
        <v/>
      </c>
      <c r="E62" s="15" t="str">
        <f aca="false">IF(Fields!A57="","",Fields!H57)</f>
        <v/>
      </c>
      <c r="F62" s="14" t="str">
        <f aca="false">IF(Fields!A57="","",Fields!J57)</f>
        <v/>
      </c>
      <c r="G62" s="14" t="str">
        <f aca="false">IF(Fields!A57="","",Fields!K57)</f>
        <v/>
      </c>
      <c r="H62" s="14" t="str">
        <f aca="false">IF(Fields!A57="","",IF(Fields!C57="Derived","Yes","No"))</f>
        <v/>
      </c>
      <c r="J62" s="14" t="str">
        <f aca="false">IF(Metrics!A57="","",Metrics!A57)</f>
        <v/>
      </c>
      <c r="K62" s="14" t="str">
        <f aca="false">IF(Metrics!A57="","",Metrics!B57)</f>
        <v/>
      </c>
      <c r="L62" s="14" t="str">
        <f aca="false">IF(Metrics!A57="","",Metrics!G57)</f>
        <v/>
      </c>
      <c r="M62" s="14" t="str">
        <f aca="false">IF(Metrics!A57="","",Metrics!I57)</f>
        <v/>
      </c>
      <c r="N62" s="14" t="str">
        <f aca="false">IF(Metrics!A57="","",Metrics!J57)</f>
        <v/>
      </c>
      <c r="O62" s="14" t="str">
        <f aca="false">IF(Metrics!A57="","",SUMPRODUCT(('Metric to Field'!$A$5:$A$64=Metrics!A57)*(IFERROR(INDEX(Fields!$H$5:$H$64,MATCH('Metric to Field'!$B$5:$B$64,Fields!$A$5:$A$64,0)),"")="Issue")))</f>
        <v/>
      </c>
    </row>
    <row r="63" customFormat="false" ht="15" hidden="false" customHeight="false" outlineLevel="0" collapsed="false">
      <c r="A63" s="14" t="str">
        <f aca="false">IF(Fields!A58="","",Fields!A58)</f>
        <v/>
      </c>
      <c r="B63" s="14" t="str">
        <f aca="false">IF(Fields!A58="","",Fields!B58)</f>
        <v/>
      </c>
      <c r="C63" s="14" t="str">
        <f aca="false">IF(Fields!A58="","",Fields!C58)</f>
        <v/>
      </c>
      <c r="D63" s="14" t="str">
        <f aca="false">IF(Fields!A58="","",Fields!E58)</f>
        <v/>
      </c>
      <c r="E63" s="15" t="str">
        <f aca="false">IF(Fields!A58="","",Fields!H58)</f>
        <v/>
      </c>
      <c r="F63" s="14" t="str">
        <f aca="false">IF(Fields!A58="","",Fields!J58)</f>
        <v/>
      </c>
      <c r="G63" s="14" t="str">
        <f aca="false">IF(Fields!A58="","",Fields!K58)</f>
        <v/>
      </c>
      <c r="H63" s="14" t="str">
        <f aca="false">IF(Fields!A58="","",IF(Fields!C58="Derived","Yes","No"))</f>
        <v/>
      </c>
      <c r="J63" s="14" t="str">
        <f aca="false">IF(Metrics!A58="","",Metrics!A58)</f>
        <v/>
      </c>
      <c r="K63" s="14" t="str">
        <f aca="false">IF(Metrics!A58="","",Metrics!B58)</f>
        <v/>
      </c>
      <c r="L63" s="14" t="str">
        <f aca="false">IF(Metrics!A58="","",Metrics!G58)</f>
        <v/>
      </c>
      <c r="M63" s="14" t="str">
        <f aca="false">IF(Metrics!A58="","",Metrics!I58)</f>
        <v/>
      </c>
      <c r="N63" s="14" t="str">
        <f aca="false">IF(Metrics!A58="","",Metrics!J58)</f>
        <v/>
      </c>
      <c r="O63" s="14" t="str">
        <f aca="false">IF(Metrics!A58="","",SUMPRODUCT(('Metric to Field'!$A$5:$A$64=Metrics!A58)*(IFERROR(INDEX(Fields!$H$5:$H$64,MATCH('Metric to Field'!$B$5:$B$64,Fields!$A$5:$A$64,0)),"")="Issue")))</f>
        <v/>
      </c>
    </row>
    <row r="64" customFormat="false" ht="15" hidden="false" customHeight="false" outlineLevel="0" collapsed="false">
      <c r="A64" s="14" t="str">
        <f aca="false">IF(Fields!A59="","",Fields!A59)</f>
        <v/>
      </c>
      <c r="B64" s="14" t="str">
        <f aca="false">IF(Fields!A59="","",Fields!B59)</f>
        <v/>
      </c>
      <c r="C64" s="14" t="str">
        <f aca="false">IF(Fields!A59="","",Fields!C59)</f>
        <v/>
      </c>
      <c r="D64" s="14" t="str">
        <f aca="false">IF(Fields!A59="","",Fields!E59)</f>
        <v/>
      </c>
      <c r="E64" s="15" t="str">
        <f aca="false">IF(Fields!A59="","",Fields!H59)</f>
        <v/>
      </c>
      <c r="F64" s="14" t="str">
        <f aca="false">IF(Fields!A59="","",Fields!J59)</f>
        <v/>
      </c>
      <c r="G64" s="14" t="str">
        <f aca="false">IF(Fields!A59="","",Fields!K59)</f>
        <v/>
      </c>
      <c r="H64" s="14" t="str">
        <f aca="false">IF(Fields!A59="","",IF(Fields!C59="Derived","Yes","No"))</f>
        <v/>
      </c>
      <c r="J64" s="14" t="str">
        <f aca="false">IF(Metrics!A59="","",Metrics!A59)</f>
        <v/>
      </c>
      <c r="K64" s="14" t="str">
        <f aca="false">IF(Metrics!A59="","",Metrics!B59)</f>
        <v/>
      </c>
      <c r="L64" s="14" t="str">
        <f aca="false">IF(Metrics!A59="","",Metrics!G59)</f>
        <v/>
      </c>
      <c r="M64" s="14" t="str">
        <f aca="false">IF(Metrics!A59="","",Metrics!I59)</f>
        <v/>
      </c>
      <c r="N64" s="14" t="str">
        <f aca="false">IF(Metrics!A59="","",Metrics!J59)</f>
        <v/>
      </c>
      <c r="O64" s="14" t="str">
        <f aca="false">IF(Metrics!A59="","",SUMPRODUCT(('Metric to Field'!$A$5:$A$64=Metrics!A59)*(IFERROR(INDEX(Fields!$H$5:$H$64,MATCH('Metric to Field'!$B$5:$B$64,Fields!$A$5:$A$64,0)),"")="Issue")))</f>
        <v/>
      </c>
    </row>
    <row r="65" customFormat="false" ht="15" hidden="false" customHeight="false" outlineLevel="0" collapsed="false">
      <c r="A65" s="14" t="str">
        <f aca="false">IF(Fields!A60="","",Fields!A60)</f>
        <v/>
      </c>
      <c r="B65" s="14" t="str">
        <f aca="false">IF(Fields!A60="","",Fields!B60)</f>
        <v/>
      </c>
      <c r="C65" s="14" t="str">
        <f aca="false">IF(Fields!A60="","",Fields!C60)</f>
        <v/>
      </c>
      <c r="D65" s="14" t="str">
        <f aca="false">IF(Fields!A60="","",Fields!E60)</f>
        <v/>
      </c>
      <c r="E65" s="15" t="str">
        <f aca="false">IF(Fields!A60="","",Fields!H60)</f>
        <v/>
      </c>
      <c r="F65" s="14" t="str">
        <f aca="false">IF(Fields!A60="","",Fields!J60)</f>
        <v/>
      </c>
      <c r="G65" s="14" t="str">
        <f aca="false">IF(Fields!A60="","",Fields!K60)</f>
        <v/>
      </c>
      <c r="H65" s="14" t="str">
        <f aca="false">IF(Fields!A60="","",IF(Fields!C60="Derived","Yes","No"))</f>
        <v/>
      </c>
      <c r="J65" s="14" t="str">
        <f aca="false">IF(Metrics!A60="","",Metrics!A60)</f>
        <v/>
      </c>
      <c r="K65" s="14" t="str">
        <f aca="false">IF(Metrics!A60="","",Metrics!B60)</f>
        <v/>
      </c>
      <c r="L65" s="14" t="str">
        <f aca="false">IF(Metrics!A60="","",Metrics!G60)</f>
        <v/>
      </c>
      <c r="M65" s="14" t="str">
        <f aca="false">IF(Metrics!A60="","",Metrics!I60)</f>
        <v/>
      </c>
      <c r="N65" s="14" t="str">
        <f aca="false">IF(Metrics!A60="","",Metrics!J60)</f>
        <v/>
      </c>
      <c r="O65" s="14" t="str">
        <f aca="false">IF(Metrics!A60="","",SUMPRODUCT(('Metric to Field'!$A$5:$A$64=Metrics!A60)*(IFERROR(INDEX(Fields!$H$5:$H$64,MATCH('Metric to Field'!$B$5:$B$64,Fields!$A$5:$A$64,0)),"")="Issue")))</f>
        <v/>
      </c>
    </row>
    <row r="66" customFormat="false" ht="15" hidden="false" customHeight="false" outlineLevel="0" collapsed="false">
      <c r="A66" s="14" t="str">
        <f aca="false">IF(Fields!A61="","",Fields!A61)</f>
        <v/>
      </c>
      <c r="B66" s="14" t="str">
        <f aca="false">IF(Fields!A61="","",Fields!B61)</f>
        <v/>
      </c>
      <c r="C66" s="14" t="str">
        <f aca="false">IF(Fields!A61="","",Fields!C61)</f>
        <v/>
      </c>
      <c r="D66" s="14" t="str">
        <f aca="false">IF(Fields!A61="","",Fields!E61)</f>
        <v/>
      </c>
      <c r="E66" s="15" t="str">
        <f aca="false">IF(Fields!A61="","",Fields!H61)</f>
        <v/>
      </c>
      <c r="F66" s="14" t="str">
        <f aca="false">IF(Fields!A61="","",Fields!J61)</f>
        <v/>
      </c>
      <c r="G66" s="14" t="str">
        <f aca="false">IF(Fields!A61="","",Fields!K61)</f>
        <v/>
      </c>
      <c r="H66" s="14" t="str">
        <f aca="false">IF(Fields!A61="","",IF(Fields!C61="Derived","Yes","No"))</f>
        <v/>
      </c>
      <c r="J66" s="14" t="str">
        <f aca="false">IF(Metrics!A61="","",Metrics!A61)</f>
        <v/>
      </c>
      <c r="K66" s="14" t="str">
        <f aca="false">IF(Metrics!A61="","",Metrics!B61)</f>
        <v/>
      </c>
      <c r="L66" s="14" t="str">
        <f aca="false">IF(Metrics!A61="","",Metrics!G61)</f>
        <v/>
      </c>
      <c r="M66" s="14" t="str">
        <f aca="false">IF(Metrics!A61="","",Metrics!I61)</f>
        <v/>
      </c>
      <c r="N66" s="14" t="str">
        <f aca="false">IF(Metrics!A61="","",Metrics!J61)</f>
        <v/>
      </c>
      <c r="O66" s="14" t="str">
        <f aca="false">IF(Metrics!A61="","",SUMPRODUCT(('Metric to Field'!$A$5:$A$64=Metrics!A61)*(IFERROR(INDEX(Fields!$H$5:$H$64,MATCH('Metric to Field'!$B$5:$B$64,Fields!$A$5:$A$64,0)),"")="Issue")))</f>
        <v/>
      </c>
    </row>
    <row r="67" customFormat="false" ht="15" hidden="false" customHeight="false" outlineLevel="0" collapsed="false">
      <c r="A67" s="14" t="str">
        <f aca="false">IF(Fields!A62="","",Fields!A62)</f>
        <v/>
      </c>
      <c r="B67" s="14" t="str">
        <f aca="false">IF(Fields!A62="","",Fields!B62)</f>
        <v/>
      </c>
      <c r="C67" s="14" t="str">
        <f aca="false">IF(Fields!A62="","",Fields!C62)</f>
        <v/>
      </c>
      <c r="D67" s="14" t="str">
        <f aca="false">IF(Fields!A62="","",Fields!E62)</f>
        <v/>
      </c>
      <c r="E67" s="15" t="str">
        <f aca="false">IF(Fields!A62="","",Fields!H62)</f>
        <v/>
      </c>
      <c r="F67" s="14" t="str">
        <f aca="false">IF(Fields!A62="","",Fields!J62)</f>
        <v/>
      </c>
      <c r="G67" s="14" t="str">
        <f aca="false">IF(Fields!A62="","",Fields!K62)</f>
        <v/>
      </c>
      <c r="H67" s="14" t="str">
        <f aca="false">IF(Fields!A62="","",IF(Fields!C62="Derived","Yes","No"))</f>
        <v/>
      </c>
      <c r="J67" s="14" t="str">
        <f aca="false">IF(Metrics!A62="","",Metrics!A62)</f>
        <v/>
      </c>
      <c r="K67" s="14" t="str">
        <f aca="false">IF(Metrics!A62="","",Metrics!B62)</f>
        <v/>
      </c>
      <c r="L67" s="14" t="str">
        <f aca="false">IF(Metrics!A62="","",Metrics!G62)</f>
        <v/>
      </c>
      <c r="M67" s="14" t="str">
        <f aca="false">IF(Metrics!A62="","",Metrics!I62)</f>
        <v/>
      </c>
      <c r="N67" s="14" t="str">
        <f aca="false">IF(Metrics!A62="","",Metrics!J62)</f>
        <v/>
      </c>
      <c r="O67" s="14" t="str">
        <f aca="false">IF(Metrics!A62="","",SUMPRODUCT(('Metric to Field'!$A$5:$A$64=Metrics!A62)*(IFERROR(INDEX(Fields!$H$5:$H$64,MATCH('Metric to Field'!$B$5:$B$64,Fields!$A$5:$A$64,0)),"")="Issue")))</f>
        <v/>
      </c>
    </row>
    <row r="68" customFormat="false" ht="15" hidden="false" customHeight="false" outlineLevel="0" collapsed="false">
      <c r="A68" s="14" t="str">
        <f aca="false">IF(Fields!A63="","",Fields!A63)</f>
        <v/>
      </c>
      <c r="B68" s="14" t="str">
        <f aca="false">IF(Fields!A63="","",Fields!B63)</f>
        <v/>
      </c>
      <c r="C68" s="14" t="str">
        <f aca="false">IF(Fields!A63="","",Fields!C63)</f>
        <v/>
      </c>
      <c r="D68" s="14" t="str">
        <f aca="false">IF(Fields!A63="","",Fields!E63)</f>
        <v/>
      </c>
      <c r="E68" s="15" t="str">
        <f aca="false">IF(Fields!A63="","",Fields!H63)</f>
        <v/>
      </c>
      <c r="F68" s="14" t="str">
        <f aca="false">IF(Fields!A63="","",Fields!J63)</f>
        <v/>
      </c>
      <c r="G68" s="14" t="str">
        <f aca="false">IF(Fields!A63="","",Fields!K63)</f>
        <v/>
      </c>
      <c r="H68" s="14" t="str">
        <f aca="false">IF(Fields!A63="","",IF(Fields!C63="Derived","Yes","No"))</f>
        <v/>
      </c>
      <c r="J68" s="14" t="str">
        <f aca="false">IF(Metrics!A63="","",Metrics!A63)</f>
        <v/>
      </c>
      <c r="K68" s="14" t="str">
        <f aca="false">IF(Metrics!A63="","",Metrics!B63)</f>
        <v/>
      </c>
      <c r="L68" s="14" t="str">
        <f aca="false">IF(Metrics!A63="","",Metrics!G63)</f>
        <v/>
      </c>
      <c r="M68" s="14" t="str">
        <f aca="false">IF(Metrics!A63="","",Metrics!I63)</f>
        <v/>
      </c>
      <c r="N68" s="14" t="str">
        <f aca="false">IF(Metrics!A63="","",Metrics!J63)</f>
        <v/>
      </c>
      <c r="O68" s="14" t="str">
        <f aca="false">IF(Metrics!A63="","",SUMPRODUCT(('Metric to Field'!$A$5:$A$64=Metrics!A63)*(IFERROR(INDEX(Fields!$H$5:$H$64,MATCH('Metric to Field'!$B$5:$B$64,Fields!$A$5:$A$64,0)),"")="Issue")))</f>
        <v/>
      </c>
    </row>
    <row r="69" customFormat="false" ht="15" hidden="false" customHeight="false" outlineLevel="0" collapsed="false">
      <c r="A69" s="14" t="str">
        <f aca="false">IF(Fields!A64="","",Fields!A64)</f>
        <v/>
      </c>
      <c r="B69" s="14" t="str">
        <f aca="false">IF(Fields!A64="","",Fields!B64)</f>
        <v/>
      </c>
      <c r="C69" s="14" t="str">
        <f aca="false">IF(Fields!A64="","",Fields!C64)</f>
        <v/>
      </c>
      <c r="D69" s="14" t="str">
        <f aca="false">IF(Fields!A64="","",Fields!E64)</f>
        <v/>
      </c>
      <c r="E69" s="15" t="str">
        <f aca="false">IF(Fields!A64="","",Fields!H64)</f>
        <v/>
      </c>
      <c r="F69" s="14" t="str">
        <f aca="false">IF(Fields!A64="","",Fields!J64)</f>
        <v/>
      </c>
      <c r="G69" s="14" t="str">
        <f aca="false">IF(Fields!A64="","",Fields!K64)</f>
        <v/>
      </c>
      <c r="H69" s="14" t="str">
        <f aca="false">IF(Fields!A64="","",IF(Fields!C64="Derived","Yes","No"))</f>
        <v/>
      </c>
      <c r="J69" s="14" t="str">
        <f aca="false">IF(Metrics!A64="","",Metrics!A64)</f>
        <v/>
      </c>
      <c r="K69" s="14" t="str">
        <f aca="false">IF(Metrics!A64="","",Metrics!B64)</f>
        <v/>
      </c>
      <c r="L69" s="14" t="str">
        <f aca="false">IF(Metrics!A64="","",Metrics!G64)</f>
        <v/>
      </c>
      <c r="M69" s="14" t="str">
        <f aca="false">IF(Metrics!A64="","",Metrics!I64)</f>
        <v/>
      </c>
      <c r="N69" s="14" t="str">
        <f aca="false">IF(Metrics!A64="","",Metrics!J64)</f>
        <v/>
      </c>
      <c r="O69" s="14" t="str">
        <f aca="false">IF(Metrics!A64="","",SUMPRODUCT(('Metric to Field'!$A$5:$A$64=Metrics!A64)*(IFERROR(INDEX(Fields!$H$5:$H$64,MATCH('Metric to Field'!$B$5:$B$64,Fields!$A$5:$A$64,0)),"")="Issue")))</f>
        <v/>
      </c>
    </row>
  </sheetData>
  <autoFilter ref="A9:H69"/>
  <conditionalFormatting sqref="E10:E69">
    <cfRule type="cellIs" priority="2" operator="equal" aboveAverage="0" equalAverage="0" bottom="0" percent="0" rank="0" text="" dxfId="10">
      <formula>"Issue"</formula>
    </cfRule>
  </conditionalFormatting>
  <conditionalFormatting sqref="H10:H69">
    <cfRule type="cellIs" priority="3" operator="equal" aboveAverage="0" equalAverage="0" bottom="0" percent="0" rank="0" text="" dxfId="16">
      <formula>"Yes"</formula>
    </cfRule>
  </conditionalFormatting>
  <conditionalFormatting sqref="F10:G69">
    <cfRule type="cellIs" priority="4" operator="greaterThanOrEqual" aboveAverage="0" equalAverage="0" bottom="0" percent="0" rank="0" text="" dxfId="14">
      <formula>2</formula>
    </cfRule>
  </conditionalFormatting>
  <conditionalFormatting sqref="O10:O69">
    <cfRule type="cellIs" priority="5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2026-10-07T14:38:49Z</dcterms:created>
  <dc:creator>openpyxl</dc:creator>
  <dc:description/>
  <dc:language>en-US</dc:language>
  <cp:lastModifiedBy/>
  <dcterms:modified xsi:type="dcterms:W3CDTF">2026-10-07T14:38:50Z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