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8.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drawings/vmlDrawing2.vml" ContentType="application/vnd.openxmlformats-officedocument.vmlDrawing"/>
  <Override PartName="/xl/drawings/vmlDrawing3.vml" ContentType="application/vnd.openxmlformats-officedocument.vmlDrawing"/>
  <Override PartName="/xl/drawings/drawing4.xml" ContentType="application/vnd.openxmlformats-officedocument.drawing+xml"/>
  <Override PartName="/xl/drawings/drawing7.xml" ContentType="application/vnd.openxmlformats-officedocument.drawing+xml"/>
  <Override PartName="/xl/drawings/vmlDrawing6.vml" ContentType="application/vnd.openxmlformats-officedocument.vmlDrawing"/>
  <Override PartName="/xl/drawings/vmlDrawing4.vml" ContentType="application/vnd.openxmlformats-officedocument.vmlDrawing"/>
  <Override PartName="/xl/drawings/drawing5.xml" ContentType="application/vnd.openxmlformats-officedocument.drawing+xml"/>
  <Override PartName="/xl/drawings/vmlDrawing5.vml" ContentType="application/vnd.openxmlformats-officedocument.vmlDrawing"/>
  <Override PartName="/xl/drawings/drawing6.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olumn guide" sheetId="2" state="visible" r:id="rId4"/>
    <sheet name="Products" sheetId="3" state="visible" r:id="rId5"/>
    <sheet name="Metrics" sheetId="4" state="visible" r:id="rId6"/>
    <sheet name="Metric to Product" sheetId="5" state="visible" r:id="rId7"/>
    <sheet name="Tables" sheetId="6" state="visible" r:id="rId8"/>
    <sheet name="Fields" sheetId="7" state="visible" r:id="rId9"/>
    <sheet name="Metric to Field" sheetId="8" state="visible" r:id="rId10"/>
    <sheet name="Pattern" sheetId="9" state="visible" r:id="rId11"/>
  </sheets>
  <definedNames>
    <definedName function="false" hidden="true" localSheetId="1" name="_xlnm._FilterDatabase" vbProcedure="false">'Column guide'!$A$4:$D$62</definedName>
    <definedName function="false" hidden="true" localSheetId="6" name="_xlnm._FilterDatabase" vbProcedure="false">Fields!$A$4:$N$64</definedName>
    <definedName function="false" hidden="true" localSheetId="7" name="_xlnm._FilterDatabase" vbProcedure="false">'Metric to Field'!$A$4:$G$64</definedName>
    <definedName function="false" hidden="true" localSheetId="4" name="_xlnm._FilterDatabase" vbProcedure="false">'Metric to Product'!$A$4:$F$64</definedName>
    <definedName function="false" hidden="true" localSheetId="3" name="_xlnm._FilterDatabase" vbProcedure="false">Metrics!$A$4:$K$64</definedName>
    <definedName function="false" hidden="true" localSheetId="8" name="_xlnm._FilterDatabase" vbProcedure="false">Pattern!$A$19:$I$79</definedName>
    <definedName function="false" hidden="true" localSheetId="2" name="_xlnm._FilterDatabase" vbProcedure="false">Products!$A$4:$G$64</definedName>
    <definedName function="false" hidden="true" localSheetId="5" name="_xlnm._FilterDatabase" vbProcedure="false">Tables!$A$4:$M$64</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A short code you assign, P-001, P-002 and so on. It never changes once given. Other sheets use this code to refer to the product.
Example: P-001</t>
        </r>
      </text>
    </comment>
    <comment ref="B4" authorId="0">
      <text>
        <r>
          <rPr>
            <sz val="10"/>
            <rFont val="Arial"/>
            <family val="2"/>
          </rPr>
          <t xml:space="preserve">The name people actually use for it.
Example: TA scorecard</t>
        </r>
      </text>
    </comment>
    <comment ref="C4" authorId="0">
      <text>
        <r>
          <rPr>
            <sz val="10"/>
            <rFont val="Arial"/>
            <family val="2"/>
          </rPr>
          <t xml:space="preserve">What kind of thing it is. Scorecard = the executive view. Dashboard = a Tableau or QuickSight view. Data pull = a recurring extract someone receives. Table = a table other teams read directly.
Example: Dashboard</t>
        </r>
      </text>
    </comment>
    <comment ref="D4" authorId="0">
      <text>
        <r>
          <rPr>
            <sz val="10"/>
            <rFont val="Arial"/>
            <family val="2"/>
          </rPr>
          <t xml:space="preserve">Where it lives.
Example: Tableau</t>
        </r>
      </text>
    </comment>
    <comment ref="E4" authorId="0">
      <text>
        <r>
          <rPr>
            <sz val="10"/>
            <rFont val="Arial"/>
            <family val="2"/>
          </rPr>
          <t xml:space="preserve">Who looks at it.
Example: Recruiting leads</t>
        </r>
      </text>
    </comment>
    <comment ref="F4" authorId="0">
      <text>
        <r>
          <rPr>
            <sz val="10"/>
            <rFont val="Arial"/>
            <family val="2"/>
          </rPr>
          <t xml:space="preserve">Who is responsible for it on our team.
Example: A. Patel</t>
        </r>
      </text>
    </comment>
    <comment ref="G4" authorId="0">
      <text>
        <r>
          <rPr>
            <sz val="10"/>
            <rFont val="Arial"/>
            <family val="2"/>
          </rPr>
          <t xml:space="preserve">Anything else worth knowing.
Example: Refreshes Mondays; often questioned</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A short code you assign, M-001, M-002 and so on. If the same name is calculated two different ways today, give each version its own ID so they can be compared.
Example: M-001</t>
        </r>
      </text>
    </comment>
    <comment ref="B4" authorId="0">
      <text>
        <r>
          <rPr>
            <sz val="10"/>
            <rFont val="Arial"/>
            <family val="2"/>
          </rPr>
          <t xml:space="preserve">Plain name. If several versions exist, add the distinguishing part in brackets.
Example: Cycle time (approved to accepted)</t>
        </r>
      </text>
    </comment>
    <comment ref="C4" authorId="0">
      <text>
        <r>
          <rPr>
            <sz val="10"/>
            <rFont val="Arial"/>
            <family val="2"/>
          </rPr>
          <t xml:space="preserve">How the number is calculated, written so a recruiter would understand it. Say what starts the clock, what ends it, and any rule such as what happens on a transfer. No SQL.
Example: Calendar days from requisition approval to offer acceptance. Transfers keep the original approval date.</t>
        </r>
      </text>
    </comment>
    <comment ref="D4" authorId="0">
      <text>
        <r>
          <rPr>
            <sz val="10"/>
            <rFont val="Arial"/>
            <family val="2"/>
          </rPr>
          <t xml:space="preserve">Who is counted and who is left out. This is usually where two versions of a metric differ.
Example: Standard requisitions only; evergreen and cancelled excluded</t>
        </r>
      </text>
    </comment>
    <comment ref="E4" authorId="0">
      <text>
        <r>
          <rPr>
            <sz val="10"/>
            <rFont val="Arial"/>
            <family val="2"/>
          </rPr>
          <t xml:space="preserve">The thing you count or average over. Ask: if I listed this metric line by line, what would each line be? A requisition? An opening (one req can have several openings)? An application? An offer? A hire? This matters because a req with three openings gives one number per req but three per opening.
Example: Opening</t>
        </r>
      </text>
    </comment>
    <comment ref="F4" authorId="0">
      <text>
        <r>
          <rPr>
            <sz val="10"/>
            <rFont val="Arial"/>
            <family val="2"/>
          </rPr>
          <t xml:space="preserve">Days, count, percent, dollars.
Example: Days</t>
        </r>
      </text>
    </comment>
    <comment ref="G4" authorId="0">
      <text>
        <r>
          <rPr>
            <sz val="10"/>
            <rFont val="Arial"/>
            <family val="2"/>
          </rPr>
          <t xml:space="preserve">Where the definition stands. Draft = our proposal. Under review = with TAAA. Agreed = both teams signed off. Certified = agreed and built into a certified table.
Example: Draft</t>
        </r>
      </text>
    </comment>
    <comment ref="H4" authorId="0">
      <text>
        <r>
          <rPr>
            <sz val="10"/>
            <rFont val="Arial"/>
            <family val="2"/>
          </rPr>
          <t xml:space="preserve">Who on our team owns the definition.
Example: A. Patel</t>
        </r>
      </text>
    </comment>
    <comment ref="I4" authorId="0">
      <text>
        <r>
          <rPr>
            <sz val="10"/>
            <rFont val="Arial"/>
            <family val="2"/>
          </rPr>
          <t xml:space="preserve">Filled automatically. How many products show this metric.
Example: 3</t>
        </r>
      </text>
    </comment>
    <comment ref="J4" authorId="0">
      <text>
        <r>
          <rPr>
            <sz val="10"/>
            <rFont val="Arial"/>
            <family val="2"/>
          </rPr>
          <t xml:space="preserve">Filled automatically. How many fields the metric uses.
Example: 5</t>
        </r>
      </text>
    </comment>
    <comment ref="K4" authorId="0">
      <text>
        <r>
          <rPr>
            <sz val="10"/>
            <rFont val="Arial"/>
            <family val="2"/>
          </rPr>
          <t xml:space="preserve">Anything else, such as known disagreements.
Example: Recruiter view uses posted date instead</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Type the metric's code from the Metrics sheet.
Example: M-001</t>
        </r>
      </text>
    </comment>
    <comment ref="B4" authorId="0">
      <text>
        <r>
          <rPr>
            <sz val="10"/>
            <rFont val="Arial"/>
            <family val="2"/>
          </rPr>
          <t xml:space="preserve">Type the product's code from the Products sheet.
Example: P-002</t>
        </r>
      </text>
    </comment>
    <comment ref="C4" authorId="0">
      <text>
        <r>
          <rPr>
            <sz val="10"/>
            <rFont val="Arial"/>
            <family val="2"/>
          </rPr>
          <t xml:space="preserve">Filled automatically from the ID. Shows ID not found if the code is mistyped.
Example: Cycle time (approved to accepted)</t>
        </r>
      </text>
    </comment>
    <comment ref="D4" authorId="0">
      <text>
        <r>
          <rPr>
            <sz val="10"/>
            <rFont val="Arial"/>
            <family val="2"/>
          </rPr>
          <t xml:space="preserve">Filled automatically from the ID.
Example: Recruiter view</t>
        </r>
      </text>
    </comment>
    <comment ref="E4" authorId="0">
      <text>
        <r>
          <rPr>
            <sz val="10"/>
            <rFont val="Arial"/>
            <family val="2"/>
          </rPr>
          <t xml:space="preserve">What the product does with it: a headline tile, a trend, a table, a filter.
Example: Trend by recruiter, monthly</t>
        </r>
      </text>
    </comment>
    <comment ref="F4" authorId="0">
      <text>
        <r>
          <rPr>
            <sz val="10"/>
            <rFont val="Arial"/>
            <family val="2"/>
          </rPr>
          <t xml:space="preserve">Anything else.
Example: Shows a different value from the scorecard</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A short code you assign, T-001, T-002 and so on.
Example: T-004</t>
        </r>
      </text>
    </comment>
    <comment ref="B4" authorId="0">
      <text>
        <r>
          <rPr>
            <sz val="10"/>
            <rFont val="Arial"/>
            <family val="2"/>
          </rPr>
          <t xml:space="preserve">The name as it appears in Snowflake or in our documentation.
Example: Requisition linkage table</t>
        </r>
      </text>
    </comment>
    <comment ref="C4" authorId="0">
      <text>
        <r>
          <rPr>
            <sz val="10"/>
            <rFont val="Arial"/>
            <family val="2"/>
          </rPr>
          <t xml:space="preserve">HRDW = a warehouse table we read as delivered. Team custom = a table our team builds on top. Platform = a direct feed from a recruiting system.
Example: Team custom</t>
        </r>
      </text>
    </comment>
    <comment ref="D4" authorId="0">
      <text>
        <r>
          <rPr>
            <sz val="10"/>
            <rFont val="Arial"/>
            <family val="2"/>
          </rPr>
          <t xml:space="preserve">For Team custom tables only: the codes of the tables it reads from.
Example: T-002</t>
        </r>
      </text>
    </comment>
    <comment ref="E4" authorId="0">
      <text>
        <r>
          <rPr>
            <sz val="10"/>
            <rFont val="Arial"/>
            <family val="2"/>
          </rPr>
          <t xml:space="preserve">The reason the table was created, in one or two sentences. For HRDW tables, what it is the source of record for. For Team custom tables, what problem it solves that the warehouse table does not. If nobody can say, write Unknown and mark Status = Retire.
Example: Maps a transferred requisition to its original so clocks keep running</t>
        </r>
      </text>
    </comment>
    <comment ref="F4" authorId="0">
      <text>
        <r>
          <rPr>
            <sz val="10"/>
            <rFont val="Arial"/>
            <family val="2"/>
          </rPr>
          <t xml:space="preserve">Team or person responsible.
Example: Team Opportunity</t>
        </r>
      </text>
    </comment>
    <comment ref="G4" authorId="0">
      <text>
        <r>
          <rPr>
            <sz val="10"/>
            <rFont val="Arial"/>
            <family val="2"/>
          </rPr>
          <t xml:space="preserve">How often it updates.
Example: Daily</t>
        </r>
      </text>
    </comment>
    <comment ref="H4" authorId="0">
      <text>
        <r>
          <rPr>
            <sz val="10"/>
            <rFont val="Arial"/>
            <family val="2"/>
          </rPr>
          <t xml:space="preserve">Active = in use. Proposed = planned but not built. Retire = candidate to remove. Unknown = not sure yet.
Example: Active</t>
        </r>
      </text>
    </comment>
    <comment ref="I4" authorId="0">
      <text>
        <r>
          <rPr>
            <sz val="10"/>
            <rFont val="Arial"/>
            <family val="2"/>
          </rPr>
          <t xml:space="preserve">Where this table belongs in the proposed architecture: Source tables (as delivered by the warehouse), Business rules (where our rules are applied), Certified tables (the agreed tables every product reads), Reporting (dashboards and pulls). Compare with Layer to see what moves.
Example: Business rules</t>
        </r>
      </text>
    </comment>
    <comment ref="J4" authorId="0">
      <text>
        <r>
          <rPr>
            <sz val="10"/>
            <rFont val="Arial"/>
            <family val="2"/>
          </rPr>
          <t xml:space="preserve">What happens to it. Keep as is. Build (proposed, not yet built). Fix upstream (problem belongs to the source). Move to business rules (logic currently somewhere else, such as inside a dashboard). Merge into certified table. Retire. Undecided.
Example: Keep as is</t>
        </r>
      </text>
    </comment>
    <comment ref="K4" authorId="0">
      <text>
        <r>
          <rPr>
            <sz val="10"/>
            <rFont val="Arial"/>
            <family val="2"/>
          </rPr>
          <t xml:space="preserve">Filled automatically. How many fields on the Fields sheet point at this table.
Example: 3</t>
        </r>
      </text>
    </comment>
    <comment ref="L4" authorId="0">
      <text>
        <r>
          <rPr>
            <sz val="10"/>
            <rFont val="Arial"/>
            <family val="2"/>
          </rPr>
          <t xml:space="preserve">Filled automatically. How many metric-to-field links run through this table.
Example: 3</t>
        </r>
      </text>
    </comment>
    <comment ref="M4" authorId="0">
      <text>
        <r>
          <rPr>
            <sz val="10"/>
            <rFont val="Arial"/>
            <family val="2"/>
          </rPr>
          <t xml:space="preserve">Anything else.
Example: Breaks when a req is reopened</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A short code you assign, F-001, F-002 and so on.
Example: F-008</t>
        </r>
      </text>
    </comment>
    <comment ref="B4" authorId="0">
      <text>
        <r>
          <rPr>
            <sz val="10"/>
            <rFont val="Arial"/>
            <family val="2"/>
          </rPr>
          <t xml:space="preserve">What the column is, in plain words. Use the business name, not the technical column name.
Example: Credited recruiter</t>
        </r>
      </text>
    </comment>
    <comment ref="C4" authorId="0">
      <text>
        <r>
          <rPr>
            <sz val="10"/>
            <rFont val="Arial"/>
            <family val="2"/>
          </rPr>
          <t xml:space="preserve">Raw = taken from a table exactly as it arrives, nothing done to it. Derived = our team calculates it from other fields using a rule. Every Derived field is part of the business layer.
Example: Derived</t>
        </r>
      </text>
    </comment>
    <comment ref="D4" authorId="0">
      <text>
        <r>
          <rPr>
            <sz val="10"/>
            <rFont val="Arial"/>
            <family val="2"/>
          </rPr>
          <t xml:space="preserve">The code of the table the field lives in. For Raw fields, the warehouse table. For Derived fields, the custom table where we store the result.
Example: T-005</t>
        </r>
      </text>
    </comment>
    <comment ref="E4" authorId="0">
      <text>
        <r>
          <rPr>
            <sz val="10"/>
            <rFont val="Arial"/>
            <family val="2"/>
          </rPr>
          <t xml:space="preserve">Filled automatically.
Example: Certified application table</t>
        </r>
      </text>
    </comment>
    <comment ref="F4" authorId="0">
      <text>
        <r>
          <rPr>
            <sz val="10"/>
            <rFont val="Arial"/>
            <family val="2"/>
          </rPr>
          <t xml:space="preserve">Filled automatically from the table.
Example: Team custom</t>
        </r>
      </text>
    </comment>
    <comment ref="G4" authorId="0">
      <text>
        <r>
          <rPr>
            <sz val="10"/>
            <rFont val="Arial"/>
            <family val="2"/>
          </rPr>
          <t xml:space="preserve">Derived fields only: the codes of the fields the rule uses.
Example: F-007, F-002</t>
        </r>
      </text>
    </comment>
    <comment ref="H4" authorId="0">
      <text>
        <r>
          <rPr>
            <sz val="10"/>
            <rFont val="Arial"/>
            <family val="2"/>
          </rPr>
          <t xml:space="preserve">Derived fields only: the rule in plain words. This is the business decision that TAAA needs to agree to. Say exactly what is chosen and what is not.
Example: Recruiter who owned the requisition on the offer accepted date, not the one tagged today</t>
        </r>
      </text>
    </comment>
    <comment ref="I4" authorId="0">
      <text>
        <r>
          <rPr>
            <sz val="10"/>
            <rFont val="Arial"/>
            <family val="2"/>
          </rPr>
          <t xml:space="preserve">Clean = arrives correct and complete. Issue = known problem (blanks, wrong values, late). Unknown = not checked yet. Issues on fields many metrics use go to the top of the audit list.
Example: Issue</t>
        </r>
      </text>
    </comment>
    <comment ref="J4" authorId="0">
      <text>
        <r>
          <rPr>
            <sz val="10"/>
            <rFont val="Arial"/>
            <family val="2"/>
          </rPr>
          <t xml:space="preserve">Where this field should live in the proposed architecture. Raw fields usually stay in Source tables. Derived fields belong in Business rules or, once agreed, in a Certified table. Reporting means the field only exists inside a dashboard today, which is what we are moving away from.
Example: Business rules</t>
        </r>
      </text>
    </comment>
    <comment ref="K4" authorId="0">
      <text>
        <r>
          <rPr>
            <sz val="10"/>
            <rFont val="Arial"/>
            <family val="2"/>
          </rPr>
          <t xml:space="preserve">What happens to it. Keep as is. Fix upstream (ask PDP to correct at source). Move to business rules (rule is computed inside a dashboard today). Merge into certified table. Retire. Undecided.
Example: Move to business rules</t>
        </r>
      </text>
    </comment>
    <comment ref="L4" authorId="0">
      <text>
        <r>
          <rPr>
            <sz val="10"/>
            <rFont val="Arial"/>
            <family val="2"/>
          </rPr>
          <t xml:space="preserve">Describe the problem if there is one.
Example: Flag is blank for about a fifth of requisitions</t>
        </r>
      </text>
    </comment>
    <comment ref="M4" authorId="0">
      <text>
        <r>
          <rPr>
            <sz val="10"/>
            <rFont val="Arial"/>
            <family val="2"/>
          </rPr>
          <t xml:space="preserve">Filled automatically.
Example: 2</t>
        </r>
      </text>
    </comment>
    <comment ref="N4" authorId="0">
      <text>
        <r>
          <rPr>
            <sz val="10"/>
            <rFont val="Arial"/>
            <family val="2"/>
          </rPr>
          <t xml:space="preserve">Filled automatically. How many product placements depend on this field, through the metrics that use it.
Example: 4</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4" authorId="0">
      <text>
        <r>
          <rPr>
            <sz val="10"/>
            <rFont val="Arial"/>
            <family val="2"/>
          </rPr>
          <t xml:space="preserve">Type the metric's code.
Example: M-001</t>
        </r>
      </text>
    </comment>
    <comment ref="B4" authorId="0">
      <text>
        <r>
          <rPr>
            <sz val="10"/>
            <rFont val="Arial"/>
            <family val="2"/>
          </rPr>
          <t xml:space="preserve">Type the field's code.
Example: F-001</t>
        </r>
      </text>
    </comment>
    <comment ref="C4" authorId="0">
      <text>
        <r>
          <rPr>
            <sz val="10"/>
            <rFont val="Arial"/>
            <family val="2"/>
          </rPr>
          <t xml:space="preserve">Filled automatically.
Example: Cycle time (approved to accepted)</t>
        </r>
      </text>
    </comment>
    <comment ref="D4" authorId="0">
      <text>
        <r>
          <rPr>
            <sz val="10"/>
            <rFont val="Arial"/>
            <family val="2"/>
          </rPr>
          <t xml:space="preserve">Filled automatically.
Example: Requisition approved date</t>
        </r>
      </text>
    </comment>
    <comment ref="E4" authorId="0">
      <text>
        <r>
          <rPr>
            <sz val="10"/>
            <rFont val="Arial"/>
            <family val="2"/>
          </rPr>
          <t xml:space="preserve">What the field does in the calculation. Start of clock / End of clock = the two dates subtracted. Event counted = the thing being counted. Exclusion = decides which rows are left out. Attribution = decides who gets credit. Linkage = joins records together, such as a transferred req to its original. Dimension = used only to slice, such as org or level.
Example: Start of clock</t>
        </r>
      </text>
    </comment>
    <comment ref="F4" authorId="0">
      <text>
        <r>
          <rPr>
            <sz val="10"/>
            <rFont val="Arial"/>
            <family val="2"/>
          </rPr>
          <t xml:space="preserve">Filled automatically.
Example: 3</t>
        </r>
      </text>
    </comment>
    <comment ref="G4" authorId="0">
      <text>
        <r>
          <rPr>
            <sz val="10"/>
            <rFont val="Arial"/>
            <family val="2"/>
          </rPr>
          <t xml:space="preserve">Anything else.</t>
        </r>
      </text>
    </comment>
  </commentList>
</comments>
</file>

<file path=xl/sharedStrings.xml><?xml version="1.0" encoding="utf-8"?>
<sst xmlns="http://schemas.openxmlformats.org/spreadsheetml/2006/main" count="618" uniqueCount="277">
  <si>
    <t xml:space="preserve">TA metric map: from metric to warehouse</t>
  </si>
  <si>
    <t xml:space="preserve">Fill four small lists. Joined together they show which fields and tables every metric and product depends on, and where the custom business rules live.</t>
  </si>
  <si>
    <t xml:space="preserve">How it fits together</t>
  </si>
  <si>
    <t xml:space="preserve">Products</t>
  </si>
  <si>
    <t xml:space="preserve">What people look at: the scorecard, dashboards, data pulls. One row per product.</t>
  </si>
  <si>
    <t xml:space="preserve">Metrics</t>
  </si>
  <si>
    <t xml:space="preserve">What is measured, with its definition and reporting population. One row per metric.</t>
  </si>
  <si>
    <t xml:space="preserve">Metric to Product</t>
  </si>
  <si>
    <t xml:space="preserve">Which products show which metrics. One row per metric per product.</t>
  </si>
  <si>
    <t xml:space="preserve">Tables</t>
  </si>
  <si>
    <t xml:space="preserve">Every table we read from (HRDW) or build (Team custom), and why it exists. One row per table.</t>
  </si>
  <si>
    <t xml:space="preserve">Fields</t>
  </si>
  <si>
    <t xml:space="preserve">The columns the metrics need, raw or derived. Derived fields carry the business rule in the Logic column. One row per field.</t>
  </si>
  <si>
    <t xml:space="preserve">Metric to Field</t>
  </si>
  <si>
    <t xml:space="preserve">Which fields each metric needs and the role each plays. One row per metric per field.</t>
  </si>
  <si>
    <t xml:space="preserve">Pattern</t>
  </si>
  <si>
    <t xml:space="preserve">Read-only. Formulas that count reuse: fields shared by many metrics, products that depend on a field, fields with data issues. This is where the architecture shows itself.</t>
  </si>
  <si>
    <t xml:space="preserve">How to fill it in</t>
  </si>
  <si>
    <t xml:space="preserve">1</t>
  </si>
  <si>
    <t xml:space="preserve">Add each product on Products. The ID (P-001, P-002 ...) is yours to assign; keep it unique.</t>
  </si>
  <si>
    <t xml:space="preserve">2</t>
  </si>
  <si>
    <t xml:space="preserve">Add each metric on Metrics. Write the definition in plain words, and name the reporting population (which reqs or hires are in scope).</t>
  </si>
  <si>
    <t xml:space="preserve">3</t>
  </si>
  <si>
    <t xml:space="preserve">On Metric to Product, add one row for every place the metric appears. Type the IDs; names fill in automatically.</t>
  </si>
  <si>
    <t xml:space="preserve">4</t>
  </si>
  <si>
    <t xml:space="preserve">List every table on Tables. HRDW rows are what we pull from. Team custom rows are what we build, with the reason it exists in Why it exists. If nobody can say why, mark Status = Retire.</t>
  </si>
  <si>
    <t xml:space="preserve">5</t>
  </si>
  <si>
    <t xml:space="preserve">Add every field a metric needs on Fields. Point each field at its Table ID. Raw fields come straight from a warehouse table: leave Derived from and Logic blank. Derived fields are built by our team: say which fields feed them and write the rule.</t>
  </si>
  <si>
    <t xml:space="preserve">6</t>
  </si>
  <si>
    <t xml:space="preserve">On Metric to Field, add one row per field each metric needs, and say what role it plays (start of clock, end of clock, exclusion, attribution, dimension).</t>
  </si>
  <si>
    <t xml:space="preserve">7</t>
  </si>
  <si>
    <t xml:space="preserve">For each field and table, set Target layer (where it belongs in the proposed architecture) and Disposition (what happens to it). This step turns the audit into the architecture decision.</t>
  </si>
  <si>
    <t xml:space="preserve">8</t>
  </si>
  <si>
    <t xml:space="preserve">Open Pattern. Nothing to fill; read it.</t>
  </si>
  <si>
    <t xml:space="preserve">Reading the pattern</t>
  </si>
  <si>
    <t xml:space="preserve">Shared fields</t>
  </si>
  <si>
    <t xml:space="preserve">A field used by many metrics is a candidate column for a certified table.</t>
  </si>
  <si>
    <t xml:space="preserve">Derived fields</t>
  </si>
  <si>
    <t xml:space="preserve">Every field with Logic filled in is part of the business layer. Filter Fields by Type = Derived to see the whole layer.</t>
  </si>
  <si>
    <t xml:space="preserve">Fields with issues</t>
  </si>
  <si>
    <t xml:space="preserve">A field marked Issue that many metrics depend on goes to the top of the audit list for upstream fixes.</t>
  </si>
  <si>
    <t xml:space="preserve">Architecture read-back</t>
  </si>
  <si>
    <t xml:space="preserve">Pattern counts fields and tables by Target layer and Disposition. That is the audit stated against the proposed architecture: how many rules move into the business layer, how many fixes go upstream, how many custom tables retire.</t>
  </si>
  <si>
    <t xml:space="preserve">Custom tables</t>
  </si>
  <si>
    <t xml:space="preserve">A Team custom table with few fields listed and few metrics depending on it is a candidate to retire or merge.</t>
  </si>
  <si>
    <t xml:space="preserve">Colour code</t>
  </si>
  <si>
    <t xml:space="preserve">Dark blue header</t>
  </si>
  <si>
    <t xml:space="preserve">Column names.</t>
  </si>
  <si>
    <t xml:space="preserve">Light blue cells</t>
  </si>
  <si>
    <t xml:space="preserve">IDs. Type them; they are the keys that join the sheets.</t>
  </si>
  <si>
    <t xml:space="preserve">Cream cells</t>
  </si>
  <si>
    <t xml:space="preserve">Free text for the team to fill in.</t>
  </si>
  <si>
    <t xml:space="preserve">Green text</t>
  </si>
  <si>
    <t xml:space="preserve">Formulas. Do not type over them.</t>
  </si>
  <si>
    <t xml:space="preserve">Column guide</t>
  </si>
  <si>
    <t xml:space="preserve">Every column on every sheet explained in plain words, with an example. Hover over any column header for the same note.</t>
  </si>
  <si>
    <t xml:space="preserve">Examples</t>
  </si>
  <si>
    <t xml:space="preserve">The first rows on each sheet are worked examples (cycle time and recruiter credit). Replace or extend them.</t>
  </si>
  <si>
    <t xml:space="preserve">What every column means and how to fill it in. The same text appears as a note when you hover over a column header.</t>
  </si>
  <si>
    <t xml:space="preserve">Sheet</t>
  </si>
  <si>
    <t xml:space="preserve">Column</t>
  </si>
  <si>
    <t xml:space="preserve">What it means and how to fill it</t>
  </si>
  <si>
    <t xml:space="preserve">Example</t>
  </si>
  <si>
    <t xml:space="preserve">Product ID</t>
  </si>
  <si>
    <t xml:space="preserve">A short code you assign, P-001, P-002 and so on. It never changes once given. Other sheets use this code to refer to the product.</t>
  </si>
  <si>
    <t xml:space="preserve">P-001</t>
  </si>
  <si>
    <t xml:space="preserve">Product name</t>
  </si>
  <si>
    <t xml:space="preserve">The name people actually use for it.</t>
  </si>
  <si>
    <t xml:space="preserve">TA scorecard</t>
  </si>
  <si>
    <t xml:space="preserve">Type</t>
  </si>
  <si>
    <t xml:space="preserve">What kind of thing it is. Scorecard = the executive view. Dashboard = a Tableau or QuickSight view. Data pull = a recurring extract someone receives. Table = a table other teams read directly.</t>
  </si>
  <si>
    <t xml:space="preserve">Dashboard</t>
  </si>
  <si>
    <t xml:space="preserve">Tool</t>
  </si>
  <si>
    <t xml:space="preserve">Where it lives.</t>
  </si>
  <si>
    <t xml:space="preserve">Tableau</t>
  </si>
  <si>
    <t xml:space="preserve">Audience</t>
  </si>
  <si>
    <t xml:space="preserve">Who looks at it.</t>
  </si>
  <si>
    <t xml:space="preserve">Recruiting leads</t>
  </si>
  <si>
    <t xml:space="preserve">Owner</t>
  </si>
  <si>
    <t xml:space="preserve">Who is responsible for it on our team.</t>
  </si>
  <si>
    <t xml:space="preserve">A. Patel</t>
  </si>
  <si>
    <t xml:space="preserve">Notes</t>
  </si>
  <si>
    <t xml:space="preserve">Anything else worth knowing.</t>
  </si>
  <si>
    <t xml:space="preserve">Refreshes Mondays; often questioned</t>
  </si>
  <si>
    <t xml:space="preserve">Metric ID</t>
  </si>
  <si>
    <t xml:space="preserve">A short code you assign, M-001, M-002 and so on. If the same name is calculated two different ways today, give each version its own ID so they can be compared.</t>
  </si>
  <si>
    <t xml:space="preserve">M-001</t>
  </si>
  <si>
    <t xml:space="preserve">Metric name</t>
  </si>
  <si>
    <t xml:space="preserve">Plain name. If several versions exist, add the distinguishing part in brackets.</t>
  </si>
  <si>
    <t xml:space="preserve">Cycle time (approved to accepted)</t>
  </si>
  <si>
    <t xml:space="preserve">Definition (plain words)</t>
  </si>
  <si>
    <t xml:space="preserve">How the number is calculated, written so a recruiter would understand it. Say what starts the clock, what ends it, and any rule such as what happens on a transfer. No SQL.</t>
  </si>
  <si>
    <t xml:space="preserve">Calendar days from requisition approval to offer acceptance. Transfers keep the original approval date.</t>
  </si>
  <si>
    <t xml:space="preserve">Reporting population</t>
  </si>
  <si>
    <t xml:space="preserve">Who is counted and who is left out. This is usually where two versions of a metric differ.</t>
  </si>
  <si>
    <t xml:space="preserve">Standard requisitions only; evergreen and cancelled excluded</t>
  </si>
  <si>
    <t xml:space="preserve">Grain (one row per)</t>
  </si>
  <si>
    <t xml:space="preserve">The thing you count or average over. Ask: if I listed this metric line by line, what would each line be? A requisition? An opening (one req can have several openings)? An application? An offer? A hire? This matters because a req with three openings gives one number per req but three per opening.</t>
  </si>
  <si>
    <t xml:space="preserve">Opening</t>
  </si>
  <si>
    <t xml:space="preserve">Unit</t>
  </si>
  <si>
    <t xml:space="preserve">Days, count, percent, dollars.</t>
  </si>
  <si>
    <t xml:space="preserve">Days</t>
  </si>
  <si>
    <t xml:space="preserve">Status</t>
  </si>
  <si>
    <t xml:space="preserve">Where the definition stands. Draft = our proposal. Under review = with TAAA. Agreed = both teams signed off. Certified = agreed and built into a certified table.</t>
  </si>
  <si>
    <t xml:space="preserve">Draft</t>
  </si>
  <si>
    <t xml:space="preserve">Who on our team owns the definition.</t>
  </si>
  <si>
    <t xml:space="preserve">Products using it</t>
  </si>
  <si>
    <t xml:space="preserve">Filled automatically. How many products show this metric.</t>
  </si>
  <si>
    <t xml:space="preserve">Fields needed</t>
  </si>
  <si>
    <t xml:space="preserve">Filled automatically. How many fields the metric uses.</t>
  </si>
  <si>
    <t xml:space="preserve">Anything else, such as known disagreements.</t>
  </si>
  <si>
    <t xml:space="preserve">Recruiter view uses posted date instead</t>
  </si>
  <si>
    <t xml:space="preserve">Type the metric's code from the Metrics sheet.</t>
  </si>
  <si>
    <t xml:space="preserve">Type the product's code from the Products sheet.</t>
  </si>
  <si>
    <t xml:space="preserve">P-002</t>
  </si>
  <si>
    <t xml:space="preserve">Filled automatically from the ID. Shows ID not found if the code is mistyped.</t>
  </si>
  <si>
    <t xml:space="preserve">Filled automatically from the ID.</t>
  </si>
  <si>
    <t xml:space="preserve">Recruiter view</t>
  </si>
  <si>
    <t xml:space="preserve">How it is shown</t>
  </si>
  <si>
    <t xml:space="preserve">What the product does with it: a headline tile, a trend, a table, a filter.</t>
  </si>
  <si>
    <t xml:space="preserve">Trend by recruiter, monthly</t>
  </si>
  <si>
    <t xml:space="preserve">Anything else.</t>
  </si>
  <si>
    <t xml:space="preserve">Shows a different value from the scorecard</t>
  </si>
  <si>
    <t xml:space="preserve">Table ID</t>
  </si>
  <si>
    <t xml:space="preserve">A short code you assign, T-001, T-002 and so on.</t>
  </si>
  <si>
    <t xml:space="preserve">T-004</t>
  </si>
  <si>
    <t xml:space="preserve">Table name</t>
  </si>
  <si>
    <t xml:space="preserve">The name as it appears in Snowflake or in our documentation.</t>
  </si>
  <si>
    <t xml:space="preserve">Requisition linkage table</t>
  </si>
  <si>
    <t xml:space="preserve">Layer</t>
  </si>
  <si>
    <t xml:space="preserve">HRDW = a warehouse table we read as delivered. Team custom = a table our team builds on top. Platform = a direct feed from a recruiting system.</t>
  </si>
  <si>
    <t xml:space="preserve">Team custom</t>
  </si>
  <si>
    <t xml:space="preserve">Built from (table IDs)</t>
  </si>
  <si>
    <t xml:space="preserve">For Team custom tables only: the codes of the tables it reads from.</t>
  </si>
  <si>
    <t xml:space="preserve">T-002</t>
  </si>
  <si>
    <t xml:space="preserve">Why it exists</t>
  </si>
  <si>
    <t xml:space="preserve">The reason the table was created, in one or two sentences. For HRDW tables, what it is the source of record for. For Team custom tables, what problem it solves that the warehouse table does not. If nobody can say, write Unknown and mark Status = Retire.</t>
  </si>
  <si>
    <t xml:space="preserve">Maps a transferred requisition to its original so clocks keep running</t>
  </si>
  <si>
    <t xml:space="preserve">Team or person responsible.</t>
  </si>
  <si>
    <t xml:space="preserve">Team Opportunity</t>
  </si>
  <si>
    <t xml:space="preserve">Refresh</t>
  </si>
  <si>
    <t xml:space="preserve">How often it updates.</t>
  </si>
  <si>
    <t xml:space="preserve">Daily</t>
  </si>
  <si>
    <t xml:space="preserve">Active = in use. Proposed = planned but not built. Retire = candidate to remove. Unknown = not sure yet.</t>
  </si>
  <si>
    <t xml:space="preserve">Active</t>
  </si>
  <si>
    <t xml:space="preserve">Target layer</t>
  </si>
  <si>
    <t xml:space="preserve">Where this table belongs in the proposed architecture: Source tables (as delivered by the warehouse), Business rules (where our rules are applied), Certified tables (the agreed tables every product reads), Reporting (dashboards and pulls). Compare with Layer to see what moves.</t>
  </si>
  <si>
    <t xml:space="preserve">Business rules</t>
  </si>
  <si>
    <t xml:space="preserve">Disposition</t>
  </si>
  <si>
    <t xml:space="preserve">What happens to it. Keep as is. Build (proposed, not yet built). Fix upstream (problem belongs to the source). Move to business rules (logic currently somewhere else, such as inside a dashboard). Merge into certified table. Retire. Undecided.</t>
  </si>
  <si>
    <t xml:space="preserve">Keep as is</t>
  </si>
  <si>
    <t xml:space="preserve">Fields listed</t>
  </si>
  <si>
    <t xml:space="preserve">Filled automatically. How many fields on the Fields sheet point at this table.</t>
  </si>
  <si>
    <t xml:space="preserve">Metrics depending</t>
  </si>
  <si>
    <t xml:space="preserve">Filled automatically. How many metric-to-field links run through this table.</t>
  </si>
  <si>
    <t xml:space="preserve">Breaks when a req is reopened</t>
  </si>
  <si>
    <t xml:space="preserve">Field ID</t>
  </si>
  <si>
    <t xml:space="preserve">A short code you assign, F-001, F-002 and so on.</t>
  </si>
  <si>
    <t xml:space="preserve">F-008</t>
  </si>
  <si>
    <t xml:space="preserve">Field name</t>
  </si>
  <si>
    <t xml:space="preserve">What the column is, in plain words. Use the business name, not the technical column name.</t>
  </si>
  <si>
    <t xml:space="preserve">Credited recruiter</t>
  </si>
  <si>
    <t xml:space="preserve">Raw = taken from a table exactly as it arrives, nothing done to it. Derived = our team calculates it from other fields using a rule. Every Derived field is part of the business layer.</t>
  </si>
  <si>
    <t xml:space="preserve">Derived</t>
  </si>
  <si>
    <t xml:space="preserve">The code of the table the field lives in. For Raw fields, the warehouse table. For Derived fields, the custom table where we store the result.</t>
  </si>
  <si>
    <t xml:space="preserve">T-005</t>
  </si>
  <si>
    <t xml:space="preserve">Filled automatically.</t>
  </si>
  <si>
    <t xml:space="preserve">Certified application table</t>
  </si>
  <si>
    <t xml:space="preserve">Filled automatically from the table.</t>
  </si>
  <si>
    <t xml:space="preserve">Derived from (field IDs)</t>
  </si>
  <si>
    <t xml:space="preserve">Derived fields only: the codes of the fields the rule uses.</t>
  </si>
  <si>
    <t xml:space="preserve">F-007, F-002</t>
  </si>
  <si>
    <t xml:space="preserve">Logic (the business rule)</t>
  </si>
  <si>
    <t xml:space="preserve">Derived fields only: the rule in plain words. This is the business decision that TAAA needs to agree to. Say exactly what is chosen and what is not.</t>
  </si>
  <si>
    <t xml:space="preserve">Recruiter who owned the requisition on the offer accepted date, not the one tagged today</t>
  </si>
  <si>
    <t xml:space="preserve">Data quality</t>
  </si>
  <si>
    <t xml:space="preserve">Clean = arrives correct and complete. Issue = known problem (blanks, wrong values, late). Unknown = not checked yet. Issues on fields many metrics use go to the top of the audit list.</t>
  </si>
  <si>
    <t xml:space="preserve">Issue</t>
  </si>
  <si>
    <t xml:space="preserve">Where this field should live in the proposed architecture. Raw fields usually stay in Source tables. Derived fields belong in Business rules or, once agreed, in a Certified table. Reporting means the field only exists inside a dashboard today, which is what we are moving away from.</t>
  </si>
  <si>
    <t xml:space="preserve">What happens to it. Keep as is. Fix upstream (ask PDP to correct at source). Move to business rules (rule is computed inside a dashboard today). Merge into certified table. Retire. Undecided.</t>
  </si>
  <si>
    <t xml:space="preserve">Move to business rules</t>
  </si>
  <si>
    <t xml:space="preserve">Issue / note</t>
  </si>
  <si>
    <t xml:space="preserve">Describe the problem if there is one.</t>
  </si>
  <si>
    <t xml:space="preserve">Flag is blank for about a fifth of requisitions</t>
  </si>
  <si>
    <t xml:space="preserve">Metrics using it</t>
  </si>
  <si>
    <t xml:space="preserve">Products reached</t>
  </si>
  <si>
    <t xml:space="preserve">Filled automatically. How many product placements depend on this field, through the metrics that use it.</t>
  </si>
  <si>
    <t xml:space="preserve">Type the metric's code.</t>
  </si>
  <si>
    <t xml:space="preserve">Type the field's code.</t>
  </si>
  <si>
    <t xml:space="preserve">F-001</t>
  </si>
  <si>
    <t xml:space="preserve">Requisition approved date</t>
  </si>
  <si>
    <t xml:space="preserve">Role in the metric</t>
  </si>
  <si>
    <t xml:space="preserve">What the field does in the calculation. Start of clock / End of clock = the two dates subtracted. Event counted = the thing being counted. Exclusion = decides which rows are left out. Attribution = decides who gets credit. Linkage = joins records together, such as a transferred req to its original. Dimension = used only to slice, such as org or level.</t>
  </si>
  <si>
    <t xml:space="preserve">Start of clock</t>
  </si>
  <si>
    <t xml:space="preserve">Products using this metric</t>
  </si>
  <si>
    <t xml:space="preserve">One row per product people look at. ID is the key used on Metric to Product.</t>
  </si>
  <si>
    <t xml:space="preserve">Scorecard</t>
  </si>
  <si>
    <t xml:space="preserve">Executives</t>
  </si>
  <si>
    <t xml:space="preserve">Example row</t>
  </si>
  <si>
    <t xml:space="preserve">Recruiting team</t>
  </si>
  <si>
    <t xml:space="preserve">P-003</t>
  </si>
  <si>
    <t xml:space="preserve">Hiring manager view</t>
  </si>
  <si>
    <t xml:space="preserve">Hiring managers</t>
  </si>
  <si>
    <t xml:space="preserve">One row per metric. The definition is the agreed rule in plain words; the population says which reqs or hires are counted.</t>
  </si>
  <si>
    <t xml:space="preserve">Calendar days from requisition approval to offer acceptance. If a requisition is transferred, the clock keeps running from the original approval date.</t>
  </si>
  <si>
    <t xml:space="preserve">Standard requisitions only. Evergreen and cancelled requisitions excluded.</t>
  </si>
  <si>
    <t xml:space="preserve">Example row. One of several clocks called cycle time today; this is the proposed scorecard version.</t>
  </si>
  <si>
    <t xml:space="preserve">M-002</t>
  </si>
  <si>
    <t xml:space="preserve">Hires by recruiter</t>
  </si>
  <si>
    <t xml:space="preserve">Count of accepted offers credited to a recruiter. Credit goes to the recruiter who owned the requisition at the time of offer.</t>
  </si>
  <si>
    <t xml:space="preserve">All accepted offers in the period.</t>
  </si>
  <si>
    <t xml:space="preserve">Hire</t>
  </si>
  <si>
    <t xml:space="preserve">Count</t>
  </si>
  <si>
    <t xml:space="preserve">Example row. Shows how an attribution rule becomes a derived field.</t>
  </si>
  <si>
    <t xml:space="preserve">One row per place a metric appears. Type the two IDs; names fill in.</t>
  </si>
  <si>
    <t xml:space="preserve">Headline tile, quarterly average</t>
  </si>
  <si>
    <t xml:space="preserve">Average per hiring manager</t>
  </si>
  <si>
    <t xml:space="preserve">Bar by recruiter, quarter to date</t>
  </si>
  <si>
    <t xml:space="preserve">Every table we read from or build. HRDW rows are what we pull from; Team custom rows are what we build downstream, with the reason it exists.</t>
  </si>
  <si>
    <t xml:space="preserve">T-001</t>
  </si>
  <si>
    <t xml:space="preserve">HRDW requisition table</t>
  </si>
  <si>
    <t xml:space="preserve">HRDW</t>
  </si>
  <si>
    <t xml:space="preserve">Source of record for requisitions as delivered by the warehouse.</t>
  </si>
  <si>
    <t xml:space="preserve">PDP</t>
  </si>
  <si>
    <t xml:space="preserve">Source tables</t>
  </si>
  <si>
    <t xml:space="preserve">HRDW requisition history table</t>
  </si>
  <si>
    <t xml:space="preserve">Change history for requisitions: owner changes, transfers, status changes.</t>
  </si>
  <si>
    <t xml:space="preserve">T-003</t>
  </si>
  <si>
    <t xml:space="preserve">HRDW offer table</t>
  </si>
  <si>
    <t xml:space="preserve">Offers extended and their outcome.</t>
  </si>
  <si>
    <t xml:space="preserve">Maps a transferred requisition to its original so clocks keep running from the original approval. Nothing upstream provides this.</t>
  </si>
  <si>
    <t xml:space="preserve">Example row. A rule no source system knows; stays with us.</t>
  </si>
  <si>
    <t xml:space="preserve">T-001, T-002, T-003, T-004</t>
  </si>
  <si>
    <t xml:space="preserve">One row per application with agreed attribution and exclusion flags applied, so every product reads the same rules.</t>
  </si>
  <si>
    <t xml:space="preserve">Proposed</t>
  </si>
  <si>
    <t xml:space="preserve">Certified tables</t>
  </si>
  <si>
    <t xml:space="preserve">Build</t>
  </si>
  <si>
    <t xml:space="preserve">One row per field the metrics need. Raw fields come straight from a table; Derived fields are built by our team and carry the rule in Logic. Every Derived row is part of the business layer.</t>
  </si>
  <si>
    <t xml:space="preserve">Raw</t>
  </si>
  <si>
    <t xml:space="preserve">Clean</t>
  </si>
  <si>
    <t xml:space="preserve">F-002</t>
  </si>
  <si>
    <t xml:space="preserve">Offer accepted date</t>
  </si>
  <si>
    <t xml:space="preserve">F-003</t>
  </si>
  <si>
    <t xml:space="preserve">Evergreen flag</t>
  </si>
  <si>
    <t xml:space="preserve">Fix upstream</t>
  </si>
  <si>
    <t xml:space="preserve">Example row. Flag arrives blank for some requisitions; PDP to fix at source.</t>
  </si>
  <si>
    <t xml:space="preserve">F-004</t>
  </si>
  <si>
    <t xml:space="preserve">Requisition status</t>
  </si>
  <si>
    <t xml:space="preserve">F-005</t>
  </si>
  <si>
    <t xml:space="preserve">Original requisition link</t>
  </si>
  <si>
    <t xml:space="preserve">F-006</t>
  </si>
  <si>
    <t xml:space="preserve">When a requisition is transferred, map the new requisition ID to the original so the clock continues from the original approval date.</t>
  </si>
  <si>
    <t xml:space="preserve">Unknown</t>
  </si>
  <si>
    <t xml:space="preserve">Example row. Does not exist upstream; only our team builds it.</t>
  </si>
  <si>
    <t xml:space="preserve">Requisition transfer history</t>
  </si>
  <si>
    <t xml:space="preserve">F-007</t>
  </si>
  <si>
    <t xml:space="preserve">Requisition owner history</t>
  </si>
  <si>
    <t xml:space="preserve">Recruiter who owned the requisition on the offer accepted date. Not the recruiter tagged on the requisition today.</t>
  </si>
  <si>
    <t xml:space="preserve">Example row. Computed inside a dashboard today; moves into the certified table once TAAA agrees the rule.</t>
  </si>
  <si>
    <t xml:space="preserve">One row per field a metric needs. Type the two IDs; names fill in. Role says what the field does in the calculation.</t>
  </si>
  <si>
    <t xml:space="preserve">End of clock</t>
  </si>
  <si>
    <t xml:space="preserve">Exclusion</t>
  </si>
  <si>
    <t xml:space="preserve">Linkage</t>
  </si>
  <si>
    <t xml:space="preserve">Event counted</t>
  </si>
  <si>
    <t xml:space="preserve">Attribution</t>
  </si>
  <si>
    <t xml:space="preserve">Read-only. What the three lists say when joined. Sort any table by its count column to see what matters most.</t>
  </si>
  <si>
    <t xml:space="preserve">Metrics not yet agreed</t>
  </si>
  <si>
    <t xml:space="preserve">Where fields and tables land in the proposed architecture, and what happens to each.</t>
  </si>
  <si>
    <t xml:space="preserve">Reporting</t>
  </si>
  <si>
    <t xml:space="preserve">Not yet assigned</t>
  </si>
  <si>
    <t xml:space="preserve">Merge into certified table</t>
  </si>
  <si>
    <t xml:space="preserve">Retire</t>
  </si>
  <si>
    <t xml:space="preserve">Undecided</t>
  </si>
  <si>
    <t xml:space="preserve">Fields: how widely each is reused</t>
  </si>
  <si>
    <t xml:space="preserve">Metrics: reach and readiness</t>
  </si>
  <si>
    <t xml:space="preserve">Tables: what depends on each</t>
  </si>
  <si>
    <t xml:space="preserve">Layer today</t>
  </si>
</sst>
</file>

<file path=xl/styles.xml><?xml version="1.0" encoding="utf-8"?>
<styleSheet xmlns="http://schemas.openxmlformats.org/spreadsheetml/2006/main">
  <numFmts count="2">
    <numFmt numFmtId="164" formatCode="General"/>
    <numFmt numFmtId="165" formatCode="General"/>
  </numFmts>
  <fonts count="17">
    <font>
      <sz val="11"/>
      <color theme="1"/>
      <name val="Calibri"/>
      <family val="2"/>
      <charset val="1"/>
    </font>
    <font>
      <sz val="10"/>
      <name val="Arial"/>
      <family val="0"/>
    </font>
    <font>
      <sz val="10"/>
      <name val="Arial"/>
      <family val="0"/>
    </font>
    <font>
      <sz val="10"/>
      <name val="Arial"/>
      <family val="0"/>
    </font>
    <font>
      <b val="true"/>
      <sz val="14"/>
      <color rgb="FF0B1F3A"/>
      <name val="Arial"/>
      <family val="0"/>
      <charset val="1"/>
    </font>
    <font>
      <i val="true"/>
      <sz val="10"/>
      <color rgb="FF6B7280"/>
      <name val="Arial"/>
      <family val="0"/>
      <charset val="1"/>
    </font>
    <font>
      <b val="true"/>
      <sz val="11"/>
      <color rgb="FF0B1F3A"/>
      <name val="Arial"/>
      <family val="0"/>
      <charset val="1"/>
    </font>
    <font>
      <b val="true"/>
      <sz val="10"/>
      <color rgb="FF1F2933"/>
      <name val="Arial"/>
      <family val="0"/>
      <charset val="1"/>
    </font>
    <font>
      <sz val="10"/>
      <color rgb="FF1F2933"/>
      <name val="Arial"/>
      <family val="0"/>
      <charset val="1"/>
    </font>
    <font>
      <b val="true"/>
      <sz val="10"/>
      <color rgb="FFFFFFFF"/>
      <name val="Arial"/>
      <family val="0"/>
      <charset val="1"/>
    </font>
    <font>
      <b val="true"/>
      <sz val="10"/>
      <color rgb="FF1E7B3A"/>
      <name val="Arial"/>
      <family val="0"/>
      <charset val="1"/>
    </font>
    <font>
      <sz val="10"/>
      <color rgb="FF1E7B3A"/>
      <name val="Arial"/>
      <family val="0"/>
      <charset val="1"/>
    </font>
    <font>
      <sz val="10"/>
      <name val="Arial"/>
      <family val="2"/>
    </font>
    <font>
      <sz val="9"/>
      <color rgb="FF6B7280"/>
      <name val="Arial"/>
      <family val="0"/>
      <charset val="1"/>
    </font>
    <font>
      <b val="true"/>
      <sz val="20"/>
      <color rgb="FF0B1F3A"/>
      <name val="Arial"/>
      <family val="0"/>
      <charset val="1"/>
    </font>
    <font>
      <i val="true"/>
      <sz val="9"/>
      <color rgb="FF6B7280"/>
      <name val="Arial"/>
      <family val="0"/>
      <charset val="1"/>
    </font>
    <font>
      <sz val="10"/>
      <color rgb="FF6B7280"/>
      <name val="Arial"/>
      <family val="0"/>
      <charset val="1"/>
    </font>
  </fonts>
  <fills count="7">
    <fill>
      <patternFill patternType="none"/>
    </fill>
    <fill>
      <patternFill patternType="gray125"/>
    </fill>
    <fill>
      <patternFill patternType="solid">
        <fgColor rgb="FF0B1F3A"/>
        <bgColor rgb="FF1F2933"/>
      </patternFill>
    </fill>
    <fill>
      <patternFill patternType="solid">
        <fgColor rgb="FFEAF0F5"/>
        <bgColor rgb="FFF5F7F9"/>
      </patternFill>
    </fill>
    <fill>
      <patternFill patternType="solid">
        <fgColor rgb="FFFFF8DC"/>
        <bgColor rgb="FFF5F7F9"/>
      </patternFill>
    </fill>
    <fill>
      <patternFill patternType="solid">
        <fgColor rgb="FFF5F7F9"/>
        <bgColor rgb="FFEAF0F5"/>
      </patternFill>
    </fill>
    <fill>
      <patternFill patternType="solid">
        <fgColor rgb="FF1B3A5C"/>
        <bgColor rgb="FF1F2933"/>
      </patternFill>
    </fill>
  </fills>
  <borders count="2">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5" fontId="14" fillId="0" borderId="0" xfId="0" applyFont="true" applyBorder="false" applyAlignment="true" applyProtection="false">
      <alignment horizontal="left"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5" fontId="11"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0B1F3A"/>
          <bgColor rgb="FF000000"/>
        </patternFill>
      </fill>
    </dxf>
    <dxf>
      <fill>
        <patternFill patternType="solid">
          <fgColor rgb="FFF5F7F9"/>
          <bgColor rgb="FF000000"/>
        </patternFill>
      </fill>
    </dxf>
    <dxf>
      <fill>
        <patternFill patternType="solid">
          <bgColor rgb="FF000000"/>
        </patternFill>
      </fill>
    </dxf>
    <dxf>
      <fill>
        <patternFill patternType="solid">
          <fgColor rgb="FF1F2933"/>
          <bgColor rgb="FF000000"/>
        </patternFill>
      </fill>
    </dxf>
    <dxf>
      <fill>
        <patternFill patternType="solid">
          <fgColor rgb="FFFFFFFF"/>
          <bgColor rgb="FF000000"/>
        </patternFill>
      </fill>
    </dxf>
    <dxf>
      <fill>
        <patternFill patternType="solid">
          <fgColor rgb="FF1E7B3A"/>
          <bgColor rgb="FF000000"/>
        </patternFill>
      </fill>
    </dxf>
    <dxf>
      <fill>
        <patternFill patternType="solid">
          <fgColor rgb="FFEAF0F5"/>
          <bgColor rgb="FF000000"/>
        </patternFill>
      </fill>
    </dxf>
    <dxf>
      <fill>
        <patternFill patternType="solid">
          <fgColor rgb="FFFFF8DC"/>
          <bgColor rgb="FF000000"/>
        </patternFill>
      </fill>
    </dxf>
    <dxf>
      <fill>
        <patternFill patternType="solid">
          <fgColor rgb="FFB7791F"/>
          <bgColor rgb="FF000000"/>
        </patternFill>
      </fill>
    </dxf>
    <dxf>
      <font>
        <name val="Arial"/>
        <charset val="1"/>
        <family val="0"/>
        <b val="1"/>
        <color rgb="FF1E7B3A"/>
      </font>
    </dxf>
    <dxf>
      <font>
        <name val="Arial"/>
        <charset val="1"/>
        <family val="0"/>
        <color rgb="FFB7791F"/>
      </font>
    </dxf>
    <dxf>
      <font>
        <name val="Arial"/>
        <charset val="1"/>
        <family val="0"/>
        <b val="1"/>
        <color rgb="FFB85042"/>
      </font>
    </dxf>
    <dxf>
      <fill>
        <patternFill patternType="solid">
          <fgColor rgb="FFD9E4EC"/>
          <bgColor rgb="FF000000"/>
        </patternFill>
      </fill>
    </dxf>
    <dxf>
      <fill>
        <patternFill patternType="solid">
          <fgColor rgb="FFB85042"/>
          <bgColor rgb="FF000000"/>
        </patternFill>
      </fill>
    </dxf>
    <dxf>
      <font>
        <name val="Arial"/>
        <charset val="1"/>
        <family val="0"/>
        <color rgb="FF1E7B3A"/>
      </font>
    </dxf>
    <dxf>
      <font>
        <name val="Arial"/>
        <charset val="1"/>
        <family val="0"/>
        <b val="1"/>
        <color rgb="FFB7791F"/>
      </font>
    </dxf>
    <dxf>
      <font>
        <name val="Arial"/>
        <charset val="1"/>
        <family val="0"/>
        <b val="1"/>
        <color rgb="FF0B1F3A"/>
      </font>
    </dxf>
    <dxf>
      <fill>
        <patternFill>
          <bgColor rgb="FFD9E4EC"/>
        </patternFill>
      </fill>
    </dxf>
    <dxf>
      <fill>
        <patternFill patternType="solid">
          <fgColor rgb="FF1B3A5C"/>
          <bgColor rgb="FF000000"/>
        </patternFill>
      </fill>
    </dxf>
  </dxfs>
  <colors>
    <indexedColors>
      <rgbColor rgb="FF000000"/>
      <rgbColor rgb="FFFFFFFF"/>
      <rgbColor rgb="FFFF0000"/>
      <rgbColor rgb="FF00FF00"/>
      <rgbColor rgb="FF0000FF"/>
      <rgbColor rgb="FFFFFF00"/>
      <rgbColor rgb="FFFF00FF"/>
      <rgbColor rgb="FF00FFFF"/>
      <rgbColor rgb="FF800000"/>
      <rgbColor rgb="FF1E7B3A"/>
      <rgbColor rgb="FF000080"/>
      <rgbColor rgb="FFB7791F"/>
      <rgbColor rgb="FF800080"/>
      <rgbColor rgb="FF008080"/>
      <rgbColor rgb="FFC0C0C0"/>
      <rgbColor rgb="FF808080"/>
      <rgbColor rgb="FF9999FF"/>
      <rgbColor rgb="FFB85042"/>
      <rgbColor rgb="FFFFF8DC"/>
      <rgbColor rgb="FFEAF0F5"/>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D9E4EC"/>
      <rgbColor rgb="FFF5F7F9"/>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B3A5C"/>
      <rgbColor rgb="FF339966"/>
      <rgbColor rgb="FF0B1F3A"/>
      <rgbColor rgb="FF333300"/>
      <rgbColor rgb="FF993300"/>
      <rgbColor rgb="FF993366"/>
      <rgbColor rgb="FF333399"/>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4.xml"/><Relationship Id="rId3"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5.xml"/><Relationship Id="rId3"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6.xml"/><Relationship Id="rId3" Type="http://schemas.openxmlformats.org/officeDocument/2006/relationships/vmlDrawing" Target="../drawings/vmlDrawing5.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7.xml"/><Relationship Id="rId3" Type="http://schemas.openxmlformats.org/officeDocument/2006/relationships/vmlDrawing" Target="../drawings/vmlDrawing6.v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true"/>
  </sheetPr>
  <dimension ref="A1:B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6" t="s">
        <v>4</v>
      </c>
    </row>
    <row r="6" customFormat="false" ht="15" hidden="false" customHeight="false" outlineLevel="0" collapsed="false">
      <c r="A6" s="5" t="s">
        <v>5</v>
      </c>
      <c r="B6" s="6" t="s">
        <v>6</v>
      </c>
    </row>
    <row r="7" customFormat="false" ht="15" hidden="false" customHeight="false" outlineLevel="0" collapsed="false">
      <c r="A7" s="5" t="s">
        <v>7</v>
      </c>
      <c r="B7" s="6" t="s">
        <v>8</v>
      </c>
    </row>
    <row r="8" customFormat="false" ht="15" hidden="false" customHeight="false" outlineLevel="0" collapsed="false">
      <c r="A8" s="5" t="s">
        <v>9</v>
      </c>
      <c r="B8" s="6" t="s">
        <v>10</v>
      </c>
    </row>
    <row r="9" customFormat="false" ht="15" hidden="false" customHeight="false" outlineLevel="0" collapsed="false">
      <c r="A9" s="5" t="s">
        <v>11</v>
      </c>
      <c r="B9" s="6" t="s">
        <v>12</v>
      </c>
    </row>
    <row r="10" customFormat="false" ht="15" hidden="false" customHeight="false" outlineLevel="0" collapsed="false">
      <c r="A10" s="5" t="s">
        <v>13</v>
      </c>
      <c r="B10" s="6" t="s">
        <v>14</v>
      </c>
    </row>
    <row r="11" customFormat="false" ht="23.85" hidden="false" customHeight="false" outlineLevel="0" collapsed="false">
      <c r="A11" s="5" t="s">
        <v>15</v>
      </c>
      <c r="B11" s="6" t="s">
        <v>16</v>
      </c>
    </row>
    <row r="12" customFormat="false" ht="15" hidden="false" customHeight="false" outlineLevel="0" collapsed="false">
      <c r="A12" s="5"/>
      <c r="B12" s="6"/>
    </row>
    <row r="13" customFormat="false" ht="15" hidden="false" customHeight="false" outlineLevel="0" collapsed="false">
      <c r="A13" s="3" t="s">
        <v>17</v>
      </c>
      <c r="B13" s="4"/>
    </row>
    <row r="14" customFormat="false" ht="15" hidden="false" customHeight="false" outlineLevel="0" collapsed="false">
      <c r="A14" s="5" t="s">
        <v>18</v>
      </c>
      <c r="B14" s="6" t="s">
        <v>19</v>
      </c>
    </row>
    <row r="15" customFormat="false" ht="15" hidden="false" customHeight="false" outlineLevel="0" collapsed="false">
      <c r="A15" s="5" t="s">
        <v>20</v>
      </c>
      <c r="B15" s="6" t="s">
        <v>21</v>
      </c>
    </row>
    <row r="16" customFormat="false" ht="15" hidden="false" customHeight="false" outlineLevel="0" collapsed="false">
      <c r="A16" s="5" t="s">
        <v>22</v>
      </c>
      <c r="B16" s="6" t="s">
        <v>23</v>
      </c>
    </row>
    <row r="17" customFormat="false" ht="23.85" hidden="false" customHeight="false" outlineLevel="0" collapsed="false">
      <c r="A17" s="5" t="s">
        <v>24</v>
      </c>
      <c r="B17" s="6" t="s">
        <v>25</v>
      </c>
    </row>
    <row r="18" customFormat="false" ht="23.85" hidden="false" customHeight="false" outlineLevel="0" collapsed="false">
      <c r="A18" s="5" t="s">
        <v>26</v>
      </c>
      <c r="B18" s="6" t="s">
        <v>27</v>
      </c>
    </row>
    <row r="19" customFormat="false" ht="23.85" hidden="false" customHeight="false" outlineLevel="0" collapsed="false">
      <c r="A19" s="5" t="s">
        <v>28</v>
      </c>
      <c r="B19" s="6" t="s">
        <v>29</v>
      </c>
    </row>
    <row r="20" customFormat="false" ht="23.85" hidden="false" customHeight="false" outlineLevel="0" collapsed="false">
      <c r="A20" s="5" t="s">
        <v>30</v>
      </c>
      <c r="B20" s="6" t="s">
        <v>31</v>
      </c>
    </row>
    <row r="21" customFormat="false" ht="15" hidden="false" customHeight="false" outlineLevel="0" collapsed="false">
      <c r="A21" s="5" t="s">
        <v>32</v>
      </c>
      <c r="B21" s="6" t="s">
        <v>33</v>
      </c>
    </row>
    <row r="22" customFormat="false" ht="15" hidden="false" customHeight="false" outlineLevel="0" collapsed="false">
      <c r="A22" s="5"/>
      <c r="B22" s="6"/>
    </row>
    <row r="23" customFormat="false" ht="15" hidden="false" customHeight="false" outlineLevel="0" collapsed="false">
      <c r="A23" s="3" t="s">
        <v>34</v>
      </c>
      <c r="B23" s="4"/>
    </row>
    <row r="24" customFormat="false" ht="15" hidden="false" customHeight="false" outlineLevel="0" collapsed="false">
      <c r="A24" s="5" t="s">
        <v>35</v>
      </c>
      <c r="B24" s="6" t="s">
        <v>36</v>
      </c>
    </row>
    <row r="25" customFormat="false" ht="15" hidden="false" customHeight="false" outlineLevel="0" collapsed="false">
      <c r="A25" s="5" t="s">
        <v>37</v>
      </c>
      <c r="B25" s="6" t="s">
        <v>38</v>
      </c>
    </row>
    <row r="26" customFormat="false" ht="15" hidden="false" customHeight="false" outlineLevel="0" collapsed="false">
      <c r="A26" s="5" t="s">
        <v>39</v>
      </c>
      <c r="B26" s="6" t="s">
        <v>40</v>
      </c>
    </row>
    <row r="27" customFormat="false" ht="23.85" hidden="false" customHeight="false" outlineLevel="0" collapsed="false">
      <c r="A27" s="5" t="s">
        <v>41</v>
      </c>
      <c r="B27" s="6" t="s">
        <v>42</v>
      </c>
    </row>
    <row r="28" customFormat="false" ht="15" hidden="false" customHeight="false" outlineLevel="0" collapsed="false">
      <c r="A28" s="5" t="s">
        <v>43</v>
      </c>
      <c r="B28" s="6" t="s">
        <v>44</v>
      </c>
    </row>
    <row r="29" customFormat="false" ht="15" hidden="false" customHeight="false" outlineLevel="0" collapsed="false">
      <c r="A29" s="5"/>
      <c r="B29" s="6"/>
    </row>
    <row r="30" customFormat="false" ht="15" hidden="false" customHeight="false" outlineLevel="0" collapsed="false">
      <c r="A30" s="3" t="s">
        <v>45</v>
      </c>
      <c r="B30" s="4"/>
    </row>
    <row r="31" customFormat="false" ht="15" hidden="false" customHeight="false" outlineLevel="0" collapsed="false">
      <c r="A31" s="7" t="s">
        <v>46</v>
      </c>
      <c r="B31" s="6" t="s">
        <v>47</v>
      </c>
    </row>
    <row r="32" customFormat="false" ht="15" hidden="false" customHeight="false" outlineLevel="0" collapsed="false">
      <c r="A32" s="8" t="s">
        <v>48</v>
      </c>
      <c r="B32" s="6" t="s">
        <v>49</v>
      </c>
    </row>
    <row r="33" customFormat="false" ht="15" hidden="false" customHeight="false" outlineLevel="0" collapsed="false">
      <c r="A33" s="9" t="s">
        <v>50</v>
      </c>
      <c r="B33" s="6" t="s">
        <v>51</v>
      </c>
    </row>
    <row r="34" customFormat="false" ht="15" hidden="false" customHeight="false" outlineLevel="0" collapsed="false">
      <c r="A34" s="10" t="s">
        <v>52</v>
      </c>
      <c r="B34" s="6" t="s">
        <v>53</v>
      </c>
    </row>
    <row r="35" customFormat="false" ht="15" hidden="false" customHeight="false" outlineLevel="0" collapsed="false">
      <c r="A35" s="5"/>
      <c r="B35" s="6"/>
    </row>
    <row r="36" customFormat="false" ht="15" hidden="false" customHeight="false" outlineLevel="0" collapsed="false">
      <c r="A36" s="5" t="s">
        <v>54</v>
      </c>
      <c r="B36" s="6" t="s">
        <v>55</v>
      </c>
    </row>
    <row r="37" customFormat="false" ht="15" hidden="false" customHeight="false" outlineLevel="0" collapsed="false">
      <c r="A37" s="5" t="s">
        <v>56</v>
      </c>
      <c r="B37" s="6" t="s">
        <v>57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D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95"/>
    <col collapsed="false" customWidth="true" hidden="false" outlineLevel="0" max="4" min="4" style="0" width="42"/>
  </cols>
  <sheetData>
    <row r="1" customFormat="false" ht="17.35" hidden="false" customHeight="false" outlineLevel="0" collapsed="false">
      <c r="A1" s="1" t="s">
        <v>54</v>
      </c>
    </row>
    <row r="2" customFormat="false" ht="15" hidden="false" customHeight="false" outlineLevel="0" collapsed="false">
      <c r="A2" s="2" t="s">
        <v>58</v>
      </c>
    </row>
    <row r="4" customFormat="false" ht="30" hidden="false" customHeight="true" outlineLevel="0" collapsed="false">
      <c r="A4" s="11" t="s">
        <v>59</v>
      </c>
      <c r="B4" s="11" t="s">
        <v>60</v>
      </c>
      <c r="C4" s="11" t="s">
        <v>61</v>
      </c>
      <c r="D4" s="11" t="s">
        <v>62</v>
      </c>
    </row>
    <row r="5" customFormat="false" ht="23.85" hidden="false" customHeight="false" outlineLevel="0" collapsed="false">
      <c r="A5" s="12" t="s">
        <v>3</v>
      </c>
      <c r="B5" s="13" t="s">
        <v>63</v>
      </c>
      <c r="C5" s="12" t="s">
        <v>64</v>
      </c>
      <c r="D5" s="12" t="s">
        <v>65</v>
      </c>
    </row>
    <row r="6" customFormat="false" ht="15" hidden="false" customHeight="false" outlineLevel="0" collapsed="false">
      <c r="A6" s="12" t="s">
        <v>3</v>
      </c>
      <c r="B6" s="13" t="s">
        <v>66</v>
      </c>
      <c r="C6" s="12" t="s">
        <v>67</v>
      </c>
      <c r="D6" s="12" t="s">
        <v>68</v>
      </c>
    </row>
    <row r="7" customFormat="false" ht="23.85" hidden="false" customHeight="false" outlineLevel="0" collapsed="false">
      <c r="A7" s="12" t="s">
        <v>3</v>
      </c>
      <c r="B7" s="13" t="s">
        <v>69</v>
      </c>
      <c r="C7" s="12" t="s">
        <v>70</v>
      </c>
      <c r="D7" s="12" t="s">
        <v>71</v>
      </c>
    </row>
    <row r="8" customFormat="false" ht="15" hidden="false" customHeight="false" outlineLevel="0" collapsed="false">
      <c r="A8" s="12" t="s">
        <v>3</v>
      </c>
      <c r="B8" s="13" t="s">
        <v>72</v>
      </c>
      <c r="C8" s="12" t="s">
        <v>73</v>
      </c>
      <c r="D8" s="12" t="s">
        <v>74</v>
      </c>
    </row>
    <row r="9" customFormat="false" ht="15" hidden="false" customHeight="false" outlineLevel="0" collapsed="false">
      <c r="A9" s="12" t="s">
        <v>3</v>
      </c>
      <c r="B9" s="13" t="s">
        <v>75</v>
      </c>
      <c r="C9" s="12" t="s">
        <v>76</v>
      </c>
      <c r="D9" s="12" t="s">
        <v>77</v>
      </c>
    </row>
    <row r="10" customFormat="false" ht="15" hidden="false" customHeight="false" outlineLevel="0" collapsed="false">
      <c r="A10" s="12" t="s">
        <v>3</v>
      </c>
      <c r="B10" s="13" t="s">
        <v>78</v>
      </c>
      <c r="C10" s="12" t="s">
        <v>79</v>
      </c>
      <c r="D10" s="12" t="s">
        <v>80</v>
      </c>
    </row>
    <row r="11" customFormat="false" ht="15" hidden="false" customHeight="false" outlineLevel="0" collapsed="false">
      <c r="A11" s="12" t="s">
        <v>3</v>
      </c>
      <c r="B11" s="13" t="s">
        <v>81</v>
      </c>
      <c r="C11" s="12" t="s">
        <v>82</v>
      </c>
      <c r="D11" s="12" t="s">
        <v>83</v>
      </c>
    </row>
    <row r="12" customFormat="false" ht="23.85" hidden="false" customHeight="false" outlineLevel="0" collapsed="false">
      <c r="A12" s="14" t="s">
        <v>5</v>
      </c>
      <c r="B12" s="15" t="s">
        <v>84</v>
      </c>
      <c r="C12" s="14" t="s">
        <v>85</v>
      </c>
      <c r="D12" s="14" t="s">
        <v>86</v>
      </c>
    </row>
    <row r="13" customFormat="false" ht="15" hidden="false" customHeight="false" outlineLevel="0" collapsed="false">
      <c r="A13" s="14" t="s">
        <v>5</v>
      </c>
      <c r="B13" s="15" t="s">
        <v>87</v>
      </c>
      <c r="C13" s="14" t="s">
        <v>88</v>
      </c>
      <c r="D13" s="14" t="s">
        <v>89</v>
      </c>
    </row>
    <row r="14" customFormat="false" ht="35.05" hidden="false" customHeight="false" outlineLevel="0" collapsed="false">
      <c r="A14" s="14" t="s">
        <v>5</v>
      </c>
      <c r="B14" s="15" t="s">
        <v>90</v>
      </c>
      <c r="C14" s="14" t="s">
        <v>91</v>
      </c>
      <c r="D14" s="14" t="s">
        <v>92</v>
      </c>
    </row>
    <row r="15" customFormat="false" ht="23.85" hidden="false" customHeight="false" outlineLevel="0" collapsed="false">
      <c r="A15" s="14" t="s">
        <v>5</v>
      </c>
      <c r="B15" s="15" t="s">
        <v>93</v>
      </c>
      <c r="C15" s="14" t="s">
        <v>94</v>
      </c>
      <c r="D15" s="14" t="s">
        <v>95</v>
      </c>
    </row>
    <row r="16" customFormat="false" ht="35.05" hidden="false" customHeight="false" outlineLevel="0" collapsed="false">
      <c r="A16" s="14" t="s">
        <v>5</v>
      </c>
      <c r="B16" s="15" t="s">
        <v>96</v>
      </c>
      <c r="C16" s="14" t="s">
        <v>97</v>
      </c>
      <c r="D16" s="14" t="s">
        <v>98</v>
      </c>
    </row>
    <row r="17" customFormat="false" ht="15" hidden="false" customHeight="false" outlineLevel="0" collapsed="false">
      <c r="A17" s="14" t="s">
        <v>5</v>
      </c>
      <c r="B17" s="15" t="s">
        <v>99</v>
      </c>
      <c r="C17" s="14" t="s">
        <v>100</v>
      </c>
      <c r="D17" s="14" t="s">
        <v>101</v>
      </c>
    </row>
    <row r="18" customFormat="false" ht="23.85" hidden="false" customHeight="false" outlineLevel="0" collapsed="false">
      <c r="A18" s="14" t="s">
        <v>5</v>
      </c>
      <c r="B18" s="15" t="s">
        <v>102</v>
      </c>
      <c r="C18" s="14" t="s">
        <v>103</v>
      </c>
      <c r="D18" s="14" t="s">
        <v>104</v>
      </c>
    </row>
    <row r="19" customFormat="false" ht="15" hidden="false" customHeight="false" outlineLevel="0" collapsed="false">
      <c r="A19" s="14" t="s">
        <v>5</v>
      </c>
      <c r="B19" s="15" t="s">
        <v>78</v>
      </c>
      <c r="C19" s="14" t="s">
        <v>105</v>
      </c>
      <c r="D19" s="14" t="s">
        <v>80</v>
      </c>
    </row>
    <row r="20" customFormat="false" ht="15" hidden="false" customHeight="false" outlineLevel="0" collapsed="false">
      <c r="A20" s="14" t="s">
        <v>5</v>
      </c>
      <c r="B20" s="15" t="s">
        <v>106</v>
      </c>
      <c r="C20" s="16" t="s">
        <v>107</v>
      </c>
      <c r="D20" s="14" t="s">
        <v>22</v>
      </c>
    </row>
    <row r="21" customFormat="false" ht="15" hidden="false" customHeight="false" outlineLevel="0" collapsed="false">
      <c r="A21" s="14" t="s">
        <v>5</v>
      </c>
      <c r="B21" s="15" t="s">
        <v>108</v>
      </c>
      <c r="C21" s="16" t="s">
        <v>109</v>
      </c>
      <c r="D21" s="14" t="s">
        <v>26</v>
      </c>
    </row>
    <row r="22" customFormat="false" ht="15" hidden="false" customHeight="false" outlineLevel="0" collapsed="false">
      <c r="A22" s="14" t="s">
        <v>5</v>
      </c>
      <c r="B22" s="15" t="s">
        <v>81</v>
      </c>
      <c r="C22" s="14" t="s">
        <v>110</v>
      </c>
      <c r="D22" s="14" t="s">
        <v>111</v>
      </c>
    </row>
    <row r="23" customFormat="false" ht="15" hidden="false" customHeight="false" outlineLevel="0" collapsed="false">
      <c r="A23" s="12" t="s">
        <v>7</v>
      </c>
      <c r="B23" s="13" t="s">
        <v>84</v>
      </c>
      <c r="C23" s="12" t="s">
        <v>112</v>
      </c>
      <c r="D23" s="12" t="s">
        <v>86</v>
      </c>
    </row>
    <row r="24" customFormat="false" ht="15" hidden="false" customHeight="false" outlineLevel="0" collapsed="false">
      <c r="A24" s="12" t="s">
        <v>7</v>
      </c>
      <c r="B24" s="13" t="s">
        <v>63</v>
      </c>
      <c r="C24" s="12" t="s">
        <v>113</v>
      </c>
      <c r="D24" s="12" t="s">
        <v>114</v>
      </c>
    </row>
    <row r="25" customFormat="false" ht="15" hidden="false" customHeight="false" outlineLevel="0" collapsed="false">
      <c r="A25" s="12" t="s">
        <v>7</v>
      </c>
      <c r="B25" s="13" t="s">
        <v>87</v>
      </c>
      <c r="C25" s="17" t="s">
        <v>115</v>
      </c>
      <c r="D25" s="12" t="s">
        <v>89</v>
      </c>
    </row>
    <row r="26" customFormat="false" ht="15" hidden="false" customHeight="false" outlineLevel="0" collapsed="false">
      <c r="A26" s="12" t="s">
        <v>7</v>
      </c>
      <c r="B26" s="13" t="s">
        <v>66</v>
      </c>
      <c r="C26" s="17" t="s">
        <v>116</v>
      </c>
      <c r="D26" s="12" t="s">
        <v>117</v>
      </c>
    </row>
    <row r="27" customFormat="false" ht="15" hidden="false" customHeight="false" outlineLevel="0" collapsed="false">
      <c r="A27" s="12" t="s">
        <v>7</v>
      </c>
      <c r="B27" s="13" t="s">
        <v>118</v>
      </c>
      <c r="C27" s="12" t="s">
        <v>119</v>
      </c>
      <c r="D27" s="12" t="s">
        <v>120</v>
      </c>
    </row>
    <row r="28" customFormat="false" ht="15" hidden="false" customHeight="false" outlineLevel="0" collapsed="false">
      <c r="A28" s="12" t="s">
        <v>7</v>
      </c>
      <c r="B28" s="13" t="s">
        <v>81</v>
      </c>
      <c r="C28" s="12" t="s">
        <v>121</v>
      </c>
      <c r="D28" s="12" t="s">
        <v>122</v>
      </c>
    </row>
    <row r="29" customFormat="false" ht="15" hidden="false" customHeight="false" outlineLevel="0" collapsed="false">
      <c r="A29" s="14" t="s">
        <v>9</v>
      </c>
      <c r="B29" s="15" t="s">
        <v>123</v>
      </c>
      <c r="C29" s="14" t="s">
        <v>124</v>
      </c>
      <c r="D29" s="14" t="s">
        <v>125</v>
      </c>
    </row>
    <row r="30" customFormat="false" ht="15" hidden="false" customHeight="false" outlineLevel="0" collapsed="false">
      <c r="A30" s="14" t="s">
        <v>9</v>
      </c>
      <c r="B30" s="15" t="s">
        <v>126</v>
      </c>
      <c r="C30" s="14" t="s">
        <v>127</v>
      </c>
      <c r="D30" s="14" t="s">
        <v>128</v>
      </c>
    </row>
    <row r="31" customFormat="false" ht="23.85" hidden="false" customHeight="false" outlineLevel="0" collapsed="false">
      <c r="A31" s="14" t="s">
        <v>9</v>
      </c>
      <c r="B31" s="15" t="s">
        <v>129</v>
      </c>
      <c r="C31" s="14" t="s">
        <v>130</v>
      </c>
      <c r="D31" s="14" t="s">
        <v>131</v>
      </c>
    </row>
    <row r="32" customFormat="false" ht="15" hidden="false" customHeight="false" outlineLevel="0" collapsed="false">
      <c r="A32" s="14" t="s">
        <v>9</v>
      </c>
      <c r="B32" s="15" t="s">
        <v>132</v>
      </c>
      <c r="C32" s="14" t="s">
        <v>133</v>
      </c>
      <c r="D32" s="14" t="s">
        <v>134</v>
      </c>
    </row>
    <row r="33" customFormat="false" ht="35.05" hidden="false" customHeight="false" outlineLevel="0" collapsed="false">
      <c r="A33" s="14" t="s">
        <v>9</v>
      </c>
      <c r="B33" s="15" t="s">
        <v>135</v>
      </c>
      <c r="C33" s="14" t="s">
        <v>136</v>
      </c>
      <c r="D33" s="14" t="s">
        <v>137</v>
      </c>
    </row>
    <row r="34" customFormat="false" ht="15" hidden="false" customHeight="false" outlineLevel="0" collapsed="false">
      <c r="A34" s="14" t="s">
        <v>9</v>
      </c>
      <c r="B34" s="15" t="s">
        <v>78</v>
      </c>
      <c r="C34" s="14" t="s">
        <v>138</v>
      </c>
      <c r="D34" s="14" t="s">
        <v>139</v>
      </c>
    </row>
    <row r="35" customFormat="false" ht="15" hidden="false" customHeight="false" outlineLevel="0" collapsed="false">
      <c r="A35" s="14" t="s">
        <v>9</v>
      </c>
      <c r="B35" s="15" t="s">
        <v>140</v>
      </c>
      <c r="C35" s="14" t="s">
        <v>141</v>
      </c>
      <c r="D35" s="14" t="s">
        <v>142</v>
      </c>
    </row>
    <row r="36" customFormat="false" ht="15" hidden="false" customHeight="false" outlineLevel="0" collapsed="false">
      <c r="A36" s="14" t="s">
        <v>9</v>
      </c>
      <c r="B36" s="15" t="s">
        <v>102</v>
      </c>
      <c r="C36" s="14" t="s">
        <v>143</v>
      </c>
      <c r="D36" s="14" t="s">
        <v>144</v>
      </c>
    </row>
    <row r="37" customFormat="false" ht="35.05" hidden="false" customHeight="false" outlineLevel="0" collapsed="false">
      <c r="A37" s="14" t="s">
        <v>9</v>
      </c>
      <c r="B37" s="15" t="s">
        <v>145</v>
      </c>
      <c r="C37" s="14" t="s">
        <v>146</v>
      </c>
      <c r="D37" s="14" t="s">
        <v>147</v>
      </c>
    </row>
    <row r="38" customFormat="false" ht="35.05" hidden="false" customHeight="false" outlineLevel="0" collapsed="false">
      <c r="A38" s="14" t="s">
        <v>9</v>
      </c>
      <c r="B38" s="15" t="s">
        <v>148</v>
      </c>
      <c r="C38" s="14" t="s">
        <v>149</v>
      </c>
      <c r="D38" s="14" t="s">
        <v>150</v>
      </c>
    </row>
    <row r="39" customFormat="false" ht="15" hidden="false" customHeight="false" outlineLevel="0" collapsed="false">
      <c r="A39" s="14" t="s">
        <v>9</v>
      </c>
      <c r="B39" s="15" t="s">
        <v>151</v>
      </c>
      <c r="C39" s="16" t="s">
        <v>152</v>
      </c>
      <c r="D39" s="14" t="s">
        <v>22</v>
      </c>
    </row>
    <row r="40" customFormat="false" ht="15" hidden="false" customHeight="false" outlineLevel="0" collapsed="false">
      <c r="A40" s="14" t="s">
        <v>9</v>
      </c>
      <c r="B40" s="15" t="s">
        <v>153</v>
      </c>
      <c r="C40" s="16" t="s">
        <v>154</v>
      </c>
      <c r="D40" s="14" t="s">
        <v>22</v>
      </c>
    </row>
    <row r="41" customFormat="false" ht="15" hidden="false" customHeight="false" outlineLevel="0" collapsed="false">
      <c r="A41" s="14" t="s">
        <v>9</v>
      </c>
      <c r="B41" s="15" t="s">
        <v>81</v>
      </c>
      <c r="C41" s="14" t="s">
        <v>121</v>
      </c>
      <c r="D41" s="14" t="s">
        <v>155</v>
      </c>
    </row>
    <row r="42" customFormat="false" ht="15" hidden="false" customHeight="false" outlineLevel="0" collapsed="false">
      <c r="A42" s="12" t="s">
        <v>11</v>
      </c>
      <c r="B42" s="13" t="s">
        <v>156</v>
      </c>
      <c r="C42" s="12" t="s">
        <v>157</v>
      </c>
      <c r="D42" s="12" t="s">
        <v>158</v>
      </c>
    </row>
    <row r="43" customFormat="false" ht="15" hidden="false" customHeight="false" outlineLevel="0" collapsed="false">
      <c r="A43" s="12" t="s">
        <v>11</v>
      </c>
      <c r="B43" s="13" t="s">
        <v>159</v>
      </c>
      <c r="C43" s="12" t="s">
        <v>160</v>
      </c>
      <c r="D43" s="12" t="s">
        <v>161</v>
      </c>
    </row>
    <row r="44" customFormat="false" ht="23.85" hidden="false" customHeight="false" outlineLevel="0" collapsed="false">
      <c r="A44" s="12" t="s">
        <v>11</v>
      </c>
      <c r="B44" s="13" t="s">
        <v>69</v>
      </c>
      <c r="C44" s="12" t="s">
        <v>162</v>
      </c>
      <c r="D44" s="12" t="s">
        <v>163</v>
      </c>
    </row>
    <row r="45" customFormat="false" ht="23.85" hidden="false" customHeight="false" outlineLevel="0" collapsed="false">
      <c r="A45" s="12" t="s">
        <v>11</v>
      </c>
      <c r="B45" s="13" t="s">
        <v>123</v>
      </c>
      <c r="C45" s="12" t="s">
        <v>164</v>
      </c>
      <c r="D45" s="12" t="s">
        <v>165</v>
      </c>
    </row>
    <row r="46" customFormat="false" ht="15" hidden="false" customHeight="false" outlineLevel="0" collapsed="false">
      <c r="A46" s="12" t="s">
        <v>11</v>
      </c>
      <c r="B46" s="13" t="s">
        <v>126</v>
      </c>
      <c r="C46" s="17" t="s">
        <v>166</v>
      </c>
      <c r="D46" s="12" t="s">
        <v>167</v>
      </c>
    </row>
    <row r="47" customFormat="false" ht="15" hidden="false" customHeight="false" outlineLevel="0" collapsed="false">
      <c r="A47" s="12" t="s">
        <v>11</v>
      </c>
      <c r="B47" s="13" t="s">
        <v>129</v>
      </c>
      <c r="C47" s="17" t="s">
        <v>168</v>
      </c>
      <c r="D47" s="12" t="s">
        <v>131</v>
      </c>
    </row>
    <row r="48" customFormat="false" ht="15" hidden="false" customHeight="false" outlineLevel="0" collapsed="false">
      <c r="A48" s="12" t="s">
        <v>11</v>
      </c>
      <c r="B48" s="13" t="s">
        <v>169</v>
      </c>
      <c r="C48" s="12" t="s">
        <v>170</v>
      </c>
      <c r="D48" s="12" t="s">
        <v>171</v>
      </c>
    </row>
    <row r="49" customFormat="false" ht="23.85" hidden="false" customHeight="false" outlineLevel="0" collapsed="false">
      <c r="A49" s="12" t="s">
        <v>11</v>
      </c>
      <c r="B49" s="13" t="s">
        <v>172</v>
      </c>
      <c r="C49" s="12" t="s">
        <v>173</v>
      </c>
      <c r="D49" s="12" t="s">
        <v>174</v>
      </c>
    </row>
    <row r="50" customFormat="false" ht="23.85" hidden="false" customHeight="false" outlineLevel="0" collapsed="false">
      <c r="A50" s="12" t="s">
        <v>11</v>
      </c>
      <c r="B50" s="13" t="s">
        <v>175</v>
      </c>
      <c r="C50" s="12" t="s">
        <v>176</v>
      </c>
      <c r="D50" s="12" t="s">
        <v>177</v>
      </c>
    </row>
    <row r="51" customFormat="false" ht="35.05" hidden="false" customHeight="false" outlineLevel="0" collapsed="false">
      <c r="A51" s="12" t="s">
        <v>11</v>
      </c>
      <c r="B51" s="13" t="s">
        <v>145</v>
      </c>
      <c r="C51" s="12" t="s">
        <v>178</v>
      </c>
      <c r="D51" s="12" t="s">
        <v>147</v>
      </c>
    </row>
    <row r="52" customFormat="false" ht="23.85" hidden="false" customHeight="false" outlineLevel="0" collapsed="false">
      <c r="A52" s="12" t="s">
        <v>11</v>
      </c>
      <c r="B52" s="13" t="s">
        <v>148</v>
      </c>
      <c r="C52" s="12" t="s">
        <v>179</v>
      </c>
      <c r="D52" s="12" t="s">
        <v>180</v>
      </c>
    </row>
    <row r="53" customFormat="false" ht="15" hidden="false" customHeight="false" outlineLevel="0" collapsed="false">
      <c r="A53" s="12" t="s">
        <v>11</v>
      </c>
      <c r="B53" s="13" t="s">
        <v>181</v>
      </c>
      <c r="C53" s="12" t="s">
        <v>182</v>
      </c>
      <c r="D53" s="12" t="s">
        <v>183</v>
      </c>
    </row>
    <row r="54" customFormat="false" ht="15" hidden="false" customHeight="false" outlineLevel="0" collapsed="false">
      <c r="A54" s="12" t="s">
        <v>11</v>
      </c>
      <c r="B54" s="13" t="s">
        <v>184</v>
      </c>
      <c r="C54" s="17" t="s">
        <v>166</v>
      </c>
      <c r="D54" s="12" t="s">
        <v>20</v>
      </c>
    </row>
    <row r="55" customFormat="false" ht="15" hidden="false" customHeight="false" outlineLevel="0" collapsed="false">
      <c r="A55" s="12" t="s">
        <v>11</v>
      </c>
      <c r="B55" s="13" t="s">
        <v>185</v>
      </c>
      <c r="C55" s="17" t="s">
        <v>186</v>
      </c>
      <c r="D55" s="12" t="s">
        <v>24</v>
      </c>
    </row>
    <row r="56" customFormat="false" ht="15" hidden="false" customHeight="false" outlineLevel="0" collapsed="false">
      <c r="A56" s="14" t="s">
        <v>13</v>
      </c>
      <c r="B56" s="15" t="s">
        <v>84</v>
      </c>
      <c r="C56" s="14" t="s">
        <v>187</v>
      </c>
      <c r="D56" s="14" t="s">
        <v>86</v>
      </c>
    </row>
    <row r="57" customFormat="false" ht="15" hidden="false" customHeight="false" outlineLevel="0" collapsed="false">
      <c r="A57" s="14" t="s">
        <v>13</v>
      </c>
      <c r="B57" s="15" t="s">
        <v>156</v>
      </c>
      <c r="C57" s="14" t="s">
        <v>188</v>
      </c>
      <c r="D57" s="14" t="s">
        <v>189</v>
      </c>
    </row>
    <row r="58" customFormat="false" ht="15" hidden="false" customHeight="false" outlineLevel="0" collapsed="false">
      <c r="A58" s="14" t="s">
        <v>13</v>
      </c>
      <c r="B58" s="15" t="s">
        <v>87</v>
      </c>
      <c r="C58" s="16" t="s">
        <v>166</v>
      </c>
      <c r="D58" s="14" t="s">
        <v>89</v>
      </c>
    </row>
    <row r="59" customFormat="false" ht="15" hidden="false" customHeight="false" outlineLevel="0" collapsed="false">
      <c r="A59" s="14" t="s">
        <v>13</v>
      </c>
      <c r="B59" s="15" t="s">
        <v>159</v>
      </c>
      <c r="C59" s="16" t="s">
        <v>166</v>
      </c>
      <c r="D59" s="14" t="s">
        <v>190</v>
      </c>
    </row>
    <row r="60" customFormat="false" ht="35.05" hidden="false" customHeight="false" outlineLevel="0" collapsed="false">
      <c r="A60" s="14" t="s">
        <v>13</v>
      </c>
      <c r="B60" s="15" t="s">
        <v>191</v>
      </c>
      <c r="C60" s="14" t="s">
        <v>192</v>
      </c>
      <c r="D60" s="14" t="s">
        <v>193</v>
      </c>
    </row>
    <row r="61" customFormat="false" ht="15" hidden="false" customHeight="false" outlineLevel="0" collapsed="false">
      <c r="A61" s="14" t="s">
        <v>13</v>
      </c>
      <c r="B61" s="15" t="s">
        <v>194</v>
      </c>
      <c r="C61" s="16" t="s">
        <v>166</v>
      </c>
      <c r="D61" s="14" t="s">
        <v>22</v>
      </c>
    </row>
    <row r="62" customFormat="false" ht="15" hidden="false" customHeight="false" outlineLevel="0" collapsed="false">
      <c r="A62" s="14" t="s">
        <v>13</v>
      </c>
      <c r="B62" s="15" t="s">
        <v>81</v>
      </c>
      <c r="C62" s="14" t="s">
        <v>121</v>
      </c>
      <c r="D62" s="14"/>
    </row>
  </sheetData>
  <autoFilter ref="A4:D62"/>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G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4" min="3" style="0" width="14"/>
    <col collapsed="false" customWidth="true" hidden="false" outlineLevel="0" max="5" min="5" style="0" width="20"/>
    <col collapsed="false" customWidth="true" hidden="false" outlineLevel="0" max="6" min="6" style="0" width="18"/>
    <col collapsed="false" customWidth="true" hidden="false" outlineLevel="0" max="7" min="7" style="0" width="40"/>
  </cols>
  <sheetData>
    <row r="1" customFormat="false" ht="17.35" hidden="false" customHeight="false" outlineLevel="0" collapsed="false">
      <c r="A1" s="1" t="s">
        <v>3</v>
      </c>
    </row>
    <row r="2" customFormat="false" ht="15" hidden="false" customHeight="false" outlineLevel="0" collapsed="false">
      <c r="A2" s="2" t="s">
        <v>195</v>
      </c>
    </row>
    <row r="4" customFormat="false" ht="30" hidden="false" customHeight="true" outlineLevel="0" collapsed="false">
      <c r="A4" s="11" t="s">
        <v>63</v>
      </c>
      <c r="B4" s="11" t="s">
        <v>66</v>
      </c>
      <c r="C4" s="11" t="s">
        <v>69</v>
      </c>
      <c r="D4" s="11" t="s">
        <v>72</v>
      </c>
      <c r="E4" s="11" t="s">
        <v>75</v>
      </c>
      <c r="F4" s="11" t="s">
        <v>78</v>
      </c>
      <c r="G4" s="11" t="s">
        <v>81</v>
      </c>
    </row>
    <row r="5" customFormat="false" ht="15" hidden="false" customHeight="false" outlineLevel="0" collapsed="false">
      <c r="A5" s="18" t="s">
        <v>65</v>
      </c>
      <c r="B5" s="19" t="s">
        <v>68</v>
      </c>
      <c r="C5" s="19" t="s">
        <v>196</v>
      </c>
      <c r="D5" s="19" t="s">
        <v>74</v>
      </c>
      <c r="E5" s="19" t="s">
        <v>197</v>
      </c>
      <c r="F5" s="19"/>
      <c r="G5" s="19" t="s">
        <v>198</v>
      </c>
    </row>
    <row r="6" customFormat="false" ht="15" hidden="false" customHeight="false" outlineLevel="0" collapsed="false">
      <c r="A6" s="18" t="s">
        <v>114</v>
      </c>
      <c r="B6" s="19" t="s">
        <v>117</v>
      </c>
      <c r="C6" s="19" t="s">
        <v>71</v>
      </c>
      <c r="D6" s="19" t="s">
        <v>74</v>
      </c>
      <c r="E6" s="19" t="s">
        <v>199</v>
      </c>
      <c r="F6" s="19"/>
      <c r="G6" s="19" t="s">
        <v>198</v>
      </c>
    </row>
    <row r="7" customFormat="false" ht="15" hidden="false" customHeight="false" outlineLevel="0" collapsed="false">
      <c r="A7" s="18" t="s">
        <v>200</v>
      </c>
      <c r="B7" s="19" t="s">
        <v>201</v>
      </c>
      <c r="C7" s="19" t="s">
        <v>71</v>
      </c>
      <c r="D7" s="19" t="s">
        <v>74</v>
      </c>
      <c r="E7" s="19" t="s">
        <v>202</v>
      </c>
      <c r="F7" s="19"/>
      <c r="G7" s="19" t="s">
        <v>198</v>
      </c>
    </row>
    <row r="8" customFormat="false" ht="15" hidden="false" customHeight="false" outlineLevel="0" collapsed="false">
      <c r="A8" s="18"/>
      <c r="B8" s="19"/>
      <c r="C8" s="19"/>
      <c r="D8" s="19"/>
      <c r="E8" s="19"/>
      <c r="F8" s="19"/>
      <c r="G8" s="19"/>
    </row>
    <row r="9" customFormat="false" ht="15" hidden="false" customHeight="false" outlineLevel="0" collapsed="false">
      <c r="A9" s="18"/>
      <c r="B9" s="19"/>
      <c r="C9" s="19"/>
      <c r="D9" s="19"/>
      <c r="E9" s="19"/>
      <c r="F9" s="19"/>
      <c r="G9" s="19"/>
    </row>
    <row r="10" customFormat="false" ht="15" hidden="false" customHeight="false" outlineLevel="0" collapsed="false">
      <c r="A10" s="18"/>
      <c r="B10" s="19"/>
      <c r="C10" s="19"/>
      <c r="D10" s="19"/>
      <c r="E10" s="19"/>
      <c r="F10" s="19"/>
      <c r="G10" s="19"/>
    </row>
    <row r="11" customFormat="false" ht="15" hidden="false" customHeight="false" outlineLevel="0" collapsed="false">
      <c r="A11" s="18"/>
      <c r="B11" s="19"/>
      <c r="C11" s="19"/>
      <c r="D11" s="19"/>
      <c r="E11" s="19"/>
      <c r="F11" s="19"/>
      <c r="G11" s="19"/>
    </row>
    <row r="12" customFormat="false" ht="15" hidden="false" customHeight="false" outlineLevel="0" collapsed="false">
      <c r="A12" s="18"/>
      <c r="B12" s="19"/>
      <c r="C12" s="19"/>
      <c r="D12" s="19"/>
      <c r="E12" s="19"/>
      <c r="F12" s="19"/>
      <c r="G12" s="19"/>
    </row>
    <row r="13" customFormat="false" ht="15" hidden="false" customHeight="false" outlineLevel="0" collapsed="false">
      <c r="A13" s="18"/>
      <c r="B13" s="19"/>
      <c r="C13" s="19"/>
      <c r="D13" s="19"/>
      <c r="E13" s="19"/>
      <c r="F13" s="19"/>
      <c r="G13" s="19"/>
    </row>
    <row r="14" customFormat="false" ht="15" hidden="false" customHeight="false" outlineLevel="0" collapsed="false">
      <c r="A14" s="18"/>
      <c r="B14" s="19"/>
      <c r="C14" s="19"/>
      <c r="D14" s="19"/>
      <c r="E14" s="19"/>
      <c r="F14" s="19"/>
      <c r="G14" s="19"/>
    </row>
    <row r="15" customFormat="false" ht="15" hidden="false" customHeight="false" outlineLevel="0" collapsed="false">
      <c r="A15" s="18"/>
      <c r="B15" s="19"/>
      <c r="C15" s="19"/>
      <c r="D15" s="19"/>
      <c r="E15" s="19"/>
      <c r="F15" s="19"/>
      <c r="G15" s="19"/>
    </row>
    <row r="16" customFormat="false" ht="15" hidden="false" customHeight="false" outlineLevel="0" collapsed="false">
      <c r="A16" s="18"/>
      <c r="B16" s="19"/>
      <c r="C16" s="19"/>
      <c r="D16" s="19"/>
      <c r="E16" s="19"/>
      <c r="F16" s="19"/>
      <c r="G16" s="19"/>
    </row>
    <row r="17" customFormat="false" ht="15" hidden="false" customHeight="false" outlineLevel="0" collapsed="false">
      <c r="A17" s="18"/>
      <c r="B17" s="19"/>
      <c r="C17" s="19"/>
      <c r="D17" s="19"/>
      <c r="E17" s="19"/>
      <c r="F17" s="19"/>
      <c r="G17" s="19"/>
    </row>
    <row r="18" customFormat="false" ht="15" hidden="false" customHeight="false" outlineLevel="0" collapsed="false">
      <c r="A18" s="18"/>
      <c r="B18" s="19"/>
      <c r="C18" s="19"/>
      <c r="D18" s="19"/>
      <c r="E18" s="19"/>
      <c r="F18" s="19"/>
      <c r="G18" s="19"/>
    </row>
    <row r="19" customFormat="false" ht="15" hidden="false" customHeight="false" outlineLevel="0" collapsed="false">
      <c r="A19" s="18"/>
      <c r="B19" s="19"/>
      <c r="C19" s="19"/>
      <c r="D19" s="19"/>
      <c r="E19" s="19"/>
      <c r="F19" s="19"/>
      <c r="G19" s="19"/>
    </row>
    <row r="20" customFormat="false" ht="15" hidden="false" customHeight="false" outlineLevel="0" collapsed="false">
      <c r="A20" s="18"/>
      <c r="B20" s="19"/>
      <c r="C20" s="19"/>
      <c r="D20" s="19"/>
      <c r="E20" s="19"/>
      <c r="F20" s="19"/>
      <c r="G20" s="19"/>
    </row>
    <row r="21" customFormat="false" ht="15" hidden="false" customHeight="false" outlineLevel="0" collapsed="false">
      <c r="A21" s="18"/>
      <c r="B21" s="19"/>
      <c r="C21" s="19"/>
      <c r="D21" s="19"/>
      <c r="E21" s="19"/>
      <c r="F21" s="19"/>
      <c r="G21" s="19"/>
    </row>
    <row r="22" customFormat="false" ht="15" hidden="false" customHeight="false" outlineLevel="0" collapsed="false">
      <c r="A22" s="18"/>
      <c r="B22" s="19"/>
      <c r="C22" s="19"/>
      <c r="D22" s="19"/>
      <c r="E22" s="19"/>
      <c r="F22" s="19"/>
      <c r="G22" s="19"/>
    </row>
    <row r="23" customFormat="false" ht="15" hidden="false" customHeight="false" outlineLevel="0" collapsed="false">
      <c r="A23" s="18"/>
      <c r="B23" s="19"/>
      <c r="C23" s="19"/>
      <c r="D23" s="19"/>
      <c r="E23" s="19"/>
      <c r="F23" s="19"/>
      <c r="G23" s="19"/>
    </row>
    <row r="24" customFormat="false" ht="15" hidden="false" customHeight="false" outlineLevel="0" collapsed="false">
      <c r="A24" s="18"/>
      <c r="B24" s="19"/>
      <c r="C24" s="19"/>
      <c r="D24" s="19"/>
      <c r="E24" s="19"/>
      <c r="F24" s="19"/>
      <c r="G24" s="19"/>
    </row>
    <row r="25" customFormat="false" ht="15" hidden="false" customHeight="false" outlineLevel="0" collapsed="false">
      <c r="A25" s="18"/>
      <c r="B25" s="19"/>
      <c r="C25" s="19"/>
      <c r="D25" s="19"/>
      <c r="E25" s="19"/>
      <c r="F25" s="19"/>
      <c r="G25" s="19"/>
    </row>
    <row r="26" customFormat="false" ht="15" hidden="false" customHeight="false" outlineLevel="0" collapsed="false">
      <c r="A26" s="18"/>
      <c r="B26" s="19"/>
      <c r="C26" s="19"/>
      <c r="D26" s="19"/>
      <c r="E26" s="19"/>
      <c r="F26" s="19"/>
      <c r="G26" s="19"/>
    </row>
    <row r="27" customFormat="false" ht="15" hidden="false" customHeight="false" outlineLevel="0" collapsed="false">
      <c r="A27" s="18"/>
      <c r="B27" s="19"/>
      <c r="C27" s="19"/>
      <c r="D27" s="19"/>
      <c r="E27" s="19"/>
      <c r="F27" s="19"/>
      <c r="G27" s="19"/>
    </row>
    <row r="28" customFormat="false" ht="15" hidden="false" customHeight="false" outlineLevel="0" collapsed="false">
      <c r="A28" s="18"/>
      <c r="B28" s="19"/>
      <c r="C28" s="19"/>
      <c r="D28" s="19"/>
      <c r="E28" s="19"/>
      <c r="F28" s="19"/>
      <c r="G28" s="19"/>
    </row>
    <row r="29" customFormat="false" ht="15" hidden="false" customHeight="false" outlineLevel="0" collapsed="false">
      <c r="A29" s="18"/>
      <c r="B29" s="19"/>
      <c r="C29" s="19"/>
      <c r="D29" s="19"/>
      <c r="E29" s="19"/>
      <c r="F29" s="19"/>
      <c r="G29" s="19"/>
    </row>
    <row r="30" customFormat="false" ht="15" hidden="false" customHeight="false" outlineLevel="0" collapsed="false">
      <c r="A30" s="18"/>
      <c r="B30" s="19"/>
      <c r="C30" s="19"/>
      <c r="D30" s="19"/>
      <c r="E30" s="19"/>
      <c r="F30" s="19"/>
      <c r="G30" s="19"/>
    </row>
    <row r="31" customFormat="false" ht="15" hidden="false" customHeight="false" outlineLevel="0" collapsed="false">
      <c r="A31" s="18"/>
      <c r="B31" s="19"/>
      <c r="C31" s="19"/>
      <c r="D31" s="19"/>
      <c r="E31" s="19"/>
      <c r="F31" s="19"/>
      <c r="G31" s="19"/>
    </row>
    <row r="32" customFormat="false" ht="15" hidden="false" customHeight="false" outlineLevel="0" collapsed="false">
      <c r="A32" s="18"/>
      <c r="B32" s="19"/>
      <c r="C32" s="19"/>
      <c r="D32" s="19"/>
      <c r="E32" s="19"/>
      <c r="F32" s="19"/>
      <c r="G32" s="19"/>
    </row>
    <row r="33" customFormat="false" ht="15" hidden="false" customHeight="false" outlineLevel="0" collapsed="false">
      <c r="A33" s="18"/>
      <c r="B33" s="19"/>
      <c r="C33" s="19"/>
      <c r="D33" s="19"/>
      <c r="E33" s="19"/>
      <c r="F33" s="19"/>
      <c r="G33" s="19"/>
    </row>
    <row r="34" customFormat="false" ht="15" hidden="false" customHeight="false" outlineLevel="0" collapsed="false">
      <c r="A34" s="18"/>
      <c r="B34" s="19"/>
      <c r="C34" s="19"/>
      <c r="D34" s="19"/>
      <c r="E34" s="19"/>
      <c r="F34" s="19"/>
      <c r="G34" s="19"/>
    </row>
    <row r="35" customFormat="false" ht="15" hidden="false" customHeight="false" outlineLevel="0" collapsed="false">
      <c r="A35" s="18"/>
      <c r="B35" s="19"/>
      <c r="C35" s="19"/>
      <c r="D35" s="19"/>
      <c r="E35" s="19"/>
      <c r="F35" s="19"/>
      <c r="G35" s="19"/>
    </row>
    <row r="36" customFormat="false" ht="15" hidden="false" customHeight="false" outlineLevel="0" collapsed="false">
      <c r="A36" s="18"/>
      <c r="B36" s="19"/>
      <c r="C36" s="19"/>
      <c r="D36" s="19"/>
      <c r="E36" s="19"/>
      <c r="F36" s="19"/>
      <c r="G36" s="19"/>
    </row>
    <row r="37" customFormat="false" ht="15" hidden="false" customHeight="false" outlineLevel="0" collapsed="false">
      <c r="A37" s="18"/>
      <c r="B37" s="19"/>
      <c r="C37" s="19"/>
      <c r="D37" s="19"/>
      <c r="E37" s="19"/>
      <c r="F37" s="19"/>
      <c r="G37" s="19"/>
    </row>
    <row r="38" customFormat="false" ht="15" hidden="false" customHeight="false" outlineLevel="0" collapsed="false">
      <c r="A38" s="18"/>
      <c r="B38" s="19"/>
      <c r="C38" s="19"/>
      <c r="D38" s="19"/>
      <c r="E38" s="19"/>
      <c r="F38" s="19"/>
      <c r="G38" s="19"/>
    </row>
    <row r="39" customFormat="false" ht="15" hidden="false" customHeight="false" outlineLevel="0" collapsed="false">
      <c r="A39" s="18"/>
      <c r="B39" s="19"/>
      <c r="C39" s="19"/>
      <c r="D39" s="19"/>
      <c r="E39" s="19"/>
      <c r="F39" s="19"/>
      <c r="G39" s="19"/>
    </row>
    <row r="40" customFormat="false" ht="15" hidden="false" customHeight="false" outlineLevel="0" collapsed="false">
      <c r="A40" s="18"/>
      <c r="B40" s="19"/>
      <c r="C40" s="19"/>
      <c r="D40" s="19"/>
      <c r="E40" s="19"/>
      <c r="F40" s="19"/>
      <c r="G40" s="19"/>
    </row>
    <row r="41" customFormat="false" ht="15" hidden="false" customHeight="false" outlineLevel="0" collapsed="false">
      <c r="A41" s="18"/>
      <c r="B41" s="19"/>
      <c r="C41" s="19"/>
      <c r="D41" s="19"/>
      <c r="E41" s="19"/>
      <c r="F41" s="19"/>
      <c r="G41" s="19"/>
    </row>
    <row r="42" customFormat="false" ht="15" hidden="false" customHeight="false" outlineLevel="0" collapsed="false">
      <c r="A42" s="18"/>
      <c r="B42" s="19"/>
      <c r="C42" s="19"/>
      <c r="D42" s="19"/>
      <c r="E42" s="19"/>
      <c r="F42" s="19"/>
      <c r="G42" s="19"/>
    </row>
    <row r="43" customFormat="false" ht="15" hidden="false" customHeight="false" outlineLevel="0" collapsed="false">
      <c r="A43" s="18"/>
      <c r="B43" s="19"/>
      <c r="C43" s="19"/>
      <c r="D43" s="19"/>
      <c r="E43" s="19"/>
      <c r="F43" s="19"/>
      <c r="G43" s="19"/>
    </row>
    <row r="44" customFormat="false" ht="15" hidden="false" customHeight="false" outlineLevel="0" collapsed="false">
      <c r="A44" s="18"/>
      <c r="B44" s="19"/>
      <c r="C44" s="19"/>
      <c r="D44" s="19"/>
      <c r="E44" s="19"/>
      <c r="F44" s="19"/>
      <c r="G44" s="19"/>
    </row>
    <row r="45" customFormat="false" ht="15" hidden="false" customHeight="false" outlineLevel="0" collapsed="false">
      <c r="A45" s="18"/>
      <c r="B45" s="19"/>
      <c r="C45" s="19"/>
      <c r="D45" s="19"/>
      <c r="E45" s="19"/>
      <c r="F45" s="19"/>
      <c r="G45" s="19"/>
    </row>
    <row r="46" customFormat="false" ht="15" hidden="false" customHeight="false" outlineLevel="0" collapsed="false">
      <c r="A46" s="18"/>
      <c r="B46" s="19"/>
      <c r="C46" s="19"/>
      <c r="D46" s="19"/>
      <c r="E46" s="19"/>
      <c r="F46" s="19"/>
      <c r="G46" s="19"/>
    </row>
    <row r="47" customFormat="false" ht="15" hidden="false" customHeight="false" outlineLevel="0" collapsed="false">
      <c r="A47" s="18"/>
      <c r="B47" s="19"/>
      <c r="C47" s="19"/>
      <c r="D47" s="19"/>
      <c r="E47" s="19"/>
      <c r="F47" s="19"/>
      <c r="G47" s="19"/>
    </row>
    <row r="48" customFormat="false" ht="15" hidden="false" customHeight="false" outlineLevel="0" collapsed="false">
      <c r="A48" s="18"/>
      <c r="B48" s="19"/>
      <c r="C48" s="19"/>
      <c r="D48" s="19"/>
      <c r="E48" s="19"/>
      <c r="F48" s="19"/>
      <c r="G48" s="19"/>
    </row>
    <row r="49" customFormat="false" ht="15" hidden="false" customHeight="false" outlineLevel="0" collapsed="false">
      <c r="A49" s="18"/>
      <c r="B49" s="19"/>
      <c r="C49" s="19"/>
      <c r="D49" s="19"/>
      <c r="E49" s="19"/>
      <c r="F49" s="19"/>
      <c r="G49" s="19"/>
    </row>
    <row r="50" customFormat="false" ht="15" hidden="false" customHeight="false" outlineLevel="0" collapsed="false">
      <c r="A50" s="18"/>
      <c r="B50" s="19"/>
      <c r="C50" s="19"/>
      <c r="D50" s="19"/>
      <c r="E50" s="19"/>
      <c r="F50" s="19"/>
      <c r="G50" s="19"/>
    </row>
    <row r="51" customFormat="false" ht="15" hidden="false" customHeight="false" outlineLevel="0" collapsed="false">
      <c r="A51" s="18"/>
      <c r="B51" s="19"/>
      <c r="C51" s="19"/>
      <c r="D51" s="19"/>
      <c r="E51" s="19"/>
      <c r="F51" s="19"/>
      <c r="G51" s="19"/>
    </row>
    <row r="52" customFormat="false" ht="15" hidden="false" customHeight="false" outlineLevel="0" collapsed="false">
      <c r="A52" s="18"/>
      <c r="B52" s="19"/>
      <c r="C52" s="19"/>
      <c r="D52" s="19"/>
      <c r="E52" s="19"/>
      <c r="F52" s="19"/>
      <c r="G52" s="19"/>
    </row>
    <row r="53" customFormat="false" ht="15" hidden="false" customHeight="false" outlineLevel="0" collapsed="false">
      <c r="A53" s="18"/>
      <c r="B53" s="19"/>
      <c r="C53" s="19"/>
      <c r="D53" s="19"/>
      <c r="E53" s="19"/>
      <c r="F53" s="19"/>
      <c r="G53" s="19"/>
    </row>
    <row r="54" customFormat="false" ht="15" hidden="false" customHeight="false" outlineLevel="0" collapsed="false">
      <c r="A54" s="18"/>
      <c r="B54" s="19"/>
      <c r="C54" s="19"/>
      <c r="D54" s="19"/>
      <c r="E54" s="19"/>
      <c r="F54" s="19"/>
      <c r="G54" s="19"/>
    </row>
    <row r="55" customFormat="false" ht="15" hidden="false" customHeight="false" outlineLevel="0" collapsed="false">
      <c r="A55" s="18"/>
      <c r="B55" s="19"/>
      <c r="C55" s="19"/>
      <c r="D55" s="19"/>
      <c r="E55" s="19"/>
      <c r="F55" s="19"/>
      <c r="G55" s="19"/>
    </row>
    <row r="56" customFormat="false" ht="15" hidden="false" customHeight="false" outlineLevel="0" collapsed="false">
      <c r="A56" s="18"/>
      <c r="B56" s="19"/>
      <c r="C56" s="19"/>
      <c r="D56" s="19"/>
      <c r="E56" s="19"/>
      <c r="F56" s="19"/>
      <c r="G56" s="19"/>
    </row>
    <row r="57" customFormat="false" ht="15" hidden="false" customHeight="false" outlineLevel="0" collapsed="false">
      <c r="A57" s="18"/>
      <c r="B57" s="19"/>
      <c r="C57" s="19"/>
      <c r="D57" s="19"/>
      <c r="E57" s="19"/>
      <c r="F57" s="19"/>
      <c r="G57" s="19"/>
    </row>
    <row r="58" customFormat="false" ht="15" hidden="false" customHeight="false" outlineLevel="0" collapsed="false">
      <c r="A58" s="18"/>
      <c r="B58" s="19"/>
      <c r="C58" s="19"/>
      <c r="D58" s="19"/>
      <c r="E58" s="19"/>
      <c r="F58" s="19"/>
      <c r="G58" s="19"/>
    </row>
    <row r="59" customFormat="false" ht="15" hidden="false" customHeight="false" outlineLevel="0" collapsed="false">
      <c r="A59" s="18"/>
      <c r="B59" s="19"/>
      <c r="C59" s="19"/>
      <c r="D59" s="19"/>
      <c r="E59" s="19"/>
      <c r="F59" s="19"/>
      <c r="G59" s="19"/>
    </row>
    <row r="60" customFormat="false" ht="15" hidden="false" customHeight="false" outlineLevel="0" collapsed="false">
      <c r="A60" s="18"/>
      <c r="B60" s="19"/>
      <c r="C60" s="19"/>
      <c r="D60" s="19"/>
      <c r="E60" s="19"/>
      <c r="F60" s="19"/>
      <c r="G60" s="19"/>
    </row>
    <row r="61" customFormat="false" ht="15" hidden="false" customHeight="false" outlineLevel="0" collapsed="false">
      <c r="A61" s="18"/>
      <c r="B61" s="19"/>
      <c r="C61" s="19"/>
      <c r="D61" s="19"/>
      <c r="E61" s="19"/>
      <c r="F61" s="19"/>
      <c r="G61" s="19"/>
    </row>
    <row r="62" customFormat="false" ht="15" hidden="false" customHeight="false" outlineLevel="0" collapsed="false">
      <c r="A62" s="18"/>
      <c r="B62" s="19"/>
      <c r="C62" s="19"/>
      <c r="D62" s="19"/>
      <c r="E62" s="19"/>
      <c r="F62" s="19"/>
      <c r="G62" s="19"/>
    </row>
    <row r="63" customFormat="false" ht="15" hidden="false" customHeight="false" outlineLevel="0" collapsed="false">
      <c r="A63" s="18"/>
      <c r="B63" s="19"/>
      <c r="C63" s="19"/>
      <c r="D63" s="19"/>
      <c r="E63" s="19"/>
      <c r="F63" s="19"/>
      <c r="G63" s="19"/>
    </row>
    <row r="64" customFormat="false" ht="15" hidden="false" customHeight="false" outlineLevel="0" collapsed="false">
      <c r="A64" s="18"/>
      <c r="B64" s="19"/>
      <c r="C64" s="19"/>
      <c r="D64" s="19"/>
      <c r="E64" s="19"/>
      <c r="F64" s="19"/>
      <c r="G64" s="19"/>
    </row>
  </sheetData>
  <autoFilter ref="A4:G64"/>
  <dataValidations count="2">
    <dataValidation allowBlank="true" errorStyle="stop" operator="between" showDropDown="false" showErrorMessage="false" showInputMessage="false" sqref="C5:C64" type="list">
      <formula1>"Scorecard,Dashboard,Data pull,Table,Other"</formula1>
      <formula2>0</formula2>
    </dataValidation>
    <dataValidation allowBlank="true" errorStyle="stop" operator="between" showDropDown="false" showErrorMessage="false" showInputMessage="false" sqref="D5:D64" type="list">
      <formula1>"Tableau,QuickSight,Snowflake,Excel,Other"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K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52"/>
    <col collapsed="false" customWidth="true" hidden="false" outlineLevel="0" max="4" min="4" style="0" width="34"/>
    <col collapsed="false" customWidth="true" hidden="false" outlineLevel="0" max="5" min="5" style="0" width="16"/>
    <col collapsed="false" customWidth="true" hidden="false" outlineLevel="0" max="6" min="6" style="0" width="9"/>
    <col collapsed="false" customWidth="true" hidden="false" outlineLevel="0" max="7" min="7" style="0" width="11"/>
    <col collapsed="false" customWidth="true" hidden="false" outlineLevel="0" max="8" min="8" style="0" width="16"/>
    <col collapsed="false" customWidth="true" hidden="false" outlineLevel="0" max="9" min="9" style="0" width="12"/>
    <col collapsed="false" customWidth="true" hidden="false" outlineLevel="0" max="10" min="10" style="0" width="11"/>
    <col collapsed="false" customWidth="true" hidden="false" outlineLevel="0" max="11" min="11" style="0" width="42"/>
  </cols>
  <sheetData>
    <row r="1" customFormat="false" ht="17.35" hidden="false" customHeight="false" outlineLevel="0" collapsed="false">
      <c r="A1" s="1" t="s">
        <v>5</v>
      </c>
    </row>
    <row r="2" customFormat="false" ht="15" hidden="false" customHeight="false" outlineLevel="0" collapsed="false">
      <c r="A2" s="2" t="s">
        <v>203</v>
      </c>
    </row>
    <row r="4" customFormat="false" ht="30" hidden="false" customHeight="true" outlineLevel="0" collapsed="false">
      <c r="A4" s="11" t="s">
        <v>84</v>
      </c>
      <c r="B4" s="11" t="s">
        <v>87</v>
      </c>
      <c r="C4" s="11" t="s">
        <v>90</v>
      </c>
      <c r="D4" s="11" t="s">
        <v>93</v>
      </c>
      <c r="E4" s="11" t="s">
        <v>96</v>
      </c>
      <c r="F4" s="11" t="s">
        <v>99</v>
      </c>
      <c r="G4" s="11" t="s">
        <v>102</v>
      </c>
      <c r="H4" s="11" t="s">
        <v>78</v>
      </c>
      <c r="I4" s="11" t="s">
        <v>106</v>
      </c>
      <c r="J4" s="11" t="s">
        <v>108</v>
      </c>
      <c r="K4" s="11" t="s">
        <v>81</v>
      </c>
    </row>
    <row r="5" customFormat="false" ht="35.05" hidden="false" customHeight="false" outlineLevel="0" collapsed="false">
      <c r="A5" s="18" t="s">
        <v>86</v>
      </c>
      <c r="B5" s="19" t="s">
        <v>89</v>
      </c>
      <c r="C5" s="19" t="s">
        <v>204</v>
      </c>
      <c r="D5" s="19" t="s">
        <v>205</v>
      </c>
      <c r="E5" s="19" t="s">
        <v>98</v>
      </c>
      <c r="F5" s="19" t="s">
        <v>101</v>
      </c>
      <c r="G5" s="19" t="s">
        <v>104</v>
      </c>
      <c r="H5" s="19"/>
      <c r="I5" s="16" t="n">
        <f aca="false">IF(A5="","",COUNTIF('Metric to Product'!$A:$A,A5))</f>
        <v>3</v>
      </c>
      <c r="J5" s="16" t="n">
        <f aca="false">IF(A5="","",COUNTIF('Metric to Field'!$A:$A,A5))</f>
        <v>5</v>
      </c>
      <c r="K5" s="19" t="s">
        <v>206</v>
      </c>
    </row>
    <row r="6" customFormat="false" ht="23.85" hidden="false" customHeight="false" outlineLevel="0" collapsed="false">
      <c r="A6" s="18" t="s">
        <v>207</v>
      </c>
      <c r="B6" s="19" t="s">
        <v>208</v>
      </c>
      <c r="C6" s="19" t="s">
        <v>209</v>
      </c>
      <c r="D6" s="19" t="s">
        <v>210</v>
      </c>
      <c r="E6" s="19" t="s">
        <v>211</v>
      </c>
      <c r="F6" s="19" t="s">
        <v>212</v>
      </c>
      <c r="G6" s="19" t="s">
        <v>104</v>
      </c>
      <c r="H6" s="19"/>
      <c r="I6" s="16" t="n">
        <f aca="false">IF(A6="","",COUNTIF('Metric to Product'!$A:$A,A6))</f>
        <v>1</v>
      </c>
      <c r="J6" s="16" t="n">
        <f aca="false">IF(A6="","",COUNTIF('Metric to Field'!$A:$A,A6))</f>
        <v>2</v>
      </c>
      <c r="K6" s="19" t="s">
        <v>213</v>
      </c>
    </row>
    <row r="7" customFormat="false" ht="15" hidden="false" customHeight="false" outlineLevel="0" collapsed="false">
      <c r="A7" s="18"/>
      <c r="B7" s="19"/>
      <c r="C7" s="19"/>
      <c r="D7" s="19"/>
      <c r="E7" s="19"/>
      <c r="F7" s="19"/>
      <c r="G7" s="19"/>
      <c r="H7" s="19"/>
      <c r="I7" s="16" t="str">
        <f aca="false">IF(A7="","",COUNTIF('Metric to Product'!$A:$A,A7))</f>
        <v/>
      </c>
      <c r="J7" s="16" t="str">
        <f aca="false">IF(A7="","",COUNTIF('Metric to Field'!$A:$A,A7))</f>
        <v/>
      </c>
      <c r="K7" s="19"/>
    </row>
    <row r="8" customFormat="false" ht="15" hidden="false" customHeight="false" outlineLevel="0" collapsed="false">
      <c r="A8" s="18"/>
      <c r="B8" s="19"/>
      <c r="C8" s="19"/>
      <c r="D8" s="19"/>
      <c r="E8" s="19"/>
      <c r="F8" s="19"/>
      <c r="G8" s="19"/>
      <c r="H8" s="19"/>
      <c r="I8" s="16" t="str">
        <f aca="false">IF(A8="","",COUNTIF('Metric to Product'!$A:$A,A8))</f>
        <v/>
      </c>
      <c r="J8" s="16" t="str">
        <f aca="false">IF(A8="","",COUNTIF('Metric to Field'!$A:$A,A8))</f>
        <v/>
      </c>
      <c r="K8" s="19"/>
    </row>
    <row r="9" customFormat="false" ht="15" hidden="false" customHeight="false" outlineLevel="0" collapsed="false">
      <c r="A9" s="18"/>
      <c r="B9" s="19"/>
      <c r="C9" s="19"/>
      <c r="D9" s="19"/>
      <c r="E9" s="19"/>
      <c r="F9" s="19"/>
      <c r="G9" s="19"/>
      <c r="H9" s="19"/>
      <c r="I9" s="16" t="str">
        <f aca="false">IF(A9="","",COUNTIF('Metric to Product'!$A:$A,A9))</f>
        <v/>
      </c>
      <c r="J9" s="16" t="str">
        <f aca="false">IF(A9="","",COUNTIF('Metric to Field'!$A:$A,A9))</f>
        <v/>
      </c>
      <c r="K9" s="19"/>
    </row>
    <row r="10" customFormat="false" ht="15" hidden="false" customHeight="false" outlineLevel="0" collapsed="false">
      <c r="A10" s="18"/>
      <c r="B10" s="19"/>
      <c r="C10" s="19"/>
      <c r="D10" s="19"/>
      <c r="E10" s="19"/>
      <c r="F10" s="19"/>
      <c r="G10" s="19"/>
      <c r="H10" s="19"/>
      <c r="I10" s="16" t="str">
        <f aca="false">IF(A10="","",COUNTIF('Metric to Product'!$A:$A,A10))</f>
        <v/>
      </c>
      <c r="J10" s="16" t="str">
        <f aca="false">IF(A10="","",COUNTIF('Metric to Field'!$A:$A,A10))</f>
        <v/>
      </c>
      <c r="K10" s="19"/>
    </row>
    <row r="11" customFormat="false" ht="15" hidden="false" customHeight="false" outlineLevel="0" collapsed="false">
      <c r="A11" s="18"/>
      <c r="B11" s="19"/>
      <c r="C11" s="19"/>
      <c r="D11" s="19"/>
      <c r="E11" s="19"/>
      <c r="F11" s="19"/>
      <c r="G11" s="19"/>
      <c r="H11" s="19"/>
      <c r="I11" s="16" t="str">
        <f aca="false">IF(A11="","",COUNTIF('Metric to Product'!$A:$A,A11))</f>
        <v/>
      </c>
      <c r="J11" s="16" t="str">
        <f aca="false">IF(A11="","",COUNTIF('Metric to Field'!$A:$A,A11))</f>
        <v/>
      </c>
      <c r="K11" s="19"/>
    </row>
    <row r="12" customFormat="false" ht="15" hidden="false" customHeight="false" outlineLevel="0" collapsed="false">
      <c r="A12" s="18"/>
      <c r="B12" s="19"/>
      <c r="C12" s="19"/>
      <c r="D12" s="19"/>
      <c r="E12" s="19"/>
      <c r="F12" s="19"/>
      <c r="G12" s="19"/>
      <c r="H12" s="19"/>
      <c r="I12" s="16" t="str">
        <f aca="false">IF(A12="","",COUNTIF('Metric to Product'!$A:$A,A12))</f>
        <v/>
      </c>
      <c r="J12" s="16" t="str">
        <f aca="false">IF(A12="","",COUNTIF('Metric to Field'!$A:$A,A12))</f>
        <v/>
      </c>
      <c r="K12" s="19"/>
    </row>
    <row r="13" customFormat="false" ht="15" hidden="false" customHeight="false" outlineLevel="0" collapsed="false">
      <c r="A13" s="18"/>
      <c r="B13" s="19"/>
      <c r="C13" s="19"/>
      <c r="D13" s="19"/>
      <c r="E13" s="19"/>
      <c r="F13" s="19"/>
      <c r="G13" s="19"/>
      <c r="H13" s="19"/>
      <c r="I13" s="16" t="str">
        <f aca="false">IF(A13="","",COUNTIF('Metric to Product'!$A:$A,A13))</f>
        <v/>
      </c>
      <c r="J13" s="16" t="str">
        <f aca="false">IF(A13="","",COUNTIF('Metric to Field'!$A:$A,A13))</f>
        <v/>
      </c>
      <c r="K13" s="19"/>
    </row>
    <row r="14" customFormat="false" ht="15" hidden="false" customHeight="false" outlineLevel="0" collapsed="false">
      <c r="A14" s="18"/>
      <c r="B14" s="19"/>
      <c r="C14" s="19"/>
      <c r="D14" s="19"/>
      <c r="E14" s="19"/>
      <c r="F14" s="19"/>
      <c r="G14" s="19"/>
      <c r="H14" s="19"/>
      <c r="I14" s="16" t="str">
        <f aca="false">IF(A14="","",COUNTIF('Metric to Product'!$A:$A,A14))</f>
        <v/>
      </c>
      <c r="J14" s="16" t="str">
        <f aca="false">IF(A14="","",COUNTIF('Metric to Field'!$A:$A,A14))</f>
        <v/>
      </c>
      <c r="K14" s="19"/>
    </row>
    <row r="15" customFormat="false" ht="15" hidden="false" customHeight="false" outlineLevel="0" collapsed="false">
      <c r="A15" s="18"/>
      <c r="B15" s="19"/>
      <c r="C15" s="19"/>
      <c r="D15" s="19"/>
      <c r="E15" s="19"/>
      <c r="F15" s="19"/>
      <c r="G15" s="19"/>
      <c r="H15" s="19"/>
      <c r="I15" s="16" t="str">
        <f aca="false">IF(A15="","",COUNTIF('Metric to Product'!$A:$A,A15))</f>
        <v/>
      </c>
      <c r="J15" s="16" t="str">
        <f aca="false">IF(A15="","",COUNTIF('Metric to Field'!$A:$A,A15))</f>
        <v/>
      </c>
      <c r="K15" s="19"/>
    </row>
    <row r="16" customFormat="false" ht="15" hidden="false" customHeight="false" outlineLevel="0" collapsed="false">
      <c r="A16" s="18"/>
      <c r="B16" s="19"/>
      <c r="C16" s="19"/>
      <c r="D16" s="19"/>
      <c r="E16" s="19"/>
      <c r="F16" s="19"/>
      <c r="G16" s="19"/>
      <c r="H16" s="19"/>
      <c r="I16" s="16" t="str">
        <f aca="false">IF(A16="","",COUNTIF('Metric to Product'!$A:$A,A16))</f>
        <v/>
      </c>
      <c r="J16" s="16" t="str">
        <f aca="false">IF(A16="","",COUNTIF('Metric to Field'!$A:$A,A16))</f>
        <v/>
      </c>
      <c r="K16" s="19"/>
    </row>
    <row r="17" customFormat="false" ht="15" hidden="false" customHeight="false" outlineLevel="0" collapsed="false">
      <c r="A17" s="18"/>
      <c r="B17" s="19"/>
      <c r="C17" s="19"/>
      <c r="D17" s="19"/>
      <c r="E17" s="19"/>
      <c r="F17" s="19"/>
      <c r="G17" s="19"/>
      <c r="H17" s="19"/>
      <c r="I17" s="16" t="str">
        <f aca="false">IF(A17="","",COUNTIF('Metric to Product'!$A:$A,A17))</f>
        <v/>
      </c>
      <c r="J17" s="16" t="str">
        <f aca="false">IF(A17="","",COUNTIF('Metric to Field'!$A:$A,A17))</f>
        <v/>
      </c>
      <c r="K17" s="19"/>
    </row>
    <row r="18" customFormat="false" ht="15" hidden="false" customHeight="false" outlineLevel="0" collapsed="false">
      <c r="A18" s="18"/>
      <c r="B18" s="19"/>
      <c r="C18" s="19"/>
      <c r="D18" s="19"/>
      <c r="E18" s="19"/>
      <c r="F18" s="19"/>
      <c r="G18" s="19"/>
      <c r="H18" s="19"/>
      <c r="I18" s="16" t="str">
        <f aca="false">IF(A18="","",COUNTIF('Metric to Product'!$A:$A,A18))</f>
        <v/>
      </c>
      <c r="J18" s="16" t="str">
        <f aca="false">IF(A18="","",COUNTIF('Metric to Field'!$A:$A,A18))</f>
        <v/>
      </c>
      <c r="K18" s="19"/>
    </row>
    <row r="19" customFormat="false" ht="15" hidden="false" customHeight="false" outlineLevel="0" collapsed="false">
      <c r="A19" s="18"/>
      <c r="B19" s="19"/>
      <c r="C19" s="19"/>
      <c r="D19" s="19"/>
      <c r="E19" s="19"/>
      <c r="F19" s="19"/>
      <c r="G19" s="19"/>
      <c r="H19" s="19"/>
      <c r="I19" s="16" t="str">
        <f aca="false">IF(A19="","",COUNTIF('Metric to Product'!$A:$A,A19))</f>
        <v/>
      </c>
      <c r="J19" s="16" t="str">
        <f aca="false">IF(A19="","",COUNTIF('Metric to Field'!$A:$A,A19))</f>
        <v/>
      </c>
      <c r="K19" s="19"/>
    </row>
    <row r="20" customFormat="false" ht="15" hidden="false" customHeight="false" outlineLevel="0" collapsed="false">
      <c r="A20" s="18"/>
      <c r="B20" s="19"/>
      <c r="C20" s="19"/>
      <c r="D20" s="19"/>
      <c r="E20" s="19"/>
      <c r="F20" s="19"/>
      <c r="G20" s="19"/>
      <c r="H20" s="19"/>
      <c r="I20" s="16" t="str">
        <f aca="false">IF(A20="","",COUNTIF('Metric to Product'!$A:$A,A20))</f>
        <v/>
      </c>
      <c r="J20" s="16" t="str">
        <f aca="false">IF(A20="","",COUNTIF('Metric to Field'!$A:$A,A20))</f>
        <v/>
      </c>
      <c r="K20" s="19"/>
    </row>
    <row r="21" customFormat="false" ht="15" hidden="false" customHeight="false" outlineLevel="0" collapsed="false">
      <c r="A21" s="18"/>
      <c r="B21" s="19"/>
      <c r="C21" s="19"/>
      <c r="D21" s="19"/>
      <c r="E21" s="19"/>
      <c r="F21" s="19"/>
      <c r="G21" s="19"/>
      <c r="H21" s="19"/>
      <c r="I21" s="16" t="str">
        <f aca="false">IF(A21="","",COUNTIF('Metric to Product'!$A:$A,A21))</f>
        <v/>
      </c>
      <c r="J21" s="16" t="str">
        <f aca="false">IF(A21="","",COUNTIF('Metric to Field'!$A:$A,A21))</f>
        <v/>
      </c>
      <c r="K21" s="19"/>
    </row>
    <row r="22" customFormat="false" ht="15" hidden="false" customHeight="false" outlineLevel="0" collapsed="false">
      <c r="A22" s="18"/>
      <c r="B22" s="19"/>
      <c r="C22" s="19"/>
      <c r="D22" s="19"/>
      <c r="E22" s="19"/>
      <c r="F22" s="19"/>
      <c r="G22" s="19"/>
      <c r="H22" s="19"/>
      <c r="I22" s="16" t="str">
        <f aca="false">IF(A22="","",COUNTIF('Metric to Product'!$A:$A,A22))</f>
        <v/>
      </c>
      <c r="J22" s="16" t="str">
        <f aca="false">IF(A22="","",COUNTIF('Metric to Field'!$A:$A,A22))</f>
        <v/>
      </c>
      <c r="K22" s="19"/>
    </row>
    <row r="23" customFormat="false" ht="15" hidden="false" customHeight="false" outlineLevel="0" collapsed="false">
      <c r="A23" s="18"/>
      <c r="B23" s="19"/>
      <c r="C23" s="19"/>
      <c r="D23" s="19"/>
      <c r="E23" s="19"/>
      <c r="F23" s="19"/>
      <c r="G23" s="19"/>
      <c r="H23" s="19"/>
      <c r="I23" s="16" t="str">
        <f aca="false">IF(A23="","",COUNTIF('Metric to Product'!$A:$A,A23))</f>
        <v/>
      </c>
      <c r="J23" s="16" t="str">
        <f aca="false">IF(A23="","",COUNTIF('Metric to Field'!$A:$A,A23))</f>
        <v/>
      </c>
      <c r="K23" s="19"/>
    </row>
    <row r="24" customFormat="false" ht="15" hidden="false" customHeight="false" outlineLevel="0" collapsed="false">
      <c r="A24" s="18"/>
      <c r="B24" s="19"/>
      <c r="C24" s="19"/>
      <c r="D24" s="19"/>
      <c r="E24" s="19"/>
      <c r="F24" s="19"/>
      <c r="G24" s="19"/>
      <c r="H24" s="19"/>
      <c r="I24" s="16" t="str">
        <f aca="false">IF(A24="","",COUNTIF('Metric to Product'!$A:$A,A24))</f>
        <v/>
      </c>
      <c r="J24" s="16" t="str">
        <f aca="false">IF(A24="","",COUNTIF('Metric to Field'!$A:$A,A24))</f>
        <v/>
      </c>
      <c r="K24" s="19"/>
    </row>
    <row r="25" customFormat="false" ht="15" hidden="false" customHeight="false" outlineLevel="0" collapsed="false">
      <c r="A25" s="18"/>
      <c r="B25" s="19"/>
      <c r="C25" s="19"/>
      <c r="D25" s="19"/>
      <c r="E25" s="19"/>
      <c r="F25" s="19"/>
      <c r="G25" s="19"/>
      <c r="H25" s="19"/>
      <c r="I25" s="16" t="str">
        <f aca="false">IF(A25="","",COUNTIF('Metric to Product'!$A:$A,A25))</f>
        <v/>
      </c>
      <c r="J25" s="16" t="str">
        <f aca="false">IF(A25="","",COUNTIF('Metric to Field'!$A:$A,A25))</f>
        <v/>
      </c>
      <c r="K25" s="19"/>
    </row>
    <row r="26" customFormat="false" ht="15" hidden="false" customHeight="false" outlineLevel="0" collapsed="false">
      <c r="A26" s="18"/>
      <c r="B26" s="19"/>
      <c r="C26" s="19"/>
      <c r="D26" s="19"/>
      <c r="E26" s="19"/>
      <c r="F26" s="19"/>
      <c r="G26" s="19"/>
      <c r="H26" s="19"/>
      <c r="I26" s="16" t="str">
        <f aca="false">IF(A26="","",COUNTIF('Metric to Product'!$A:$A,A26))</f>
        <v/>
      </c>
      <c r="J26" s="16" t="str">
        <f aca="false">IF(A26="","",COUNTIF('Metric to Field'!$A:$A,A26))</f>
        <v/>
      </c>
      <c r="K26" s="19"/>
    </row>
    <row r="27" customFormat="false" ht="15" hidden="false" customHeight="false" outlineLevel="0" collapsed="false">
      <c r="A27" s="18"/>
      <c r="B27" s="19"/>
      <c r="C27" s="19"/>
      <c r="D27" s="19"/>
      <c r="E27" s="19"/>
      <c r="F27" s="19"/>
      <c r="G27" s="19"/>
      <c r="H27" s="19"/>
      <c r="I27" s="16" t="str">
        <f aca="false">IF(A27="","",COUNTIF('Metric to Product'!$A:$A,A27))</f>
        <v/>
      </c>
      <c r="J27" s="16" t="str">
        <f aca="false">IF(A27="","",COUNTIF('Metric to Field'!$A:$A,A27))</f>
        <v/>
      </c>
      <c r="K27" s="19"/>
    </row>
    <row r="28" customFormat="false" ht="15" hidden="false" customHeight="false" outlineLevel="0" collapsed="false">
      <c r="A28" s="18"/>
      <c r="B28" s="19"/>
      <c r="C28" s="19"/>
      <c r="D28" s="19"/>
      <c r="E28" s="19"/>
      <c r="F28" s="19"/>
      <c r="G28" s="19"/>
      <c r="H28" s="19"/>
      <c r="I28" s="16" t="str">
        <f aca="false">IF(A28="","",COUNTIF('Metric to Product'!$A:$A,A28))</f>
        <v/>
      </c>
      <c r="J28" s="16" t="str">
        <f aca="false">IF(A28="","",COUNTIF('Metric to Field'!$A:$A,A28))</f>
        <v/>
      </c>
      <c r="K28" s="19"/>
    </row>
    <row r="29" customFormat="false" ht="15" hidden="false" customHeight="false" outlineLevel="0" collapsed="false">
      <c r="A29" s="18"/>
      <c r="B29" s="19"/>
      <c r="C29" s="19"/>
      <c r="D29" s="19"/>
      <c r="E29" s="19"/>
      <c r="F29" s="19"/>
      <c r="G29" s="19"/>
      <c r="H29" s="19"/>
      <c r="I29" s="16" t="str">
        <f aca="false">IF(A29="","",COUNTIF('Metric to Product'!$A:$A,A29))</f>
        <v/>
      </c>
      <c r="J29" s="16" t="str">
        <f aca="false">IF(A29="","",COUNTIF('Metric to Field'!$A:$A,A29))</f>
        <v/>
      </c>
      <c r="K29" s="19"/>
    </row>
    <row r="30" customFormat="false" ht="15" hidden="false" customHeight="false" outlineLevel="0" collapsed="false">
      <c r="A30" s="18"/>
      <c r="B30" s="19"/>
      <c r="C30" s="19"/>
      <c r="D30" s="19"/>
      <c r="E30" s="19"/>
      <c r="F30" s="19"/>
      <c r="G30" s="19"/>
      <c r="H30" s="19"/>
      <c r="I30" s="16" t="str">
        <f aca="false">IF(A30="","",COUNTIF('Metric to Product'!$A:$A,A30))</f>
        <v/>
      </c>
      <c r="J30" s="16" t="str">
        <f aca="false">IF(A30="","",COUNTIF('Metric to Field'!$A:$A,A30))</f>
        <v/>
      </c>
      <c r="K30" s="19"/>
    </row>
    <row r="31" customFormat="false" ht="15" hidden="false" customHeight="false" outlineLevel="0" collapsed="false">
      <c r="A31" s="18"/>
      <c r="B31" s="19"/>
      <c r="C31" s="19"/>
      <c r="D31" s="19"/>
      <c r="E31" s="19"/>
      <c r="F31" s="19"/>
      <c r="G31" s="19"/>
      <c r="H31" s="19"/>
      <c r="I31" s="16" t="str">
        <f aca="false">IF(A31="","",COUNTIF('Metric to Product'!$A:$A,A31))</f>
        <v/>
      </c>
      <c r="J31" s="16" t="str">
        <f aca="false">IF(A31="","",COUNTIF('Metric to Field'!$A:$A,A31))</f>
        <v/>
      </c>
      <c r="K31" s="19"/>
    </row>
    <row r="32" customFormat="false" ht="15" hidden="false" customHeight="false" outlineLevel="0" collapsed="false">
      <c r="A32" s="18"/>
      <c r="B32" s="19"/>
      <c r="C32" s="19"/>
      <c r="D32" s="19"/>
      <c r="E32" s="19"/>
      <c r="F32" s="19"/>
      <c r="G32" s="19"/>
      <c r="H32" s="19"/>
      <c r="I32" s="16" t="str">
        <f aca="false">IF(A32="","",COUNTIF('Metric to Product'!$A:$A,A32))</f>
        <v/>
      </c>
      <c r="J32" s="16" t="str">
        <f aca="false">IF(A32="","",COUNTIF('Metric to Field'!$A:$A,A32))</f>
        <v/>
      </c>
      <c r="K32" s="19"/>
    </row>
    <row r="33" customFormat="false" ht="15" hidden="false" customHeight="false" outlineLevel="0" collapsed="false">
      <c r="A33" s="18"/>
      <c r="B33" s="19"/>
      <c r="C33" s="19"/>
      <c r="D33" s="19"/>
      <c r="E33" s="19"/>
      <c r="F33" s="19"/>
      <c r="G33" s="19"/>
      <c r="H33" s="19"/>
      <c r="I33" s="16" t="str">
        <f aca="false">IF(A33="","",COUNTIF('Metric to Product'!$A:$A,A33))</f>
        <v/>
      </c>
      <c r="J33" s="16" t="str">
        <f aca="false">IF(A33="","",COUNTIF('Metric to Field'!$A:$A,A33))</f>
        <v/>
      </c>
      <c r="K33" s="19"/>
    </row>
    <row r="34" customFormat="false" ht="15" hidden="false" customHeight="false" outlineLevel="0" collapsed="false">
      <c r="A34" s="18"/>
      <c r="B34" s="19"/>
      <c r="C34" s="19"/>
      <c r="D34" s="19"/>
      <c r="E34" s="19"/>
      <c r="F34" s="19"/>
      <c r="G34" s="19"/>
      <c r="H34" s="19"/>
      <c r="I34" s="16" t="str">
        <f aca="false">IF(A34="","",COUNTIF('Metric to Product'!$A:$A,A34))</f>
        <v/>
      </c>
      <c r="J34" s="16" t="str">
        <f aca="false">IF(A34="","",COUNTIF('Metric to Field'!$A:$A,A34))</f>
        <v/>
      </c>
      <c r="K34" s="19"/>
    </row>
    <row r="35" customFormat="false" ht="15" hidden="false" customHeight="false" outlineLevel="0" collapsed="false">
      <c r="A35" s="18"/>
      <c r="B35" s="19"/>
      <c r="C35" s="19"/>
      <c r="D35" s="19"/>
      <c r="E35" s="19"/>
      <c r="F35" s="19"/>
      <c r="G35" s="19"/>
      <c r="H35" s="19"/>
      <c r="I35" s="16" t="str">
        <f aca="false">IF(A35="","",COUNTIF('Metric to Product'!$A:$A,A35))</f>
        <v/>
      </c>
      <c r="J35" s="16" t="str">
        <f aca="false">IF(A35="","",COUNTIF('Metric to Field'!$A:$A,A35))</f>
        <v/>
      </c>
      <c r="K35" s="19"/>
    </row>
    <row r="36" customFormat="false" ht="15" hidden="false" customHeight="false" outlineLevel="0" collapsed="false">
      <c r="A36" s="18"/>
      <c r="B36" s="19"/>
      <c r="C36" s="19"/>
      <c r="D36" s="19"/>
      <c r="E36" s="19"/>
      <c r="F36" s="19"/>
      <c r="G36" s="19"/>
      <c r="H36" s="19"/>
      <c r="I36" s="16" t="str">
        <f aca="false">IF(A36="","",COUNTIF('Metric to Product'!$A:$A,A36))</f>
        <v/>
      </c>
      <c r="J36" s="16" t="str">
        <f aca="false">IF(A36="","",COUNTIF('Metric to Field'!$A:$A,A36))</f>
        <v/>
      </c>
      <c r="K36" s="19"/>
    </row>
    <row r="37" customFormat="false" ht="15" hidden="false" customHeight="false" outlineLevel="0" collapsed="false">
      <c r="A37" s="18"/>
      <c r="B37" s="19"/>
      <c r="C37" s="19"/>
      <c r="D37" s="19"/>
      <c r="E37" s="19"/>
      <c r="F37" s="19"/>
      <c r="G37" s="19"/>
      <c r="H37" s="19"/>
      <c r="I37" s="16" t="str">
        <f aca="false">IF(A37="","",COUNTIF('Metric to Product'!$A:$A,A37))</f>
        <v/>
      </c>
      <c r="J37" s="16" t="str">
        <f aca="false">IF(A37="","",COUNTIF('Metric to Field'!$A:$A,A37))</f>
        <v/>
      </c>
      <c r="K37" s="19"/>
    </row>
    <row r="38" customFormat="false" ht="15" hidden="false" customHeight="false" outlineLevel="0" collapsed="false">
      <c r="A38" s="18"/>
      <c r="B38" s="19"/>
      <c r="C38" s="19"/>
      <c r="D38" s="19"/>
      <c r="E38" s="19"/>
      <c r="F38" s="19"/>
      <c r="G38" s="19"/>
      <c r="H38" s="19"/>
      <c r="I38" s="16" t="str">
        <f aca="false">IF(A38="","",COUNTIF('Metric to Product'!$A:$A,A38))</f>
        <v/>
      </c>
      <c r="J38" s="16" t="str">
        <f aca="false">IF(A38="","",COUNTIF('Metric to Field'!$A:$A,A38))</f>
        <v/>
      </c>
      <c r="K38" s="19"/>
    </row>
    <row r="39" customFormat="false" ht="15" hidden="false" customHeight="false" outlineLevel="0" collapsed="false">
      <c r="A39" s="18"/>
      <c r="B39" s="19"/>
      <c r="C39" s="19"/>
      <c r="D39" s="19"/>
      <c r="E39" s="19"/>
      <c r="F39" s="19"/>
      <c r="G39" s="19"/>
      <c r="H39" s="19"/>
      <c r="I39" s="16" t="str">
        <f aca="false">IF(A39="","",COUNTIF('Metric to Product'!$A:$A,A39))</f>
        <v/>
      </c>
      <c r="J39" s="16" t="str">
        <f aca="false">IF(A39="","",COUNTIF('Metric to Field'!$A:$A,A39))</f>
        <v/>
      </c>
      <c r="K39" s="19"/>
    </row>
    <row r="40" customFormat="false" ht="15" hidden="false" customHeight="false" outlineLevel="0" collapsed="false">
      <c r="A40" s="18"/>
      <c r="B40" s="19"/>
      <c r="C40" s="19"/>
      <c r="D40" s="19"/>
      <c r="E40" s="19"/>
      <c r="F40" s="19"/>
      <c r="G40" s="19"/>
      <c r="H40" s="19"/>
      <c r="I40" s="16" t="str">
        <f aca="false">IF(A40="","",COUNTIF('Metric to Product'!$A:$A,A40))</f>
        <v/>
      </c>
      <c r="J40" s="16" t="str">
        <f aca="false">IF(A40="","",COUNTIF('Metric to Field'!$A:$A,A40))</f>
        <v/>
      </c>
      <c r="K40" s="19"/>
    </row>
    <row r="41" customFormat="false" ht="15" hidden="false" customHeight="false" outlineLevel="0" collapsed="false">
      <c r="A41" s="18"/>
      <c r="B41" s="19"/>
      <c r="C41" s="19"/>
      <c r="D41" s="19"/>
      <c r="E41" s="19"/>
      <c r="F41" s="19"/>
      <c r="G41" s="19"/>
      <c r="H41" s="19"/>
      <c r="I41" s="16" t="str">
        <f aca="false">IF(A41="","",COUNTIF('Metric to Product'!$A:$A,A41))</f>
        <v/>
      </c>
      <c r="J41" s="16" t="str">
        <f aca="false">IF(A41="","",COUNTIF('Metric to Field'!$A:$A,A41))</f>
        <v/>
      </c>
      <c r="K41" s="19"/>
    </row>
    <row r="42" customFormat="false" ht="15" hidden="false" customHeight="false" outlineLevel="0" collapsed="false">
      <c r="A42" s="18"/>
      <c r="B42" s="19"/>
      <c r="C42" s="19"/>
      <c r="D42" s="19"/>
      <c r="E42" s="19"/>
      <c r="F42" s="19"/>
      <c r="G42" s="19"/>
      <c r="H42" s="19"/>
      <c r="I42" s="16" t="str">
        <f aca="false">IF(A42="","",COUNTIF('Metric to Product'!$A:$A,A42))</f>
        <v/>
      </c>
      <c r="J42" s="16" t="str">
        <f aca="false">IF(A42="","",COUNTIF('Metric to Field'!$A:$A,A42))</f>
        <v/>
      </c>
      <c r="K42" s="19"/>
    </row>
    <row r="43" customFormat="false" ht="15" hidden="false" customHeight="false" outlineLevel="0" collapsed="false">
      <c r="A43" s="18"/>
      <c r="B43" s="19"/>
      <c r="C43" s="19"/>
      <c r="D43" s="19"/>
      <c r="E43" s="19"/>
      <c r="F43" s="19"/>
      <c r="G43" s="19"/>
      <c r="H43" s="19"/>
      <c r="I43" s="16" t="str">
        <f aca="false">IF(A43="","",COUNTIF('Metric to Product'!$A:$A,A43))</f>
        <v/>
      </c>
      <c r="J43" s="16" t="str">
        <f aca="false">IF(A43="","",COUNTIF('Metric to Field'!$A:$A,A43))</f>
        <v/>
      </c>
      <c r="K43" s="19"/>
    </row>
    <row r="44" customFormat="false" ht="15" hidden="false" customHeight="false" outlineLevel="0" collapsed="false">
      <c r="A44" s="18"/>
      <c r="B44" s="19"/>
      <c r="C44" s="19"/>
      <c r="D44" s="19"/>
      <c r="E44" s="19"/>
      <c r="F44" s="19"/>
      <c r="G44" s="19"/>
      <c r="H44" s="19"/>
      <c r="I44" s="16" t="str">
        <f aca="false">IF(A44="","",COUNTIF('Metric to Product'!$A:$A,A44))</f>
        <v/>
      </c>
      <c r="J44" s="16" t="str">
        <f aca="false">IF(A44="","",COUNTIF('Metric to Field'!$A:$A,A44))</f>
        <v/>
      </c>
      <c r="K44" s="19"/>
    </row>
    <row r="45" customFormat="false" ht="15" hidden="false" customHeight="false" outlineLevel="0" collapsed="false">
      <c r="A45" s="18"/>
      <c r="B45" s="19"/>
      <c r="C45" s="19"/>
      <c r="D45" s="19"/>
      <c r="E45" s="19"/>
      <c r="F45" s="19"/>
      <c r="G45" s="19"/>
      <c r="H45" s="19"/>
      <c r="I45" s="16" t="str">
        <f aca="false">IF(A45="","",COUNTIF('Metric to Product'!$A:$A,A45))</f>
        <v/>
      </c>
      <c r="J45" s="16" t="str">
        <f aca="false">IF(A45="","",COUNTIF('Metric to Field'!$A:$A,A45))</f>
        <v/>
      </c>
      <c r="K45" s="19"/>
    </row>
    <row r="46" customFormat="false" ht="15" hidden="false" customHeight="false" outlineLevel="0" collapsed="false">
      <c r="A46" s="18"/>
      <c r="B46" s="19"/>
      <c r="C46" s="19"/>
      <c r="D46" s="19"/>
      <c r="E46" s="19"/>
      <c r="F46" s="19"/>
      <c r="G46" s="19"/>
      <c r="H46" s="19"/>
      <c r="I46" s="16" t="str">
        <f aca="false">IF(A46="","",COUNTIF('Metric to Product'!$A:$A,A46))</f>
        <v/>
      </c>
      <c r="J46" s="16" t="str">
        <f aca="false">IF(A46="","",COUNTIF('Metric to Field'!$A:$A,A46))</f>
        <v/>
      </c>
      <c r="K46" s="19"/>
    </row>
    <row r="47" customFormat="false" ht="15" hidden="false" customHeight="false" outlineLevel="0" collapsed="false">
      <c r="A47" s="18"/>
      <c r="B47" s="19"/>
      <c r="C47" s="19"/>
      <c r="D47" s="19"/>
      <c r="E47" s="19"/>
      <c r="F47" s="19"/>
      <c r="G47" s="19"/>
      <c r="H47" s="19"/>
      <c r="I47" s="16" t="str">
        <f aca="false">IF(A47="","",COUNTIF('Metric to Product'!$A:$A,A47))</f>
        <v/>
      </c>
      <c r="J47" s="16" t="str">
        <f aca="false">IF(A47="","",COUNTIF('Metric to Field'!$A:$A,A47))</f>
        <v/>
      </c>
      <c r="K47" s="19"/>
    </row>
    <row r="48" customFormat="false" ht="15" hidden="false" customHeight="false" outlineLevel="0" collapsed="false">
      <c r="A48" s="18"/>
      <c r="B48" s="19"/>
      <c r="C48" s="19"/>
      <c r="D48" s="19"/>
      <c r="E48" s="19"/>
      <c r="F48" s="19"/>
      <c r="G48" s="19"/>
      <c r="H48" s="19"/>
      <c r="I48" s="16" t="str">
        <f aca="false">IF(A48="","",COUNTIF('Metric to Product'!$A:$A,A48))</f>
        <v/>
      </c>
      <c r="J48" s="16" t="str">
        <f aca="false">IF(A48="","",COUNTIF('Metric to Field'!$A:$A,A48))</f>
        <v/>
      </c>
      <c r="K48" s="19"/>
    </row>
    <row r="49" customFormat="false" ht="15" hidden="false" customHeight="false" outlineLevel="0" collapsed="false">
      <c r="A49" s="18"/>
      <c r="B49" s="19"/>
      <c r="C49" s="19"/>
      <c r="D49" s="19"/>
      <c r="E49" s="19"/>
      <c r="F49" s="19"/>
      <c r="G49" s="19"/>
      <c r="H49" s="19"/>
      <c r="I49" s="16" t="str">
        <f aca="false">IF(A49="","",COUNTIF('Metric to Product'!$A:$A,A49))</f>
        <v/>
      </c>
      <c r="J49" s="16" t="str">
        <f aca="false">IF(A49="","",COUNTIF('Metric to Field'!$A:$A,A49))</f>
        <v/>
      </c>
      <c r="K49" s="19"/>
    </row>
    <row r="50" customFormat="false" ht="15" hidden="false" customHeight="false" outlineLevel="0" collapsed="false">
      <c r="A50" s="18"/>
      <c r="B50" s="19"/>
      <c r="C50" s="19"/>
      <c r="D50" s="19"/>
      <c r="E50" s="19"/>
      <c r="F50" s="19"/>
      <c r="G50" s="19"/>
      <c r="H50" s="19"/>
      <c r="I50" s="16" t="str">
        <f aca="false">IF(A50="","",COUNTIF('Metric to Product'!$A:$A,A50))</f>
        <v/>
      </c>
      <c r="J50" s="16" t="str">
        <f aca="false">IF(A50="","",COUNTIF('Metric to Field'!$A:$A,A50))</f>
        <v/>
      </c>
      <c r="K50" s="19"/>
    </row>
    <row r="51" customFormat="false" ht="15" hidden="false" customHeight="false" outlineLevel="0" collapsed="false">
      <c r="A51" s="18"/>
      <c r="B51" s="19"/>
      <c r="C51" s="19"/>
      <c r="D51" s="19"/>
      <c r="E51" s="19"/>
      <c r="F51" s="19"/>
      <c r="G51" s="19"/>
      <c r="H51" s="19"/>
      <c r="I51" s="16" t="str">
        <f aca="false">IF(A51="","",COUNTIF('Metric to Product'!$A:$A,A51))</f>
        <v/>
      </c>
      <c r="J51" s="16" t="str">
        <f aca="false">IF(A51="","",COUNTIF('Metric to Field'!$A:$A,A51))</f>
        <v/>
      </c>
      <c r="K51" s="19"/>
    </row>
    <row r="52" customFormat="false" ht="15" hidden="false" customHeight="false" outlineLevel="0" collapsed="false">
      <c r="A52" s="18"/>
      <c r="B52" s="19"/>
      <c r="C52" s="19"/>
      <c r="D52" s="19"/>
      <c r="E52" s="19"/>
      <c r="F52" s="19"/>
      <c r="G52" s="19"/>
      <c r="H52" s="19"/>
      <c r="I52" s="16" t="str">
        <f aca="false">IF(A52="","",COUNTIF('Metric to Product'!$A:$A,A52))</f>
        <v/>
      </c>
      <c r="J52" s="16" t="str">
        <f aca="false">IF(A52="","",COUNTIF('Metric to Field'!$A:$A,A52))</f>
        <v/>
      </c>
      <c r="K52" s="19"/>
    </row>
    <row r="53" customFormat="false" ht="15" hidden="false" customHeight="false" outlineLevel="0" collapsed="false">
      <c r="A53" s="18"/>
      <c r="B53" s="19"/>
      <c r="C53" s="19"/>
      <c r="D53" s="19"/>
      <c r="E53" s="19"/>
      <c r="F53" s="19"/>
      <c r="G53" s="19"/>
      <c r="H53" s="19"/>
      <c r="I53" s="16" t="str">
        <f aca="false">IF(A53="","",COUNTIF('Metric to Product'!$A:$A,A53))</f>
        <v/>
      </c>
      <c r="J53" s="16" t="str">
        <f aca="false">IF(A53="","",COUNTIF('Metric to Field'!$A:$A,A53))</f>
        <v/>
      </c>
      <c r="K53" s="19"/>
    </row>
    <row r="54" customFormat="false" ht="15" hidden="false" customHeight="false" outlineLevel="0" collapsed="false">
      <c r="A54" s="18"/>
      <c r="B54" s="19"/>
      <c r="C54" s="19"/>
      <c r="D54" s="19"/>
      <c r="E54" s="19"/>
      <c r="F54" s="19"/>
      <c r="G54" s="19"/>
      <c r="H54" s="19"/>
      <c r="I54" s="16" t="str">
        <f aca="false">IF(A54="","",COUNTIF('Metric to Product'!$A:$A,A54))</f>
        <v/>
      </c>
      <c r="J54" s="16" t="str">
        <f aca="false">IF(A54="","",COUNTIF('Metric to Field'!$A:$A,A54))</f>
        <v/>
      </c>
      <c r="K54" s="19"/>
    </row>
    <row r="55" customFormat="false" ht="15" hidden="false" customHeight="false" outlineLevel="0" collapsed="false">
      <c r="A55" s="18"/>
      <c r="B55" s="19"/>
      <c r="C55" s="19"/>
      <c r="D55" s="19"/>
      <c r="E55" s="19"/>
      <c r="F55" s="19"/>
      <c r="G55" s="19"/>
      <c r="H55" s="19"/>
      <c r="I55" s="16" t="str">
        <f aca="false">IF(A55="","",COUNTIF('Metric to Product'!$A:$A,A55))</f>
        <v/>
      </c>
      <c r="J55" s="16" t="str">
        <f aca="false">IF(A55="","",COUNTIF('Metric to Field'!$A:$A,A55))</f>
        <v/>
      </c>
      <c r="K55" s="19"/>
    </row>
    <row r="56" customFormat="false" ht="15" hidden="false" customHeight="false" outlineLevel="0" collapsed="false">
      <c r="A56" s="18"/>
      <c r="B56" s="19"/>
      <c r="C56" s="19"/>
      <c r="D56" s="19"/>
      <c r="E56" s="19"/>
      <c r="F56" s="19"/>
      <c r="G56" s="19"/>
      <c r="H56" s="19"/>
      <c r="I56" s="16" t="str">
        <f aca="false">IF(A56="","",COUNTIF('Metric to Product'!$A:$A,A56))</f>
        <v/>
      </c>
      <c r="J56" s="16" t="str">
        <f aca="false">IF(A56="","",COUNTIF('Metric to Field'!$A:$A,A56))</f>
        <v/>
      </c>
      <c r="K56" s="19"/>
    </row>
    <row r="57" customFormat="false" ht="15" hidden="false" customHeight="false" outlineLevel="0" collapsed="false">
      <c r="A57" s="18"/>
      <c r="B57" s="19"/>
      <c r="C57" s="19"/>
      <c r="D57" s="19"/>
      <c r="E57" s="19"/>
      <c r="F57" s="19"/>
      <c r="G57" s="19"/>
      <c r="H57" s="19"/>
      <c r="I57" s="16" t="str">
        <f aca="false">IF(A57="","",COUNTIF('Metric to Product'!$A:$A,A57))</f>
        <v/>
      </c>
      <c r="J57" s="16" t="str">
        <f aca="false">IF(A57="","",COUNTIF('Metric to Field'!$A:$A,A57))</f>
        <v/>
      </c>
      <c r="K57" s="19"/>
    </row>
    <row r="58" customFormat="false" ht="15" hidden="false" customHeight="false" outlineLevel="0" collapsed="false">
      <c r="A58" s="18"/>
      <c r="B58" s="19"/>
      <c r="C58" s="19"/>
      <c r="D58" s="19"/>
      <c r="E58" s="19"/>
      <c r="F58" s="19"/>
      <c r="G58" s="19"/>
      <c r="H58" s="19"/>
      <c r="I58" s="16" t="str">
        <f aca="false">IF(A58="","",COUNTIF('Metric to Product'!$A:$A,A58))</f>
        <v/>
      </c>
      <c r="J58" s="16" t="str">
        <f aca="false">IF(A58="","",COUNTIF('Metric to Field'!$A:$A,A58))</f>
        <v/>
      </c>
      <c r="K58" s="19"/>
    </row>
    <row r="59" customFormat="false" ht="15" hidden="false" customHeight="false" outlineLevel="0" collapsed="false">
      <c r="A59" s="18"/>
      <c r="B59" s="19"/>
      <c r="C59" s="19"/>
      <c r="D59" s="19"/>
      <c r="E59" s="19"/>
      <c r="F59" s="19"/>
      <c r="G59" s="19"/>
      <c r="H59" s="19"/>
      <c r="I59" s="16" t="str">
        <f aca="false">IF(A59="","",COUNTIF('Metric to Product'!$A:$A,A59))</f>
        <v/>
      </c>
      <c r="J59" s="16" t="str">
        <f aca="false">IF(A59="","",COUNTIF('Metric to Field'!$A:$A,A59))</f>
        <v/>
      </c>
      <c r="K59" s="19"/>
    </row>
    <row r="60" customFormat="false" ht="15" hidden="false" customHeight="false" outlineLevel="0" collapsed="false">
      <c r="A60" s="18"/>
      <c r="B60" s="19"/>
      <c r="C60" s="19"/>
      <c r="D60" s="19"/>
      <c r="E60" s="19"/>
      <c r="F60" s="19"/>
      <c r="G60" s="19"/>
      <c r="H60" s="19"/>
      <c r="I60" s="16" t="str">
        <f aca="false">IF(A60="","",COUNTIF('Metric to Product'!$A:$A,A60))</f>
        <v/>
      </c>
      <c r="J60" s="16" t="str">
        <f aca="false">IF(A60="","",COUNTIF('Metric to Field'!$A:$A,A60))</f>
        <v/>
      </c>
      <c r="K60" s="19"/>
    </row>
    <row r="61" customFormat="false" ht="15" hidden="false" customHeight="false" outlineLevel="0" collapsed="false">
      <c r="A61" s="18"/>
      <c r="B61" s="19"/>
      <c r="C61" s="19"/>
      <c r="D61" s="19"/>
      <c r="E61" s="19"/>
      <c r="F61" s="19"/>
      <c r="G61" s="19"/>
      <c r="H61" s="19"/>
      <c r="I61" s="16" t="str">
        <f aca="false">IF(A61="","",COUNTIF('Metric to Product'!$A:$A,A61))</f>
        <v/>
      </c>
      <c r="J61" s="16" t="str">
        <f aca="false">IF(A61="","",COUNTIF('Metric to Field'!$A:$A,A61))</f>
        <v/>
      </c>
      <c r="K61" s="19"/>
    </row>
    <row r="62" customFormat="false" ht="15" hidden="false" customHeight="false" outlineLevel="0" collapsed="false">
      <c r="A62" s="18"/>
      <c r="B62" s="19"/>
      <c r="C62" s="19"/>
      <c r="D62" s="19"/>
      <c r="E62" s="19"/>
      <c r="F62" s="19"/>
      <c r="G62" s="19"/>
      <c r="H62" s="19"/>
      <c r="I62" s="16" t="str">
        <f aca="false">IF(A62="","",COUNTIF('Metric to Product'!$A:$A,A62))</f>
        <v/>
      </c>
      <c r="J62" s="16" t="str">
        <f aca="false">IF(A62="","",COUNTIF('Metric to Field'!$A:$A,A62))</f>
        <v/>
      </c>
      <c r="K62" s="19"/>
    </row>
    <row r="63" customFormat="false" ht="15" hidden="false" customHeight="false" outlineLevel="0" collapsed="false">
      <c r="A63" s="18"/>
      <c r="B63" s="19"/>
      <c r="C63" s="19"/>
      <c r="D63" s="19"/>
      <c r="E63" s="19"/>
      <c r="F63" s="19"/>
      <c r="G63" s="19"/>
      <c r="H63" s="19"/>
      <c r="I63" s="16" t="str">
        <f aca="false">IF(A63="","",COUNTIF('Metric to Product'!$A:$A,A63))</f>
        <v/>
      </c>
      <c r="J63" s="16" t="str">
        <f aca="false">IF(A63="","",COUNTIF('Metric to Field'!$A:$A,A63))</f>
        <v/>
      </c>
      <c r="K63" s="19"/>
    </row>
    <row r="64" customFormat="false" ht="15" hidden="false" customHeight="false" outlineLevel="0" collapsed="false">
      <c r="A64" s="18"/>
      <c r="B64" s="19"/>
      <c r="C64" s="19"/>
      <c r="D64" s="19"/>
      <c r="E64" s="19"/>
      <c r="F64" s="19"/>
      <c r="G64" s="19"/>
      <c r="H64" s="19"/>
      <c r="I64" s="16" t="str">
        <f aca="false">IF(A64="","",COUNTIF('Metric to Product'!$A:$A,A64))</f>
        <v/>
      </c>
      <c r="J64" s="16" t="str">
        <f aca="false">IF(A64="","",COUNTIF('Metric to Field'!$A:$A,A64))</f>
        <v/>
      </c>
      <c r="K64" s="19"/>
    </row>
  </sheetData>
  <autoFilter ref="A4:K64"/>
  <conditionalFormatting sqref="G5:G64">
    <cfRule type="cellIs" priority="2" operator="equal" aboveAverage="0" equalAverage="0" bottom="0" percent="0" rank="0" text="" dxfId="9">
      <formula>"Certified"</formula>
    </cfRule>
    <cfRule type="cellIs" priority="3" operator="equal" aboveAverage="0" equalAverage="0" bottom="0" percent="0" rank="0" text="" dxfId="10">
      <formula>"Draft"</formula>
    </cfRule>
  </conditionalFormatting>
  <dataValidations count="2">
    <dataValidation allowBlank="true" errorStyle="stop" operator="between" showDropDown="false" showErrorMessage="false" showInputMessage="false" sqref="G5:G64" type="list">
      <formula1>"Draft,Under review,Agreed,Certified"</formula1>
      <formula2>0</formula2>
    </dataValidation>
    <dataValidation allowBlank="true" errorStyle="stop" operator="between" showDropDown="false" showErrorMessage="false" showInputMessage="false" sqref="E5:E64" type="list">
      <formula1>"Requisition,Opening,Application,Offer,Hire,Interview,Other"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F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3" min="3" style="0" width="32"/>
    <col collapsed="false" customWidth="true" hidden="false" outlineLevel="0" max="4" min="4" style="0" width="24"/>
    <col collapsed="false" customWidth="true" hidden="false" outlineLevel="0" max="5" min="5" style="0" width="34"/>
    <col collapsed="false" customWidth="true" hidden="false" outlineLevel="0" max="6" min="6" style="0" width="30"/>
  </cols>
  <sheetData>
    <row r="1" customFormat="false" ht="17.35" hidden="false" customHeight="false" outlineLevel="0" collapsed="false">
      <c r="A1" s="1" t="s">
        <v>7</v>
      </c>
    </row>
    <row r="2" customFormat="false" ht="15" hidden="false" customHeight="false" outlineLevel="0" collapsed="false">
      <c r="A2" s="2" t="s">
        <v>214</v>
      </c>
    </row>
    <row r="4" customFormat="false" ht="30" hidden="false" customHeight="true" outlineLevel="0" collapsed="false">
      <c r="A4" s="11" t="s">
        <v>84</v>
      </c>
      <c r="B4" s="11" t="s">
        <v>63</v>
      </c>
      <c r="C4" s="11" t="s">
        <v>87</v>
      </c>
      <c r="D4" s="11" t="s">
        <v>66</v>
      </c>
      <c r="E4" s="11" t="s">
        <v>118</v>
      </c>
      <c r="F4" s="11" t="s">
        <v>81</v>
      </c>
    </row>
    <row r="5" customFormat="false" ht="15" hidden="false" customHeight="false" outlineLevel="0" collapsed="false">
      <c r="A5" s="18" t="s">
        <v>86</v>
      </c>
      <c r="B5" s="18" t="s">
        <v>65</v>
      </c>
      <c r="C5" s="16" t="str">
        <f aca="false">IF(A5="","",IFERROR(INDEX(Metrics!$B:$B,MATCH(A5,Metrics!$A:$A,0)),"ID not found"))</f>
        <v>Cycle time (approved to accepted)</v>
      </c>
      <c r="D5" s="16" t="str">
        <f aca="false">IF(B5="","",IFERROR(INDEX(Products!$B:$B,MATCH(B5,Products!$A:$A,0)),"ID not found"))</f>
        <v>TA scorecard</v>
      </c>
      <c r="E5" s="19" t="s">
        <v>215</v>
      </c>
      <c r="F5" s="19" t="s">
        <v>198</v>
      </c>
    </row>
    <row r="6" customFormat="false" ht="15" hidden="false" customHeight="false" outlineLevel="0" collapsed="false">
      <c r="A6" s="18" t="s">
        <v>86</v>
      </c>
      <c r="B6" s="18" t="s">
        <v>114</v>
      </c>
      <c r="C6" s="16" t="str">
        <f aca="false">IF(A6="","",IFERROR(INDEX(Metrics!$B:$B,MATCH(A6,Metrics!$A:$A,0)),"ID not found"))</f>
        <v>Cycle time (approved to accepted)</v>
      </c>
      <c r="D6" s="16" t="str">
        <f aca="false">IF(B6="","",IFERROR(INDEX(Products!$B:$B,MATCH(B6,Products!$A:$A,0)),"ID not found"))</f>
        <v>Recruiter view</v>
      </c>
      <c r="E6" s="19" t="s">
        <v>120</v>
      </c>
      <c r="F6" s="19" t="s">
        <v>198</v>
      </c>
    </row>
    <row r="7" customFormat="false" ht="15" hidden="false" customHeight="false" outlineLevel="0" collapsed="false">
      <c r="A7" s="18" t="s">
        <v>86</v>
      </c>
      <c r="B7" s="18" t="s">
        <v>200</v>
      </c>
      <c r="C7" s="16" t="str">
        <f aca="false">IF(A7="","",IFERROR(INDEX(Metrics!$B:$B,MATCH(A7,Metrics!$A:$A,0)),"ID not found"))</f>
        <v>Cycle time (approved to accepted)</v>
      </c>
      <c r="D7" s="16" t="str">
        <f aca="false">IF(B7="","",IFERROR(INDEX(Products!$B:$B,MATCH(B7,Products!$A:$A,0)),"ID not found"))</f>
        <v>Hiring manager view</v>
      </c>
      <c r="E7" s="19" t="s">
        <v>216</v>
      </c>
      <c r="F7" s="19" t="s">
        <v>198</v>
      </c>
    </row>
    <row r="8" customFormat="false" ht="15" hidden="false" customHeight="false" outlineLevel="0" collapsed="false">
      <c r="A8" s="18" t="s">
        <v>207</v>
      </c>
      <c r="B8" s="18" t="s">
        <v>114</v>
      </c>
      <c r="C8" s="16" t="str">
        <f aca="false">IF(A8="","",IFERROR(INDEX(Metrics!$B:$B,MATCH(A8,Metrics!$A:$A,0)),"ID not found"))</f>
        <v>Hires by recruiter</v>
      </c>
      <c r="D8" s="16" t="str">
        <f aca="false">IF(B8="","",IFERROR(INDEX(Products!$B:$B,MATCH(B8,Products!$A:$A,0)),"ID not found"))</f>
        <v>Recruiter view</v>
      </c>
      <c r="E8" s="19" t="s">
        <v>217</v>
      </c>
      <c r="F8" s="19" t="s">
        <v>198</v>
      </c>
    </row>
    <row r="9" customFormat="false" ht="15" hidden="false" customHeight="false" outlineLevel="0" collapsed="false">
      <c r="A9" s="18"/>
      <c r="B9" s="18"/>
      <c r="C9" s="16" t="str">
        <f aca="false">IF(A9="","",IFERROR(INDEX(Metrics!$B:$B,MATCH(A9,Metrics!$A:$A,0)),"ID not found"))</f>
        <v/>
      </c>
      <c r="D9" s="16" t="str">
        <f aca="false">IF(B9="","",IFERROR(INDEX(Products!$B:$B,MATCH(B9,Products!$A:$A,0)),"ID not found"))</f>
        <v/>
      </c>
      <c r="E9" s="19"/>
      <c r="F9" s="19"/>
    </row>
    <row r="10" customFormat="false" ht="15" hidden="false" customHeight="false" outlineLevel="0" collapsed="false">
      <c r="A10" s="18"/>
      <c r="B10" s="18"/>
      <c r="C10" s="16" t="str">
        <f aca="false">IF(A10="","",IFERROR(INDEX(Metrics!$B:$B,MATCH(A10,Metrics!$A:$A,0)),"ID not found"))</f>
        <v/>
      </c>
      <c r="D10" s="16" t="str">
        <f aca="false">IF(B10="","",IFERROR(INDEX(Products!$B:$B,MATCH(B10,Products!$A:$A,0)),"ID not found"))</f>
        <v/>
      </c>
      <c r="E10" s="19"/>
      <c r="F10" s="19"/>
    </row>
    <row r="11" customFormat="false" ht="15" hidden="false" customHeight="false" outlineLevel="0" collapsed="false">
      <c r="A11" s="18"/>
      <c r="B11" s="18"/>
      <c r="C11" s="16" t="str">
        <f aca="false">IF(A11="","",IFERROR(INDEX(Metrics!$B:$B,MATCH(A11,Metrics!$A:$A,0)),"ID not found"))</f>
        <v/>
      </c>
      <c r="D11" s="16" t="str">
        <f aca="false">IF(B11="","",IFERROR(INDEX(Products!$B:$B,MATCH(B11,Products!$A:$A,0)),"ID not found"))</f>
        <v/>
      </c>
      <c r="E11" s="19"/>
      <c r="F11" s="19"/>
    </row>
    <row r="12" customFormat="false" ht="15" hidden="false" customHeight="false" outlineLevel="0" collapsed="false">
      <c r="A12" s="18"/>
      <c r="B12" s="18"/>
      <c r="C12" s="16" t="str">
        <f aca="false">IF(A12="","",IFERROR(INDEX(Metrics!$B:$B,MATCH(A12,Metrics!$A:$A,0)),"ID not found"))</f>
        <v/>
      </c>
      <c r="D12" s="16" t="str">
        <f aca="false">IF(B12="","",IFERROR(INDEX(Products!$B:$B,MATCH(B12,Products!$A:$A,0)),"ID not found"))</f>
        <v/>
      </c>
      <c r="E12" s="19"/>
      <c r="F12" s="19"/>
    </row>
    <row r="13" customFormat="false" ht="15" hidden="false" customHeight="false" outlineLevel="0" collapsed="false">
      <c r="A13" s="18"/>
      <c r="B13" s="18"/>
      <c r="C13" s="16" t="str">
        <f aca="false">IF(A13="","",IFERROR(INDEX(Metrics!$B:$B,MATCH(A13,Metrics!$A:$A,0)),"ID not found"))</f>
        <v/>
      </c>
      <c r="D13" s="16" t="str">
        <f aca="false">IF(B13="","",IFERROR(INDEX(Products!$B:$B,MATCH(B13,Products!$A:$A,0)),"ID not found"))</f>
        <v/>
      </c>
      <c r="E13" s="19"/>
      <c r="F13" s="19"/>
    </row>
    <row r="14" customFormat="false" ht="15" hidden="false" customHeight="false" outlineLevel="0" collapsed="false">
      <c r="A14" s="18"/>
      <c r="B14" s="18"/>
      <c r="C14" s="16" t="str">
        <f aca="false">IF(A14="","",IFERROR(INDEX(Metrics!$B:$B,MATCH(A14,Metrics!$A:$A,0)),"ID not found"))</f>
        <v/>
      </c>
      <c r="D14" s="16" t="str">
        <f aca="false">IF(B14="","",IFERROR(INDEX(Products!$B:$B,MATCH(B14,Products!$A:$A,0)),"ID not found"))</f>
        <v/>
      </c>
      <c r="E14" s="19"/>
      <c r="F14" s="19"/>
    </row>
    <row r="15" customFormat="false" ht="15" hidden="false" customHeight="false" outlineLevel="0" collapsed="false">
      <c r="A15" s="18"/>
      <c r="B15" s="18"/>
      <c r="C15" s="16" t="str">
        <f aca="false">IF(A15="","",IFERROR(INDEX(Metrics!$B:$B,MATCH(A15,Metrics!$A:$A,0)),"ID not found"))</f>
        <v/>
      </c>
      <c r="D15" s="16" t="str">
        <f aca="false">IF(B15="","",IFERROR(INDEX(Products!$B:$B,MATCH(B15,Products!$A:$A,0)),"ID not found"))</f>
        <v/>
      </c>
      <c r="E15" s="19"/>
      <c r="F15" s="19"/>
    </row>
    <row r="16" customFormat="false" ht="15" hidden="false" customHeight="false" outlineLevel="0" collapsed="false">
      <c r="A16" s="18"/>
      <c r="B16" s="18"/>
      <c r="C16" s="16" t="str">
        <f aca="false">IF(A16="","",IFERROR(INDEX(Metrics!$B:$B,MATCH(A16,Metrics!$A:$A,0)),"ID not found"))</f>
        <v/>
      </c>
      <c r="D16" s="16" t="str">
        <f aca="false">IF(B16="","",IFERROR(INDEX(Products!$B:$B,MATCH(B16,Products!$A:$A,0)),"ID not found"))</f>
        <v/>
      </c>
      <c r="E16" s="19"/>
      <c r="F16" s="19"/>
    </row>
    <row r="17" customFormat="false" ht="15" hidden="false" customHeight="false" outlineLevel="0" collapsed="false">
      <c r="A17" s="18"/>
      <c r="B17" s="18"/>
      <c r="C17" s="16" t="str">
        <f aca="false">IF(A17="","",IFERROR(INDEX(Metrics!$B:$B,MATCH(A17,Metrics!$A:$A,0)),"ID not found"))</f>
        <v/>
      </c>
      <c r="D17" s="16" t="str">
        <f aca="false">IF(B17="","",IFERROR(INDEX(Products!$B:$B,MATCH(B17,Products!$A:$A,0)),"ID not found"))</f>
        <v/>
      </c>
      <c r="E17" s="19"/>
      <c r="F17" s="19"/>
    </row>
    <row r="18" customFormat="false" ht="15" hidden="false" customHeight="false" outlineLevel="0" collapsed="false">
      <c r="A18" s="18"/>
      <c r="B18" s="18"/>
      <c r="C18" s="16" t="str">
        <f aca="false">IF(A18="","",IFERROR(INDEX(Metrics!$B:$B,MATCH(A18,Metrics!$A:$A,0)),"ID not found"))</f>
        <v/>
      </c>
      <c r="D18" s="16" t="str">
        <f aca="false">IF(B18="","",IFERROR(INDEX(Products!$B:$B,MATCH(B18,Products!$A:$A,0)),"ID not found"))</f>
        <v/>
      </c>
      <c r="E18" s="19"/>
      <c r="F18" s="19"/>
    </row>
    <row r="19" customFormat="false" ht="15" hidden="false" customHeight="false" outlineLevel="0" collapsed="false">
      <c r="A19" s="18"/>
      <c r="B19" s="18"/>
      <c r="C19" s="16" t="str">
        <f aca="false">IF(A19="","",IFERROR(INDEX(Metrics!$B:$B,MATCH(A19,Metrics!$A:$A,0)),"ID not found"))</f>
        <v/>
      </c>
      <c r="D19" s="16" t="str">
        <f aca="false">IF(B19="","",IFERROR(INDEX(Products!$B:$B,MATCH(B19,Products!$A:$A,0)),"ID not found"))</f>
        <v/>
      </c>
      <c r="E19" s="19"/>
      <c r="F19" s="19"/>
    </row>
    <row r="20" customFormat="false" ht="15" hidden="false" customHeight="false" outlineLevel="0" collapsed="false">
      <c r="A20" s="18"/>
      <c r="B20" s="18"/>
      <c r="C20" s="16" t="str">
        <f aca="false">IF(A20="","",IFERROR(INDEX(Metrics!$B:$B,MATCH(A20,Metrics!$A:$A,0)),"ID not found"))</f>
        <v/>
      </c>
      <c r="D20" s="16" t="str">
        <f aca="false">IF(B20="","",IFERROR(INDEX(Products!$B:$B,MATCH(B20,Products!$A:$A,0)),"ID not found"))</f>
        <v/>
      </c>
      <c r="E20" s="19"/>
      <c r="F20" s="19"/>
    </row>
    <row r="21" customFormat="false" ht="15" hidden="false" customHeight="false" outlineLevel="0" collapsed="false">
      <c r="A21" s="18"/>
      <c r="B21" s="18"/>
      <c r="C21" s="16" t="str">
        <f aca="false">IF(A21="","",IFERROR(INDEX(Metrics!$B:$B,MATCH(A21,Metrics!$A:$A,0)),"ID not found"))</f>
        <v/>
      </c>
      <c r="D21" s="16" t="str">
        <f aca="false">IF(B21="","",IFERROR(INDEX(Products!$B:$B,MATCH(B21,Products!$A:$A,0)),"ID not found"))</f>
        <v/>
      </c>
      <c r="E21" s="19"/>
      <c r="F21" s="19"/>
    </row>
    <row r="22" customFormat="false" ht="15" hidden="false" customHeight="false" outlineLevel="0" collapsed="false">
      <c r="A22" s="18"/>
      <c r="B22" s="18"/>
      <c r="C22" s="16" t="str">
        <f aca="false">IF(A22="","",IFERROR(INDEX(Metrics!$B:$B,MATCH(A22,Metrics!$A:$A,0)),"ID not found"))</f>
        <v/>
      </c>
      <c r="D22" s="16" t="str">
        <f aca="false">IF(B22="","",IFERROR(INDEX(Products!$B:$B,MATCH(B22,Products!$A:$A,0)),"ID not found"))</f>
        <v/>
      </c>
      <c r="E22" s="19"/>
      <c r="F22" s="19"/>
    </row>
    <row r="23" customFormat="false" ht="15" hidden="false" customHeight="false" outlineLevel="0" collapsed="false">
      <c r="A23" s="18"/>
      <c r="B23" s="18"/>
      <c r="C23" s="16" t="str">
        <f aca="false">IF(A23="","",IFERROR(INDEX(Metrics!$B:$B,MATCH(A23,Metrics!$A:$A,0)),"ID not found"))</f>
        <v/>
      </c>
      <c r="D23" s="16" t="str">
        <f aca="false">IF(B23="","",IFERROR(INDEX(Products!$B:$B,MATCH(B23,Products!$A:$A,0)),"ID not found"))</f>
        <v/>
      </c>
      <c r="E23" s="19"/>
      <c r="F23" s="19"/>
    </row>
    <row r="24" customFormat="false" ht="15" hidden="false" customHeight="false" outlineLevel="0" collapsed="false">
      <c r="A24" s="18"/>
      <c r="B24" s="18"/>
      <c r="C24" s="16" t="str">
        <f aca="false">IF(A24="","",IFERROR(INDEX(Metrics!$B:$B,MATCH(A24,Metrics!$A:$A,0)),"ID not found"))</f>
        <v/>
      </c>
      <c r="D24" s="16" t="str">
        <f aca="false">IF(B24="","",IFERROR(INDEX(Products!$B:$B,MATCH(B24,Products!$A:$A,0)),"ID not found"))</f>
        <v/>
      </c>
      <c r="E24" s="19"/>
      <c r="F24" s="19"/>
    </row>
    <row r="25" customFormat="false" ht="15" hidden="false" customHeight="false" outlineLevel="0" collapsed="false">
      <c r="A25" s="18"/>
      <c r="B25" s="18"/>
      <c r="C25" s="16" t="str">
        <f aca="false">IF(A25="","",IFERROR(INDEX(Metrics!$B:$B,MATCH(A25,Metrics!$A:$A,0)),"ID not found"))</f>
        <v/>
      </c>
      <c r="D25" s="16" t="str">
        <f aca="false">IF(B25="","",IFERROR(INDEX(Products!$B:$B,MATCH(B25,Products!$A:$A,0)),"ID not found"))</f>
        <v/>
      </c>
      <c r="E25" s="19"/>
      <c r="F25" s="19"/>
    </row>
    <row r="26" customFormat="false" ht="15" hidden="false" customHeight="false" outlineLevel="0" collapsed="false">
      <c r="A26" s="18"/>
      <c r="B26" s="18"/>
      <c r="C26" s="16" t="str">
        <f aca="false">IF(A26="","",IFERROR(INDEX(Metrics!$B:$B,MATCH(A26,Metrics!$A:$A,0)),"ID not found"))</f>
        <v/>
      </c>
      <c r="D26" s="16" t="str">
        <f aca="false">IF(B26="","",IFERROR(INDEX(Products!$B:$B,MATCH(B26,Products!$A:$A,0)),"ID not found"))</f>
        <v/>
      </c>
      <c r="E26" s="19"/>
      <c r="F26" s="19"/>
    </row>
    <row r="27" customFormat="false" ht="15" hidden="false" customHeight="false" outlineLevel="0" collapsed="false">
      <c r="A27" s="18"/>
      <c r="B27" s="18"/>
      <c r="C27" s="16" t="str">
        <f aca="false">IF(A27="","",IFERROR(INDEX(Metrics!$B:$B,MATCH(A27,Metrics!$A:$A,0)),"ID not found"))</f>
        <v/>
      </c>
      <c r="D27" s="16" t="str">
        <f aca="false">IF(B27="","",IFERROR(INDEX(Products!$B:$B,MATCH(B27,Products!$A:$A,0)),"ID not found"))</f>
        <v/>
      </c>
      <c r="E27" s="19"/>
      <c r="F27" s="19"/>
    </row>
    <row r="28" customFormat="false" ht="15" hidden="false" customHeight="false" outlineLevel="0" collapsed="false">
      <c r="A28" s="18"/>
      <c r="B28" s="18"/>
      <c r="C28" s="16" t="str">
        <f aca="false">IF(A28="","",IFERROR(INDEX(Metrics!$B:$B,MATCH(A28,Metrics!$A:$A,0)),"ID not found"))</f>
        <v/>
      </c>
      <c r="D28" s="16" t="str">
        <f aca="false">IF(B28="","",IFERROR(INDEX(Products!$B:$B,MATCH(B28,Products!$A:$A,0)),"ID not found"))</f>
        <v/>
      </c>
      <c r="E28" s="19"/>
      <c r="F28" s="19"/>
    </row>
    <row r="29" customFormat="false" ht="15" hidden="false" customHeight="false" outlineLevel="0" collapsed="false">
      <c r="A29" s="18"/>
      <c r="B29" s="18"/>
      <c r="C29" s="16" t="str">
        <f aca="false">IF(A29="","",IFERROR(INDEX(Metrics!$B:$B,MATCH(A29,Metrics!$A:$A,0)),"ID not found"))</f>
        <v/>
      </c>
      <c r="D29" s="16" t="str">
        <f aca="false">IF(B29="","",IFERROR(INDEX(Products!$B:$B,MATCH(B29,Products!$A:$A,0)),"ID not found"))</f>
        <v/>
      </c>
      <c r="E29" s="19"/>
      <c r="F29" s="19"/>
    </row>
    <row r="30" customFormat="false" ht="15" hidden="false" customHeight="false" outlineLevel="0" collapsed="false">
      <c r="A30" s="18"/>
      <c r="B30" s="18"/>
      <c r="C30" s="16" t="str">
        <f aca="false">IF(A30="","",IFERROR(INDEX(Metrics!$B:$B,MATCH(A30,Metrics!$A:$A,0)),"ID not found"))</f>
        <v/>
      </c>
      <c r="D30" s="16" t="str">
        <f aca="false">IF(B30="","",IFERROR(INDEX(Products!$B:$B,MATCH(B30,Products!$A:$A,0)),"ID not found"))</f>
        <v/>
      </c>
      <c r="E30" s="19"/>
      <c r="F30" s="19"/>
    </row>
    <row r="31" customFormat="false" ht="15" hidden="false" customHeight="false" outlineLevel="0" collapsed="false">
      <c r="A31" s="18"/>
      <c r="B31" s="18"/>
      <c r="C31" s="16" t="str">
        <f aca="false">IF(A31="","",IFERROR(INDEX(Metrics!$B:$B,MATCH(A31,Metrics!$A:$A,0)),"ID not found"))</f>
        <v/>
      </c>
      <c r="D31" s="16" t="str">
        <f aca="false">IF(B31="","",IFERROR(INDEX(Products!$B:$B,MATCH(B31,Products!$A:$A,0)),"ID not found"))</f>
        <v/>
      </c>
      <c r="E31" s="19"/>
      <c r="F31" s="19"/>
    </row>
    <row r="32" customFormat="false" ht="15" hidden="false" customHeight="false" outlineLevel="0" collapsed="false">
      <c r="A32" s="18"/>
      <c r="B32" s="18"/>
      <c r="C32" s="16" t="str">
        <f aca="false">IF(A32="","",IFERROR(INDEX(Metrics!$B:$B,MATCH(A32,Metrics!$A:$A,0)),"ID not found"))</f>
        <v/>
      </c>
      <c r="D32" s="16" t="str">
        <f aca="false">IF(B32="","",IFERROR(INDEX(Products!$B:$B,MATCH(B32,Products!$A:$A,0)),"ID not found"))</f>
        <v/>
      </c>
      <c r="E32" s="19"/>
      <c r="F32" s="19"/>
    </row>
    <row r="33" customFormat="false" ht="15" hidden="false" customHeight="false" outlineLevel="0" collapsed="false">
      <c r="A33" s="18"/>
      <c r="B33" s="18"/>
      <c r="C33" s="16" t="str">
        <f aca="false">IF(A33="","",IFERROR(INDEX(Metrics!$B:$B,MATCH(A33,Metrics!$A:$A,0)),"ID not found"))</f>
        <v/>
      </c>
      <c r="D33" s="16" t="str">
        <f aca="false">IF(B33="","",IFERROR(INDEX(Products!$B:$B,MATCH(B33,Products!$A:$A,0)),"ID not found"))</f>
        <v/>
      </c>
      <c r="E33" s="19"/>
      <c r="F33" s="19"/>
    </row>
    <row r="34" customFormat="false" ht="15" hidden="false" customHeight="false" outlineLevel="0" collapsed="false">
      <c r="A34" s="18"/>
      <c r="B34" s="18"/>
      <c r="C34" s="16" t="str">
        <f aca="false">IF(A34="","",IFERROR(INDEX(Metrics!$B:$B,MATCH(A34,Metrics!$A:$A,0)),"ID not found"))</f>
        <v/>
      </c>
      <c r="D34" s="16" t="str">
        <f aca="false">IF(B34="","",IFERROR(INDEX(Products!$B:$B,MATCH(B34,Products!$A:$A,0)),"ID not found"))</f>
        <v/>
      </c>
      <c r="E34" s="19"/>
      <c r="F34" s="19"/>
    </row>
    <row r="35" customFormat="false" ht="15" hidden="false" customHeight="false" outlineLevel="0" collapsed="false">
      <c r="A35" s="18"/>
      <c r="B35" s="18"/>
      <c r="C35" s="16" t="str">
        <f aca="false">IF(A35="","",IFERROR(INDEX(Metrics!$B:$B,MATCH(A35,Metrics!$A:$A,0)),"ID not found"))</f>
        <v/>
      </c>
      <c r="D35" s="16" t="str">
        <f aca="false">IF(B35="","",IFERROR(INDEX(Products!$B:$B,MATCH(B35,Products!$A:$A,0)),"ID not found"))</f>
        <v/>
      </c>
      <c r="E35" s="19"/>
      <c r="F35" s="19"/>
    </row>
    <row r="36" customFormat="false" ht="15" hidden="false" customHeight="false" outlineLevel="0" collapsed="false">
      <c r="A36" s="18"/>
      <c r="B36" s="18"/>
      <c r="C36" s="16" t="str">
        <f aca="false">IF(A36="","",IFERROR(INDEX(Metrics!$B:$B,MATCH(A36,Metrics!$A:$A,0)),"ID not found"))</f>
        <v/>
      </c>
      <c r="D36" s="16" t="str">
        <f aca="false">IF(B36="","",IFERROR(INDEX(Products!$B:$B,MATCH(B36,Products!$A:$A,0)),"ID not found"))</f>
        <v/>
      </c>
      <c r="E36" s="19"/>
      <c r="F36" s="19"/>
    </row>
    <row r="37" customFormat="false" ht="15" hidden="false" customHeight="false" outlineLevel="0" collapsed="false">
      <c r="A37" s="18"/>
      <c r="B37" s="18"/>
      <c r="C37" s="16" t="str">
        <f aca="false">IF(A37="","",IFERROR(INDEX(Metrics!$B:$B,MATCH(A37,Metrics!$A:$A,0)),"ID not found"))</f>
        <v/>
      </c>
      <c r="D37" s="16" t="str">
        <f aca="false">IF(B37="","",IFERROR(INDEX(Products!$B:$B,MATCH(B37,Products!$A:$A,0)),"ID not found"))</f>
        <v/>
      </c>
      <c r="E37" s="19"/>
      <c r="F37" s="19"/>
    </row>
    <row r="38" customFormat="false" ht="15" hidden="false" customHeight="false" outlineLevel="0" collapsed="false">
      <c r="A38" s="18"/>
      <c r="B38" s="18"/>
      <c r="C38" s="16" t="str">
        <f aca="false">IF(A38="","",IFERROR(INDEX(Metrics!$B:$B,MATCH(A38,Metrics!$A:$A,0)),"ID not found"))</f>
        <v/>
      </c>
      <c r="D38" s="16" t="str">
        <f aca="false">IF(B38="","",IFERROR(INDEX(Products!$B:$B,MATCH(B38,Products!$A:$A,0)),"ID not found"))</f>
        <v/>
      </c>
      <c r="E38" s="19"/>
      <c r="F38" s="19"/>
    </row>
    <row r="39" customFormat="false" ht="15" hidden="false" customHeight="false" outlineLevel="0" collapsed="false">
      <c r="A39" s="18"/>
      <c r="B39" s="18"/>
      <c r="C39" s="16" t="str">
        <f aca="false">IF(A39="","",IFERROR(INDEX(Metrics!$B:$B,MATCH(A39,Metrics!$A:$A,0)),"ID not found"))</f>
        <v/>
      </c>
      <c r="D39" s="16" t="str">
        <f aca="false">IF(B39="","",IFERROR(INDEX(Products!$B:$B,MATCH(B39,Products!$A:$A,0)),"ID not found"))</f>
        <v/>
      </c>
      <c r="E39" s="19"/>
      <c r="F39" s="19"/>
    </row>
    <row r="40" customFormat="false" ht="15" hidden="false" customHeight="false" outlineLevel="0" collapsed="false">
      <c r="A40" s="18"/>
      <c r="B40" s="18"/>
      <c r="C40" s="16" t="str">
        <f aca="false">IF(A40="","",IFERROR(INDEX(Metrics!$B:$B,MATCH(A40,Metrics!$A:$A,0)),"ID not found"))</f>
        <v/>
      </c>
      <c r="D40" s="16" t="str">
        <f aca="false">IF(B40="","",IFERROR(INDEX(Products!$B:$B,MATCH(B40,Products!$A:$A,0)),"ID not found"))</f>
        <v/>
      </c>
      <c r="E40" s="19"/>
      <c r="F40" s="19"/>
    </row>
    <row r="41" customFormat="false" ht="15" hidden="false" customHeight="false" outlineLevel="0" collapsed="false">
      <c r="A41" s="18"/>
      <c r="B41" s="18"/>
      <c r="C41" s="16" t="str">
        <f aca="false">IF(A41="","",IFERROR(INDEX(Metrics!$B:$B,MATCH(A41,Metrics!$A:$A,0)),"ID not found"))</f>
        <v/>
      </c>
      <c r="D41" s="16" t="str">
        <f aca="false">IF(B41="","",IFERROR(INDEX(Products!$B:$B,MATCH(B41,Products!$A:$A,0)),"ID not found"))</f>
        <v/>
      </c>
      <c r="E41" s="19"/>
      <c r="F41" s="19"/>
    </row>
    <row r="42" customFormat="false" ht="15" hidden="false" customHeight="false" outlineLevel="0" collapsed="false">
      <c r="A42" s="18"/>
      <c r="B42" s="18"/>
      <c r="C42" s="16" t="str">
        <f aca="false">IF(A42="","",IFERROR(INDEX(Metrics!$B:$B,MATCH(A42,Metrics!$A:$A,0)),"ID not found"))</f>
        <v/>
      </c>
      <c r="D42" s="16" t="str">
        <f aca="false">IF(B42="","",IFERROR(INDEX(Products!$B:$B,MATCH(B42,Products!$A:$A,0)),"ID not found"))</f>
        <v/>
      </c>
      <c r="E42" s="19"/>
      <c r="F42" s="19"/>
    </row>
    <row r="43" customFormat="false" ht="15" hidden="false" customHeight="false" outlineLevel="0" collapsed="false">
      <c r="A43" s="18"/>
      <c r="B43" s="18"/>
      <c r="C43" s="16" t="str">
        <f aca="false">IF(A43="","",IFERROR(INDEX(Metrics!$B:$B,MATCH(A43,Metrics!$A:$A,0)),"ID not found"))</f>
        <v/>
      </c>
      <c r="D43" s="16" t="str">
        <f aca="false">IF(B43="","",IFERROR(INDEX(Products!$B:$B,MATCH(B43,Products!$A:$A,0)),"ID not found"))</f>
        <v/>
      </c>
      <c r="E43" s="19"/>
      <c r="F43" s="19"/>
    </row>
    <row r="44" customFormat="false" ht="15" hidden="false" customHeight="false" outlineLevel="0" collapsed="false">
      <c r="A44" s="18"/>
      <c r="B44" s="18"/>
      <c r="C44" s="16" t="str">
        <f aca="false">IF(A44="","",IFERROR(INDEX(Metrics!$B:$B,MATCH(A44,Metrics!$A:$A,0)),"ID not found"))</f>
        <v/>
      </c>
      <c r="D44" s="16" t="str">
        <f aca="false">IF(B44="","",IFERROR(INDEX(Products!$B:$B,MATCH(B44,Products!$A:$A,0)),"ID not found"))</f>
        <v/>
      </c>
      <c r="E44" s="19"/>
      <c r="F44" s="19"/>
    </row>
    <row r="45" customFormat="false" ht="15" hidden="false" customHeight="false" outlineLevel="0" collapsed="false">
      <c r="A45" s="18"/>
      <c r="B45" s="18"/>
      <c r="C45" s="16" t="str">
        <f aca="false">IF(A45="","",IFERROR(INDEX(Metrics!$B:$B,MATCH(A45,Metrics!$A:$A,0)),"ID not found"))</f>
        <v/>
      </c>
      <c r="D45" s="16" t="str">
        <f aca="false">IF(B45="","",IFERROR(INDEX(Products!$B:$B,MATCH(B45,Products!$A:$A,0)),"ID not found"))</f>
        <v/>
      </c>
      <c r="E45" s="19"/>
      <c r="F45" s="19"/>
    </row>
    <row r="46" customFormat="false" ht="15" hidden="false" customHeight="false" outlineLevel="0" collapsed="false">
      <c r="A46" s="18"/>
      <c r="B46" s="18"/>
      <c r="C46" s="16" t="str">
        <f aca="false">IF(A46="","",IFERROR(INDEX(Metrics!$B:$B,MATCH(A46,Metrics!$A:$A,0)),"ID not found"))</f>
        <v/>
      </c>
      <c r="D46" s="16" t="str">
        <f aca="false">IF(B46="","",IFERROR(INDEX(Products!$B:$B,MATCH(B46,Products!$A:$A,0)),"ID not found"))</f>
        <v/>
      </c>
      <c r="E46" s="19"/>
      <c r="F46" s="19"/>
    </row>
    <row r="47" customFormat="false" ht="15" hidden="false" customHeight="false" outlineLevel="0" collapsed="false">
      <c r="A47" s="18"/>
      <c r="B47" s="18"/>
      <c r="C47" s="16" t="str">
        <f aca="false">IF(A47="","",IFERROR(INDEX(Metrics!$B:$B,MATCH(A47,Metrics!$A:$A,0)),"ID not found"))</f>
        <v/>
      </c>
      <c r="D47" s="16" t="str">
        <f aca="false">IF(B47="","",IFERROR(INDEX(Products!$B:$B,MATCH(B47,Products!$A:$A,0)),"ID not found"))</f>
        <v/>
      </c>
      <c r="E47" s="19"/>
      <c r="F47" s="19"/>
    </row>
    <row r="48" customFormat="false" ht="15" hidden="false" customHeight="false" outlineLevel="0" collapsed="false">
      <c r="A48" s="18"/>
      <c r="B48" s="18"/>
      <c r="C48" s="16" t="str">
        <f aca="false">IF(A48="","",IFERROR(INDEX(Metrics!$B:$B,MATCH(A48,Metrics!$A:$A,0)),"ID not found"))</f>
        <v/>
      </c>
      <c r="D48" s="16" t="str">
        <f aca="false">IF(B48="","",IFERROR(INDEX(Products!$B:$B,MATCH(B48,Products!$A:$A,0)),"ID not found"))</f>
        <v/>
      </c>
      <c r="E48" s="19"/>
      <c r="F48" s="19"/>
    </row>
    <row r="49" customFormat="false" ht="15" hidden="false" customHeight="false" outlineLevel="0" collapsed="false">
      <c r="A49" s="18"/>
      <c r="B49" s="18"/>
      <c r="C49" s="16" t="str">
        <f aca="false">IF(A49="","",IFERROR(INDEX(Metrics!$B:$B,MATCH(A49,Metrics!$A:$A,0)),"ID not found"))</f>
        <v/>
      </c>
      <c r="D49" s="16" t="str">
        <f aca="false">IF(B49="","",IFERROR(INDEX(Products!$B:$B,MATCH(B49,Products!$A:$A,0)),"ID not found"))</f>
        <v/>
      </c>
      <c r="E49" s="19"/>
      <c r="F49" s="19"/>
    </row>
    <row r="50" customFormat="false" ht="15" hidden="false" customHeight="false" outlineLevel="0" collapsed="false">
      <c r="A50" s="18"/>
      <c r="B50" s="18"/>
      <c r="C50" s="16" t="str">
        <f aca="false">IF(A50="","",IFERROR(INDEX(Metrics!$B:$B,MATCH(A50,Metrics!$A:$A,0)),"ID not found"))</f>
        <v/>
      </c>
      <c r="D50" s="16" t="str">
        <f aca="false">IF(B50="","",IFERROR(INDEX(Products!$B:$B,MATCH(B50,Products!$A:$A,0)),"ID not found"))</f>
        <v/>
      </c>
      <c r="E50" s="19"/>
      <c r="F50" s="19"/>
    </row>
    <row r="51" customFormat="false" ht="15" hidden="false" customHeight="false" outlineLevel="0" collapsed="false">
      <c r="A51" s="18"/>
      <c r="B51" s="18"/>
      <c r="C51" s="16" t="str">
        <f aca="false">IF(A51="","",IFERROR(INDEX(Metrics!$B:$B,MATCH(A51,Metrics!$A:$A,0)),"ID not found"))</f>
        <v/>
      </c>
      <c r="D51" s="16" t="str">
        <f aca="false">IF(B51="","",IFERROR(INDEX(Products!$B:$B,MATCH(B51,Products!$A:$A,0)),"ID not found"))</f>
        <v/>
      </c>
      <c r="E51" s="19"/>
      <c r="F51" s="19"/>
    </row>
    <row r="52" customFormat="false" ht="15" hidden="false" customHeight="false" outlineLevel="0" collapsed="false">
      <c r="A52" s="18"/>
      <c r="B52" s="18"/>
      <c r="C52" s="16" t="str">
        <f aca="false">IF(A52="","",IFERROR(INDEX(Metrics!$B:$B,MATCH(A52,Metrics!$A:$A,0)),"ID not found"))</f>
        <v/>
      </c>
      <c r="D52" s="16" t="str">
        <f aca="false">IF(B52="","",IFERROR(INDEX(Products!$B:$B,MATCH(B52,Products!$A:$A,0)),"ID not found"))</f>
        <v/>
      </c>
      <c r="E52" s="19"/>
      <c r="F52" s="19"/>
    </row>
    <row r="53" customFormat="false" ht="15" hidden="false" customHeight="false" outlineLevel="0" collapsed="false">
      <c r="A53" s="18"/>
      <c r="B53" s="18"/>
      <c r="C53" s="16" t="str">
        <f aca="false">IF(A53="","",IFERROR(INDEX(Metrics!$B:$B,MATCH(A53,Metrics!$A:$A,0)),"ID not found"))</f>
        <v/>
      </c>
      <c r="D53" s="16" t="str">
        <f aca="false">IF(B53="","",IFERROR(INDEX(Products!$B:$B,MATCH(B53,Products!$A:$A,0)),"ID not found"))</f>
        <v/>
      </c>
      <c r="E53" s="19"/>
      <c r="F53" s="19"/>
    </row>
    <row r="54" customFormat="false" ht="15" hidden="false" customHeight="false" outlineLevel="0" collapsed="false">
      <c r="A54" s="18"/>
      <c r="B54" s="18"/>
      <c r="C54" s="16" t="str">
        <f aca="false">IF(A54="","",IFERROR(INDEX(Metrics!$B:$B,MATCH(A54,Metrics!$A:$A,0)),"ID not found"))</f>
        <v/>
      </c>
      <c r="D54" s="16" t="str">
        <f aca="false">IF(B54="","",IFERROR(INDEX(Products!$B:$B,MATCH(B54,Products!$A:$A,0)),"ID not found"))</f>
        <v/>
      </c>
      <c r="E54" s="19"/>
      <c r="F54" s="19"/>
    </row>
    <row r="55" customFormat="false" ht="15" hidden="false" customHeight="false" outlineLevel="0" collapsed="false">
      <c r="A55" s="18"/>
      <c r="B55" s="18"/>
      <c r="C55" s="16" t="str">
        <f aca="false">IF(A55="","",IFERROR(INDEX(Metrics!$B:$B,MATCH(A55,Metrics!$A:$A,0)),"ID not found"))</f>
        <v/>
      </c>
      <c r="D55" s="16" t="str">
        <f aca="false">IF(B55="","",IFERROR(INDEX(Products!$B:$B,MATCH(B55,Products!$A:$A,0)),"ID not found"))</f>
        <v/>
      </c>
      <c r="E55" s="19"/>
      <c r="F55" s="19"/>
    </row>
    <row r="56" customFormat="false" ht="15" hidden="false" customHeight="false" outlineLevel="0" collapsed="false">
      <c r="A56" s="18"/>
      <c r="B56" s="18"/>
      <c r="C56" s="16" t="str">
        <f aca="false">IF(A56="","",IFERROR(INDEX(Metrics!$B:$B,MATCH(A56,Metrics!$A:$A,0)),"ID not found"))</f>
        <v/>
      </c>
      <c r="D56" s="16" t="str">
        <f aca="false">IF(B56="","",IFERROR(INDEX(Products!$B:$B,MATCH(B56,Products!$A:$A,0)),"ID not found"))</f>
        <v/>
      </c>
      <c r="E56" s="19"/>
      <c r="F56" s="19"/>
    </row>
    <row r="57" customFormat="false" ht="15" hidden="false" customHeight="false" outlineLevel="0" collapsed="false">
      <c r="A57" s="18"/>
      <c r="B57" s="18"/>
      <c r="C57" s="16" t="str">
        <f aca="false">IF(A57="","",IFERROR(INDEX(Metrics!$B:$B,MATCH(A57,Metrics!$A:$A,0)),"ID not found"))</f>
        <v/>
      </c>
      <c r="D57" s="16" t="str">
        <f aca="false">IF(B57="","",IFERROR(INDEX(Products!$B:$B,MATCH(B57,Products!$A:$A,0)),"ID not found"))</f>
        <v/>
      </c>
      <c r="E57" s="19"/>
      <c r="F57" s="19"/>
    </row>
    <row r="58" customFormat="false" ht="15" hidden="false" customHeight="false" outlineLevel="0" collapsed="false">
      <c r="A58" s="18"/>
      <c r="B58" s="18"/>
      <c r="C58" s="16" t="str">
        <f aca="false">IF(A58="","",IFERROR(INDEX(Metrics!$B:$B,MATCH(A58,Metrics!$A:$A,0)),"ID not found"))</f>
        <v/>
      </c>
      <c r="D58" s="16" t="str">
        <f aca="false">IF(B58="","",IFERROR(INDEX(Products!$B:$B,MATCH(B58,Products!$A:$A,0)),"ID not found"))</f>
        <v/>
      </c>
      <c r="E58" s="19"/>
      <c r="F58" s="19"/>
    </row>
    <row r="59" customFormat="false" ht="15" hidden="false" customHeight="false" outlineLevel="0" collapsed="false">
      <c r="A59" s="18"/>
      <c r="B59" s="18"/>
      <c r="C59" s="16" t="str">
        <f aca="false">IF(A59="","",IFERROR(INDEX(Metrics!$B:$B,MATCH(A59,Metrics!$A:$A,0)),"ID not found"))</f>
        <v/>
      </c>
      <c r="D59" s="16" t="str">
        <f aca="false">IF(B59="","",IFERROR(INDEX(Products!$B:$B,MATCH(B59,Products!$A:$A,0)),"ID not found"))</f>
        <v/>
      </c>
      <c r="E59" s="19"/>
      <c r="F59" s="19"/>
    </row>
    <row r="60" customFormat="false" ht="15" hidden="false" customHeight="false" outlineLevel="0" collapsed="false">
      <c r="A60" s="18"/>
      <c r="B60" s="18"/>
      <c r="C60" s="16" t="str">
        <f aca="false">IF(A60="","",IFERROR(INDEX(Metrics!$B:$B,MATCH(A60,Metrics!$A:$A,0)),"ID not found"))</f>
        <v/>
      </c>
      <c r="D60" s="16" t="str">
        <f aca="false">IF(B60="","",IFERROR(INDEX(Products!$B:$B,MATCH(B60,Products!$A:$A,0)),"ID not found"))</f>
        <v/>
      </c>
      <c r="E60" s="19"/>
      <c r="F60" s="19"/>
    </row>
    <row r="61" customFormat="false" ht="15" hidden="false" customHeight="false" outlineLevel="0" collapsed="false">
      <c r="A61" s="18"/>
      <c r="B61" s="18"/>
      <c r="C61" s="16" t="str">
        <f aca="false">IF(A61="","",IFERROR(INDEX(Metrics!$B:$B,MATCH(A61,Metrics!$A:$A,0)),"ID not found"))</f>
        <v/>
      </c>
      <c r="D61" s="16" t="str">
        <f aca="false">IF(B61="","",IFERROR(INDEX(Products!$B:$B,MATCH(B61,Products!$A:$A,0)),"ID not found"))</f>
        <v/>
      </c>
      <c r="E61" s="19"/>
      <c r="F61" s="19"/>
    </row>
    <row r="62" customFormat="false" ht="15" hidden="false" customHeight="false" outlineLevel="0" collapsed="false">
      <c r="A62" s="18"/>
      <c r="B62" s="18"/>
      <c r="C62" s="16" t="str">
        <f aca="false">IF(A62="","",IFERROR(INDEX(Metrics!$B:$B,MATCH(A62,Metrics!$A:$A,0)),"ID not found"))</f>
        <v/>
      </c>
      <c r="D62" s="16" t="str">
        <f aca="false">IF(B62="","",IFERROR(INDEX(Products!$B:$B,MATCH(B62,Products!$A:$A,0)),"ID not found"))</f>
        <v/>
      </c>
      <c r="E62" s="19"/>
      <c r="F62" s="19"/>
    </row>
    <row r="63" customFormat="false" ht="15" hidden="false" customHeight="false" outlineLevel="0" collapsed="false">
      <c r="A63" s="18"/>
      <c r="B63" s="18"/>
      <c r="C63" s="16" t="str">
        <f aca="false">IF(A63="","",IFERROR(INDEX(Metrics!$B:$B,MATCH(A63,Metrics!$A:$A,0)),"ID not found"))</f>
        <v/>
      </c>
      <c r="D63" s="16" t="str">
        <f aca="false">IF(B63="","",IFERROR(INDEX(Products!$B:$B,MATCH(B63,Products!$A:$A,0)),"ID not found"))</f>
        <v/>
      </c>
      <c r="E63" s="19"/>
      <c r="F63" s="19"/>
    </row>
    <row r="64" customFormat="false" ht="15" hidden="false" customHeight="false" outlineLevel="0" collapsed="false">
      <c r="A64" s="18"/>
      <c r="B64" s="18"/>
      <c r="C64" s="16" t="str">
        <f aca="false">IF(A64="","",IFERROR(INDEX(Metrics!$B:$B,MATCH(A64,Metrics!$A:$A,0)),"ID not found"))</f>
        <v/>
      </c>
      <c r="D64" s="16" t="str">
        <f aca="false">IF(B64="","",IFERROR(INDEX(Products!$B:$B,MATCH(B64,Products!$A:$A,0)),"ID not found"))</f>
        <v/>
      </c>
      <c r="E64" s="19"/>
      <c r="F64" s="19"/>
    </row>
  </sheetData>
  <autoFilter ref="A4:F64"/>
  <conditionalFormatting sqref="C5:D64">
    <cfRule type="cellIs" priority="2" operator="equal" aboveAverage="0" equalAverage="0" bottom="0" percent="0" rank="0" text="" dxfId="11">
      <formula>"ID not found"</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M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3"/>
    <col collapsed="false" customWidth="true" hidden="false" outlineLevel="0" max="4" min="4" style="0" width="20"/>
    <col collapsed="false" customWidth="true" hidden="false" outlineLevel="0" max="5" min="5" style="0" width="52"/>
    <col collapsed="false" customWidth="true" hidden="false" outlineLevel="0" max="6" min="6" style="0" width="18"/>
    <col collapsed="false" customWidth="true" hidden="false" outlineLevel="0" max="7" min="7" style="0" width="10"/>
    <col collapsed="false" customWidth="true" hidden="false" outlineLevel="0" max="8" min="8" style="0" width="11"/>
    <col collapsed="false" customWidth="true" hidden="false" outlineLevel="0" max="9" min="9" style="0" width="15"/>
    <col collapsed="false" customWidth="true" hidden="false" outlineLevel="0" max="10" min="10" style="0" width="22"/>
    <col collapsed="false" customWidth="true" hidden="false" outlineLevel="0" max="11" min="11" style="0" width="10"/>
    <col collapsed="false" customWidth="true" hidden="false" outlineLevel="0" max="12" min="12" style="0" width="13"/>
    <col collapsed="false" customWidth="true" hidden="false" outlineLevel="0" max="13" min="13" style="0" width="30"/>
  </cols>
  <sheetData>
    <row r="1" customFormat="false" ht="17.35" hidden="false" customHeight="false" outlineLevel="0" collapsed="false">
      <c r="A1" s="1" t="s">
        <v>9</v>
      </c>
    </row>
    <row r="2" customFormat="false" ht="15" hidden="false" customHeight="false" outlineLevel="0" collapsed="false">
      <c r="A2" s="2" t="s">
        <v>218</v>
      </c>
    </row>
    <row r="4" customFormat="false" ht="30" hidden="false" customHeight="true" outlineLevel="0" collapsed="false">
      <c r="A4" s="11" t="s">
        <v>123</v>
      </c>
      <c r="B4" s="11" t="s">
        <v>126</v>
      </c>
      <c r="C4" s="11" t="s">
        <v>129</v>
      </c>
      <c r="D4" s="11" t="s">
        <v>132</v>
      </c>
      <c r="E4" s="11" t="s">
        <v>135</v>
      </c>
      <c r="F4" s="11" t="s">
        <v>78</v>
      </c>
      <c r="G4" s="11" t="s">
        <v>140</v>
      </c>
      <c r="H4" s="11" t="s">
        <v>102</v>
      </c>
      <c r="I4" s="11" t="s">
        <v>145</v>
      </c>
      <c r="J4" s="11" t="s">
        <v>148</v>
      </c>
      <c r="K4" s="11" t="s">
        <v>151</v>
      </c>
      <c r="L4" s="11" t="s">
        <v>153</v>
      </c>
      <c r="M4" s="11" t="s">
        <v>81</v>
      </c>
    </row>
    <row r="5" customFormat="false" ht="15" hidden="false" customHeight="false" outlineLevel="0" collapsed="false">
      <c r="A5" s="18" t="s">
        <v>219</v>
      </c>
      <c r="B5" s="19" t="s">
        <v>220</v>
      </c>
      <c r="C5" s="19" t="s">
        <v>221</v>
      </c>
      <c r="D5" s="19"/>
      <c r="E5" s="19" t="s">
        <v>222</v>
      </c>
      <c r="F5" s="19" t="s">
        <v>223</v>
      </c>
      <c r="G5" s="19" t="s">
        <v>142</v>
      </c>
      <c r="H5" s="19" t="s">
        <v>144</v>
      </c>
      <c r="I5" s="19" t="s">
        <v>224</v>
      </c>
      <c r="J5" s="19" t="s">
        <v>150</v>
      </c>
      <c r="K5" s="16" t="n">
        <f aca="false">IF(A5="","",COUNTIF(Fields!$D:$D,A5))</f>
        <v>3</v>
      </c>
      <c r="L5" s="16" t="n">
        <f aca="false">IF(A5="","",SUMIF(Fields!$D:$D,A5,Fields!$M:$M))</f>
        <v>3</v>
      </c>
      <c r="M5" s="19" t="s">
        <v>198</v>
      </c>
    </row>
    <row r="6" customFormat="false" ht="23.85" hidden="false" customHeight="false" outlineLevel="0" collapsed="false">
      <c r="A6" s="18" t="s">
        <v>134</v>
      </c>
      <c r="B6" s="19" t="s">
        <v>225</v>
      </c>
      <c r="C6" s="19" t="s">
        <v>221</v>
      </c>
      <c r="D6" s="19"/>
      <c r="E6" s="19" t="s">
        <v>226</v>
      </c>
      <c r="F6" s="19" t="s">
        <v>223</v>
      </c>
      <c r="G6" s="19" t="s">
        <v>142</v>
      </c>
      <c r="H6" s="19" t="s">
        <v>144</v>
      </c>
      <c r="I6" s="19" t="s">
        <v>224</v>
      </c>
      <c r="J6" s="19" t="s">
        <v>150</v>
      </c>
      <c r="K6" s="16" t="n">
        <f aca="false">IF(A6="","",COUNTIF(Fields!$D:$D,A6))</f>
        <v>2</v>
      </c>
      <c r="L6" s="16" t="n">
        <f aca="false">IF(A6="","",SUMIF(Fields!$D:$D,A6,Fields!$M:$M))</f>
        <v>0</v>
      </c>
      <c r="M6" s="19" t="s">
        <v>198</v>
      </c>
    </row>
    <row r="7" customFormat="false" ht="15" hidden="false" customHeight="false" outlineLevel="0" collapsed="false">
      <c r="A7" s="18" t="s">
        <v>227</v>
      </c>
      <c r="B7" s="19" t="s">
        <v>228</v>
      </c>
      <c r="C7" s="19" t="s">
        <v>221</v>
      </c>
      <c r="D7" s="19"/>
      <c r="E7" s="19" t="s">
        <v>229</v>
      </c>
      <c r="F7" s="19" t="s">
        <v>223</v>
      </c>
      <c r="G7" s="19" t="s">
        <v>142</v>
      </c>
      <c r="H7" s="19" t="s">
        <v>144</v>
      </c>
      <c r="I7" s="19" t="s">
        <v>224</v>
      </c>
      <c r="J7" s="19" t="s">
        <v>150</v>
      </c>
      <c r="K7" s="16" t="n">
        <f aca="false">IF(A7="","",COUNTIF(Fields!$D:$D,A7))</f>
        <v>1</v>
      </c>
      <c r="L7" s="16" t="n">
        <f aca="false">IF(A7="","",SUMIF(Fields!$D:$D,A7,Fields!$M:$M))</f>
        <v>2</v>
      </c>
      <c r="M7" s="19" t="s">
        <v>198</v>
      </c>
    </row>
    <row r="8" customFormat="false" ht="35.05" hidden="false" customHeight="false" outlineLevel="0" collapsed="false">
      <c r="A8" s="18" t="s">
        <v>125</v>
      </c>
      <c r="B8" s="19" t="s">
        <v>128</v>
      </c>
      <c r="C8" s="19" t="s">
        <v>131</v>
      </c>
      <c r="D8" s="19" t="s">
        <v>134</v>
      </c>
      <c r="E8" s="19" t="s">
        <v>230</v>
      </c>
      <c r="F8" s="19" t="s">
        <v>139</v>
      </c>
      <c r="G8" s="19" t="s">
        <v>142</v>
      </c>
      <c r="H8" s="19" t="s">
        <v>144</v>
      </c>
      <c r="I8" s="19" t="s">
        <v>147</v>
      </c>
      <c r="J8" s="19" t="s">
        <v>150</v>
      </c>
      <c r="K8" s="16" t="n">
        <f aca="false">IF(A8="","",COUNTIF(Fields!$D:$D,A8))</f>
        <v>1</v>
      </c>
      <c r="L8" s="16" t="n">
        <f aca="false">IF(A8="","",SUMIF(Fields!$D:$D,A8,Fields!$M:$M))</f>
        <v>1</v>
      </c>
      <c r="M8" s="19" t="s">
        <v>231</v>
      </c>
    </row>
    <row r="9" customFormat="false" ht="23.85" hidden="false" customHeight="false" outlineLevel="0" collapsed="false">
      <c r="A9" s="18" t="s">
        <v>165</v>
      </c>
      <c r="B9" s="19" t="s">
        <v>167</v>
      </c>
      <c r="C9" s="19" t="s">
        <v>131</v>
      </c>
      <c r="D9" s="19" t="s">
        <v>232</v>
      </c>
      <c r="E9" s="19" t="s">
        <v>233</v>
      </c>
      <c r="F9" s="19" t="s">
        <v>139</v>
      </c>
      <c r="G9" s="19" t="s">
        <v>142</v>
      </c>
      <c r="H9" s="19" t="s">
        <v>234</v>
      </c>
      <c r="I9" s="19" t="s">
        <v>235</v>
      </c>
      <c r="J9" s="19" t="s">
        <v>236</v>
      </c>
      <c r="K9" s="16" t="n">
        <f aca="false">IF(A9="","",COUNTIF(Fields!$D:$D,A9))</f>
        <v>1</v>
      </c>
      <c r="L9" s="16" t="n">
        <f aca="false">IF(A9="","",SUMIF(Fields!$D:$D,A9,Fields!$M:$M))</f>
        <v>1</v>
      </c>
      <c r="M9" s="19" t="s">
        <v>198</v>
      </c>
    </row>
    <row r="10" customFormat="false" ht="15" hidden="false" customHeight="false" outlineLevel="0" collapsed="false">
      <c r="A10" s="18"/>
      <c r="B10" s="19"/>
      <c r="C10" s="19"/>
      <c r="D10" s="19"/>
      <c r="E10" s="19"/>
      <c r="F10" s="19"/>
      <c r="G10" s="19"/>
      <c r="H10" s="19"/>
      <c r="I10" s="19"/>
      <c r="J10" s="19"/>
      <c r="K10" s="16" t="str">
        <f aca="false">IF(A10="","",COUNTIF(Fields!$D:$D,A10))</f>
        <v/>
      </c>
      <c r="L10" s="16" t="str">
        <f aca="false">IF(A10="","",SUMIF(Fields!$D:$D,A10,Fields!$M:$M))</f>
        <v/>
      </c>
      <c r="M10" s="19"/>
    </row>
    <row r="11" customFormat="false" ht="15" hidden="false" customHeight="false" outlineLevel="0" collapsed="false">
      <c r="A11" s="18"/>
      <c r="B11" s="19"/>
      <c r="C11" s="19"/>
      <c r="D11" s="19"/>
      <c r="E11" s="19"/>
      <c r="F11" s="19"/>
      <c r="G11" s="19"/>
      <c r="H11" s="19"/>
      <c r="I11" s="19"/>
      <c r="J11" s="19"/>
      <c r="K11" s="16" t="str">
        <f aca="false">IF(A11="","",COUNTIF(Fields!$D:$D,A11))</f>
        <v/>
      </c>
      <c r="L11" s="16" t="str">
        <f aca="false">IF(A11="","",SUMIF(Fields!$D:$D,A11,Fields!$M:$M))</f>
        <v/>
      </c>
      <c r="M11" s="19"/>
    </row>
    <row r="12" customFormat="false" ht="15" hidden="false" customHeight="false" outlineLevel="0" collapsed="false">
      <c r="A12" s="18"/>
      <c r="B12" s="19"/>
      <c r="C12" s="19"/>
      <c r="D12" s="19"/>
      <c r="E12" s="19"/>
      <c r="F12" s="19"/>
      <c r="G12" s="19"/>
      <c r="H12" s="19"/>
      <c r="I12" s="19"/>
      <c r="J12" s="19"/>
      <c r="K12" s="16" t="str">
        <f aca="false">IF(A12="","",COUNTIF(Fields!$D:$D,A12))</f>
        <v/>
      </c>
      <c r="L12" s="16" t="str">
        <f aca="false">IF(A12="","",SUMIF(Fields!$D:$D,A12,Fields!$M:$M))</f>
        <v/>
      </c>
      <c r="M12" s="19"/>
    </row>
    <row r="13" customFormat="false" ht="15" hidden="false" customHeight="false" outlineLevel="0" collapsed="false">
      <c r="A13" s="18"/>
      <c r="B13" s="19"/>
      <c r="C13" s="19"/>
      <c r="D13" s="19"/>
      <c r="E13" s="19"/>
      <c r="F13" s="19"/>
      <c r="G13" s="19"/>
      <c r="H13" s="19"/>
      <c r="I13" s="19"/>
      <c r="J13" s="19"/>
      <c r="K13" s="16" t="str">
        <f aca="false">IF(A13="","",COUNTIF(Fields!$D:$D,A13))</f>
        <v/>
      </c>
      <c r="L13" s="16" t="str">
        <f aca="false">IF(A13="","",SUMIF(Fields!$D:$D,A13,Fields!$M:$M))</f>
        <v/>
      </c>
      <c r="M13" s="19"/>
    </row>
    <row r="14" customFormat="false" ht="15" hidden="false" customHeight="false" outlineLevel="0" collapsed="false">
      <c r="A14" s="18"/>
      <c r="B14" s="19"/>
      <c r="C14" s="19"/>
      <c r="D14" s="19"/>
      <c r="E14" s="19"/>
      <c r="F14" s="19"/>
      <c r="G14" s="19"/>
      <c r="H14" s="19"/>
      <c r="I14" s="19"/>
      <c r="J14" s="19"/>
      <c r="K14" s="16" t="str">
        <f aca="false">IF(A14="","",COUNTIF(Fields!$D:$D,A14))</f>
        <v/>
      </c>
      <c r="L14" s="16" t="str">
        <f aca="false">IF(A14="","",SUMIF(Fields!$D:$D,A14,Fields!$M:$M))</f>
        <v/>
      </c>
      <c r="M14" s="19"/>
    </row>
    <row r="15" customFormat="false" ht="15" hidden="false" customHeight="false" outlineLevel="0" collapsed="false">
      <c r="A15" s="18"/>
      <c r="B15" s="19"/>
      <c r="C15" s="19"/>
      <c r="D15" s="19"/>
      <c r="E15" s="19"/>
      <c r="F15" s="19"/>
      <c r="G15" s="19"/>
      <c r="H15" s="19"/>
      <c r="I15" s="19"/>
      <c r="J15" s="19"/>
      <c r="K15" s="16" t="str">
        <f aca="false">IF(A15="","",COUNTIF(Fields!$D:$D,A15))</f>
        <v/>
      </c>
      <c r="L15" s="16" t="str">
        <f aca="false">IF(A15="","",SUMIF(Fields!$D:$D,A15,Fields!$M:$M))</f>
        <v/>
      </c>
      <c r="M15" s="19"/>
    </row>
    <row r="16" customFormat="false" ht="15" hidden="false" customHeight="false" outlineLevel="0" collapsed="false">
      <c r="A16" s="18"/>
      <c r="B16" s="19"/>
      <c r="C16" s="19"/>
      <c r="D16" s="19"/>
      <c r="E16" s="19"/>
      <c r="F16" s="19"/>
      <c r="G16" s="19"/>
      <c r="H16" s="19"/>
      <c r="I16" s="19"/>
      <c r="J16" s="19"/>
      <c r="K16" s="16" t="str">
        <f aca="false">IF(A16="","",COUNTIF(Fields!$D:$D,A16))</f>
        <v/>
      </c>
      <c r="L16" s="16" t="str">
        <f aca="false">IF(A16="","",SUMIF(Fields!$D:$D,A16,Fields!$M:$M))</f>
        <v/>
      </c>
      <c r="M16" s="19"/>
    </row>
    <row r="17" customFormat="false" ht="15" hidden="false" customHeight="false" outlineLevel="0" collapsed="false">
      <c r="A17" s="18"/>
      <c r="B17" s="19"/>
      <c r="C17" s="19"/>
      <c r="D17" s="19"/>
      <c r="E17" s="19"/>
      <c r="F17" s="19"/>
      <c r="G17" s="19"/>
      <c r="H17" s="19"/>
      <c r="I17" s="19"/>
      <c r="J17" s="19"/>
      <c r="K17" s="16" t="str">
        <f aca="false">IF(A17="","",COUNTIF(Fields!$D:$D,A17))</f>
        <v/>
      </c>
      <c r="L17" s="16" t="str">
        <f aca="false">IF(A17="","",SUMIF(Fields!$D:$D,A17,Fields!$M:$M))</f>
        <v/>
      </c>
      <c r="M17" s="19"/>
    </row>
    <row r="18" customFormat="false" ht="15" hidden="false" customHeight="false" outlineLevel="0" collapsed="false">
      <c r="A18" s="18"/>
      <c r="B18" s="19"/>
      <c r="C18" s="19"/>
      <c r="D18" s="19"/>
      <c r="E18" s="19"/>
      <c r="F18" s="19"/>
      <c r="G18" s="19"/>
      <c r="H18" s="19"/>
      <c r="I18" s="19"/>
      <c r="J18" s="19"/>
      <c r="K18" s="16" t="str">
        <f aca="false">IF(A18="","",COUNTIF(Fields!$D:$D,A18))</f>
        <v/>
      </c>
      <c r="L18" s="16" t="str">
        <f aca="false">IF(A18="","",SUMIF(Fields!$D:$D,A18,Fields!$M:$M))</f>
        <v/>
      </c>
      <c r="M18" s="19"/>
    </row>
    <row r="19" customFormat="false" ht="15" hidden="false" customHeight="false" outlineLevel="0" collapsed="false">
      <c r="A19" s="18"/>
      <c r="B19" s="19"/>
      <c r="C19" s="19"/>
      <c r="D19" s="19"/>
      <c r="E19" s="19"/>
      <c r="F19" s="19"/>
      <c r="G19" s="19"/>
      <c r="H19" s="19"/>
      <c r="I19" s="19"/>
      <c r="J19" s="19"/>
      <c r="K19" s="16" t="str">
        <f aca="false">IF(A19="","",COUNTIF(Fields!$D:$D,A19))</f>
        <v/>
      </c>
      <c r="L19" s="16" t="str">
        <f aca="false">IF(A19="","",SUMIF(Fields!$D:$D,A19,Fields!$M:$M))</f>
        <v/>
      </c>
      <c r="M19" s="19"/>
    </row>
    <row r="20" customFormat="false" ht="15" hidden="false" customHeight="false" outlineLevel="0" collapsed="false">
      <c r="A20" s="18"/>
      <c r="B20" s="19"/>
      <c r="C20" s="19"/>
      <c r="D20" s="19"/>
      <c r="E20" s="19"/>
      <c r="F20" s="19"/>
      <c r="G20" s="19"/>
      <c r="H20" s="19"/>
      <c r="I20" s="19"/>
      <c r="J20" s="19"/>
      <c r="K20" s="16" t="str">
        <f aca="false">IF(A20="","",COUNTIF(Fields!$D:$D,A20))</f>
        <v/>
      </c>
      <c r="L20" s="16" t="str">
        <f aca="false">IF(A20="","",SUMIF(Fields!$D:$D,A20,Fields!$M:$M))</f>
        <v/>
      </c>
      <c r="M20" s="19"/>
    </row>
    <row r="21" customFormat="false" ht="15" hidden="false" customHeight="false" outlineLevel="0" collapsed="false">
      <c r="A21" s="18"/>
      <c r="B21" s="19"/>
      <c r="C21" s="19"/>
      <c r="D21" s="19"/>
      <c r="E21" s="19"/>
      <c r="F21" s="19"/>
      <c r="G21" s="19"/>
      <c r="H21" s="19"/>
      <c r="I21" s="19"/>
      <c r="J21" s="19"/>
      <c r="K21" s="16" t="str">
        <f aca="false">IF(A21="","",COUNTIF(Fields!$D:$D,A21))</f>
        <v/>
      </c>
      <c r="L21" s="16" t="str">
        <f aca="false">IF(A21="","",SUMIF(Fields!$D:$D,A21,Fields!$M:$M))</f>
        <v/>
      </c>
      <c r="M21" s="19"/>
    </row>
    <row r="22" customFormat="false" ht="15" hidden="false" customHeight="false" outlineLevel="0" collapsed="false">
      <c r="A22" s="18"/>
      <c r="B22" s="19"/>
      <c r="C22" s="19"/>
      <c r="D22" s="19"/>
      <c r="E22" s="19"/>
      <c r="F22" s="19"/>
      <c r="G22" s="19"/>
      <c r="H22" s="19"/>
      <c r="I22" s="19"/>
      <c r="J22" s="19"/>
      <c r="K22" s="16" t="str">
        <f aca="false">IF(A22="","",COUNTIF(Fields!$D:$D,A22))</f>
        <v/>
      </c>
      <c r="L22" s="16" t="str">
        <f aca="false">IF(A22="","",SUMIF(Fields!$D:$D,A22,Fields!$M:$M))</f>
        <v/>
      </c>
      <c r="M22" s="19"/>
    </row>
    <row r="23" customFormat="false" ht="15" hidden="false" customHeight="false" outlineLevel="0" collapsed="false">
      <c r="A23" s="18"/>
      <c r="B23" s="19"/>
      <c r="C23" s="19"/>
      <c r="D23" s="19"/>
      <c r="E23" s="19"/>
      <c r="F23" s="19"/>
      <c r="G23" s="19"/>
      <c r="H23" s="19"/>
      <c r="I23" s="19"/>
      <c r="J23" s="19"/>
      <c r="K23" s="16" t="str">
        <f aca="false">IF(A23="","",COUNTIF(Fields!$D:$D,A23))</f>
        <v/>
      </c>
      <c r="L23" s="16" t="str">
        <f aca="false">IF(A23="","",SUMIF(Fields!$D:$D,A23,Fields!$M:$M))</f>
        <v/>
      </c>
      <c r="M23" s="19"/>
    </row>
    <row r="24" customFormat="false" ht="15" hidden="false" customHeight="false" outlineLevel="0" collapsed="false">
      <c r="A24" s="18"/>
      <c r="B24" s="19"/>
      <c r="C24" s="19"/>
      <c r="D24" s="19"/>
      <c r="E24" s="19"/>
      <c r="F24" s="19"/>
      <c r="G24" s="19"/>
      <c r="H24" s="19"/>
      <c r="I24" s="19"/>
      <c r="J24" s="19"/>
      <c r="K24" s="16" t="str">
        <f aca="false">IF(A24="","",COUNTIF(Fields!$D:$D,A24))</f>
        <v/>
      </c>
      <c r="L24" s="16" t="str">
        <f aca="false">IF(A24="","",SUMIF(Fields!$D:$D,A24,Fields!$M:$M))</f>
        <v/>
      </c>
      <c r="M24" s="19"/>
    </row>
    <row r="25" customFormat="false" ht="15" hidden="false" customHeight="false" outlineLevel="0" collapsed="false">
      <c r="A25" s="18"/>
      <c r="B25" s="19"/>
      <c r="C25" s="19"/>
      <c r="D25" s="19"/>
      <c r="E25" s="19"/>
      <c r="F25" s="19"/>
      <c r="G25" s="19"/>
      <c r="H25" s="19"/>
      <c r="I25" s="19"/>
      <c r="J25" s="19"/>
      <c r="K25" s="16" t="str">
        <f aca="false">IF(A25="","",COUNTIF(Fields!$D:$D,A25))</f>
        <v/>
      </c>
      <c r="L25" s="16" t="str">
        <f aca="false">IF(A25="","",SUMIF(Fields!$D:$D,A25,Fields!$M:$M))</f>
        <v/>
      </c>
      <c r="M25" s="19"/>
    </row>
    <row r="26" customFormat="false" ht="15" hidden="false" customHeight="false" outlineLevel="0" collapsed="false">
      <c r="A26" s="18"/>
      <c r="B26" s="19"/>
      <c r="C26" s="19"/>
      <c r="D26" s="19"/>
      <c r="E26" s="19"/>
      <c r="F26" s="19"/>
      <c r="G26" s="19"/>
      <c r="H26" s="19"/>
      <c r="I26" s="19"/>
      <c r="J26" s="19"/>
      <c r="K26" s="16" t="str">
        <f aca="false">IF(A26="","",COUNTIF(Fields!$D:$D,A26))</f>
        <v/>
      </c>
      <c r="L26" s="16" t="str">
        <f aca="false">IF(A26="","",SUMIF(Fields!$D:$D,A26,Fields!$M:$M))</f>
        <v/>
      </c>
      <c r="M26" s="19"/>
    </row>
    <row r="27" customFormat="false" ht="15" hidden="false" customHeight="false" outlineLevel="0" collapsed="false">
      <c r="A27" s="18"/>
      <c r="B27" s="19"/>
      <c r="C27" s="19"/>
      <c r="D27" s="19"/>
      <c r="E27" s="19"/>
      <c r="F27" s="19"/>
      <c r="G27" s="19"/>
      <c r="H27" s="19"/>
      <c r="I27" s="19"/>
      <c r="J27" s="19"/>
      <c r="K27" s="16" t="str">
        <f aca="false">IF(A27="","",COUNTIF(Fields!$D:$D,A27))</f>
        <v/>
      </c>
      <c r="L27" s="16" t="str">
        <f aca="false">IF(A27="","",SUMIF(Fields!$D:$D,A27,Fields!$M:$M))</f>
        <v/>
      </c>
      <c r="M27" s="19"/>
    </row>
    <row r="28" customFormat="false" ht="15" hidden="false" customHeight="false" outlineLevel="0" collapsed="false">
      <c r="A28" s="18"/>
      <c r="B28" s="19"/>
      <c r="C28" s="19"/>
      <c r="D28" s="19"/>
      <c r="E28" s="19"/>
      <c r="F28" s="19"/>
      <c r="G28" s="19"/>
      <c r="H28" s="19"/>
      <c r="I28" s="19"/>
      <c r="J28" s="19"/>
      <c r="K28" s="16" t="str">
        <f aca="false">IF(A28="","",COUNTIF(Fields!$D:$D,A28))</f>
        <v/>
      </c>
      <c r="L28" s="16" t="str">
        <f aca="false">IF(A28="","",SUMIF(Fields!$D:$D,A28,Fields!$M:$M))</f>
        <v/>
      </c>
      <c r="M28" s="19"/>
    </row>
    <row r="29" customFormat="false" ht="15" hidden="false" customHeight="false" outlineLevel="0" collapsed="false">
      <c r="A29" s="18"/>
      <c r="B29" s="19"/>
      <c r="C29" s="19"/>
      <c r="D29" s="19"/>
      <c r="E29" s="19"/>
      <c r="F29" s="19"/>
      <c r="G29" s="19"/>
      <c r="H29" s="19"/>
      <c r="I29" s="19"/>
      <c r="J29" s="19"/>
      <c r="K29" s="16" t="str">
        <f aca="false">IF(A29="","",COUNTIF(Fields!$D:$D,A29))</f>
        <v/>
      </c>
      <c r="L29" s="16" t="str">
        <f aca="false">IF(A29="","",SUMIF(Fields!$D:$D,A29,Fields!$M:$M))</f>
        <v/>
      </c>
      <c r="M29" s="19"/>
    </row>
    <row r="30" customFormat="false" ht="15" hidden="false" customHeight="false" outlineLevel="0" collapsed="false">
      <c r="A30" s="18"/>
      <c r="B30" s="19"/>
      <c r="C30" s="19"/>
      <c r="D30" s="19"/>
      <c r="E30" s="19"/>
      <c r="F30" s="19"/>
      <c r="G30" s="19"/>
      <c r="H30" s="19"/>
      <c r="I30" s="19"/>
      <c r="J30" s="19"/>
      <c r="K30" s="16" t="str">
        <f aca="false">IF(A30="","",COUNTIF(Fields!$D:$D,A30))</f>
        <v/>
      </c>
      <c r="L30" s="16" t="str">
        <f aca="false">IF(A30="","",SUMIF(Fields!$D:$D,A30,Fields!$M:$M))</f>
        <v/>
      </c>
      <c r="M30" s="19"/>
    </row>
    <row r="31" customFormat="false" ht="15" hidden="false" customHeight="false" outlineLevel="0" collapsed="false">
      <c r="A31" s="18"/>
      <c r="B31" s="19"/>
      <c r="C31" s="19"/>
      <c r="D31" s="19"/>
      <c r="E31" s="19"/>
      <c r="F31" s="19"/>
      <c r="G31" s="19"/>
      <c r="H31" s="19"/>
      <c r="I31" s="19"/>
      <c r="J31" s="19"/>
      <c r="K31" s="16" t="str">
        <f aca="false">IF(A31="","",COUNTIF(Fields!$D:$D,A31))</f>
        <v/>
      </c>
      <c r="L31" s="16" t="str">
        <f aca="false">IF(A31="","",SUMIF(Fields!$D:$D,A31,Fields!$M:$M))</f>
        <v/>
      </c>
      <c r="M31" s="19"/>
    </row>
    <row r="32" customFormat="false" ht="15" hidden="false" customHeight="false" outlineLevel="0" collapsed="false">
      <c r="A32" s="18"/>
      <c r="B32" s="19"/>
      <c r="C32" s="19"/>
      <c r="D32" s="19"/>
      <c r="E32" s="19"/>
      <c r="F32" s="19"/>
      <c r="G32" s="19"/>
      <c r="H32" s="19"/>
      <c r="I32" s="19"/>
      <c r="J32" s="19"/>
      <c r="K32" s="16" t="str">
        <f aca="false">IF(A32="","",COUNTIF(Fields!$D:$D,A32))</f>
        <v/>
      </c>
      <c r="L32" s="16" t="str">
        <f aca="false">IF(A32="","",SUMIF(Fields!$D:$D,A32,Fields!$M:$M))</f>
        <v/>
      </c>
      <c r="M32" s="19"/>
    </row>
    <row r="33" customFormat="false" ht="15" hidden="false" customHeight="false" outlineLevel="0" collapsed="false">
      <c r="A33" s="18"/>
      <c r="B33" s="19"/>
      <c r="C33" s="19"/>
      <c r="D33" s="19"/>
      <c r="E33" s="19"/>
      <c r="F33" s="19"/>
      <c r="G33" s="19"/>
      <c r="H33" s="19"/>
      <c r="I33" s="19"/>
      <c r="J33" s="19"/>
      <c r="K33" s="16" t="str">
        <f aca="false">IF(A33="","",COUNTIF(Fields!$D:$D,A33))</f>
        <v/>
      </c>
      <c r="L33" s="16" t="str">
        <f aca="false">IF(A33="","",SUMIF(Fields!$D:$D,A33,Fields!$M:$M))</f>
        <v/>
      </c>
      <c r="M33" s="19"/>
    </row>
    <row r="34" customFormat="false" ht="15" hidden="false" customHeight="false" outlineLevel="0" collapsed="false">
      <c r="A34" s="18"/>
      <c r="B34" s="19"/>
      <c r="C34" s="19"/>
      <c r="D34" s="19"/>
      <c r="E34" s="19"/>
      <c r="F34" s="19"/>
      <c r="G34" s="19"/>
      <c r="H34" s="19"/>
      <c r="I34" s="19"/>
      <c r="J34" s="19"/>
      <c r="K34" s="16" t="str">
        <f aca="false">IF(A34="","",COUNTIF(Fields!$D:$D,A34))</f>
        <v/>
      </c>
      <c r="L34" s="16" t="str">
        <f aca="false">IF(A34="","",SUMIF(Fields!$D:$D,A34,Fields!$M:$M))</f>
        <v/>
      </c>
      <c r="M34" s="19"/>
    </row>
    <row r="35" customFormat="false" ht="15" hidden="false" customHeight="false" outlineLevel="0" collapsed="false">
      <c r="A35" s="18"/>
      <c r="B35" s="19"/>
      <c r="C35" s="19"/>
      <c r="D35" s="19"/>
      <c r="E35" s="19"/>
      <c r="F35" s="19"/>
      <c r="G35" s="19"/>
      <c r="H35" s="19"/>
      <c r="I35" s="19"/>
      <c r="J35" s="19"/>
      <c r="K35" s="16" t="str">
        <f aca="false">IF(A35="","",COUNTIF(Fields!$D:$D,A35))</f>
        <v/>
      </c>
      <c r="L35" s="16" t="str">
        <f aca="false">IF(A35="","",SUMIF(Fields!$D:$D,A35,Fields!$M:$M))</f>
        <v/>
      </c>
      <c r="M35" s="19"/>
    </row>
    <row r="36" customFormat="false" ht="15" hidden="false" customHeight="false" outlineLevel="0" collapsed="false">
      <c r="A36" s="18"/>
      <c r="B36" s="19"/>
      <c r="C36" s="19"/>
      <c r="D36" s="19"/>
      <c r="E36" s="19"/>
      <c r="F36" s="19"/>
      <c r="G36" s="19"/>
      <c r="H36" s="19"/>
      <c r="I36" s="19"/>
      <c r="J36" s="19"/>
      <c r="K36" s="16" t="str">
        <f aca="false">IF(A36="","",COUNTIF(Fields!$D:$D,A36))</f>
        <v/>
      </c>
      <c r="L36" s="16" t="str">
        <f aca="false">IF(A36="","",SUMIF(Fields!$D:$D,A36,Fields!$M:$M))</f>
        <v/>
      </c>
      <c r="M36" s="19"/>
    </row>
    <row r="37" customFormat="false" ht="15" hidden="false" customHeight="false" outlineLevel="0" collapsed="false">
      <c r="A37" s="18"/>
      <c r="B37" s="19"/>
      <c r="C37" s="19"/>
      <c r="D37" s="19"/>
      <c r="E37" s="19"/>
      <c r="F37" s="19"/>
      <c r="G37" s="19"/>
      <c r="H37" s="19"/>
      <c r="I37" s="19"/>
      <c r="J37" s="19"/>
      <c r="K37" s="16" t="str">
        <f aca="false">IF(A37="","",COUNTIF(Fields!$D:$D,A37))</f>
        <v/>
      </c>
      <c r="L37" s="16" t="str">
        <f aca="false">IF(A37="","",SUMIF(Fields!$D:$D,A37,Fields!$M:$M))</f>
        <v/>
      </c>
      <c r="M37" s="19"/>
    </row>
    <row r="38" customFormat="false" ht="15" hidden="false" customHeight="false" outlineLevel="0" collapsed="false">
      <c r="A38" s="18"/>
      <c r="B38" s="19"/>
      <c r="C38" s="19"/>
      <c r="D38" s="19"/>
      <c r="E38" s="19"/>
      <c r="F38" s="19"/>
      <c r="G38" s="19"/>
      <c r="H38" s="19"/>
      <c r="I38" s="19"/>
      <c r="J38" s="19"/>
      <c r="K38" s="16" t="str">
        <f aca="false">IF(A38="","",COUNTIF(Fields!$D:$D,A38))</f>
        <v/>
      </c>
      <c r="L38" s="16" t="str">
        <f aca="false">IF(A38="","",SUMIF(Fields!$D:$D,A38,Fields!$M:$M))</f>
        <v/>
      </c>
      <c r="M38" s="19"/>
    </row>
    <row r="39" customFormat="false" ht="15" hidden="false" customHeight="false" outlineLevel="0" collapsed="false">
      <c r="A39" s="18"/>
      <c r="B39" s="19"/>
      <c r="C39" s="19"/>
      <c r="D39" s="19"/>
      <c r="E39" s="19"/>
      <c r="F39" s="19"/>
      <c r="G39" s="19"/>
      <c r="H39" s="19"/>
      <c r="I39" s="19"/>
      <c r="J39" s="19"/>
      <c r="K39" s="16" t="str">
        <f aca="false">IF(A39="","",COUNTIF(Fields!$D:$D,A39))</f>
        <v/>
      </c>
      <c r="L39" s="16" t="str">
        <f aca="false">IF(A39="","",SUMIF(Fields!$D:$D,A39,Fields!$M:$M))</f>
        <v/>
      </c>
      <c r="M39" s="19"/>
    </row>
    <row r="40" customFormat="false" ht="15" hidden="false" customHeight="false" outlineLevel="0" collapsed="false">
      <c r="A40" s="18"/>
      <c r="B40" s="19"/>
      <c r="C40" s="19"/>
      <c r="D40" s="19"/>
      <c r="E40" s="19"/>
      <c r="F40" s="19"/>
      <c r="G40" s="19"/>
      <c r="H40" s="19"/>
      <c r="I40" s="19"/>
      <c r="J40" s="19"/>
      <c r="K40" s="16" t="str">
        <f aca="false">IF(A40="","",COUNTIF(Fields!$D:$D,A40))</f>
        <v/>
      </c>
      <c r="L40" s="16" t="str">
        <f aca="false">IF(A40="","",SUMIF(Fields!$D:$D,A40,Fields!$M:$M))</f>
        <v/>
      </c>
      <c r="M40" s="19"/>
    </row>
    <row r="41" customFormat="false" ht="15" hidden="false" customHeight="false" outlineLevel="0" collapsed="false">
      <c r="A41" s="18"/>
      <c r="B41" s="19"/>
      <c r="C41" s="19"/>
      <c r="D41" s="19"/>
      <c r="E41" s="19"/>
      <c r="F41" s="19"/>
      <c r="G41" s="19"/>
      <c r="H41" s="19"/>
      <c r="I41" s="19"/>
      <c r="J41" s="19"/>
      <c r="K41" s="16" t="str">
        <f aca="false">IF(A41="","",COUNTIF(Fields!$D:$D,A41))</f>
        <v/>
      </c>
      <c r="L41" s="16" t="str">
        <f aca="false">IF(A41="","",SUMIF(Fields!$D:$D,A41,Fields!$M:$M))</f>
        <v/>
      </c>
      <c r="M41" s="19"/>
    </row>
    <row r="42" customFormat="false" ht="15" hidden="false" customHeight="false" outlineLevel="0" collapsed="false">
      <c r="A42" s="18"/>
      <c r="B42" s="19"/>
      <c r="C42" s="19"/>
      <c r="D42" s="19"/>
      <c r="E42" s="19"/>
      <c r="F42" s="19"/>
      <c r="G42" s="19"/>
      <c r="H42" s="19"/>
      <c r="I42" s="19"/>
      <c r="J42" s="19"/>
      <c r="K42" s="16" t="str">
        <f aca="false">IF(A42="","",COUNTIF(Fields!$D:$D,A42))</f>
        <v/>
      </c>
      <c r="L42" s="16" t="str">
        <f aca="false">IF(A42="","",SUMIF(Fields!$D:$D,A42,Fields!$M:$M))</f>
        <v/>
      </c>
      <c r="M42" s="19"/>
    </row>
    <row r="43" customFormat="false" ht="15" hidden="false" customHeight="false" outlineLevel="0" collapsed="false">
      <c r="A43" s="18"/>
      <c r="B43" s="19"/>
      <c r="C43" s="19"/>
      <c r="D43" s="19"/>
      <c r="E43" s="19"/>
      <c r="F43" s="19"/>
      <c r="G43" s="19"/>
      <c r="H43" s="19"/>
      <c r="I43" s="19"/>
      <c r="J43" s="19"/>
      <c r="K43" s="16" t="str">
        <f aca="false">IF(A43="","",COUNTIF(Fields!$D:$D,A43))</f>
        <v/>
      </c>
      <c r="L43" s="16" t="str">
        <f aca="false">IF(A43="","",SUMIF(Fields!$D:$D,A43,Fields!$M:$M))</f>
        <v/>
      </c>
      <c r="M43" s="19"/>
    </row>
    <row r="44" customFormat="false" ht="15" hidden="false" customHeight="false" outlineLevel="0" collapsed="false">
      <c r="A44" s="18"/>
      <c r="B44" s="19"/>
      <c r="C44" s="19"/>
      <c r="D44" s="19"/>
      <c r="E44" s="19"/>
      <c r="F44" s="19"/>
      <c r="G44" s="19"/>
      <c r="H44" s="19"/>
      <c r="I44" s="19"/>
      <c r="J44" s="19"/>
      <c r="K44" s="16" t="str">
        <f aca="false">IF(A44="","",COUNTIF(Fields!$D:$D,A44))</f>
        <v/>
      </c>
      <c r="L44" s="16" t="str">
        <f aca="false">IF(A44="","",SUMIF(Fields!$D:$D,A44,Fields!$M:$M))</f>
        <v/>
      </c>
      <c r="M44" s="19"/>
    </row>
    <row r="45" customFormat="false" ht="15" hidden="false" customHeight="false" outlineLevel="0" collapsed="false">
      <c r="A45" s="18"/>
      <c r="B45" s="19"/>
      <c r="C45" s="19"/>
      <c r="D45" s="19"/>
      <c r="E45" s="19"/>
      <c r="F45" s="19"/>
      <c r="G45" s="19"/>
      <c r="H45" s="19"/>
      <c r="I45" s="19"/>
      <c r="J45" s="19"/>
      <c r="K45" s="16" t="str">
        <f aca="false">IF(A45="","",COUNTIF(Fields!$D:$D,A45))</f>
        <v/>
      </c>
      <c r="L45" s="16" t="str">
        <f aca="false">IF(A45="","",SUMIF(Fields!$D:$D,A45,Fields!$M:$M))</f>
        <v/>
      </c>
      <c r="M45" s="19"/>
    </row>
    <row r="46" customFormat="false" ht="15" hidden="false" customHeight="false" outlineLevel="0" collapsed="false">
      <c r="A46" s="18"/>
      <c r="B46" s="19"/>
      <c r="C46" s="19"/>
      <c r="D46" s="19"/>
      <c r="E46" s="19"/>
      <c r="F46" s="19"/>
      <c r="G46" s="19"/>
      <c r="H46" s="19"/>
      <c r="I46" s="19"/>
      <c r="J46" s="19"/>
      <c r="K46" s="16" t="str">
        <f aca="false">IF(A46="","",COUNTIF(Fields!$D:$D,A46))</f>
        <v/>
      </c>
      <c r="L46" s="16" t="str">
        <f aca="false">IF(A46="","",SUMIF(Fields!$D:$D,A46,Fields!$M:$M))</f>
        <v/>
      </c>
      <c r="M46" s="19"/>
    </row>
    <row r="47" customFormat="false" ht="15" hidden="false" customHeight="false" outlineLevel="0" collapsed="false">
      <c r="A47" s="18"/>
      <c r="B47" s="19"/>
      <c r="C47" s="19"/>
      <c r="D47" s="19"/>
      <c r="E47" s="19"/>
      <c r="F47" s="19"/>
      <c r="G47" s="19"/>
      <c r="H47" s="19"/>
      <c r="I47" s="19"/>
      <c r="J47" s="19"/>
      <c r="K47" s="16" t="str">
        <f aca="false">IF(A47="","",COUNTIF(Fields!$D:$D,A47))</f>
        <v/>
      </c>
      <c r="L47" s="16" t="str">
        <f aca="false">IF(A47="","",SUMIF(Fields!$D:$D,A47,Fields!$M:$M))</f>
        <v/>
      </c>
      <c r="M47" s="19"/>
    </row>
    <row r="48" customFormat="false" ht="15" hidden="false" customHeight="false" outlineLevel="0" collapsed="false">
      <c r="A48" s="18"/>
      <c r="B48" s="19"/>
      <c r="C48" s="19"/>
      <c r="D48" s="19"/>
      <c r="E48" s="19"/>
      <c r="F48" s="19"/>
      <c r="G48" s="19"/>
      <c r="H48" s="19"/>
      <c r="I48" s="19"/>
      <c r="J48" s="19"/>
      <c r="K48" s="16" t="str">
        <f aca="false">IF(A48="","",COUNTIF(Fields!$D:$D,A48))</f>
        <v/>
      </c>
      <c r="L48" s="16" t="str">
        <f aca="false">IF(A48="","",SUMIF(Fields!$D:$D,A48,Fields!$M:$M))</f>
        <v/>
      </c>
      <c r="M48" s="19"/>
    </row>
    <row r="49" customFormat="false" ht="15" hidden="false" customHeight="false" outlineLevel="0" collapsed="false">
      <c r="A49" s="18"/>
      <c r="B49" s="19"/>
      <c r="C49" s="19"/>
      <c r="D49" s="19"/>
      <c r="E49" s="19"/>
      <c r="F49" s="19"/>
      <c r="G49" s="19"/>
      <c r="H49" s="19"/>
      <c r="I49" s="19"/>
      <c r="J49" s="19"/>
      <c r="K49" s="16" t="str">
        <f aca="false">IF(A49="","",COUNTIF(Fields!$D:$D,A49))</f>
        <v/>
      </c>
      <c r="L49" s="16" t="str">
        <f aca="false">IF(A49="","",SUMIF(Fields!$D:$D,A49,Fields!$M:$M))</f>
        <v/>
      </c>
      <c r="M49" s="19"/>
    </row>
    <row r="50" customFormat="false" ht="15" hidden="false" customHeight="false" outlineLevel="0" collapsed="false">
      <c r="A50" s="18"/>
      <c r="B50" s="19"/>
      <c r="C50" s="19"/>
      <c r="D50" s="19"/>
      <c r="E50" s="19"/>
      <c r="F50" s="19"/>
      <c r="G50" s="19"/>
      <c r="H50" s="19"/>
      <c r="I50" s="19"/>
      <c r="J50" s="19"/>
      <c r="K50" s="16" t="str">
        <f aca="false">IF(A50="","",COUNTIF(Fields!$D:$D,A50))</f>
        <v/>
      </c>
      <c r="L50" s="16" t="str">
        <f aca="false">IF(A50="","",SUMIF(Fields!$D:$D,A50,Fields!$M:$M))</f>
        <v/>
      </c>
      <c r="M50" s="19"/>
    </row>
    <row r="51" customFormat="false" ht="15" hidden="false" customHeight="false" outlineLevel="0" collapsed="false">
      <c r="A51" s="18"/>
      <c r="B51" s="19"/>
      <c r="C51" s="19"/>
      <c r="D51" s="19"/>
      <c r="E51" s="19"/>
      <c r="F51" s="19"/>
      <c r="G51" s="19"/>
      <c r="H51" s="19"/>
      <c r="I51" s="19"/>
      <c r="J51" s="19"/>
      <c r="K51" s="16" t="str">
        <f aca="false">IF(A51="","",COUNTIF(Fields!$D:$D,A51))</f>
        <v/>
      </c>
      <c r="L51" s="16" t="str">
        <f aca="false">IF(A51="","",SUMIF(Fields!$D:$D,A51,Fields!$M:$M))</f>
        <v/>
      </c>
      <c r="M51" s="19"/>
    </row>
    <row r="52" customFormat="false" ht="15" hidden="false" customHeight="false" outlineLevel="0" collapsed="false">
      <c r="A52" s="18"/>
      <c r="B52" s="19"/>
      <c r="C52" s="19"/>
      <c r="D52" s="19"/>
      <c r="E52" s="19"/>
      <c r="F52" s="19"/>
      <c r="G52" s="19"/>
      <c r="H52" s="19"/>
      <c r="I52" s="19"/>
      <c r="J52" s="19"/>
      <c r="K52" s="16" t="str">
        <f aca="false">IF(A52="","",COUNTIF(Fields!$D:$D,A52))</f>
        <v/>
      </c>
      <c r="L52" s="16" t="str">
        <f aca="false">IF(A52="","",SUMIF(Fields!$D:$D,A52,Fields!$M:$M))</f>
        <v/>
      </c>
      <c r="M52" s="19"/>
    </row>
    <row r="53" customFormat="false" ht="15" hidden="false" customHeight="false" outlineLevel="0" collapsed="false">
      <c r="A53" s="18"/>
      <c r="B53" s="19"/>
      <c r="C53" s="19"/>
      <c r="D53" s="19"/>
      <c r="E53" s="19"/>
      <c r="F53" s="19"/>
      <c r="G53" s="19"/>
      <c r="H53" s="19"/>
      <c r="I53" s="19"/>
      <c r="J53" s="19"/>
      <c r="K53" s="16" t="str">
        <f aca="false">IF(A53="","",COUNTIF(Fields!$D:$D,A53))</f>
        <v/>
      </c>
      <c r="L53" s="16" t="str">
        <f aca="false">IF(A53="","",SUMIF(Fields!$D:$D,A53,Fields!$M:$M))</f>
        <v/>
      </c>
      <c r="M53" s="19"/>
    </row>
    <row r="54" customFormat="false" ht="15" hidden="false" customHeight="false" outlineLevel="0" collapsed="false">
      <c r="A54" s="18"/>
      <c r="B54" s="19"/>
      <c r="C54" s="19"/>
      <c r="D54" s="19"/>
      <c r="E54" s="19"/>
      <c r="F54" s="19"/>
      <c r="G54" s="19"/>
      <c r="H54" s="19"/>
      <c r="I54" s="19"/>
      <c r="J54" s="19"/>
      <c r="K54" s="16" t="str">
        <f aca="false">IF(A54="","",COUNTIF(Fields!$D:$D,A54))</f>
        <v/>
      </c>
      <c r="L54" s="16" t="str">
        <f aca="false">IF(A54="","",SUMIF(Fields!$D:$D,A54,Fields!$M:$M))</f>
        <v/>
      </c>
      <c r="M54" s="19"/>
    </row>
    <row r="55" customFormat="false" ht="15" hidden="false" customHeight="false" outlineLevel="0" collapsed="false">
      <c r="A55" s="18"/>
      <c r="B55" s="19"/>
      <c r="C55" s="19"/>
      <c r="D55" s="19"/>
      <c r="E55" s="19"/>
      <c r="F55" s="19"/>
      <c r="G55" s="19"/>
      <c r="H55" s="19"/>
      <c r="I55" s="19"/>
      <c r="J55" s="19"/>
      <c r="K55" s="16" t="str">
        <f aca="false">IF(A55="","",COUNTIF(Fields!$D:$D,A55))</f>
        <v/>
      </c>
      <c r="L55" s="16" t="str">
        <f aca="false">IF(A55="","",SUMIF(Fields!$D:$D,A55,Fields!$M:$M))</f>
        <v/>
      </c>
      <c r="M55" s="19"/>
    </row>
    <row r="56" customFormat="false" ht="15" hidden="false" customHeight="false" outlineLevel="0" collapsed="false">
      <c r="A56" s="18"/>
      <c r="B56" s="19"/>
      <c r="C56" s="19"/>
      <c r="D56" s="19"/>
      <c r="E56" s="19"/>
      <c r="F56" s="19"/>
      <c r="G56" s="19"/>
      <c r="H56" s="19"/>
      <c r="I56" s="19"/>
      <c r="J56" s="19"/>
      <c r="K56" s="16" t="str">
        <f aca="false">IF(A56="","",COUNTIF(Fields!$D:$D,A56))</f>
        <v/>
      </c>
      <c r="L56" s="16" t="str">
        <f aca="false">IF(A56="","",SUMIF(Fields!$D:$D,A56,Fields!$M:$M))</f>
        <v/>
      </c>
      <c r="M56" s="19"/>
    </row>
    <row r="57" customFormat="false" ht="15" hidden="false" customHeight="false" outlineLevel="0" collapsed="false">
      <c r="A57" s="18"/>
      <c r="B57" s="19"/>
      <c r="C57" s="19"/>
      <c r="D57" s="19"/>
      <c r="E57" s="19"/>
      <c r="F57" s="19"/>
      <c r="G57" s="19"/>
      <c r="H57" s="19"/>
      <c r="I57" s="19"/>
      <c r="J57" s="19"/>
      <c r="K57" s="16" t="str">
        <f aca="false">IF(A57="","",COUNTIF(Fields!$D:$D,A57))</f>
        <v/>
      </c>
      <c r="L57" s="16" t="str">
        <f aca="false">IF(A57="","",SUMIF(Fields!$D:$D,A57,Fields!$M:$M))</f>
        <v/>
      </c>
      <c r="M57" s="19"/>
    </row>
    <row r="58" customFormat="false" ht="15" hidden="false" customHeight="false" outlineLevel="0" collapsed="false">
      <c r="A58" s="18"/>
      <c r="B58" s="19"/>
      <c r="C58" s="19"/>
      <c r="D58" s="19"/>
      <c r="E58" s="19"/>
      <c r="F58" s="19"/>
      <c r="G58" s="19"/>
      <c r="H58" s="19"/>
      <c r="I58" s="19"/>
      <c r="J58" s="19"/>
      <c r="K58" s="16" t="str">
        <f aca="false">IF(A58="","",COUNTIF(Fields!$D:$D,A58))</f>
        <v/>
      </c>
      <c r="L58" s="16" t="str">
        <f aca="false">IF(A58="","",SUMIF(Fields!$D:$D,A58,Fields!$M:$M))</f>
        <v/>
      </c>
      <c r="M58" s="19"/>
    </row>
    <row r="59" customFormat="false" ht="15" hidden="false" customHeight="false" outlineLevel="0" collapsed="false">
      <c r="A59" s="18"/>
      <c r="B59" s="19"/>
      <c r="C59" s="19"/>
      <c r="D59" s="19"/>
      <c r="E59" s="19"/>
      <c r="F59" s="19"/>
      <c r="G59" s="19"/>
      <c r="H59" s="19"/>
      <c r="I59" s="19"/>
      <c r="J59" s="19"/>
      <c r="K59" s="16" t="str">
        <f aca="false">IF(A59="","",COUNTIF(Fields!$D:$D,A59))</f>
        <v/>
      </c>
      <c r="L59" s="16" t="str">
        <f aca="false">IF(A59="","",SUMIF(Fields!$D:$D,A59,Fields!$M:$M))</f>
        <v/>
      </c>
      <c r="M59" s="19"/>
    </row>
    <row r="60" customFormat="false" ht="15" hidden="false" customHeight="false" outlineLevel="0" collapsed="false">
      <c r="A60" s="18"/>
      <c r="B60" s="19"/>
      <c r="C60" s="19"/>
      <c r="D60" s="19"/>
      <c r="E60" s="19"/>
      <c r="F60" s="19"/>
      <c r="G60" s="19"/>
      <c r="H60" s="19"/>
      <c r="I60" s="19"/>
      <c r="J60" s="19"/>
      <c r="K60" s="16" t="str">
        <f aca="false">IF(A60="","",COUNTIF(Fields!$D:$D,A60))</f>
        <v/>
      </c>
      <c r="L60" s="16" t="str">
        <f aca="false">IF(A60="","",SUMIF(Fields!$D:$D,A60,Fields!$M:$M))</f>
        <v/>
      </c>
      <c r="M60" s="19"/>
    </row>
    <row r="61" customFormat="false" ht="15" hidden="false" customHeight="false" outlineLevel="0" collapsed="false">
      <c r="A61" s="18"/>
      <c r="B61" s="19"/>
      <c r="C61" s="19"/>
      <c r="D61" s="19"/>
      <c r="E61" s="19"/>
      <c r="F61" s="19"/>
      <c r="G61" s="19"/>
      <c r="H61" s="19"/>
      <c r="I61" s="19"/>
      <c r="J61" s="19"/>
      <c r="K61" s="16" t="str">
        <f aca="false">IF(A61="","",COUNTIF(Fields!$D:$D,A61))</f>
        <v/>
      </c>
      <c r="L61" s="16" t="str">
        <f aca="false">IF(A61="","",SUMIF(Fields!$D:$D,A61,Fields!$M:$M))</f>
        <v/>
      </c>
      <c r="M61" s="19"/>
    </row>
    <row r="62" customFormat="false" ht="15" hidden="false" customHeight="false" outlineLevel="0" collapsed="false">
      <c r="A62" s="18"/>
      <c r="B62" s="19"/>
      <c r="C62" s="19"/>
      <c r="D62" s="19"/>
      <c r="E62" s="19"/>
      <c r="F62" s="19"/>
      <c r="G62" s="19"/>
      <c r="H62" s="19"/>
      <c r="I62" s="19"/>
      <c r="J62" s="19"/>
      <c r="K62" s="16" t="str">
        <f aca="false">IF(A62="","",COUNTIF(Fields!$D:$D,A62))</f>
        <v/>
      </c>
      <c r="L62" s="16" t="str">
        <f aca="false">IF(A62="","",SUMIF(Fields!$D:$D,A62,Fields!$M:$M))</f>
        <v/>
      </c>
      <c r="M62" s="19"/>
    </row>
    <row r="63" customFormat="false" ht="15" hidden="false" customHeight="false" outlineLevel="0" collapsed="false">
      <c r="A63" s="18"/>
      <c r="B63" s="19"/>
      <c r="C63" s="19"/>
      <c r="D63" s="19"/>
      <c r="E63" s="19"/>
      <c r="F63" s="19"/>
      <c r="G63" s="19"/>
      <c r="H63" s="19"/>
      <c r="I63" s="19"/>
      <c r="J63" s="19"/>
      <c r="K63" s="16" t="str">
        <f aca="false">IF(A63="","",COUNTIF(Fields!$D:$D,A63))</f>
        <v/>
      </c>
      <c r="L63" s="16" t="str">
        <f aca="false">IF(A63="","",SUMIF(Fields!$D:$D,A63,Fields!$M:$M))</f>
        <v/>
      </c>
      <c r="M63" s="19"/>
    </row>
    <row r="64" customFormat="false" ht="15" hidden="false" customHeight="false" outlineLevel="0" collapsed="false">
      <c r="A64" s="18"/>
      <c r="B64" s="19"/>
      <c r="C64" s="19"/>
      <c r="D64" s="19"/>
      <c r="E64" s="19"/>
      <c r="F64" s="19"/>
      <c r="G64" s="19"/>
      <c r="H64" s="19"/>
      <c r="I64" s="19"/>
      <c r="J64" s="19"/>
      <c r="K64" s="16" t="str">
        <f aca="false">IF(A64="","",COUNTIF(Fields!$D:$D,A64))</f>
        <v/>
      </c>
      <c r="L64" s="16" t="str">
        <f aca="false">IF(A64="","",SUMIF(Fields!$D:$D,A64,Fields!$M:$M))</f>
        <v/>
      </c>
      <c r="M64" s="19"/>
    </row>
  </sheetData>
  <autoFilter ref="A4:M64"/>
  <conditionalFormatting sqref="J5:J64">
    <cfRule type="cellIs" priority="2" operator="equal" aboveAverage="0" equalAverage="0" bottom="0" percent="0" rank="0" text="" dxfId="11">
      <formula>"Retire"</formula>
    </cfRule>
    <cfRule type="cellIs" priority="3" operator="equal" aboveAverage="0" equalAverage="0" bottom="0" percent="0" rank="0" text="" dxfId="9">
      <formula>"Build"</formula>
    </cfRule>
  </conditionalFormatting>
  <conditionalFormatting sqref="H5:H64">
    <cfRule type="cellIs" priority="4" operator="equal" aboveAverage="0" equalAverage="0" bottom="0" percent="0" rank="0" text="" dxfId="11">
      <formula>"Retire"</formula>
    </cfRule>
    <cfRule type="cellIs" priority="5" operator="equal" aboveAverage="0" equalAverage="0" bottom="0" percent="0" rank="0" text="" dxfId="10">
      <formula>"Proposed"</formula>
    </cfRule>
  </conditionalFormatting>
  <dataValidations count="4">
    <dataValidation allowBlank="true" errorStyle="stop" operator="between" showDropDown="false" showErrorMessage="false" showInputMessage="false" sqref="I5:I64" type="list">
      <formula1>"Source tables,Business rules,Certified tables,Reporting"</formula1>
      <formula2>0</formula2>
    </dataValidation>
    <dataValidation allowBlank="true" errorStyle="stop" operator="between" showDropDown="false" showErrorMessage="false" showInputMessage="false" sqref="J5:J64" type="list">
      <formula1>"Keep as is,Build,Fix upstream,Move to business rules,Merge into certified table,Retire,Undecided"</formula1>
      <formula2>0</formula2>
    </dataValidation>
    <dataValidation allowBlank="true" errorStyle="stop" operator="between" showDropDown="false" showErrorMessage="false" showInputMessage="false" sqref="C5:C64" type="list">
      <formula1>"HRDW,Team custom,Platform,Other"</formula1>
      <formula2>0</formula2>
    </dataValidation>
    <dataValidation allowBlank="true" errorStyle="stop" operator="between" showDropDown="false" showErrorMessage="false" showInputMessage="false" sqref="H5:H64" type="list">
      <formula1>"Active,Proposed,Retire,Unknown"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N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4" min="3" style="0" width="10"/>
    <col collapsed="false" customWidth="true" hidden="false" outlineLevel="0" max="5" min="5" style="0" width="28"/>
    <col collapsed="false" customWidth="true" hidden="false" outlineLevel="0" max="6" min="6" style="0" width="13"/>
    <col collapsed="false" customWidth="true" hidden="false" outlineLevel="0" max="7" min="7" style="0" width="16"/>
    <col collapsed="false" customWidth="true" hidden="false" outlineLevel="0" max="8" min="8" style="0" width="52"/>
    <col collapsed="false" customWidth="true" hidden="false" outlineLevel="0" max="9" min="9" style="0" width="12"/>
    <col collapsed="false" customWidth="true" hidden="false" outlineLevel="0" max="10" min="10" style="0" width="15"/>
    <col collapsed="false" customWidth="true" hidden="false" outlineLevel="0" max="11" min="11" style="0" width="22"/>
    <col collapsed="false" customWidth="true" hidden="false" outlineLevel="0" max="12" min="12" style="0" width="40"/>
    <col collapsed="false" customWidth="true" hidden="false" outlineLevel="0" max="14" min="13" style="0" width="11"/>
  </cols>
  <sheetData>
    <row r="1" customFormat="false" ht="17.35" hidden="false" customHeight="false" outlineLevel="0" collapsed="false">
      <c r="A1" s="1" t="s">
        <v>11</v>
      </c>
    </row>
    <row r="2" customFormat="false" ht="15" hidden="false" customHeight="false" outlineLevel="0" collapsed="false">
      <c r="A2" s="2" t="s">
        <v>237</v>
      </c>
    </row>
    <row r="4" customFormat="false" ht="30" hidden="false" customHeight="true" outlineLevel="0" collapsed="false">
      <c r="A4" s="11" t="s">
        <v>156</v>
      </c>
      <c r="B4" s="11" t="s">
        <v>159</v>
      </c>
      <c r="C4" s="11" t="s">
        <v>69</v>
      </c>
      <c r="D4" s="11" t="s">
        <v>123</v>
      </c>
      <c r="E4" s="11" t="s">
        <v>126</v>
      </c>
      <c r="F4" s="11" t="s">
        <v>129</v>
      </c>
      <c r="G4" s="11" t="s">
        <v>169</v>
      </c>
      <c r="H4" s="11" t="s">
        <v>172</v>
      </c>
      <c r="I4" s="11" t="s">
        <v>175</v>
      </c>
      <c r="J4" s="11" t="s">
        <v>145</v>
      </c>
      <c r="K4" s="11" t="s">
        <v>148</v>
      </c>
      <c r="L4" s="11" t="s">
        <v>181</v>
      </c>
      <c r="M4" s="11" t="s">
        <v>184</v>
      </c>
      <c r="N4" s="11" t="s">
        <v>185</v>
      </c>
    </row>
    <row r="5" customFormat="false" ht="15" hidden="false" customHeight="false" outlineLevel="0" collapsed="false">
      <c r="A5" s="18" t="s">
        <v>189</v>
      </c>
      <c r="B5" s="19" t="s">
        <v>190</v>
      </c>
      <c r="C5" s="19" t="s">
        <v>238</v>
      </c>
      <c r="D5" s="18" t="s">
        <v>219</v>
      </c>
      <c r="E5" s="16" t="str">
        <f aca="false">IF(D5="","",IFERROR(INDEX(Tables!$B:$B,MATCH(D5,Tables!$A:$A,0)),"ID not found"))</f>
        <v>HRDW requisition table</v>
      </c>
      <c r="F5" s="16" t="str">
        <f aca="false">IF(D5="","",IFERROR(INDEX(Tables!$C:$C,MATCH(D5,Tables!$A:$A,0)),""))</f>
        <v>HRDW</v>
      </c>
      <c r="G5" s="19"/>
      <c r="H5" s="19"/>
      <c r="I5" s="19" t="s">
        <v>239</v>
      </c>
      <c r="J5" s="19" t="s">
        <v>224</v>
      </c>
      <c r="K5" s="19" t="s">
        <v>150</v>
      </c>
      <c r="L5" s="19" t="s">
        <v>198</v>
      </c>
      <c r="M5" s="16" t="n">
        <f aca="false">IF(A5="","",COUNTIF('Metric to Field'!$B:$B,A5))</f>
        <v>1</v>
      </c>
      <c r="N5" s="16" t="n">
        <f aca="false">IF(A5="","",SUMPRODUCT(('Metric to Field'!$B$5:$B$64=A5)*('Metric to Field'!$F$5:$F$64)))</f>
        <v>3</v>
      </c>
    </row>
    <row r="6" customFormat="false" ht="15" hidden="false" customHeight="false" outlineLevel="0" collapsed="false">
      <c r="A6" s="18" t="s">
        <v>240</v>
      </c>
      <c r="B6" s="19" t="s">
        <v>241</v>
      </c>
      <c r="C6" s="19" t="s">
        <v>238</v>
      </c>
      <c r="D6" s="18" t="s">
        <v>227</v>
      </c>
      <c r="E6" s="16" t="str">
        <f aca="false">IF(D6="","",IFERROR(INDEX(Tables!$B:$B,MATCH(D6,Tables!$A:$A,0)),"ID not found"))</f>
        <v>HRDW offer table</v>
      </c>
      <c r="F6" s="16" t="str">
        <f aca="false">IF(D6="","",IFERROR(INDEX(Tables!$C:$C,MATCH(D6,Tables!$A:$A,0)),""))</f>
        <v>HRDW</v>
      </c>
      <c r="G6" s="19"/>
      <c r="H6" s="19"/>
      <c r="I6" s="19" t="s">
        <v>239</v>
      </c>
      <c r="J6" s="19" t="s">
        <v>224</v>
      </c>
      <c r="K6" s="19" t="s">
        <v>150</v>
      </c>
      <c r="L6" s="19" t="s">
        <v>198</v>
      </c>
      <c r="M6" s="16" t="n">
        <f aca="false">IF(A6="","",COUNTIF('Metric to Field'!$B:$B,A6))</f>
        <v>2</v>
      </c>
      <c r="N6" s="16" t="n">
        <f aca="false">IF(A6="","",SUMPRODUCT(('Metric to Field'!$B$5:$B$64=A6)*('Metric to Field'!$F$5:$F$64)))</f>
        <v>4</v>
      </c>
    </row>
    <row r="7" customFormat="false" ht="23.85" hidden="false" customHeight="false" outlineLevel="0" collapsed="false">
      <c r="A7" s="18" t="s">
        <v>242</v>
      </c>
      <c r="B7" s="19" t="s">
        <v>243</v>
      </c>
      <c r="C7" s="19" t="s">
        <v>238</v>
      </c>
      <c r="D7" s="18" t="s">
        <v>219</v>
      </c>
      <c r="E7" s="16" t="str">
        <f aca="false">IF(D7="","",IFERROR(INDEX(Tables!$B:$B,MATCH(D7,Tables!$A:$A,0)),"ID not found"))</f>
        <v>HRDW requisition table</v>
      </c>
      <c r="F7" s="16" t="str">
        <f aca="false">IF(D7="","",IFERROR(INDEX(Tables!$C:$C,MATCH(D7,Tables!$A:$A,0)),""))</f>
        <v>HRDW</v>
      </c>
      <c r="G7" s="19"/>
      <c r="H7" s="19"/>
      <c r="I7" s="19" t="s">
        <v>177</v>
      </c>
      <c r="J7" s="19" t="s">
        <v>224</v>
      </c>
      <c r="K7" s="19" t="s">
        <v>244</v>
      </c>
      <c r="L7" s="19" t="s">
        <v>245</v>
      </c>
      <c r="M7" s="16" t="n">
        <f aca="false">IF(A7="","",COUNTIF('Metric to Field'!$B:$B,A7))</f>
        <v>1</v>
      </c>
      <c r="N7" s="16" t="n">
        <f aca="false">IF(A7="","",SUMPRODUCT(('Metric to Field'!$B$5:$B$64=A7)*('Metric to Field'!$F$5:$F$64)))</f>
        <v>3</v>
      </c>
    </row>
    <row r="8" customFormat="false" ht="15" hidden="false" customHeight="false" outlineLevel="0" collapsed="false">
      <c r="A8" s="18" t="s">
        <v>246</v>
      </c>
      <c r="B8" s="19" t="s">
        <v>247</v>
      </c>
      <c r="C8" s="19" t="s">
        <v>238</v>
      </c>
      <c r="D8" s="18" t="s">
        <v>219</v>
      </c>
      <c r="E8" s="16" t="str">
        <f aca="false">IF(D8="","",IFERROR(INDEX(Tables!$B:$B,MATCH(D8,Tables!$A:$A,0)),"ID not found"))</f>
        <v>HRDW requisition table</v>
      </c>
      <c r="F8" s="16" t="str">
        <f aca="false">IF(D8="","",IFERROR(INDEX(Tables!$C:$C,MATCH(D8,Tables!$A:$A,0)),""))</f>
        <v>HRDW</v>
      </c>
      <c r="G8" s="19"/>
      <c r="H8" s="19"/>
      <c r="I8" s="19" t="s">
        <v>239</v>
      </c>
      <c r="J8" s="19" t="s">
        <v>224</v>
      </c>
      <c r="K8" s="19" t="s">
        <v>150</v>
      </c>
      <c r="L8" s="19" t="s">
        <v>198</v>
      </c>
      <c r="M8" s="16" t="n">
        <f aca="false">IF(A8="","",COUNTIF('Metric to Field'!$B:$B,A8))</f>
        <v>1</v>
      </c>
      <c r="N8" s="16" t="n">
        <f aca="false">IF(A8="","",SUMPRODUCT(('Metric to Field'!$B$5:$B$64=A8)*('Metric to Field'!$F$5:$F$64)))</f>
        <v>3</v>
      </c>
    </row>
    <row r="9" customFormat="false" ht="35.05" hidden="false" customHeight="false" outlineLevel="0" collapsed="false">
      <c r="A9" s="18" t="s">
        <v>248</v>
      </c>
      <c r="B9" s="19" t="s">
        <v>249</v>
      </c>
      <c r="C9" s="19" t="s">
        <v>163</v>
      </c>
      <c r="D9" s="18" t="s">
        <v>125</v>
      </c>
      <c r="E9" s="16" t="str">
        <f aca="false">IF(D9="","",IFERROR(INDEX(Tables!$B:$B,MATCH(D9,Tables!$A:$A,0)),"ID not found"))</f>
        <v>Requisition linkage table</v>
      </c>
      <c r="F9" s="16" t="str">
        <f aca="false">IF(D9="","",IFERROR(INDEX(Tables!$C:$C,MATCH(D9,Tables!$A:$A,0)),""))</f>
        <v>Team custom</v>
      </c>
      <c r="G9" s="19" t="s">
        <v>250</v>
      </c>
      <c r="H9" s="19" t="s">
        <v>251</v>
      </c>
      <c r="I9" s="19" t="s">
        <v>252</v>
      </c>
      <c r="J9" s="19" t="s">
        <v>147</v>
      </c>
      <c r="K9" s="19" t="s">
        <v>150</v>
      </c>
      <c r="L9" s="19" t="s">
        <v>253</v>
      </c>
      <c r="M9" s="16" t="n">
        <f aca="false">IF(A9="","",COUNTIF('Metric to Field'!$B:$B,A9))</f>
        <v>1</v>
      </c>
      <c r="N9" s="16" t="n">
        <f aca="false">IF(A9="","",SUMPRODUCT(('Metric to Field'!$B$5:$B$64=A9)*('Metric to Field'!$F$5:$F$64)))</f>
        <v>3</v>
      </c>
    </row>
    <row r="10" customFormat="false" ht="15" hidden="false" customHeight="false" outlineLevel="0" collapsed="false">
      <c r="A10" s="18" t="s">
        <v>250</v>
      </c>
      <c r="B10" s="19" t="s">
        <v>254</v>
      </c>
      <c r="C10" s="19" t="s">
        <v>238</v>
      </c>
      <c r="D10" s="18" t="s">
        <v>134</v>
      </c>
      <c r="E10" s="16" t="str">
        <f aca="false">IF(D10="","",IFERROR(INDEX(Tables!$B:$B,MATCH(D10,Tables!$A:$A,0)),"ID not found"))</f>
        <v>HRDW requisition history table</v>
      </c>
      <c r="F10" s="16" t="str">
        <f aca="false">IF(D10="","",IFERROR(INDEX(Tables!$C:$C,MATCH(D10,Tables!$A:$A,0)),""))</f>
        <v>HRDW</v>
      </c>
      <c r="G10" s="19"/>
      <c r="H10" s="19"/>
      <c r="I10" s="19" t="s">
        <v>252</v>
      </c>
      <c r="J10" s="19" t="s">
        <v>224</v>
      </c>
      <c r="K10" s="19" t="s">
        <v>150</v>
      </c>
      <c r="L10" s="19" t="s">
        <v>198</v>
      </c>
      <c r="M10" s="16" t="n">
        <f aca="false">IF(A10="","",COUNTIF('Metric to Field'!$B:$B,A10))</f>
        <v>0</v>
      </c>
      <c r="N10" s="16" t="n">
        <f aca="false">IF(A10="","",SUMPRODUCT(('Metric to Field'!$B$5:$B$64=A10)*('Metric to Field'!$F$5:$F$64)))</f>
        <v>0</v>
      </c>
    </row>
    <row r="11" customFormat="false" ht="15" hidden="false" customHeight="false" outlineLevel="0" collapsed="false">
      <c r="A11" s="18" t="s">
        <v>255</v>
      </c>
      <c r="B11" s="19" t="s">
        <v>256</v>
      </c>
      <c r="C11" s="19" t="s">
        <v>238</v>
      </c>
      <c r="D11" s="18" t="s">
        <v>134</v>
      </c>
      <c r="E11" s="16" t="str">
        <f aca="false">IF(D11="","",IFERROR(INDEX(Tables!$B:$B,MATCH(D11,Tables!$A:$A,0)),"ID not found"))</f>
        <v>HRDW requisition history table</v>
      </c>
      <c r="F11" s="16" t="str">
        <f aca="false">IF(D11="","",IFERROR(INDEX(Tables!$C:$C,MATCH(D11,Tables!$A:$A,0)),""))</f>
        <v>HRDW</v>
      </c>
      <c r="G11" s="19"/>
      <c r="H11" s="19"/>
      <c r="I11" s="19" t="s">
        <v>239</v>
      </c>
      <c r="J11" s="19" t="s">
        <v>224</v>
      </c>
      <c r="K11" s="19" t="s">
        <v>150</v>
      </c>
      <c r="L11" s="19" t="s">
        <v>198</v>
      </c>
      <c r="M11" s="16" t="n">
        <f aca="false">IF(A11="","",COUNTIF('Metric to Field'!$B:$B,A11))</f>
        <v>0</v>
      </c>
      <c r="N11" s="16" t="n">
        <f aca="false">IF(A11="","",SUMPRODUCT(('Metric to Field'!$B$5:$B$64=A11)*('Metric to Field'!$F$5:$F$64)))</f>
        <v>0</v>
      </c>
    </row>
    <row r="12" customFormat="false" ht="35.05" hidden="false" customHeight="false" outlineLevel="0" collapsed="false">
      <c r="A12" s="18" t="s">
        <v>158</v>
      </c>
      <c r="B12" s="19" t="s">
        <v>161</v>
      </c>
      <c r="C12" s="19" t="s">
        <v>163</v>
      </c>
      <c r="D12" s="18" t="s">
        <v>165</v>
      </c>
      <c r="E12" s="16" t="str">
        <f aca="false">IF(D12="","",IFERROR(INDEX(Tables!$B:$B,MATCH(D12,Tables!$A:$A,0)),"ID not found"))</f>
        <v>Certified application table</v>
      </c>
      <c r="F12" s="16" t="str">
        <f aca="false">IF(D12="","",IFERROR(INDEX(Tables!$C:$C,MATCH(D12,Tables!$A:$A,0)),""))</f>
        <v>Team custom</v>
      </c>
      <c r="G12" s="19" t="s">
        <v>171</v>
      </c>
      <c r="H12" s="19" t="s">
        <v>257</v>
      </c>
      <c r="I12" s="19" t="s">
        <v>252</v>
      </c>
      <c r="J12" s="19" t="s">
        <v>147</v>
      </c>
      <c r="K12" s="19" t="s">
        <v>180</v>
      </c>
      <c r="L12" s="19" t="s">
        <v>258</v>
      </c>
      <c r="M12" s="16" t="n">
        <f aca="false">IF(A12="","",COUNTIF('Metric to Field'!$B:$B,A12))</f>
        <v>1</v>
      </c>
      <c r="N12" s="16" t="n">
        <f aca="false">IF(A12="","",SUMPRODUCT(('Metric to Field'!$B$5:$B$64=A12)*('Metric to Field'!$F$5:$F$64)))</f>
        <v>1</v>
      </c>
    </row>
    <row r="13" customFormat="false" ht="15" hidden="false" customHeight="false" outlineLevel="0" collapsed="false">
      <c r="A13" s="18"/>
      <c r="B13" s="19"/>
      <c r="C13" s="19"/>
      <c r="D13" s="18"/>
      <c r="E13" s="16" t="str">
        <f aca="false">IF(D13="","",IFERROR(INDEX(Tables!$B:$B,MATCH(D13,Tables!$A:$A,0)),"ID not found"))</f>
        <v/>
      </c>
      <c r="F13" s="16" t="str">
        <f aca="false">IF(D13="","",IFERROR(INDEX(Tables!$C:$C,MATCH(D13,Tables!$A:$A,0)),""))</f>
        <v/>
      </c>
      <c r="G13" s="19"/>
      <c r="H13" s="19"/>
      <c r="I13" s="19"/>
      <c r="J13" s="19"/>
      <c r="K13" s="19"/>
      <c r="L13" s="19"/>
      <c r="M13" s="16" t="str">
        <f aca="false">IF(A13="","",COUNTIF('Metric to Field'!$B:$B,A13))</f>
        <v/>
      </c>
      <c r="N13" s="16" t="str">
        <f aca="false">IF(A13="","",SUMPRODUCT(('Metric to Field'!$B$5:$B$64=A13)*('Metric to Field'!$F$5:$F$64)))</f>
        <v/>
      </c>
    </row>
    <row r="14" customFormat="false" ht="15" hidden="false" customHeight="false" outlineLevel="0" collapsed="false">
      <c r="A14" s="18"/>
      <c r="B14" s="19"/>
      <c r="C14" s="19"/>
      <c r="D14" s="18"/>
      <c r="E14" s="16" t="str">
        <f aca="false">IF(D14="","",IFERROR(INDEX(Tables!$B:$B,MATCH(D14,Tables!$A:$A,0)),"ID not found"))</f>
        <v/>
      </c>
      <c r="F14" s="16" t="str">
        <f aca="false">IF(D14="","",IFERROR(INDEX(Tables!$C:$C,MATCH(D14,Tables!$A:$A,0)),""))</f>
        <v/>
      </c>
      <c r="G14" s="19"/>
      <c r="H14" s="19"/>
      <c r="I14" s="19"/>
      <c r="J14" s="19"/>
      <c r="K14" s="19"/>
      <c r="L14" s="19"/>
      <c r="M14" s="16" t="str">
        <f aca="false">IF(A14="","",COUNTIF('Metric to Field'!$B:$B,A14))</f>
        <v/>
      </c>
      <c r="N14" s="16" t="str">
        <f aca="false">IF(A14="","",SUMPRODUCT(('Metric to Field'!$B$5:$B$64=A14)*('Metric to Field'!$F$5:$F$64)))</f>
        <v/>
      </c>
    </row>
    <row r="15" customFormat="false" ht="15" hidden="false" customHeight="false" outlineLevel="0" collapsed="false">
      <c r="A15" s="18"/>
      <c r="B15" s="19"/>
      <c r="C15" s="19"/>
      <c r="D15" s="18"/>
      <c r="E15" s="16" t="str">
        <f aca="false">IF(D15="","",IFERROR(INDEX(Tables!$B:$B,MATCH(D15,Tables!$A:$A,0)),"ID not found"))</f>
        <v/>
      </c>
      <c r="F15" s="16" t="str">
        <f aca="false">IF(D15="","",IFERROR(INDEX(Tables!$C:$C,MATCH(D15,Tables!$A:$A,0)),""))</f>
        <v/>
      </c>
      <c r="G15" s="19"/>
      <c r="H15" s="19"/>
      <c r="I15" s="19"/>
      <c r="J15" s="19"/>
      <c r="K15" s="19"/>
      <c r="L15" s="19"/>
      <c r="M15" s="16" t="str">
        <f aca="false">IF(A15="","",COUNTIF('Metric to Field'!$B:$B,A15))</f>
        <v/>
      </c>
      <c r="N15" s="16" t="str">
        <f aca="false">IF(A15="","",SUMPRODUCT(('Metric to Field'!$B$5:$B$64=A15)*('Metric to Field'!$F$5:$F$64)))</f>
        <v/>
      </c>
    </row>
    <row r="16" customFormat="false" ht="15" hidden="false" customHeight="false" outlineLevel="0" collapsed="false">
      <c r="A16" s="18"/>
      <c r="B16" s="19"/>
      <c r="C16" s="19"/>
      <c r="D16" s="18"/>
      <c r="E16" s="16" t="str">
        <f aca="false">IF(D16="","",IFERROR(INDEX(Tables!$B:$B,MATCH(D16,Tables!$A:$A,0)),"ID not found"))</f>
        <v/>
      </c>
      <c r="F16" s="16" t="str">
        <f aca="false">IF(D16="","",IFERROR(INDEX(Tables!$C:$C,MATCH(D16,Tables!$A:$A,0)),""))</f>
        <v/>
      </c>
      <c r="G16" s="19"/>
      <c r="H16" s="19"/>
      <c r="I16" s="19"/>
      <c r="J16" s="19"/>
      <c r="K16" s="19"/>
      <c r="L16" s="19"/>
      <c r="M16" s="16" t="str">
        <f aca="false">IF(A16="","",COUNTIF('Metric to Field'!$B:$B,A16))</f>
        <v/>
      </c>
      <c r="N16" s="16" t="str">
        <f aca="false">IF(A16="","",SUMPRODUCT(('Metric to Field'!$B$5:$B$64=A16)*('Metric to Field'!$F$5:$F$64)))</f>
        <v/>
      </c>
    </row>
    <row r="17" customFormat="false" ht="15" hidden="false" customHeight="false" outlineLevel="0" collapsed="false">
      <c r="A17" s="18"/>
      <c r="B17" s="19"/>
      <c r="C17" s="19"/>
      <c r="D17" s="18"/>
      <c r="E17" s="16" t="str">
        <f aca="false">IF(D17="","",IFERROR(INDEX(Tables!$B:$B,MATCH(D17,Tables!$A:$A,0)),"ID not found"))</f>
        <v/>
      </c>
      <c r="F17" s="16" t="str">
        <f aca="false">IF(D17="","",IFERROR(INDEX(Tables!$C:$C,MATCH(D17,Tables!$A:$A,0)),""))</f>
        <v/>
      </c>
      <c r="G17" s="19"/>
      <c r="H17" s="19"/>
      <c r="I17" s="19"/>
      <c r="J17" s="19"/>
      <c r="K17" s="19"/>
      <c r="L17" s="19"/>
      <c r="M17" s="16" t="str">
        <f aca="false">IF(A17="","",COUNTIF('Metric to Field'!$B:$B,A17))</f>
        <v/>
      </c>
      <c r="N17" s="16" t="str">
        <f aca="false">IF(A17="","",SUMPRODUCT(('Metric to Field'!$B$5:$B$64=A17)*('Metric to Field'!$F$5:$F$64)))</f>
        <v/>
      </c>
    </row>
    <row r="18" customFormat="false" ht="15" hidden="false" customHeight="false" outlineLevel="0" collapsed="false">
      <c r="A18" s="18"/>
      <c r="B18" s="19"/>
      <c r="C18" s="19"/>
      <c r="D18" s="18"/>
      <c r="E18" s="16" t="str">
        <f aca="false">IF(D18="","",IFERROR(INDEX(Tables!$B:$B,MATCH(D18,Tables!$A:$A,0)),"ID not found"))</f>
        <v/>
      </c>
      <c r="F18" s="16" t="str">
        <f aca="false">IF(D18="","",IFERROR(INDEX(Tables!$C:$C,MATCH(D18,Tables!$A:$A,0)),""))</f>
        <v/>
      </c>
      <c r="G18" s="19"/>
      <c r="H18" s="19"/>
      <c r="I18" s="19"/>
      <c r="J18" s="19"/>
      <c r="K18" s="19"/>
      <c r="L18" s="19"/>
      <c r="M18" s="16" t="str">
        <f aca="false">IF(A18="","",COUNTIF('Metric to Field'!$B:$B,A18))</f>
        <v/>
      </c>
      <c r="N18" s="16" t="str">
        <f aca="false">IF(A18="","",SUMPRODUCT(('Metric to Field'!$B$5:$B$64=A18)*('Metric to Field'!$F$5:$F$64)))</f>
        <v/>
      </c>
    </row>
    <row r="19" customFormat="false" ht="15" hidden="false" customHeight="false" outlineLevel="0" collapsed="false">
      <c r="A19" s="18"/>
      <c r="B19" s="19"/>
      <c r="C19" s="19"/>
      <c r="D19" s="18"/>
      <c r="E19" s="16" t="str">
        <f aca="false">IF(D19="","",IFERROR(INDEX(Tables!$B:$B,MATCH(D19,Tables!$A:$A,0)),"ID not found"))</f>
        <v/>
      </c>
      <c r="F19" s="16" t="str">
        <f aca="false">IF(D19="","",IFERROR(INDEX(Tables!$C:$C,MATCH(D19,Tables!$A:$A,0)),""))</f>
        <v/>
      </c>
      <c r="G19" s="19"/>
      <c r="H19" s="19"/>
      <c r="I19" s="19"/>
      <c r="J19" s="19"/>
      <c r="K19" s="19"/>
      <c r="L19" s="19"/>
      <c r="M19" s="16" t="str">
        <f aca="false">IF(A19="","",COUNTIF('Metric to Field'!$B:$B,A19))</f>
        <v/>
      </c>
      <c r="N19" s="16" t="str">
        <f aca="false">IF(A19="","",SUMPRODUCT(('Metric to Field'!$B$5:$B$64=A19)*('Metric to Field'!$F$5:$F$64)))</f>
        <v/>
      </c>
    </row>
    <row r="20" customFormat="false" ht="15" hidden="false" customHeight="false" outlineLevel="0" collapsed="false">
      <c r="A20" s="18"/>
      <c r="B20" s="19"/>
      <c r="C20" s="19"/>
      <c r="D20" s="18"/>
      <c r="E20" s="16" t="str">
        <f aca="false">IF(D20="","",IFERROR(INDEX(Tables!$B:$B,MATCH(D20,Tables!$A:$A,0)),"ID not found"))</f>
        <v/>
      </c>
      <c r="F20" s="16" t="str">
        <f aca="false">IF(D20="","",IFERROR(INDEX(Tables!$C:$C,MATCH(D20,Tables!$A:$A,0)),""))</f>
        <v/>
      </c>
      <c r="G20" s="19"/>
      <c r="H20" s="19"/>
      <c r="I20" s="19"/>
      <c r="J20" s="19"/>
      <c r="K20" s="19"/>
      <c r="L20" s="19"/>
      <c r="M20" s="16" t="str">
        <f aca="false">IF(A20="","",COUNTIF('Metric to Field'!$B:$B,A20))</f>
        <v/>
      </c>
      <c r="N20" s="16" t="str">
        <f aca="false">IF(A20="","",SUMPRODUCT(('Metric to Field'!$B$5:$B$64=A20)*('Metric to Field'!$F$5:$F$64)))</f>
        <v/>
      </c>
    </row>
    <row r="21" customFormat="false" ht="15" hidden="false" customHeight="false" outlineLevel="0" collapsed="false">
      <c r="A21" s="18"/>
      <c r="B21" s="19"/>
      <c r="C21" s="19"/>
      <c r="D21" s="18"/>
      <c r="E21" s="16" t="str">
        <f aca="false">IF(D21="","",IFERROR(INDEX(Tables!$B:$B,MATCH(D21,Tables!$A:$A,0)),"ID not found"))</f>
        <v/>
      </c>
      <c r="F21" s="16" t="str">
        <f aca="false">IF(D21="","",IFERROR(INDEX(Tables!$C:$C,MATCH(D21,Tables!$A:$A,0)),""))</f>
        <v/>
      </c>
      <c r="G21" s="19"/>
      <c r="H21" s="19"/>
      <c r="I21" s="19"/>
      <c r="J21" s="19"/>
      <c r="K21" s="19"/>
      <c r="L21" s="19"/>
      <c r="M21" s="16" t="str">
        <f aca="false">IF(A21="","",COUNTIF('Metric to Field'!$B:$B,A21))</f>
        <v/>
      </c>
      <c r="N21" s="16" t="str">
        <f aca="false">IF(A21="","",SUMPRODUCT(('Metric to Field'!$B$5:$B$64=A21)*('Metric to Field'!$F$5:$F$64)))</f>
        <v/>
      </c>
    </row>
    <row r="22" customFormat="false" ht="15" hidden="false" customHeight="false" outlineLevel="0" collapsed="false">
      <c r="A22" s="18"/>
      <c r="B22" s="19"/>
      <c r="C22" s="19"/>
      <c r="D22" s="18"/>
      <c r="E22" s="16" t="str">
        <f aca="false">IF(D22="","",IFERROR(INDEX(Tables!$B:$B,MATCH(D22,Tables!$A:$A,0)),"ID not found"))</f>
        <v/>
      </c>
      <c r="F22" s="16" t="str">
        <f aca="false">IF(D22="","",IFERROR(INDEX(Tables!$C:$C,MATCH(D22,Tables!$A:$A,0)),""))</f>
        <v/>
      </c>
      <c r="G22" s="19"/>
      <c r="H22" s="19"/>
      <c r="I22" s="19"/>
      <c r="J22" s="19"/>
      <c r="K22" s="19"/>
      <c r="L22" s="19"/>
      <c r="M22" s="16" t="str">
        <f aca="false">IF(A22="","",COUNTIF('Metric to Field'!$B:$B,A22))</f>
        <v/>
      </c>
      <c r="N22" s="16" t="str">
        <f aca="false">IF(A22="","",SUMPRODUCT(('Metric to Field'!$B$5:$B$64=A22)*('Metric to Field'!$F$5:$F$64)))</f>
        <v/>
      </c>
    </row>
    <row r="23" customFormat="false" ht="15" hidden="false" customHeight="false" outlineLevel="0" collapsed="false">
      <c r="A23" s="18"/>
      <c r="B23" s="19"/>
      <c r="C23" s="19"/>
      <c r="D23" s="18"/>
      <c r="E23" s="16" t="str">
        <f aca="false">IF(D23="","",IFERROR(INDEX(Tables!$B:$B,MATCH(D23,Tables!$A:$A,0)),"ID not found"))</f>
        <v/>
      </c>
      <c r="F23" s="16" t="str">
        <f aca="false">IF(D23="","",IFERROR(INDEX(Tables!$C:$C,MATCH(D23,Tables!$A:$A,0)),""))</f>
        <v/>
      </c>
      <c r="G23" s="19"/>
      <c r="H23" s="19"/>
      <c r="I23" s="19"/>
      <c r="J23" s="19"/>
      <c r="K23" s="19"/>
      <c r="L23" s="19"/>
      <c r="M23" s="16" t="str">
        <f aca="false">IF(A23="","",COUNTIF('Metric to Field'!$B:$B,A23))</f>
        <v/>
      </c>
      <c r="N23" s="16" t="str">
        <f aca="false">IF(A23="","",SUMPRODUCT(('Metric to Field'!$B$5:$B$64=A23)*('Metric to Field'!$F$5:$F$64)))</f>
        <v/>
      </c>
    </row>
    <row r="24" customFormat="false" ht="15" hidden="false" customHeight="false" outlineLevel="0" collapsed="false">
      <c r="A24" s="18"/>
      <c r="B24" s="19"/>
      <c r="C24" s="19"/>
      <c r="D24" s="18"/>
      <c r="E24" s="16" t="str">
        <f aca="false">IF(D24="","",IFERROR(INDEX(Tables!$B:$B,MATCH(D24,Tables!$A:$A,0)),"ID not found"))</f>
        <v/>
      </c>
      <c r="F24" s="16" t="str">
        <f aca="false">IF(D24="","",IFERROR(INDEX(Tables!$C:$C,MATCH(D24,Tables!$A:$A,0)),""))</f>
        <v/>
      </c>
      <c r="G24" s="19"/>
      <c r="H24" s="19"/>
      <c r="I24" s="19"/>
      <c r="J24" s="19"/>
      <c r="K24" s="19"/>
      <c r="L24" s="19"/>
      <c r="M24" s="16" t="str">
        <f aca="false">IF(A24="","",COUNTIF('Metric to Field'!$B:$B,A24))</f>
        <v/>
      </c>
      <c r="N24" s="16" t="str">
        <f aca="false">IF(A24="","",SUMPRODUCT(('Metric to Field'!$B$5:$B$64=A24)*('Metric to Field'!$F$5:$F$64)))</f>
        <v/>
      </c>
    </row>
    <row r="25" customFormat="false" ht="15" hidden="false" customHeight="false" outlineLevel="0" collapsed="false">
      <c r="A25" s="18"/>
      <c r="B25" s="19"/>
      <c r="C25" s="19"/>
      <c r="D25" s="18"/>
      <c r="E25" s="16" t="str">
        <f aca="false">IF(D25="","",IFERROR(INDEX(Tables!$B:$B,MATCH(D25,Tables!$A:$A,0)),"ID not found"))</f>
        <v/>
      </c>
      <c r="F25" s="16" t="str">
        <f aca="false">IF(D25="","",IFERROR(INDEX(Tables!$C:$C,MATCH(D25,Tables!$A:$A,0)),""))</f>
        <v/>
      </c>
      <c r="G25" s="19"/>
      <c r="H25" s="19"/>
      <c r="I25" s="19"/>
      <c r="J25" s="19"/>
      <c r="K25" s="19"/>
      <c r="L25" s="19"/>
      <c r="M25" s="16" t="str">
        <f aca="false">IF(A25="","",COUNTIF('Metric to Field'!$B:$B,A25))</f>
        <v/>
      </c>
      <c r="N25" s="16" t="str">
        <f aca="false">IF(A25="","",SUMPRODUCT(('Metric to Field'!$B$5:$B$64=A25)*('Metric to Field'!$F$5:$F$64)))</f>
        <v/>
      </c>
    </row>
    <row r="26" customFormat="false" ht="15" hidden="false" customHeight="false" outlineLevel="0" collapsed="false">
      <c r="A26" s="18"/>
      <c r="B26" s="19"/>
      <c r="C26" s="19"/>
      <c r="D26" s="18"/>
      <c r="E26" s="16" t="str">
        <f aca="false">IF(D26="","",IFERROR(INDEX(Tables!$B:$B,MATCH(D26,Tables!$A:$A,0)),"ID not found"))</f>
        <v/>
      </c>
      <c r="F26" s="16" t="str">
        <f aca="false">IF(D26="","",IFERROR(INDEX(Tables!$C:$C,MATCH(D26,Tables!$A:$A,0)),""))</f>
        <v/>
      </c>
      <c r="G26" s="19"/>
      <c r="H26" s="19"/>
      <c r="I26" s="19"/>
      <c r="J26" s="19"/>
      <c r="K26" s="19"/>
      <c r="L26" s="19"/>
      <c r="M26" s="16" t="str">
        <f aca="false">IF(A26="","",COUNTIF('Metric to Field'!$B:$B,A26))</f>
        <v/>
      </c>
      <c r="N26" s="16" t="str">
        <f aca="false">IF(A26="","",SUMPRODUCT(('Metric to Field'!$B$5:$B$64=A26)*('Metric to Field'!$F$5:$F$64)))</f>
        <v/>
      </c>
    </row>
    <row r="27" customFormat="false" ht="15" hidden="false" customHeight="false" outlineLevel="0" collapsed="false">
      <c r="A27" s="18"/>
      <c r="B27" s="19"/>
      <c r="C27" s="19"/>
      <c r="D27" s="18"/>
      <c r="E27" s="16" t="str">
        <f aca="false">IF(D27="","",IFERROR(INDEX(Tables!$B:$B,MATCH(D27,Tables!$A:$A,0)),"ID not found"))</f>
        <v/>
      </c>
      <c r="F27" s="16" t="str">
        <f aca="false">IF(D27="","",IFERROR(INDEX(Tables!$C:$C,MATCH(D27,Tables!$A:$A,0)),""))</f>
        <v/>
      </c>
      <c r="G27" s="19"/>
      <c r="H27" s="19"/>
      <c r="I27" s="19"/>
      <c r="J27" s="19"/>
      <c r="K27" s="19"/>
      <c r="L27" s="19"/>
      <c r="M27" s="16" t="str">
        <f aca="false">IF(A27="","",COUNTIF('Metric to Field'!$B:$B,A27))</f>
        <v/>
      </c>
      <c r="N27" s="16" t="str">
        <f aca="false">IF(A27="","",SUMPRODUCT(('Metric to Field'!$B$5:$B$64=A27)*('Metric to Field'!$F$5:$F$64)))</f>
        <v/>
      </c>
    </row>
    <row r="28" customFormat="false" ht="15" hidden="false" customHeight="false" outlineLevel="0" collapsed="false">
      <c r="A28" s="18"/>
      <c r="B28" s="19"/>
      <c r="C28" s="19"/>
      <c r="D28" s="18"/>
      <c r="E28" s="16" t="str">
        <f aca="false">IF(D28="","",IFERROR(INDEX(Tables!$B:$B,MATCH(D28,Tables!$A:$A,0)),"ID not found"))</f>
        <v/>
      </c>
      <c r="F28" s="16" t="str">
        <f aca="false">IF(D28="","",IFERROR(INDEX(Tables!$C:$C,MATCH(D28,Tables!$A:$A,0)),""))</f>
        <v/>
      </c>
      <c r="G28" s="19"/>
      <c r="H28" s="19"/>
      <c r="I28" s="19"/>
      <c r="J28" s="19"/>
      <c r="K28" s="19"/>
      <c r="L28" s="19"/>
      <c r="M28" s="16" t="str">
        <f aca="false">IF(A28="","",COUNTIF('Metric to Field'!$B:$B,A28))</f>
        <v/>
      </c>
      <c r="N28" s="16" t="str">
        <f aca="false">IF(A28="","",SUMPRODUCT(('Metric to Field'!$B$5:$B$64=A28)*('Metric to Field'!$F$5:$F$64)))</f>
        <v/>
      </c>
    </row>
    <row r="29" customFormat="false" ht="15" hidden="false" customHeight="false" outlineLevel="0" collapsed="false">
      <c r="A29" s="18"/>
      <c r="B29" s="19"/>
      <c r="C29" s="19"/>
      <c r="D29" s="18"/>
      <c r="E29" s="16" t="str">
        <f aca="false">IF(D29="","",IFERROR(INDEX(Tables!$B:$B,MATCH(D29,Tables!$A:$A,0)),"ID not found"))</f>
        <v/>
      </c>
      <c r="F29" s="16" t="str">
        <f aca="false">IF(D29="","",IFERROR(INDEX(Tables!$C:$C,MATCH(D29,Tables!$A:$A,0)),""))</f>
        <v/>
      </c>
      <c r="G29" s="19"/>
      <c r="H29" s="19"/>
      <c r="I29" s="19"/>
      <c r="J29" s="19"/>
      <c r="K29" s="19"/>
      <c r="L29" s="19"/>
      <c r="M29" s="16" t="str">
        <f aca="false">IF(A29="","",COUNTIF('Metric to Field'!$B:$B,A29))</f>
        <v/>
      </c>
      <c r="N29" s="16" t="str">
        <f aca="false">IF(A29="","",SUMPRODUCT(('Metric to Field'!$B$5:$B$64=A29)*('Metric to Field'!$F$5:$F$64)))</f>
        <v/>
      </c>
    </row>
    <row r="30" customFormat="false" ht="15" hidden="false" customHeight="false" outlineLevel="0" collapsed="false">
      <c r="A30" s="18"/>
      <c r="B30" s="19"/>
      <c r="C30" s="19"/>
      <c r="D30" s="18"/>
      <c r="E30" s="16" t="str">
        <f aca="false">IF(D30="","",IFERROR(INDEX(Tables!$B:$B,MATCH(D30,Tables!$A:$A,0)),"ID not found"))</f>
        <v/>
      </c>
      <c r="F30" s="16" t="str">
        <f aca="false">IF(D30="","",IFERROR(INDEX(Tables!$C:$C,MATCH(D30,Tables!$A:$A,0)),""))</f>
        <v/>
      </c>
      <c r="G30" s="19"/>
      <c r="H30" s="19"/>
      <c r="I30" s="19"/>
      <c r="J30" s="19"/>
      <c r="K30" s="19"/>
      <c r="L30" s="19"/>
      <c r="M30" s="16" t="str">
        <f aca="false">IF(A30="","",COUNTIF('Metric to Field'!$B:$B,A30))</f>
        <v/>
      </c>
      <c r="N30" s="16" t="str">
        <f aca="false">IF(A30="","",SUMPRODUCT(('Metric to Field'!$B$5:$B$64=A30)*('Metric to Field'!$F$5:$F$64)))</f>
        <v/>
      </c>
    </row>
    <row r="31" customFormat="false" ht="15" hidden="false" customHeight="false" outlineLevel="0" collapsed="false">
      <c r="A31" s="18"/>
      <c r="B31" s="19"/>
      <c r="C31" s="19"/>
      <c r="D31" s="18"/>
      <c r="E31" s="16" t="str">
        <f aca="false">IF(D31="","",IFERROR(INDEX(Tables!$B:$B,MATCH(D31,Tables!$A:$A,0)),"ID not found"))</f>
        <v/>
      </c>
      <c r="F31" s="16" t="str">
        <f aca="false">IF(D31="","",IFERROR(INDEX(Tables!$C:$C,MATCH(D31,Tables!$A:$A,0)),""))</f>
        <v/>
      </c>
      <c r="G31" s="19"/>
      <c r="H31" s="19"/>
      <c r="I31" s="19"/>
      <c r="J31" s="19"/>
      <c r="K31" s="19"/>
      <c r="L31" s="19"/>
      <c r="M31" s="16" t="str">
        <f aca="false">IF(A31="","",COUNTIF('Metric to Field'!$B:$B,A31))</f>
        <v/>
      </c>
      <c r="N31" s="16" t="str">
        <f aca="false">IF(A31="","",SUMPRODUCT(('Metric to Field'!$B$5:$B$64=A31)*('Metric to Field'!$F$5:$F$64)))</f>
        <v/>
      </c>
    </row>
    <row r="32" customFormat="false" ht="15" hidden="false" customHeight="false" outlineLevel="0" collapsed="false">
      <c r="A32" s="18"/>
      <c r="B32" s="19"/>
      <c r="C32" s="19"/>
      <c r="D32" s="18"/>
      <c r="E32" s="16" t="str">
        <f aca="false">IF(D32="","",IFERROR(INDEX(Tables!$B:$B,MATCH(D32,Tables!$A:$A,0)),"ID not found"))</f>
        <v/>
      </c>
      <c r="F32" s="16" t="str">
        <f aca="false">IF(D32="","",IFERROR(INDEX(Tables!$C:$C,MATCH(D32,Tables!$A:$A,0)),""))</f>
        <v/>
      </c>
      <c r="G32" s="19"/>
      <c r="H32" s="19"/>
      <c r="I32" s="19"/>
      <c r="J32" s="19"/>
      <c r="K32" s="19"/>
      <c r="L32" s="19"/>
      <c r="M32" s="16" t="str">
        <f aca="false">IF(A32="","",COUNTIF('Metric to Field'!$B:$B,A32))</f>
        <v/>
      </c>
      <c r="N32" s="16" t="str">
        <f aca="false">IF(A32="","",SUMPRODUCT(('Metric to Field'!$B$5:$B$64=A32)*('Metric to Field'!$F$5:$F$64)))</f>
        <v/>
      </c>
    </row>
    <row r="33" customFormat="false" ht="15" hidden="false" customHeight="false" outlineLevel="0" collapsed="false">
      <c r="A33" s="18"/>
      <c r="B33" s="19"/>
      <c r="C33" s="19"/>
      <c r="D33" s="18"/>
      <c r="E33" s="16" t="str">
        <f aca="false">IF(D33="","",IFERROR(INDEX(Tables!$B:$B,MATCH(D33,Tables!$A:$A,0)),"ID not found"))</f>
        <v/>
      </c>
      <c r="F33" s="16" t="str">
        <f aca="false">IF(D33="","",IFERROR(INDEX(Tables!$C:$C,MATCH(D33,Tables!$A:$A,0)),""))</f>
        <v/>
      </c>
      <c r="G33" s="19"/>
      <c r="H33" s="19"/>
      <c r="I33" s="19"/>
      <c r="J33" s="19"/>
      <c r="K33" s="19"/>
      <c r="L33" s="19"/>
      <c r="M33" s="16" t="str">
        <f aca="false">IF(A33="","",COUNTIF('Metric to Field'!$B:$B,A33))</f>
        <v/>
      </c>
      <c r="N33" s="16" t="str">
        <f aca="false">IF(A33="","",SUMPRODUCT(('Metric to Field'!$B$5:$B$64=A33)*('Metric to Field'!$F$5:$F$64)))</f>
        <v/>
      </c>
    </row>
    <row r="34" customFormat="false" ht="15" hidden="false" customHeight="false" outlineLevel="0" collapsed="false">
      <c r="A34" s="18"/>
      <c r="B34" s="19"/>
      <c r="C34" s="19"/>
      <c r="D34" s="18"/>
      <c r="E34" s="16" t="str">
        <f aca="false">IF(D34="","",IFERROR(INDEX(Tables!$B:$B,MATCH(D34,Tables!$A:$A,0)),"ID not found"))</f>
        <v/>
      </c>
      <c r="F34" s="16" t="str">
        <f aca="false">IF(D34="","",IFERROR(INDEX(Tables!$C:$C,MATCH(D34,Tables!$A:$A,0)),""))</f>
        <v/>
      </c>
      <c r="G34" s="19"/>
      <c r="H34" s="19"/>
      <c r="I34" s="19"/>
      <c r="J34" s="19"/>
      <c r="K34" s="19"/>
      <c r="L34" s="19"/>
      <c r="M34" s="16" t="str">
        <f aca="false">IF(A34="","",COUNTIF('Metric to Field'!$B:$B,A34))</f>
        <v/>
      </c>
      <c r="N34" s="16" t="str">
        <f aca="false">IF(A34="","",SUMPRODUCT(('Metric to Field'!$B$5:$B$64=A34)*('Metric to Field'!$F$5:$F$64)))</f>
        <v/>
      </c>
    </row>
    <row r="35" customFormat="false" ht="15" hidden="false" customHeight="false" outlineLevel="0" collapsed="false">
      <c r="A35" s="18"/>
      <c r="B35" s="19"/>
      <c r="C35" s="19"/>
      <c r="D35" s="18"/>
      <c r="E35" s="16" t="str">
        <f aca="false">IF(D35="","",IFERROR(INDEX(Tables!$B:$B,MATCH(D35,Tables!$A:$A,0)),"ID not found"))</f>
        <v/>
      </c>
      <c r="F35" s="16" t="str">
        <f aca="false">IF(D35="","",IFERROR(INDEX(Tables!$C:$C,MATCH(D35,Tables!$A:$A,0)),""))</f>
        <v/>
      </c>
      <c r="G35" s="19"/>
      <c r="H35" s="19"/>
      <c r="I35" s="19"/>
      <c r="J35" s="19"/>
      <c r="K35" s="19"/>
      <c r="L35" s="19"/>
      <c r="M35" s="16" t="str">
        <f aca="false">IF(A35="","",COUNTIF('Metric to Field'!$B:$B,A35))</f>
        <v/>
      </c>
      <c r="N35" s="16" t="str">
        <f aca="false">IF(A35="","",SUMPRODUCT(('Metric to Field'!$B$5:$B$64=A35)*('Metric to Field'!$F$5:$F$64)))</f>
        <v/>
      </c>
    </row>
    <row r="36" customFormat="false" ht="15" hidden="false" customHeight="false" outlineLevel="0" collapsed="false">
      <c r="A36" s="18"/>
      <c r="B36" s="19"/>
      <c r="C36" s="19"/>
      <c r="D36" s="18"/>
      <c r="E36" s="16" t="str">
        <f aca="false">IF(D36="","",IFERROR(INDEX(Tables!$B:$B,MATCH(D36,Tables!$A:$A,0)),"ID not found"))</f>
        <v/>
      </c>
      <c r="F36" s="16" t="str">
        <f aca="false">IF(D36="","",IFERROR(INDEX(Tables!$C:$C,MATCH(D36,Tables!$A:$A,0)),""))</f>
        <v/>
      </c>
      <c r="G36" s="19"/>
      <c r="H36" s="19"/>
      <c r="I36" s="19"/>
      <c r="J36" s="19"/>
      <c r="K36" s="19"/>
      <c r="L36" s="19"/>
      <c r="M36" s="16" t="str">
        <f aca="false">IF(A36="","",COUNTIF('Metric to Field'!$B:$B,A36))</f>
        <v/>
      </c>
      <c r="N36" s="16" t="str">
        <f aca="false">IF(A36="","",SUMPRODUCT(('Metric to Field'!$B$5:$B$64=A36)*('Metric to Field'!$F$5:$F$64)))</f>
        <v/>
      </c>
    </row>
    <row r="37" customFormat="false" ht="15" hidden="false" customHeight="false" outlineLevel="0" collapsed="false">
      <c r="A37" s="18"/>
      <c r="B37" s="19"/>
      <c r="C37" s="19"/>
      <c r="D37" s="18"/>
      <c r="E37" s="16" t="str">
        <f aca="false">IF(D37="","",IFERROR(INDEX(Tables!$B:$B,MATCH(D37,Tables!$A:$A,0)),"ID not found"))</f>
        <v/>
      </c>
      <c r="F37" s="16" t="str">
        <f aca="false">IF(D37="","",IFERROR(INDEX(Tables!$C:$C,MATCH(D37,Tables!$A:$A,0)),""))</f>
        <v/>
      </c>
      <c r="G37" s="19"/>
      <c r="H37" s="19"/>
      <c r="I37" s="19"/>
      <c r="J37" s="19"/>
      <c r="K37" s="19"/>
      <c r="L37" s="19"/>
      <c r="M37" s="16" t="str">
        <f aca="false">IF(A37="","",COUNTIF('Metric to Field'!$B:$B,A37))</f>
        <v/>
      </c>
      <c r="N37" s="16" t="str">
        <f aca="false">IF(A37="","",SUMPRODUCT(('Metric to Field'!$B$5:$B$64=A37)*('Metric to Field'!$F$5:$F$64)))</f>
        <v/>
      </c>
    </row>
    <row r="38" customFormat="false" ht="15" hidden="false" customHeight="false" outlineLevel="0" collapsed="false">
      <c r="A38" s="18"/>
      <c r="B38" s="19"/>
      <c r="C38" s="19"/>
      <c r="D38" s="18"/>
      <c r="E38" s="16" t="str">
        <f aca="false">IF(D38="","",IFERROR(INDEX(Tables!$B:$B,MATCH(D38,Tables!$A:$A,0)),"ID not found"))</f>
        <v/>
      </c>
      <c r="F38" s="16" t="str">
        <f aca="false">IF(D38="","",IFERROR(INDEX(Tables!$C:$C,MATCH(D38,Tables!$A:$A,0)),""))</f>
        <v/>
      </c>
      <c r="G38" s="19"/>
      <c r="H38" s="19"/>
      <c r="I38" s="19"/>
      <c r="J38" s="19"/>
      <c r="K38" s="19"/>
      <c r="L38" s="19"/>
      <c r="M38" s="16" t="str">
        <f aca="false">IF(A38="","",COUNTIF('Metric to Field'!$B:$B,A38))</f>
        <v/>
      </c>
      <c r="N38" s="16" t="str">
        <f aca="false">IF(A38="","",SUMPRODUCT(('Metric to Field'!$B$5:$B$64=A38)*('Metric to Field'!$F$5:$F$64)))</f>
        <v/>
      </c>
    </row>
    <row r="39" customFormat="false" ht="15" hidden="false" customHeight="false" outlineLevel="0" collapsed="false">
      <c r="A39" s="18"/>
      <c r="B39" s="19"/>
      <c r="C39" s="19"/>
      <c r="D39" s="18"/>
      <c r="E39" s="16" t="str">
        <f aca="false">IF(D39="","",IFERROR(INDEX(Tables!$B:$B,MATCH(D39,Tables!$A:$A,0)),"ID not found"))</f>
        <v/>
      </c>
      <c r="F39" s="16" t="str">
        <f aca="false">IF(D39="","",IFERROR(INDEX(Tables!$C:$C,MATCH(D39,Tables!$A:$A,0)),""))</f>
        <v/>
      </c>
      <c r="G39" s="19"/>
      <c r="H39" s="19"/>
      <c r="I39" s="19"/>
      <c r="J39" s="19"/>
      <c r="K39" s="19"/>
      <c r="L39" s="19"/>
      <c r="M39" s="16" t="str">
        <f aca="false">IF(A39="","",COUNTIF('Metric to Field'!$B:$B,A39))</f>
        <v/>
      </c>
      <c r="N39" s="16" t="str">
        <f aca="false">IF(A39="","",SUMPRODUCT(('Metric to Field'!$B$5:$B$64=A39)*('Metric to Field'!$F$5:$F$64)))</f>
        <v/>
      </c>
    </row>
    <row r="40" customFormat="false" ht="15" hidden="false" customHeight="false" outlineLevel="0" collapsed="false">
      <c r="A40" s="18"/>
      <c r="B40" s="19"/>
      <c r="C40" s="19"/>
      <c r="D40" s="18"/>
      <c r="E40" s="16" t="str">
        <f aca="false">IF(D40="","",IFERROR(INDEX(Tables!$B:$B,MATCH(D40,Tables!$A:$A,0)),"ID not found"))</f>
        <v/>
      </c>
      <c r="F40" s="16" t="str">
        <f aca="false">IF(D40="","",IFERROR(INDEX(Tables!$C:$C,MATCH(D40,Tables!$A:$A,0)),""))</f>
        <v/>
      </c>
      <c r="G40" s="19"/>
      <c r="H40" s="19"/>
      <c r="I40" s="19"/>
      <c r="J40" s="19"/>
      <c r="K40" s="19"/>
      <c r="L40" s="19"/>
      <c r="M40" s="16" t="str">
        <f aca="false">IF(A40="","",COUNTIF('Metric to Field'!$B:$B,A40))</f>
        <v/>
      </c>
      <c r="N40" s="16" t="str">
        <f aca="false">IF(A40="","",SUMPRODUCT(('Metric to Field'!$B$5:$B$64=A40)*('Metric to Field'!$F$5:$F$64)))</f>
        <v/>
      </c>
    </row>
    <row r="41" customFormat="false" ht="15" hidden="false" customHeight="false" outlineLevel="0" collapsed="false">
      <c r="A41" s="18"/>
      <c r="B41" s="19"/>
      <c r="C41" s="19"/>
      <c r="D41" s="18"/>
      <c r="E41" s="16" t="str">
        <f aca="false">IF(D41="","",IFERROR(INDEX(Tables!$B:$B,MATCH(D41,Tables!$A:$A,0)),"ID not found"))</f>
        <v/>
      </c>
      <c r="F41" s="16" t="str">
        <f aca="false">IF(D41="","",IFERROR(INDEX(Tables!$C:$C,MATCH(D41,Tables!$A:$A,0)),""))</f>
        <v/>
      </c>
      <c r="G41" s="19"/>
      <c r="H41" s="19"/>
      <c r="I41" s="19"/>
      <c r="J41" s="19"/>
      <c r="K41" s="19"/>
      <c r="L41" s="19"/>
      <c r="M41" s="16" t="str">
        <f aca="false">IF(A41="","",COUNTIF('Metric to Field'!$B:$B,A41))</f>
        <v/>
      </c>
      <c r="N41" s="16" t="str">
        <f aca="false">IF(A41="","",SUMPRODUCT(('Metric to Field'!$B$5:$B$64=A41)*('Metric to Field'!$F$5:$F$64)))</f>
        <v/>
      </c>
    </row>
    <row r="42" customFormat="false" ht="15" hidden="false" customHeight="false" outlineLevel="0" collapsed="false">
      <c r="A42" s="18"/>
      <c r="B42" s="19"/>
      <c r="C42" s="19"/>
      <c r="D42" s="18"/>
      <c r="E42" s="16" t="str">
        <f aca="false">IF(D42="","",IFERROR(INDEX(Tables!$B:$B,MATCH(D42,Tables!$A:$A,0)),"ID not found"))</f>
        <v/>
      </c>
      <c r="F42" s="16" t="str">
        <f aca="false">IF(D42="","",IFERROR(INDEX(Tables!$C:$C,MATCH(D42,Tables!$A:$A,0)),""))</f>
        <v/>
      </c>
      <c r="G42" s="19"/>
      <c r="H42" s="19"/>
      <c r="I42" s="19"/>
      <c r="J42" s="19"/>
      <c r="K42" s="19"/>
      <c r="L42" s="19"/>
      <c r="M42" s="16" t="str">
        <f aca="false">IF(A42="","",COUNTIF('Metric to Field'!$B:$B,A42))</f>
        <v/>
      </c>
      <c r="N42" s="16" t="str">
        <f aca="false">IF(A42="","",SUMPRODUCT(('Metric to Field'!$B$5:$B$64=A42)*('Metric to Field'!$F$5:$F$64)))</f>
        <v/>
      </c>
    </row>
    <row r="43" customFormat="false" ht="15" hidden="false" customHeight="false" outlineLevel="0" collapsed="false">
      <c r="A43" s="18"/>
      <c r="B43" s="19"/>
      <c r="C43" s="19"/>
      <c r="D43" s="18"/>
      <c r="E43" s="16" t="str">
        <f aca="false">IF(D43="","",IFERROR(INDEX(Tables!$B:$B,MATCH(D43,Tables!$A:$A,0)),"ID not found"))</f>
        <v/>
      </c>
      <c r="F43" s="16" t="str">
        <f aca="false">IF(D43="","",IFERROR(INDEX(Tables!$C:$C,MATCH(D43,Tables!$A:$A,0)),""))</f>
        <v/>
      </c>
      <c r="G43" s="19"/>
      <c r="H43" s="19"/>
      <c r="I43" s="19"/>
      <c r="J43" s="19"/>
      <c r="K43" s="19"/>
      <c r="L43" s="19"/>
      <c r="M43" s="16" t="str">
        <f aca="false">IF(A43="","",COUNTIF('Metric to Field'!$B:$B,A43))</f>
        <v/>
      </c>
      <c r="N43" s="16" t="str">
        <f aca="false">IF(A43="","",SUMPRODUCT(('Metric to Field'!$B$5:$B$64=A43)*('Metric to Field'!$F$5:$F$64)))</f>
        <v/>
      </c>
    </row>
    <row r="44" customFormat="false" ht="15" hidden="false" customHeight="false" outlineLevel="0" collapsed="false">
      <c r="A44" s="18"/>
      <c r="B44" s="19"/>
      <c r="C44" s="19"/>
      <c r="D44" s="18"/>
      <c r="E44" s="16" t="str">
        <f aca="false">IF(D44="","",IFERROR(INDEX(Tables!$B:$B,MATCH(D44,Tables!$A:$A,0)),"ID not found"))</f>
        <v/>
      </c>
      <c r="F44" s="16" t="str">
        <f aca="false">IF(D44="","",IFERROR(INDEX(Tables!$C:$C,MATCH(D44,Tables!$A:$A,0)),""))</f>
        <v/>
      </c>
      <c r="G44" s="19"/>
      <c r="H44" s="19"/>
      <c r="I44" s="19"/>
      <c r="J44" s="19"/>
      <c r="K44" s="19"/>
      <c r="L44" s="19"/>
      <c r="M44" s="16" t="str">
        <f aca="false">IF(A44="","",COUNTIF('Metric to Field'!$B:$B,A44))</f>
        <v/>
      </c>
      <c r="N44" s="16" t="str">
        <f aca="false">IF(A44="","",SUMPRODUCT(('Metric to Field'!$B$5:$B$64=A44)*('Metric to Field'!$F$5:$F$64)))</f>
        <v/>
      </c>
    </row>
    <row r="45" customFormat="false" ht="15" hidden="false" customHeight="false" outlineLevel="0" collapsed="false">
      <c r="A45" s="18"/>
      <c r="B45" s="19"/>
      <c r="C45" s="19"/>
      <c r="D45" s="18"/>
      <c r="E45" s="16" t="str">
        <f aca="false">IF(D45="","",IFERROR(INDEX(Tables!$B:$B,MATCH(D45,Tables!$A:$A,0)),"ID not found"))</f>
        <v/>
      </c>
      <c r="F45" s="16" t="str">
        <f aca="false">IF(D45="","",IFERROR(INDEX(Tables!$C:$C,MATCH(D45,Tables!$A:$A,0)),""))</f>
        <v/>
      </c>
      <c r="G45" s="19"/>
      <c r="H45" s="19"/>
      <c r="I45" s="19"/>
      <c r="J45" s="19"/>
      <c r="K45" s="19"/>
      <c r="L45" s="19"/>
      <c r="M45" s="16" t="str">
        <f aca="false">IF(A45="","",COUNTIF('Metric to Field'!$B:$B,A45))</f>
        <v/>
      </c>
      <c r="N45" s="16" t="str">
        <f aca="false">IF(A45="","",SUMPRODUCT(('Metric to Field'!$B$5:$B$64=A45)*('Metric to Field'!$F$5:$F$64)))</f>
        <v/>
      </c>
    </row>
    <row r="46" customFormat="false" ht="15" hidden="false" customHeight="false" outlineLevel="0" collapsed="false">
      <c r="A46" s="18"/>
      <c r="B46" s="19"/>
      <c r="C46" s="19"/>
      <c r="D46" s="18"/>
      <c r="E46" s="16" t="str">
        <f aca="false">IF(D46="","",IFERROR(INDEX(Tables!$B:$B,MATCH(D46,Tables!$A:$A,0)),"ID not found"))</f>
        <v/>
      </c>
      <c r="F46" s="16" t="str">
        <f aca="false">IF(D46="","",IFERROR(INDEX(Tables!$C:$C,MATCH(D46,Tables!$A:$A,0)),""))</f>
        <v/>
      </c>
      <c r="G46" s="19"/>
      <c r="H46" s="19"/>
      <c r="I46" s="19"/>
      <c r="J46" s="19"/>
      <c r="K46" s="19"/>
      <c r="L46" s="19"/>
      <c r="M46" s="16" t="str">
        <f aca="false">IF(A46="","",COUNTIF('Metric to Field'!$B:$B,A46))</f>
        <v/>
      </c>
      <c r="N46" s="16" t="str">
        <f aca="false">IF(A46="","",SUMPRODUCT(('Metric to Field'!$B$5:$B$64=A46)*('Metric to Field'!$F$5:$F$64)))</f>
        <v/>
      </c>
    </row>
    <row r="47" customFormat="false" ht="15" hidden="false" customHeight="false" outlineLevel="0" collapsed="false">
      <c r="A47" s="18"/>
      <c r="B47" s="19"/>
      <c r="C47" s="19"/>
      <c r="D47" s="18"/>
      <c r="E47" s="16" t="str">
        <f aca="false">IF(D47="","",IFERROR(INDEX(Tables!$B:$B,MATCH(D47,Tables!$A:$A,0)),"ID not found"))</f>
        <v/>
      </c>
      <c r="F47" s="16" t="str">
        <f aca="false">IF(D47="","",IFERROR(INDEX(Tables!$C:$C,MATCH(D47,Tables!$A:$A,0)),""))</f>
        <v/>
      </c>
      <c r="G47" s="19"/>
      <c r="H47" s="19"/>
      <c r="I47" s="19"/>
      <c r="J47" s="19"/>
      <c r="K47" s="19"/>
      <c r="L47" s="19"/>
      <c r="M47" s="16" t="str">
        <f aca="false">IF(A47="","",COUNTIF('Metric to Field'!$B:$B,A47))</f>
        <v/>
      </c>
      <c r="N47" s="16" t="str">
        <f aca="false">IF(A47="","",SUMPRODUCT(('Metric to Field'!$B$5:$B$64=A47)*('Metric to Field'!$F$5:$F$64)))</f>
        <v/>
      </c>
    </row>
    <row r="48" customFormat="false" ht="15" hidden="false" customHeight="false" outlineLevel="0" collapsed="false">
      <c r="A48" s="18"/>
      <c r="B48" s="19"/>
      <c r="C48" s="19"/>
      <c r="D48" s="18"/>
      <c r="E48" s="16" t="str">
        <f aca="false">IF(D48="","",IFERROR(INDEX(Tables!$B:$B,MATCH(D48,Tables!$A:$A,0)),"ID not found"))</f>
        <v/>
      </c>
      <c r="F48" s="16" t="str">
        <f aca="false">IF(D48="","",IFERROR(INDEX(Tables!$C:$C,MATCH(D48,Tables!$A:$A,0)),""))</f>
        <v/>
      </c>
      <c r="G48" s="19"/>
      <c r="H48" s="19"/>
      <c r="I48" s="19"/>
      <c r="J48" s="19"/>
      <c r="K48" s="19"/>
      <c r="L48" s="19"/>
      <c r="M48" s="16" t="str">
        <f aca="false">IF(A48="","",COUNTIF('Metric to Field'!$B:$B,A48))</f>
        <v/>
      </c>
      <c r="N48" s="16" t="str">
        <f aca="false">IF(A48="","",SUMPRODUCT(('Metric to Field'!$B$5:$B$64=A48)*('Metric to Field'!$F$5:$F$64)))</f>
        <v/>
      </c>
    </row>
    <row r="49" customFormat="false" ht="15" hidden="false" customHeight="false" outlineLevel="0" collapsed="false">
      <c r="A49" s="18"/>
      <c r="B49" s="19"/>
      <c r="C49" s="19"/>
      <c r="D49" s="18"/>
      <c r="E49" s="16" t="str">
        <f aca="false">IF(D49="","",IFERROR(INDEX(Tables!$B:$B,MATCH(D49,Tables!$A:$A,0)),"ID not found"))</f>
        <v/>
      </c>
      <c r="F49" s="16" t="str">
        <f aca="false">IF(D49="","",IFERROR(INDEX(Tables!$C:$C,MATCH(D49,Tables!$A:$A,0)),""))</f>
        <v/>
      </c>
      <c r="G49" s="19"/>
      <c r="H49" s="19"/>
      <c r="I49" s="19"/>
      <c r="J49" s="19"/>
      <c r="K49" s="19"/>
      <c r="L49" s="19"/>
      <c r="M49" s="16" t="str">
        <f aca="false">IF(A49="","",COUNTIF('Metric to Field'!$B:$B,A49))</f>
        <v/>
      </c>
      <c r="N49" s="16" t="str">
        <f aca="false">IF(A49="","",SUMPRODUCT(('Metric to Field'!$B$5:$B$64=A49)*('Metric to Field'!$F$5:$F$64)))</f>
        <v/>
      </c>
    </row>
    <row r="50" customFormat="false" ht="15" hidden="false" customHeight="false" outlineLevel="0" collapsed="false">
      <c r="A50" s="18"/>
      <c r="B50" s="19"/>
      <c r="C50" s="19"/>
      <c r="D50" s="18"/>
      <c r="E50" s="16" t="str">
        <f aca="false">IF(D50="","",IFERROR(INDEX(Tables!$B:$B,MATCH(D50,Tables!$A:$A,0)),"ID not found"))</f>
        <v/>
      </c>
      <c r="F50" s="16" t="str">
        <f aca="false">IF(D50="","",IFERROR(INDEX(Tables!$C:$C,MATCH(D50,Tables!$A:$A,0)),""))</f>
        <v/>
      </c>
      <c r="G50" s="19"/>
      <c r="H50" s="19"/>
      <c r="I50" s="19"/>
      <c r="J50" s="19"/>
      <c r="K50" s="19"/>
      <c r="L50" s="19"/>
      <c r="M50" s="16" t="str">
        <f aca="false">IF(A50="","",COUNTIF('Metric to Field'!$B:$B,A50))</f>
        <v/>
      </c>
      <c r="N50" s="16" t="str">
        <f aca="false">IF(A50="","",SUMPRODUCT(('Metric to Field'!$B$5:$B$64=A50)*('Metric to Field'!$F$5:$F$64)))</f>
        <v/>
      </c>
    </row>
    <row r="51" customFormat="false" ht="15" hidden="false" customHeight="false" outlineLevel="0" collapsed="false">
      <c r="A51" s="18"/>
      <c r="B51" s="19"/>
      <c r="C51" s="19"/>
      <c r="D51" s="18"/>
      <c r="E51" s="16" t="str">
        <f aca="false">IF(D51="","",IFERROR(INDEX(Tables!$B:$B,MATCH(D51,Tables!$A:$A,0)),"ID not found"))</f>
        <v/>
      </c>
      <c r="F51" s="16" t="str">
        <f aca="false">IF(D51="","",IFERROR(INDEX(Tables!$C:$C,MATCH(D51,Tables!$A:$A,0)),""))</f>
        <v/>
      </c>
      <c r="G51" s="19"/>
      <c r="H51" s="19"/>
      <c r="I51" s="19"/>
      <c r="J51" s="19"/>
      <c r="K51" s="19"/>
      <c r="L51" s="19"/>
      <c r="M51" s="16" t="str">
        <f aca="false">IF(A51="","",COUNTIF('Metric to Field'!$B:$B,A51))</f>
        <v/>
      </c>
      <c r="N51" s="16" t="str">
        <f aca="false">IF(A51="","",SUMPRODUCT(('Metric to Field'!$B$5:$B$64=A51)*('Metric to Field'!$F$5:$F$64)))</f>
        <v/>
      </c>
    </row>
    <row r="52" customFormat="false" ht="15" hidden="false" customHeight="false" outlineLevel="0" collapsed="false">
      <c r="A52" s="18"/>
      <c r="B52" s="19"/>
      <c r="C52" s="19"/>
      <c r="D52" s="18"/>
      <c r="E52" s="16" t="str">
        <f aca="false">IF(D52="","",IFERROR(INDEX(Tables!$B:$B,MATCH(D52,Tables!$A:$A,0)),"ID not found"))</f>
        <v/>
      </c>
      <c r="F52" s="16" t="str">
        <f aca="false">IF(D52="","",IFERROR(INDEX(Tables!$C:$C,MATCH(D52,Tables!$A:$A,0)),""))</f>
        <v/>
      </c>
      <c r="G52" s="19"/>
      <c r="H52" s="19"/>
      <c r="I52" s="19"/>
      <c r="J52" s="19"/>
      <c r="K52" s="19"/>
      <c r="L52" s="19"/>
      <c r="M52" s="16" t="str">
        <f aca="false">IF(A52="","",COUNTIF('Metric to Field'!$B:$B,A52))</f>
        <v/>
      </c>
      <c r="N52" s="16" t="str">
        <f aca="false">IF(A52="","",SUMPRODUCT(('Metric to Field'!$B$5:$B$64=A52)*('Metric to Field'!$F$5:$F$64)))</f>
        <v/>
      </c>
    </row>
    <row r="53" customFormat="false" ht="15" hidden="false" customHeight="false" outlineLevel="0" collapsed="false">
      <c r="A53" s="18"/>
      <c r="B53" s="19"/>
      <c r="C53" s="19"/>
      <c r="D53" s="18"/>
      <c r="E53" s="16" t="str">
        <f aca="false">IF(D53="","",IFERROR(INDEX(Tables!$B:$B,MATCH(D53,Tables!$A:$A,0)),"ID not found"))</f>
        <v/>
      </c>
      <c r="F53" s="16" t="str">
        <f aca="false">IF(D53="","",IFERROR(INDEX(Tables!$C:$C,MATCH(D53,Tables!$A:$A,0)),""))</f>
        <v/>
      </c>
      <c r="G53" s="19"/>
      <c r="H53" s="19"/>
      <c r="I53" s="19"/>
      <c r="J53" s="19"/>
      <c r="K53" s="19"/>
      <c r="L53" s="19"/>
      <c r="M53" s="16" t="str">
        <f aca="false">IF(A53="","",COUNTIF('Metric to Field'!$B:$B,A53))</f>
        <v/>
      </c>
      <c r="N53" s="16" t="str">
        <f aca="false">IF(A53="","",SUMPRODUCT(('Metric to Field'!$B$5:$B$64=A53)*('Metric to Field'!$F$5:$F$64)))</f>
        <v/>
      </c>
    </row>
    <row r="54" customFormat="false" ht="15" hidden="false" customHeight="false" outlineLevel="0" collapsed="false">
      <c r="A54" s="18"/>
      <c r="B54" s="19"/>
      <c r="C54" s="19"/>
      <c r="D54" s="18"/>
      <c r="E54" s="16" t="str">
        <f aca="false">IF(D54="","",IFERROR(INDEX(Tables!$B:$B,MATCH(D54,Tables!$A:$A,0)),"ID not found"))</f>
        <v/>
      </c>
      <c r="F54" s="16" t="str">
        <f aca="false">IF(D54="","",IFERROR(INDEX(Tables!$C:$C,MATCH(D54,Tables!$A:$A,0)),""))</f>
        <v/>
      </c>
      <c r="G54" s="19"/>
      <c r="H54" s="19"/>
      <c r="I54" s="19"/>
      <c r="J54" s="19"/>
      <c r="K54" s="19"/>
      <c r="L54" s="19"/>
      <c r="M54" s="16" t="str">
        <f aca="false">IF(A54="","",COUNTIF('Metric to Field'!$B:$B,A54))</f>
        <v/>
      </c>
      <c r="N54" s="16" t="str">
        <f aca="false">IF(A54="","",SUMPRODUCT(('Metric to Field'!$B$5:$B$64=A54)*('Metric to Field'!$F$5:$F$64)))</f>
        <v/>
      </c>
    </row>
    <row r="55" customFormat="false" ht="15" hidden="false" customHeight="false" outlineLevel="0" collapsed="false">
      <c r="A55" s="18"/>
      <c r="B55" s="19"/>
      <c r="C55" s="19"/>
      <c r="D55" s="18"/>
      <c r="E55" s="16" t="str">
        <f aca="false">IF(D55="","",IFERROR(INDEX(Tables!$B:$B,MATCH(D55,Tables!$A:$A,0)),"ID not found"))</f>
        <v/>
      </c>
      <c r="F55" s="16" t="str">
        <f aca="false">IF(D55="","",IFERROR(INDEX(Tables!$C:$C,MATCH(D55,Tables!$A:$A,0)),""))</f>
        <v/>
      </c>
      <c r="G55" s="19"/>
      <c r="H55" s="19"/>
      <c r="I55" s="19"/>
      <c r="J55" s="19"/>
      <c r="K55" s="19"/>
      <c r="L55" s="19"/>
      <c r="M55" s="16" t="str">
        <f aca="false">IF(A55="","",COUNTIF('Metric to Field'!$B:$B,A55))</f>
        <v/>
      </c>
      <c r="N55" s="16" t="str">
        <f aca="false">IF(A55="","",SUMPRODUCT(('Metric to Field'!$B$5:$B$64=A55)*('Metric to Field'!$F$5:$F$64)))</f>
        <v/>
      </c>
    </row>
    <row r="56" customFormat="false" ht="15" hidden="false" customHeight="false" outlineLevel="0" collapsed="false">
      <c r="A56" s="18"/>
      <c r="B56" s="19"/>
      <c r="C56" s="19"/>
      <c r="D56" s="18"/>
      <c r="E56" s="16" t="str">
        <f aca="false">IF(D56="","",IFERROR(INDEX(Tables!$B:$B,MATCH(D56,Tables!$A:$A,0)),"ID not found"))</f>
        <v/>
      </c>
      <c r="F56" s="16" t="str">
        <f aca="false">IF(D56="","",IFERROR(INDEX(Tables!$C:$C,MATCH(D56,Tables!$A:$A,0)),""))</f>
        <v/>
      </c>
      <c r="G56" s="19"/>
      <c r="H56" s="19"/>
      <c r="I56" s="19"/>
      <c r="J56" s="19"/>
      <c r="K56" s="19"/>
      <c r="L56" s="19"/>
      <c r="M56" s="16" t="str">
        <f aca="false">IF(A56="","",COUNTIF('Metric to Field'!$B:$B,A56))</f>
        <v/>
      </c>
      <c r="N56" s="16" t="str">
        <f aca="false">IF(A56="","",SUMPRODUCT(('Metric to Field'!$B$5:$B$64=A56)*('Metric to Field'!$F$5:$F$64)))</f>
        <v/>
      </c>
    </row>
    <row r="57" customFormat="false" ht="15" hidden="false" customHeight="false" outlineLevel="0" collapsed="false">
      <c r="A57" s="18"/>
      <c r="B57" s="19"/>
      <c r="C57" s="19"/>
      <c r="D57" s="18"/>
      <c r="E57" s="16" t="str">
        <f aca="false">IF(D57="","",IFERROR(INDEX(Tables!$B:$B,MATCH(D57,Tables!$A:$A,0)),"ID not found"))</f>
        <v/>
      </c>
      <c r="F57" s="16" t="str">
        <f aca="false">IF(D57="","",IFERROR(INDEX(Tables!$C:$C,MATCH(D57,Tables!$A:$A,0)),""))</f>
        <v/>
      </c>
      <c r="G57" s="19"/>
      <c r="H57" s="19"/>
      <c r="I57" s="19"/>
      <c r="J57" s="19"/>
      <c r="K57" s="19"/>
      <c r="L57" s="19"/>
      <c r="M57" s="16" t="str">
        <f aca="false">IF(A57="","",COUNTIF('Metric to Field'!$B:$B,A57))</f>
        <v/>
      </c>
      <c r="N57" s="16" t="str">
        <f aca="false">IF(A57="","",SUMPRODUCT(('Metric to Field'!$B$5:$B$64=A57)*('Metric to Field'!$F$5:$F$64)))</f>
        <v/>
      </c>
    </row>
    <row r="58" customFormat="false" ht="15" hidden="false" customHeight="false" outlineLevel="0" collapsed="false">
      <c r="A58" s="18"/>
      <c r="B58" s="19"/>
      <c r="C58" s="19"/>
      <c r="D58" s="18"/>
      <c r="E58" s="16" t="str">
        <f aca="false">IF(D58="","",IFERROR(INDEX(Tables!$B:$B,MATCH(D58,Tables!$A:$A,0)),"ID not found"))</f>
        <v/>
      </c>
      <c r="F58" s="16" t="str">
        <f aca="false">IF(D58="","",IFERROR(INDEX(Tables!$C:$C,MATCH(D58,Tables!$A:$A,0)),""))</f>
        <v/>
      </c>
      <c r="G58" s="19"/>
      <c r="H58" s="19"/>
      <c r="I58" s="19"/>
      <c r="J58" s="19"/>
      <c r="K58" s="19"/>
      <c r="L58" s="19"/>
      <c r="M58" s="16" t="str">
        <f aca="false">IF(A58="","",COUNTIF('Metric to Field'!$B:$B,A58))</f>
        <v/>
      </c>
      <c r="N58" s="16" t="str">
        <f aca="false">IF(A58="","",SUMPRODUCT(('Metric to Field'!$B$5:$B$64=A58)*('Metric to Field'!$F$5:$F$64)))</f>
        <v/>
      </c>
    </row>
    <row r="59" customFormat="false" ht="15" hidden="false" customHeight="false" outlineLevel="0" collapsed="false">
      <c r="A59" s="18"/>
      <c r="B59" s="19"/>
      <c r="C59" s="19"/>
      <c r="D59" s="18"/>
      <c r="E59" s="16" t="str">
        <f aca="false">IF(D59="","",IFERROR(INDEX(Tables!$B:$B,MATCH(D59,Tables!$A:$A,0)),"ID not found"))</f>
        <v/>
      </c>
      <c r="F59" s="16" t="str">
        <f aca="false">IF(D59="","",IFERROR(INDEX(Tables!$C:$C,MATCH(D59,Tables!$A:$A,0)),""))</f>
        <v/>
      </c>
      <c r="G59" s="19"/>
      <c r="H59" s="19"/>
      <c r="I59" s="19"/>
      <c r="J59" s="19"/>
      <c r="K59" s="19"/>
      <c r="L59" s="19"/>
      <c r="M59" s="16" t="str">
        <f aca="false">IF(A59="","",COUNTIF('Metric to Field'!$B:$B,A59))</f>
        <v/>
      </c>
      <c r="N59" s="16" t="str">
        <f aca="false">IF(A59="","",SUMPRODUCT(('Metric to Field'!$B$5:$B$64=A59)*('Metric to Field'!$F$5:$F$64)))</f>
        <v/>
      </c>
    </row>
    <row r="60" customFormat="false" ht="15" hidden="false" customHeight="false" outlineLevel="0" collapsed="false">
      <c r="A60" s="18"/>
      <c r="B60" s="19"/>
      <c r="C60" s="19"/>
      <c r="D60" s="18"/>
      <c r="E60" s="16" t="str">
        <f aca="false">IF(D60="","",IFERROR(INDEX(Tables!$B:$B,MATCH(D60,Tables!$A:$A,0)),"ID not found"))</f>
        <v/>
      </c>
      <c r="F60" s="16" t="str">
        <f aca="false">IF(D60="","",IFERROR(INDEX(Tables!$C:$C,MATCH(D60,Tables!$A:$A,0)),""))</f>
        <v/>
      </c>
      <c r="G60" s="19"/>
      <c r="H60" s="19"/>
      <c r="I60" s="19"/>
      <c r="J60" s="19"/>
      <c r="K60" s="19"/>
      <c r="L60" s="19"/>
      <c r="M60" s="16" t="str">
        <f aca="false">IF(A60="","",COUNTIF('Metric to Field'!$B:$B,A60))</f>
        <v/>
      </c>
      <c r="N60" s="16" t="str">
        <f aca="false">IF(A60="","",SUMPRODUCT(('Metric to Field'!$B$5:$B$64=A60)*('Metric to Field'!$F$5:$F$64)))</f>
        <v/>
      </c>
    </row>
    <row r="61" customFormat="false" ht="15" hidden="false" customHeight="false" outlineLevel="0" collapsed="false">
      <c r="A61" s="18"/>
      <c r="B61" s="19"/>
      <c r="C61" s="19"/>
      <c r="D61" s="18"/>
      <c r="E61" s="16" t="str">
        <f aca="false">IF(D61="","",IFERROR(INDEX(Tables!$B:$B,MATCH(D61,Tables!$A:$A,0)),"ID not found"))</f>
        <v/>
      </c>
      <c r="F61" s="16" t="str">
        <f aca="false">IF(D61="","",IFERROR(INDEX(Tables!$C:$C,MATCH(D61,Tables!$A:$A,0)),""))</f>
        <v/>
      </c>
      <c r="G61" s="19"/>
      <c r="H61" s="19"/>
      <c r="I61" s="19"/>
      <c r="J61" s="19"/>
      <c r="K61" s="19"/>
      <c r="L61" s="19"/>
      <c r="M61" s="16" t="str">
        <f aca="false">IF(A61="","",COUNTIF('Metric to Field'!$B:$B,A61))</f>
        <v/>
      </c>
      <c r="N61" s="16" t="str">
        <f aca="false">IF(A61="","",SUMPRODUCT(('Metric to Field'!$B$5:$B$64=A61)*('Metric to Field'!$F$5:$F$64)))</f>
        <v/>
      </c>
    </row>
    <row r="62" customFormat="false" ht="15" hidden="false" customHeight="false" outlineLevel="0" collapsed="false">
      <c r="A62" s="18"/>
      <c r="B62" s="19"/>
      <c r="C62" s="19"/>
      <c r="D62" s="18"/>
      <c r="E62" s="16" t="str">
        <f aca="false">IF(D62="","",IFERROR(INDEX(Tables!$B:$B,MATCH(D62,Tables!$A:$A,0)),"ID not found"))</f>
        <v/>
      </c>
      <c r="F62" s="16" t="str">
        <f aca="false">IF(D62="","",IFERROR(INDEX(Tables!$C:$C,MATCH(D62,Tables!$A:$A,0)),""))</f>
        <v/>
      </c>
      <c r="G62" s="19"/>
      <c r="H62" s="19"/>
      <c r="I62" s="19"/>
      <c r="J62" s="19"/>
      <c r="K62" s="19"/>
      <c r="L62" s="19"/>
      <c r="M62" s="16" t="str">
        <f aca="false">IF(A62="","",COUNTIF('Metric to Field'!$B:$B,A62))</f>
        <v/>
      </c>
      <c r="N62" s="16" t="str">
        <f aca="false">IF(A62="","",SUMPRODUCT(('Metric to Field'!$B$5:$B$64=A62)*('Metric to Field'!$F$5:$F$64)))</f>
        <v/>
      </c>
    </row>
    <row r="63" customFormat="false" ht="15" hidden="false" customHeight="false" outlineLevel="0" collapsed="false">
      <c r="A63" s="18"/>
      <c r="B63" s="19"/>
      <c r="C63" s="19"/>
      <c r="D63" s="18"/>
      <c r="E63" s="16" t="str">
        <f aca="false">IF(D63="","",IFERROR(INDEX(Tables!$B:$B,MATCH(D63,Tables!$A:$A,0)),"ID not found"))</f>
        <v/>
      </c>
      <c r="F63" s="16" t="str">
        <f aca="false">IF(D63="","",IFERROR(INDEX(Tables!$C:$C,MATCH(D63,Tables!$A:$A,0)),""))</f>
        <v/>
      </c>
      <c r="G63" s="19"/>
      <c r="H63" s="19"/>
      <c r="I63" s="19"/>
      <c r="J63" s="19"/>
      <c r="K63" s="19"/>
      <c r="L63" s="19"/>
      <c r="M63" s="16" t="str">
        <f aca="false">IF(A63="","",COUNTIF('Metric to Field'!$B:$B,A63))</f>
        <v/>
      </c>
      <c r="N63" s="16" t="str">
        <f aca="false">IF(A63="","",SUMPRODUCT(('Metric to Field'!$B$5:$B$64=A63)*('Metric to Field'!$F$5:$F$64)))</f>
        <v/>
      </c>
    </row>
    <row r="64" customFormat="false" ht="15" hidden="false" customHeight="false" outlineLevel="0" collapsed="false">
      <c r="A64" s="18"/>
      <c r="B64" s="19"/>
      <c r="C64" s="19"/>
      <c r="D64" s="18"/>
      <c r="E64" s="16" t="str">
        <f aca="false">IF(D64="","",IFERROR(INDEX(Tables!$B:$B,MATCH(D64,Tables!$A:$A,0)),"ID not found"))</f>
        <v/>
      </c>
      <c r="F64" s="16" t="str">
        <f aca="false">IF(D64="","",IFERROR(INDEX(Tables!$C:$C,MATCH(D64,Tables!$A:$A,0)),""))</f>
        <v/>
      </c>
      <c r="G64" s="19"/>
      <c r="H64" s="19"/>
      <c r="I64" s="19"/>
      <c r="J64" s="19"/>
      <c r="K64" s="19"/>
      <c r="L64" s="19"/>
      <c r="M64" s="16" t="str">
        <f aca="false">IF(A64="","",COUNTIF('Metric to Field'!$B:$B,A64))</f>
        <v/>
      </c>
      <c r="N64" s="16" t="str">
        <f aca="false">IF(A64="","",SUMPRODUCT(('Metric to Field'!$B$5:$B$64=A64)*('Metric to Field'!$F$5:$F$64)))</f>
        <v/>
      </c>
    </row>
  </sheetData>
  <autoFilter ref="A4:N64"/>
  <conditionalFormatting sqref="I5:I64">
    <cfRule type="cellIs" priority="2" operator="equal" aboveAverage="0" equalAverage="0" bottom="0" percent="0" rank="0" text="" dxfId="11">
      <formula>"Issue"</formula>
    </cfRule>
    <cfRule type="cellIs" priority="3" operator="equal" aboveAverage="0" equalAverage="0" bottom="0" percent="0" rank="0" text="" dxfId="14">
      <formula>"Clean"</formula>
    </cfRule>
  </conditionalFormatting>
  <conditionalFormatting sqref="K5:K64">
    <cfRule type="cellIs" priority="4" operator="equal" aboveAverage="0" equalAverage="0" bottom="0" percent="0" rank="0" text="" dxfId="11">
      <formula>"Retire"</formula>
    </cfRule>
    <cfRule type="cellIs" priority="5" operator="equal" aboveAverage="0" equalAverage="0" bottom="0" percent="0" rank="0" text="" dxfId="15">
      <formula>"Fix upstream"</formula>
    </cfRule>
    <cfRule type="cellIs" priority="6" operator="equal" aboveAverage="0" equalAverage="0" bottom="0" percent="0" rank="0" text="" dxfId="16">
      <formula>"Move to business rules"</formula>
    </cfRule>
  </conditionalFormatting>
  <conditionalFormatting sqref="E5:E64">
    <cfRule type="cellIs" priority="7" operator="equal" aboveAverage="0" equalAverage="0" bottom="0" percent="0" rank="0" text="" dxfId="11">
      <formula>"ID not found"</formula>
    </cfRule>
  </conditionalFormatting>
  <conditionalFormatting sqref="A5:N64">
    <cfRule type="expression" priority="8" aboveAverage="0" equalAverage="0" bottom="0" percent="0" rank="0" text="" dxfId="17">
      <formula>$C5="Derived"</formula>
    </cfRule>
  </conditionalFormatting>
  <dataValidations count="4">
    <dataValidation allowBlank="true" errorStyle="stop" operator="between" showDropDown="false" showErrorMessage="false" showInputMessage="false" sqref="C5:C64" type="list">
      <formula1>"Raw,Derived"</formula1>
      <formula2>0</formula2>
    </dataValidation>
    <dataValidation allowBlank="true" errorStyle="stop" operator="between" showDropDown="false" showErrorMessage="false" showInputMessage="false" sqref="I5:I64" type="list">
      <formula1>"Clean,Issue,Unknown"</formula1>
      <formula2>0</formula2>
    </dataValidation>
    <dataValidation allowBlank="true" errorStyle="stop" operator="between" showDropDown="false" showErrorMessage="false" showInputMessage="false" sqref="J5:J64" type="list">
      <formula1>"Source tables,Business rules,Certified tables,Reporting"</formula1>
      <formula2>0</formula2>
    </dataValidation>
    <dataValidation allowBlank="true" errorStyle="stop" operator="between" showDropDown="false" showErrorMessage="false" showInputMessage="false" sqref="K5:K64" type="list">
      <formula1>"Keep as is,Build,Fix upstream,Move to business rules,Merge into certified table,Retire,Undecided"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true"/>
  </sheetPr>
  <dimension ref="A1:G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32"/>
    <col collapsed="false" customWidth="true" hidden="false" outlineLevel="0" max="4" min="4" style="0" width="28"/>
    <col collapsed="false" customWidth="true" hidden="false" outlineLevel="0" max="5" min="5" style="0" width="20"/>
    <col collapsed="false" customWidth="true" hidden="false" outlineLevel="0" max="6" min="6" style="0" width="14"/>
    <col collapsed="false" customWidth="true" hidden="false" outlineLevel="0" max="7" min="7" style="0" width="30"/>
  </cols>
  <sheetData>
    <row r="1" customFormat="false" ht="17.35" hidden="false" customHeight="false" outlineLevel="0" collapsed="false">
      <c r="A1" s="1" t="s">
        <v>13</v>
      </c>
    </row>
    <row r="2" customFormat="false" ht="15" hidden="false" customHeight="false" outlineLevel="0" collapsed="false">
      <c r="A2" s="2" t="s">
        <v>259</v>
      </c>
    </row>
    <row r="4" customFormat="false" ht="30" hidden="false" customHeight="true" outlineLevel="0" collapsed="false">
      <c r="A4" s="11" t="s">
        <v>84</v>
      </c>
      <c r="B4" s="11" t="s">
        <v>156</v>
      </c>
      <c r="C4" s="11" t="s">
        <v>87</v>
      </c>
      <c r="D4" s="11" t="s">
        <v>159</v>
      </c>
      <c r="E4" s="11" t="s">
        <v>191</v>
      </c>
      <c r="F4" s="11" t="s">
        <v>194</v>
      </c>
      <c r="G4" s="11" t="s">
        <v>81</v>
      </c>
    </row>
    <row r="5" customFormat="false" ht="15" hidden="false" customHeight="false" outlineLevel="0" collapsed="false">
      <c r="A5" s="18" t="s">
        <v>86</v>
      </c>
      <c r="B5" s="18" t="s">
        <v>189</v>
      </c>
      <c r="C5" s="16" t="str">
        <f aca="false">IF(A5="","",IFERROR(INDEX(Metrics!$B:$B,MATCH(A5,Metrics!$A:$A,0)),"ID not found"))</f>
        <v>Cycle time (approved to accepted)</v>
      </c>
      <c r="D5" s="16" t="str">
        <f aca="false">IF(B5="","",IFERROR(INDEX(Fields!$B:$B,MATCH(B5,Fields!$A:$A,0)),"ID not found"))</f>
        <v>Requisition approved date</v>
      </c>
      <c r="E5" s="19" t="s">
        <v>193</v>
      </c>
      <c r="F5" s="16" t="n">
        <f aca="false">IF(A5="",0,COUNTIF('Metric to Product'!$A:$A,A5))</f>
        <v>3</v>
      </c>
      <c r="G5" s="19" t="s">
        <v>198</v>
      </c>
    </row>
    <row r="6" customFormat="false" ht="15" hidden="false" customHeight="false" outlineLevel="0" collapsed="false">
      <c r="A6" s="18" t="s">
        <v>86</v>
      </c>
      <c r="B6" s="18" t="s">
        <v>240</v>
      </c>
      <c r="C6" s="16" t="str">
        <f aca="false">IF(A6="","",IFERROR(INDEX(Metrics!$B:$B,MATCH(A6,Metrics!$A:$A,0)),"ID not found"))</f>
        <v>Cycle time (approved to accepted)</v>
      </c>
      <c r="D6" s="16" t="str">
        <f aca="false">IF(B6="","",IFERROR(INDEX(Fields!$B:$B,MATCH(B6,Fields!$A:$A,0)),"ID not found"))</f>
        <v>Offer accepted date</v>
      </c>
      <c r="E6" s="19" t="s">
        <v>260</v>
      </c>
      <c r="F6" s="16" t="n">
        <f aca="false">IF(A6="",0,COUNTIF('Metric to Product'!$A:$A,A6))</f>
        <v>3</v>
      </c>
      <c r="G6" s="19" t="s">
        <v>198</v>
      </c>
    </row>
    <row r="7" customFormat="false" ht="15" hidden="false" customHeight="false" outlineLevel="0" collapsed="false">
      <c r="A7" s="18" t="s">
        <v>86</v>
      </c>
      <c r="B7" s="18" t="s">
        <v>242</v>
      </c>
      <c r="C7" s="16" t="str">
        <f aca="false">IF(A7="","",IFERROR(INDEX(Metrics!$B:$B,MATCH(A7,Metrics!$A:$A,0)),"ID not found"))</f>
        <v>Cycle time (approved to accepted)</v>
      </c>
      <c r="D7" s="16" t="str">
        <f aca="false">IF(B7="","",IFERROR(INDEX(Fields!$B:$B,MATCH(B7,Fields!$A:$A,0)),"ID not found"))</f>
        <v>Evergreen flag</v>
      </c>
      <c r="E7" s="19" t="s">
        <v>261</v>
      </c>
      <c r="F7" s="16" t="n">
        <f aca="false">IF(A7="",0,COUNTIF('Metric to Product'!$A:$A,A7))</f>
        <v>3</v>
      </c>
      <c r="G7" s="19" t="s">
        <v>198</v>
      </c>
    </row>
    <row r="8" customFormat="false" ht="15" hidden="false" customHeight="false" outlineLevel="0" collapsed="false">
      <c r="A8" s="18" t="s">
        <v>86</v>
      </c>
      <c r="B8" s="18" t="s">
        <v>246</v>
      </c>
      <c r="C8" s="16" t="str">
        <f aca="false">IF(A8="","",IFERROR(INDEX(Metrics!$B:$B,MATCH(A8,Metrics!$A:$A,0)),"ID not found"))</f>
        <v>Cycle time (approved to accepted)</v>
      </c>
      <c r="D8" s="16" t="str">
        <f aca="false">IF(B8="","",IFERROR(INDEX(Fields!$B:$B,MATCH(B8,Fields!$A:$A,0)),"ID not found"))</f>
        <v>Requisition status</v>
      </c>
      <c r="E8" s="19" t="s">
        <v>261</v>
      </c>
      <c r="F8" s="16" t="n">
        <f aca="false">IF(A8="",0,COUNTIF('Metric to Product'!$A:$A,A8))</f>
        <v>3</v>
      </c>
      <c r="G8" s="19" t="s">
        <v>198</v>
      </c>
    </row>
    <row r="9" customFormat="false" ht="15" hidden="false" customHeight="false" outlineLevel="0" collapsed="false">
      <c r="A9" s="18" t="s">
        <v>86</v>
      </c>
      <c r="B9" s="18" t="s">
        <v>248</v>
      </c>
      <c r="C9" s="16" t="str">
        <f aca="false">IF(A9="","",IFERROR(INDEX(Metrics!$B:$B,MATCH(A9,Metrics!$A:$A,0)),"ID not found"))</f>
        <v>Cycle time (approved to accepted)</v>
      </c>
      <c r="D9" s="16" t="str">
        <f aca="false">IF(B9="","",IFERROR(INDEX(Fields!$B:$B,MATCH(B9,Fields!$A:$A,0)),"ID not found"))</f>
        <v>Original requisition link</v>
      </c>
      <c r="E9" s="19" t="s">
        <v>262</v>
      </c>
      <c r="F9" s="16" t="n">
        <f aca="false">IF(A9="",0,COUNTIF('Metric to Product'!$A:$A,A9))</f>
        <v>3</v>
      </c>
      <c r="G9" s="19" t="s">
        <v>198</v>
      </c>
    </row>
    <row r="10" customFormat="false" ht="15" hidden="false" customHeight="false" outlineLevel="0" collapsed="false">
      <c r="A10" s="18" t="s">
        <v>207</v>
      </c>
      <c r="B10" s="18" t="s">
        <v>240</v>
      </c>
      <c r="C10" s="16" t="str">
        <f aca="false">IF(A10="","",IFERROR(INDEX(Metrics!$B:$B,MATCH(A10,Metrics!$A:$A,0)),"ID not found"))</f>
        <v>Hires by recruiter</v>
      </c>
      <c r="D10" s="16" t="str">
        <f aca="false">IF(B10="","",IFERROR(INDEX(Fields!$B:$B,MATCH(B10,Fields!$A:$A,0)),"ID not found"))</f>
        <v>Offer accepted date</v>
      </c>
      <c r="E10" s="19" t="s">
        <v>263</v>
      </c>
      <c r="F10" s="16" t="n">
        <f aca="false">IF(A10="",0,COUNTIF('Metric to Product'!$A:$A,A10))</f>
        <v>1</v>
      </c>
      <c r="G10" s="19" t="s">
        <v>198</v>
      </c>
    </row>
    <row r="11" customFormat="false" ht="15" hidden="false" customHeight="false" outlineLevel="0" collapsed="false">
      <c r="A11" s="18" t="s">
        <v>207</v>
      </c>
      <c r="B11" s="18" t="s">
        <v>158</v>
      </c>
      <c r="C11" s="16" t="str">
        <f aca="false">IF(A11="","",IFERROR(INDEX(Metrics!$B:$B,MATCH(A11,Metrics!$A:$A,0)),"ID not found"))</f>
        <v>Hires by recruiter</v>
      </c>
      <c r="D11" s="16" t="str">
        <f aca="false">IF(B11="","",IFERROR(INDEX(Fields!$B:$B,MATCH(B11,Fields!$A:$A,0)),"ID not found"))</f>
        <v>Credited recruiter</v>
      </c>
      <c r="E11" s="19" t="s">
        <v>264</v>
      </c>
      <c r="F11" s="16" t="n">
        <f aca="false">IF(A11="",0,COUNTIF('Metric to Product'!$A:$A,A11))</f>
        <v>1</v>
      </c>
      <c r="G11" s="19" t="s">
        <v>198</v>
      </c>
    </row>
    <row r="12" customFormat="false" ht="15" hidden="false" customHeight="false" outlineLevel="0" collapsed="false">
      <c r="A12" s="18"/>
      <c r="B12" s="18"/>
      <c r="C12" s="16" t="str">
        <f aca="false">IF(A12="","",IFERROR(INDEX(Metrics!$B:$B,MATCH(A12,Metrics!$A:$A,0)),"ID not found"))</f>
        <v/>
      </c>
      <c r="D12" s="16" t="str">
        <f aca="false">IF(B12="","",IFERROR(INDEX(Fields!$B:$B,MATCH(B12,Fields!$A:$A,0)),"ID not found"))</f>
        <v/>
      </c>
      <c r="E12" s="19"/>
      <c r="F12" s="16" t="n">
        <f aca="false">IF(A12="",0,COUNTIF('Metric to Product'!$A:$A,A12))</f>
        <v>0</v>
      </c>
      <c r="G12" s="19"/>
    </row>
    <row r="13" customFormat="false" ht="15" hidden="false" customHeight="false" outlineLevel="0" collapsed="false">
      <c r="A13" s="18"/>
      <c r="B13" s="18"/>
      <c r="C13" s="16" t="str">
        <f aca="false">IF(A13="","",IFERROR(INDEX(Metrics!$B:$B,MATCH(A13,Metrics!$A:$A,0)),"ID not found"))</f>
        <v/>
      </c>
      <c r="D13" s="16" t="str">
        <f aca="false">IF(B13="","",IFERROR(INDEX(Fields!$B:$B,MATCH(B13,Fields!$A:$A,0)),"ID not found"))</f>
        <v/>
      </c>
      <c r="E13" s="19"/>
      <c r="F13" s="16" t="n">
        <f aca="false">IF(A13="",0,COUNTIF('Metric to Product'!$A:$A,A13))</f>
        <v>0</v>
      </c>
      <c r="G13" s="19"/>
    </row>
    <row r="14" customFormat="false" ht="15" hidden="false" customHeight="false" outlineLevel="0" collapsed="false">
      <c r="A14" s="18"/>
      <c r="B14" s="18"/>
      <c r="C14" s="16" t="str">
        <f aca="false">IF(A14="","",IFERROR(INDEX(Metrics!$B:$B,MATCH(A14,Metrics!$A:$A,0)),"ID not found"))</f>
        <v/>
      </c>
      <c r="D14" s="16" t="str">
        <f aca="false">IF(B14="","",IFERROR(INDEX(Fields!$B:$B,MATCH(B14,Fields!$A:$A,0)),"ID not found"))</f>
        <v/>
      </c>
      <c r="E14" s="19"/>
      <c r="F14" s="16" t="n">
        <f aca="false">IF(A14="",0,COUNTIF('Metric to Product'!$A:$A,A14))</f>
        <v>0</v>
      </c>
      <c r="G14" s="19"/>
    </row>
    <row r="15" customFormat="false" ht="15" hidden="false" customHeight="false" outlineLevel="0" collapsed="false">
      <c r="A15" s="18"/>
      <c r="B15" s="18"/>
      <c r="C15" s="16" t="str">
        <f aca="false">IF(A15="","",IFERROR(INDEX(Metrics!$B:$B,MATCH(A15,Metrics!$A:$A,0)),"ID not found"))</f>
        <v/>
      </c>
      <c r="D15" s="16" t="str">
        <f aca="false">IF(B15="","",IFERROR(INDEX(Fields!$B:$B,MATCH(B15,Fields!$A:$A,0)),"ID not found"))</f>
        <v/>
      </c>
      <c r="E15" s="19"/>
      <c r="F15" s="16" t="n">
        <f aca="false">IF(A15="",0,COUNTIF('Metric to Product'!$A:$A,A15))</f>
        <v>0</v>
      </c>
      <c r="G15" s="19"/>
    </row>
    <row r="16" customFormat="false" ht="15" hidden="false" customHeight="false" outlineLevel="0" collapsed="false">
      <c r="A16" s="18"/>
      <c r="B16" s="18"/>
      <c r="C16" s="16" t="str">
        <f aca="false">IF(A16="","",IFERROR(INDEX(Metrics!$B:$B,MATCH(A16,Metrics!$A:$A,0)),"ID not found"))</f>
        <v/>
      </c>
      <c r="D16" s="16" t="str">
        <f aca="false">IF(B16="","",IFERROR(INDEX(Fields!$B:$B,MATCH(B16,Fields!$A:$A,0)),"ID not found"))</f>
        <v/>
      </c>
      <c r="E16" s="19"/>
      <c r="F16" s="16" t="n">
        <f aca="false">IF(A16="",0,COUNTIF('Metric to Product'!$A:$A,A16))</f>
        <v>0</v>
      </c>
      <c r="G16" s="19"/>
    </row>
    <row r="17" customFormat="false" ht="15" hidden="false" customHeight="false" outlineLevel="0" collapsed="false">
      <c r="A17" s="18"/>
      <c r="B17" s="18"/>
      <c r="C17" s="16" t="str">
        <f aca="false">IF(A17="","",IFERROR(INDEX(Metrics!$B:$B,MATCH(A17,Metrics!$A:$A,0)),"ID not found"))</f>
        <v/>
      </c>
      <c r="D17" s="16" t="str">
        <f aca="false">IF(B17="","",IFERROR(INDEX(Fields!$B:$B,MATCH(B17,Fields!$A:$A,0)),"ID not found"))</f>
        <v/>
      </c>
      <c r="E17" s="19"/>
      <c r="F17" s="16" t="n">
        <f aca="false">IF(A17="",0,COUNTIF('Metric to Product'!$A:$A,A17))</f>
        <v>0</v>
      </c>
      <c r="G17" s="19"/>
    </row>
    <row r="18" customFormat="false" ht="15" hidden="false" customHeight="false" outlineLevel="0" collapsed="false">
      <c r="A18" s="18"/>
      <c r="B18" s="18"/>
      <c r="C18" s="16" t="str">
        <f aca="false">IF(A18="","",IFERROR(INDEX(Metrics!$B:$B,MATCH(A18,Metrics!$A:$A,0)),"ID not found"))</f>
        <v/>
      </c>
      <c r="D18" s="16" t="str">
        <f aca="false">IF(B18="","",IFERROR(INDEX(Fields!$B:$B,MATCH(B18,Fields!$A:$A,0)),"ID not found"))</f>
        <v/>
      </c>
      <c r="E18" s="19"/>
      <c r="F18" s="16" t="n">
        <f aca="false">IF(A18="",0,COUNTIF('Metric to Product'!$A:$A,A18))</f>
        <v>0</v>
      </c>
      <c r="G18" s="19"/>
    </row>
    <row r="19" customFormat="false" ht="15" hidden="false" customHeight="false" outlineLevel="0" collapsed="false">
      <c r="A19" s="18"/>
      <c r="B19" s="18"/>
      <c r="C19" s="16" t="str">
        <f aca="false">IF(A19="","",IFERROR(INDEX(Metrics!$B:$B,MATCH(A19,Metrics!$A:$A,0)),"ID not found"))</f>
        <v/>
      </c>
      <c r="D19" s="16" t="str">
        <f aca="false">IF(B19="","",IFERROR(INDEX(Fields!$B:$B,MATCH(B19,Fields!$A:$A,0)),"ID not found"))</f>
        <v/>
      </c>
      <c r="E19" s="19"/>
      <c r="F19" s="16" t="n">
        <f aca="false">IF(A19="",0,COUNTIF('Metric to Product'!$A:$A,A19))</f>
        <v>0</v>
      </c>
      <c r="G19" s="19"/>
    </row>
    <row r="20" customFormat="false" ht="15" hidden="false" customHeight="false" outlineLevel="0" collapsed="false">
      <c r="A20" s="18"/>
      <c r="B20" s="18"/>
      <c r="C20" s="16" t="str">
        <f aca="false">IF(A20="","",IFERROR(INDEX(Metrics!$B:$B,MATCH(A20,Metrics!$A:$A,0)),"ID not found"))</f>
        <v/>
      </c>
      <c r="D20" s="16" t="str">
        <f aca="false">IF(B20="","",IFERROR(INDEX(Fields!$B:$B,MATCH(B20,Fields!$A:$A,0)),"ID not found"))</f>
        <v/>
      </c>
      <c r="E20" s="19"/>
      <c r="F20" s="16" t="n">
        <f aca="false">IF(A20="",0,COUNTIF('Metric to Product'!$A:$A,A20))</f>
        <v>0</v>
      </c>
      <c r="G20" s="19"/>
    </row>
    <row r="21" customFormat="false" ht="15" hidden="false" customHeight="false" outlineLevel="0" collapsed="false">
      <c r="A21" s="18"/>
      <c r="B21" s="18"/>
      <c r="C21" s="16" t="str">
        <f aca="false">IF(A21="","",IFERROR(INDEX(Metrics!$B:$B,MATCH(A21,Metrics!$A:$A,0)),"ID not found"))</f>
        <v/>
      </c>
      <c r="D21" s="16" t="str">
        <f aca="false">IF(B21="","",IFERROR(INDEX(Fields!$B:$B,MATCH(B21,Fields!$A:$A,0)),"ID not found"))</f>
        <v/>
      </c>
      <c r="E21" s="19"/>
      <c r="F21" s="16" t="n">
        <f aca="false">IF(A21="",0,COUNTIF('Metric to Product'!$A:$A,A21))</f>
        <v>0</v>
      </c>
      <c r="G21" s="19"/>
    </row>
    <row r="22" customFormat="false" ht="15" hidden="false" customHeight="false" outlineLevel="0" collapsed="false">
      <c r="A22" s="18"/>
      <c r="B22" s="18"/>
      <c r="C22" s="16" t="str">
        <f aca="false">IF(A22="","",IFERROR(INDEX(Metrics!$B:$B,MATCH(A22,Metrics!$A:$A,0)),"ID not found"))</f>
        <v/>
      </c>
      <c r="D22" s="16" t="str">
        <f aca="false">IF(B22="","",IFERROR(INDEX(Fields!$B:$B,MATCH(B22,Fields!$A:$A,0)),"ID not found"))</f>
        <v/>
      </c>
      <c r="E22" s="19"/>
      <c r="F22" s="16" t="n">
        <f aca="false">IF(A22="",0,COUNTIF('Metric to Product'!$A:$A,A22))</f>
        <v>0</v>
      </c>
      <c r="G22" s="19"/>
    </row>
    <row r="23" customFormat="false" ht="15" hidden="false" customHeight="false" outlineLevel="0" collapsed="false">
      <c r="A23" s="18"/>
      <c r="B23" s="18"/>
      <c r="C23" s="16" t="str">
        <f aca="false">IF(A23="","",IFERROR(INDEX(Metrics!$B:$B,MATCH(A23,Metrics!$A:$A,0)),"ID not found"))</f>
        <v/>
      </c>
      <c r="D23" s="16" t="str">
        <f aca="false">IF(B23="","",IFERROR(INDEX(Fields!$B:$B,MATCH(B23,Fields!$A:$A,0)),"ID not found"))</f>
        <v/>
      </c>
      <c r="E23" s="19"/>
      <c r="F23" s="16" t="n">
        <f aca="false">IF(A23="",0,COUNTIF('Metric to Product'!$A:$A,A23))</f>
        <v>0</v>
      </c>
      <c r="G23" s="19"/>
    </row>
    <row r="24" customFormat="false" ht="15" hidden="false" customHeight="false" outlineLevel="0" collapsed="false">
      <c r="A24" s="18"/>
      <c r="B24" s="18"/>
      <c r="C24" s="16" t="str">
        <f aca="false">IF(A24="","",IFERROR(INDEX(Metrics!$B:$B,MATCH(A24,Metrics!$A:$A,0)),"ID not found"))</f>
        <v/>
      </c>
      <c r="D24" s="16" t="str">
        <f aca="false">IF(B24="","",IFERROR(INDEX(Fields!$B:$B,MATCH(B24,Fields!$A:$A,0)),"ID not found"))</f>
        <v/>
      </c>
      <c r="E24" s="19"/>
      <c r="F24" s="16" t="n">
        <f aca="false">IF(A24="",0,COUNTIF('Metric to Product'!$A:$A,A24))</f>
        <v>0</v>
      </c>
      <c r="G24" s="19"/>
    </row>
    <row r="25" customFormat="false" ht="15" hidden="false" customHeight="false" outlineLevel="0" collapsed="false">
      <c r="A25" s="18"/>
      <c r="B25" s="18"/>
      <c r="C25" s="16" t="str">
        <f aca="false">IF(A25="","",IFERROR(INDEX(Metrics!$B:$B,MATCH(A25,Metrics!$A:$A,0)),"ID not found"))</f>
        <v/>
      </c>
      <c r="D25" s="16" t="str">
        <f aca="false">IF(B25="","",IFERROR(INDEX(Fields!$B:$B,MATCH(B25,Fields!$A:$A,0)),"ID not found"))</f>
        <v/>
      </c>
      <c r="E25" s="19"/>
      <c r="F25" s="16" t="n">
        <f aca="false">IF(A25="",0,COUNTIF('Metric to Product'!$A:$A,A25))</f>
        <v>0</v>
      </c>
      <c r="G25" s="19"/>
    </row>
    <row r="26" customFormat="false" ht="15" hidden="false" customHeight="false" outlineLevel="0" collapsed="false">
      <c r="A26" s="18"/>
      <c r="B26" s="18"/>
      <c r="C26" s="16" t="str">
        <f aca="false">IF(A26="","",IFERROR(INDEX(Metrics!$B:$B,MATCH(A26,Metrics!$A:$A,0)),"ID not found"))</f>
        <v/>
      </c>
      <c r="D26" s="16" t="str">
        <f aca="false">IF(B26="","",IFERROR(INDEX(Fields!$B:$B,MATCH(B26,Fields!$A:$A,0)),"ID not found"))</f>
        <v/>
      </c>
      <c r="E26" s="19"/>
      <c r="F26" s="16" t="n">
        <f aca="false">IF(A26="",0,COUNTIF('Metric to Product'!$A:$A,A26))</f>
        <v>0</v>
      </c>
      <c r="G26" s="19"/>
    </row>
    <row r="27" customFormat="false" ht="15" hidden="false" customHeight="false" outlineLevel="0" collapsed="false">
      <c r="A27" s="18"/>
      <c r="B27" s="18"/>
      <c r="C27" s="16" t="str">
        <f aca="false">IF(A27="","",IFERROR(INDEX(Metrics!$B:$B,MATCH(A27,Metrics!$A:$A,0)),"ID not found"))</f>
        <v/>
      </c>
      <c r="D27" s="16" t="str">
        <f aca="false">IF(B27="","",IFERROR(INDEX(Fields!$B:$B,MATCH(B27,Fields!$A:$A,0)),"ID not found"))</f>
        <v/>
      </c>
      <c r="E27" s="19"/>
      <c r="F27" s="16" t="n">
        <f aca="false">IF(A27="",0,COUNTIF('Metric to Product'!$A:$A,A27))</f>
        <v>0</v>
      </c>
      <c r="G27" s="19"/>
    </row>
    <row r="28" customFormat="false" ht="15" hidden="false" customHeight="false" outlineLevel="0" collapsed="false">
      <c r="A28" s="18"/>
      <c r="B28" s="18"/>
      <c r="C28" s="16" t="str">
        <f aca="false">IF(A28="","",IFERROR(INDEX(Metrics!$B:$B,MATCH(A28,Metrics!$A:$A,0)),"ID not found"))</f>
        <v/>
      </c>
      <c r="D28" s="16" t="str">
        <f aca="false">IF(B28="","",IFERROR(INDEX(Fields!$B:$B,MATCH(B28,Fields!$A:$A,0)),"ID not found"))</f>
        <v/>
      </c>
      <c r="E28" s="19"/>
      <c r="F28" s="16" t="n">
        <f aca="false">IF(A28="",0,COUNTIF('Metric to Product'!$A:$A,A28))</f>
        <v>0</v>
      </c>
      <c r="G28" s="19"/>
    </row>
    <row r="29" customFormat="false" ht="15" hidden="false" customHeight="false" outlineLevel="0" collapsed="false">
      <c r="A29" s="18"/>
      <c r="B29" s="18"/>
      <c r="C29" s="16" t="str">
        <f aca="false">IF(A29="","",IFERROR(INDEX(Metrics!$B:$B,MATCH(A29,Metrics!$A:$A,0)),"ID not found"))</f>
        <v/>
      </c>
      <c r="D29" s="16" t="str">
        <f aca="false">IF(B29="","",IFERROR(INDEX(Fields!$B:$B,MATCH(B29,Fields!$A:$A,0)),"ID not found"))</f>
        <v/>
      </c>
      <c r="E29" s="19"/>
      <c r="F29" s="16" t="n">
        <f aca="false">IF(A29="",0,COUNTIF('Metric to Product'!$A:$A,A29))</f>
        <v>0</v>
      </c>
      <c r="G29" s="19"/>
    </row>
    <row r="30" customFormat="false" ht="15" hidden="false" customHeight="false" outlineLevel="0" collapsed="false">
      <c r="A30" s="18"/>
      <c r="B30" s="18"/>
      <c r="C30" s="16" t="str">
        <f aca="false">IF(A30="","",IFERROR(INDEX(Metrics!$B:$B,MATCH(A30,Metrics!$A:$A,0)),"ID not found"))</f>
        <v/>
      </c>
      <c r="D30" s="16" t="str">
        <f aca="false">IF(B30="","",IFERROR(INDEX(Fields!$B:$B,MATCH(B30,Fields!$A:$A,0)),"ID not found"))</f>
        <v/>
      </c>
      <c r="E30" s="19"/>
      <c r="F30" s="16" t="n">
        <f aca="false">IF(A30="",0,COUNTIF('Metric to Product'!$A:$A,A30))</f>
        <v>0</v>
      </c>
      <c r="G30" s="19"/>
    </row>
    <row r="31" customFormat="false" ht="15" hidden="false" customHeight="false" outlineLevel="0" collapsed="false">
      <c r="A31" s="18"/>
      <c r="B31" s="18"/>
      <c r="C31" s="16" t="str">
        <f aca="false">IF(A31="","",IFERROR(INDEX(Metrics!$B:$B,MATCH(A31,Metrics!$A:$A,0)),"ID not found"))</f>
        <v/>
      </c>
      <c r="D31" s="16" t="str">
        <f aca="false">IF(B31="","",IFERROR(INDEX(Fields!$B:$B,MATCH(B31,Fields!$A:$A,0)),"ID not found"))</f>
        <v/>
      </c>
      <c r="E31" s="19"/>
      <c r="F31" s="16" t="n">
        <f aca="false">IF(A31="",0,COUNTIF('Metric to Product'!$A:$A,A31))</f>
        <v>0</v>
      </c>
      <c r="G31" s="19"/>
    </row>
    <row r="32" customFormat="false" ht="15" hidden="false" customHeight="false" outlineLevel="0" collapsed="false">
      <c r="A32" s="18"/>
      <c r="B32" s="18"/>
      <c r="C32" s="16" t="str">
        <f aca="false">IF(A32="","",IFERROR(INDEX(Metrics!$B:$B,MATCH(A32,Metrics!$A:$A,0)),"ID not found"))</f>
        <v/>
      </c>
      <c r="D32" s="16" t="str">
        <f aca="false">IF(B32="","",IFERROR(INDEX(Fields!$B:$B,MATCH(B32,Fields!$A:$A,0)),"ID not found"))</f>
        <v/>
      </c>
      <c r="E32" s="19"/>
      <c r="F32" s="16" t="n">
        <f aca="false">IF(A32="",0,COUNTIF('Metric to Product'!$A:$A,A32))</f>
        <v>0</v>
      </c>
      <c r="G32" s="19"/>
    </row>
    <row r="33" customFormat="false" ht="15" hidden="false" customHeight="false" outlineLevel="0" collapsed="false">
      <c r="A33" s="18"/>
      <c r="B33" s="18"/>
      <c r="C33" s="16" t="str">
        <f aca="false">IF(A33="","",IFERROR(INDEX(Metrics!$B:$B,MATCH(A33,Metrics!$A:$A,0)),"ID not found"))</f>
        <v/>
      </c>
      <c r="D33" s="16" t="str">
        <f aca="false">IF(B33="","",IFERROR(INDEX(Fields!$B:$B,MATCH(B33,Fields!$A:$A,0)),"ID not found"))</f>
        <v/>
      </c>
      <c r="E33" s="19"/>
      <c r="F33" s="16" t="n">
        <f aca="false">IF(A33="",0,COUNTIF('Metric to Product'!$A:$A,A33))</f>
        <v>0</v>
      </c>
      <c r="G33" s="19"/>
    </row>
    <row r="34" customFormat="false" ht="15" hidden="false" customHeight="false" outlineLevel="0" collapsed="false">
      <c r="A34" s="18"/>
      <c r="B34" s="18"/>
      <c r="C34" s="16" t="str">
        <f aca="false">IF(A34="","",IFERROR(INDEX(Metrics!$B:$B,MATCH(A34,Metrics!$A:$A,0)),"ID not found"))</f>
        <v/>
      </c>
      <c r="D34" s="16" t="str">
        <f aca="false">IF(B34="","",IFERROR(INDEX(Fields!$B:$B,MATCH(B34,Fields!$A:$A,0)),"ID not found"))</f>
        <v/>
      </c>
      <c r="E34" s="19"/>
      <c r="F34" s="16" t="n">
        <f aca="false">IF(A34="",0,COUNTIF('Metric to Product'!$A:$A,A34))</f>
        <v>0</v>
      </c>
      <c r="G34" s="19"/>
    </row>
    <row r="35" customFormat="false" ht="15" hidden="false" customHeight="false" outlineLevel="0" collapsed="false">
      <c r="A35" s="18"/>
      <c r="B35" s="18"/>
      <c r="C35" s="16" t="str">
        <f aca="false">IF(A35="","",IFERROR(INDEX(Metrics!$B:$B,MATCH(A35,Metrics!$A:$A,0)),"ID not found"))</f>
        <v/>
      </c>
      <c r="D35" s="16" t="str">
        <f aca="false">IF(B35="","",IFERROR(INDEX(Fields!$B:$B,MATCH(B35,Fields!$A:$A,0)),"ID not found"))</f>
        <v/>
      </c>
      <c r="E35" s="19"/>
      <c r="F35" s="16" t="n">
        <f aca="false">IF(A35="",0,COUNTIF('Metric to Product'!$A:$A,A35))</f>
        <v>0</v>
      </c>
      <c r="G35" s="19"/>
    </row>
    <row r="36" customFormat="false" ht="15" hidden="false" customHeight="false" outlineLevel="0" collapsed="false">
      <c r="A36" s="18"/>
      <c r="B36" s="18"/>
      <c r="C36" s="16" t="str">
        <f aca="false">IF(A36="","",IFERROR(INDEX(Metrics!$B:$B,MATCH(A36,Metrics!$A:$A,0)),"ID not found"))</f>
        <v/>
      </c>
      <c r="D36" s="16" t="str">
        <f aca="false">IF(B36="","",IFERROR(INDEX(Fields!$B:$B,MATCH(B36,Fields!$A:$A,0)),"ID not found"))</f>
        <v/>
      </c>
      <c r="E36" s="19"/>
      <c r="F36" s="16" t="n">
        <f aca="false">IF(A36="",0,COUNTIF('Metric to Product'!$A:$A,A36))</f>
        <v>0</v>
      </c>
      <c r="G36" s="19"/>
    </row>
    <row r="37" customFormat="false" ht="15" hidden="false" customHeight="false" outlineLevel="0" collapsed="false">
      <c r="A37" s="18"/>
      <c r="B37" s="18"/>
      <c r="C37" s="16" t="str">
        <f aca="false">IF(A37="","",IFERROR(INDEX(Metrics!$B:$B,MATCH(A37,Metrics!$A:$A,0)),"ID not found"))</f>
        <v/>
      </c>
      <c r="D37" s="16" t="str">
        <f aca="false">IF(B37="","",IFERROR(INDEX(Fields!$B:$B,MATCH(B37,Fields!$A:$A,0)),"ID not found"))</f>
        <v/>
      </c>
      <c r="E37" s="19"/>
      <c r="F37" s="16" t="n">
        <f aca="false">IF(A37="",0,COUNTIF('Metric to Product'!$A:$A,A37))</f>
        <v>0</v>
      </c>
      <c r="G37" s="19"/>
    </row>
    <row r="38" customFormat="false" ht="15" hidden="false" customHeight="false" outlineLevel="0" collapsed="false">
      <c r="A38" s="18"/>
      <c r="B38" s="18"/>
      <c r="C38" s="16" t="str">
        <f aca="false">IF(A38="","",IFERROR(INDEX(Metrics!$B:$B,MATCH(A38,Metrics!$A:$A,0)),"ID not found"))</f>
        <v/>
      </c>
      <c r="D38" s="16" t="str">
        <f aca="false">IF(B38="","",IFERROR(INDEX(Fields!$B:$B,MATCH(B38,Fields!$A:$A,0)),"ID not found"))</f>
        <v/>
      </c>
      <c r="E38" s="19"/>
      <c r="F38" s="16" t="n">
        <f aca="false">IF(A38="",0,COUNTIF('Metric to Product'!$A:$A,A38))</f>
        <v>0</v>
      </c>
      <c r="G38" s="19"/>
    </row>
    <row r="39" customFormat="false" ht="15" hidden="false" customHeight="false" outlineLevel="0" collapsed="false">
      <c r="A39" s="18"/>
      <c r="B39" s="18"/>
      <c r="C39" s="16" t="str">
        <f aca="false">IF(A39="","",IFERROR(INDEX(Metrics!$B:$B,MATCH(A39,Metrics!$A:$A,0)),"ID not found"))</f>
        <v/>
      </c>
      <c r="D39" s="16" t="str">
        <f aca="false">IF(B39="","",IFERROR(INDEX(Fields!$B:$B,MATCH(B39,Fields!$A:$A,0)),"ID not found"))</f>
        <v/>
      </c>
      <c r="E39" s="19"/>
      <c r="F39" s="16" t="n">
        <f aca="false">IF(A39="",0,COUNTIF('Metric to Product'!$A:$A,A39))</f>
        <v>0</v>
      </c>
      <c r="G39" s="19"/>
    </row>
    <row r="40" customFormat="false" ht="15" hidden="false" customHeight="false" outlineLevel="0" collapsed="false">
      <c r="A40" s="18"/>
      <c r="B40" s="18"/>
      <c r="C40" s="16" t="str">
        <f aca="false">IF(A40="","",IFERROR(INDEX(Metrics!$B:$B,MATCH(A40,Metrics!$A:$A,0)),"ID not found"))</f>
        <v/>
      </c>
      <c r="D40" s="16" t="str">
        <f aca="false">IF(B40="","",IFERROR(INDEX(Fields!$B:$B,MATCH(B40,Fields!$A:$A,0)),"ID not found"))</f>
        <v/>
      </c>
      <c r="E40" s="19"/>
      <c r="F40" s="16" t="n">
        <f aca="false">IF(A40="",0,COUNTIF('Metric to Product'!$A:$A,A40))</f>
        <v>0</v>
      </c>
      <c r="G40" s="19"/>
    </row>
    <row r="41" customFormat="false" ht="15" hidden="false" customHeight="false" outlineLevel="0" collapsed="false">
      <c r="A41" s="18"/>
      <c r="B41" s="18"/>
      <c r="C41" s="16" t="str">
        <f aca="false">IF(A41="","",IFERROR(INDEX(Metrics!$B:$B,MATCH(A41,Metrics!$A:$A,0)),"ID not found"))</f>
        <v/>
      </c>
      <c r="D41" s="16" t="str">
        <f aca="false">IF(B41="","",IFERROR(INDEX(Fields!$B:$B,MATCH(B41,Fields!$A:$A,0)),"ID not found"))</f>
        <v/>
      </c>
      <c r="E41" s="19"/>
      <c r="F41" s="16" t="n">
        <f aca="false">IF(A41="",0,COUNTIF('Metric to Product'!$A:$A,A41))</f>
        <v>0</v>
      </c>
      <c r="G41" s="19"/>
    </row>
    <row r="42" customFormat="false" ht="15" hidden="false" customHeight="false" outlineLevel="0" collapsed="false">
      <c r="A42" s="18"/>
      <c r="B42" s="18"/>
      <c r="C42" s="16" t="str">
        <f aca="false">IF(A42="","",IFERROR(INDEX(Metrics!$B:$B,MATCH(A42,Metrics!$A:$A,0)),"ID not found"))</f>
        <v/>
      </c>
      <c r="D42" s="16" t="str">
        <f aca="false">IF(B42="","",IFERROR(INDEX(Fields!$B:$B,MATCH(B42,Fields!$A:$A,0)),"ID not found"))</f>
        <v/>
      </c>
      <c r="E42" s="19"/>
      <c r="F42" s="16" t="n">
        <f aca="false">IF(A42="",0,COUNTIF('Metric to Product'!$A:$A,A42))</f>
        <v>0</v>
      </c>
      <c r="G42" s="19"/>
    </row>
    <row r="43" customFormat="false" ht="15" hidden="false" customHeight="false" outlineLevel="0" collapsed="false">
      <c r="A43" s="18"/>
      <c r="B43" s="18"/>
      <c r="C43" s="16" t="str">
        <f aca="false">IF(A43="","",IFERROR(INDEX(Metrics!$B:$B,MATCH(A43,Metrics!$A:$A,0)),"ID not found"))</f>
        <v/>
      </c>
      <c r="D43" s="16" t="str">
        <f aca="false">IF(B43="","",IFERROR(INDEX(Fields!$B:$B,MATCH(B43,Fields!$A:$A,0)),"ID not found"))</f>
        <v/>
      </c>
      <c r="E43" s="19"/>
      <c r="F43" s="16" t="n">
        <f aca="false">IF(A43="",0,COUNTIF('Metric to Product'!$A:$A,A43))</f>
        <v>0</v>
      </c>
      <c r="G43" s="19"/>
    </row>
    <row r="44" customFormat="false" ht="15" hidden="false" customHeight="false" outlineLevel="0" collapsed="false">
      <c r="A44" s="18"/>
      <c r="B44" s="18"/>
      <c r="C44" s="16" t="str">
        <f aca="false">IF(A44="","",IFERROR(INDEX(Metrics!$B:$B,MATCH(A44,Metrics!$A:$A,0)),"ID not found"))</f>
        <v/>
      </c>
      <c r="D44" s="16" t="str">
        <f aca="false">IF(B44="","",IFERROR(INDEX(Fields!$B:$B,MATCH(B44,Fields!$A:$A,0)),"ID not found"))</f>
        <v/>
      </c>
      <c r="E44" s="19"/>
      <c r="F44" s="16" t="n">
        <f aca="false">IF(A44="",0,COUNTIF('Metric to Product'!$A:$A,A44))</f>
        <v>0</v>
      </c>
      <c r="G44" s="19"/>
    </row>
    <row r="45" customFormat="false" ht="15" hidden="false" customHeight="false" outlineLevel="0" collapsed="false">
      <c r="A45" s="18"/>
      <c r="B45" s="18"/>
      <c r="C45" s="16" t="str">
        <f aca="false">IF(A45="","",IFERROR(INDEX(Metrics!$B:$B,MATCH(A45,Metrics!$A:$A,0)),"ID not found"))</f>
        <v/>
      </c>
      <c r="D45" s="16" t="str">
        <f aca="false">IF(B45="","",IFERROR(INDEX(Fields!$B:$B,MATCH(B45,Fields!$A:$A,0)),"ID not found"))</f>
        <v/>
      </c>
      <c r="E45" s="19"/>
      <c r="F45" s="16" t="n">
        <f aca="false">IF(A45="",0,COUNTIF('Metric to Product'!$A:$A,A45))</f>
        <v>0</v>
      </c>
      <c r="G45" s="19"/>
    </row>
    <row r="46" customFormat="false" ht="15" hidden="false" customHeight="false" outlineLevel="0" collapsed="false">
      <c r="A46" s="18"/>
      <c r="B46" s="18"/>
      <c r="C46" s="16" t="str">
        <f aca="false">IF(A46="","",IFERROR(INDEX(Metrics!$B:$B,MATCH(A46,Metrics!$A:$A,0)),"ID not found"))</f>
        <v/>
      </c>
      <c r="D46" s="16" t="str">
        <f aca="false">IF(B46="","",IFERROR(INDEX(Fields!$B:$B,MATCH(B46,Fields!$A:$A,0)),"ID not found"))</f>
        <v/>
      </c>
      <c r="E46" s="19"/>
      <c r="F46" s="16" t="n">
        <f aca="false">IF(A46="",0,COUNTIF('Metric to Product'!$A:$A,A46))</f>
        <v>0</v>
      </c>
      <c r="G46" s="19"/>
    </row>
    <row r="47" customFormat="false" ht="15" hidden="false" customHeight="false" outlineLevel="0" collapsed="false">
      <c r="A47" s="18"/>
      <c r="B47" s="18"/>
      <c r="C47" s="16" t="str">
        <f aca="false">IF(A47="","",IFERROR(INDEX(Metrics!$B:$B,MATCH(A47,Metrics!$A:$A,0)),"ID not found"))</f>
        <v/>
      </c>
      <c r="D47" s="16" t="str">
        <f aca="false">IF(B47="","",IFERROR(INDEX(Fields!$B:$B,MATCH(B47,Fields!$A:$A,0)),"ID not found"))</f>
        <v/>
      </c>
      <c r="E47" s="19"/>
      <c r="F47" s="16" t="n">
        <f aca="false">IF(A47="",0,COUNTIF('Metric to Product'!$A:$A,A47))</f>
        <v>0</v>
      </c>
      <c r="G47" s="19"/>
    </row>
    <row r="48" customFormat="false" ht="15" hidden="false" customHeight="false" outlineLevel="0" collapsed="false">
      <c r="A48" s="18"/>
      <c r="B48" s="18"/>
      <c r="C48" s="16" t="str">
        <f aca="false">IF(A48="","",IFERROR(INDEX(Metrics!$B:$B,MATCH(A48,Metrics!$A:$A,0)),"ID not found"))</f>
        <v/>
      </c>
      <c r="D48" s="16" t="str">
        <f aca="false">IF(B48="","",IFERROR(INDEX(Fields!$B:$B,MATCH(B48,Fields!$A:$A,0)),"ID not found"))</f>
        <v/>
      </c>
      <c r="E48" s="19"/>
      <c r="F48" s="16" t="n">
        <f aca="false">IF(A48="",0,COUNTIF('Metric to Product'!$A:$A,A48))</f>
        <v>0</v>
      </c>
      <c r="G48" s="19"/>
    </row>
    <row r="49" customFormat="false" ht="15" hidden="false" customHeight="false" outlineLevel="0" collapsed="false">
      <c r="A49" s="18"/>
      <c r="B49" s="18"/>
      <c r="C49" s="16" t="str">
        <f aca="false">IF(A49="","",IFERROR(INDEX(Metrics!$B:$B,MATCH(A49,Metrics!$A:$A,0)),"ID not found"))</f>
        <v/>
      </c>
      <c r="D49" s="16" t="str">
        <f aca="false">IF(B49="","",IFERROR(INDEX(Fields!$B:$B,MATCH(B49,Fields!$A:$A,0)),"ID not found"))</f>
        <v/>
      </c>
      <c r="E49" s="19"/>
      <c r="F49" s="16" t="n">
        <f aca="false">IF(A49="",0,COUNTIF('Metric to Product'!$A:$A,A49))</f>
        <v>0</v>
      </c>
      <c r="G49" s="19"/>
    </row>
    <row r="50" customFormat="false" ht="15" hidden="false" customHeight="false" outlineLevel="0" collapsed="false">
      <c r="A50" s="18"/>
      <c r="B50" s="18"/>
      <c r="C50" s="16" t="str">
        <f aca="false">IF(A50="","",IFERROR(INDEX(Metrics!$B:$B,MATCH(A50,Metrics!$A:$A,0)),"ID not found"))</f>
        <v/>
      </c>
      <c r="D50" s="16" t="str">
        <f aca="false">IF(B50="","",IFERROR(INDEX(Fields!$B:$B,MATCH(B50,Fields!$A:$A,0)),"ID not found"))</f>
        <v/>
      </c>
      <c r="E50" s="19"/>
      <c r="F50" s="16" t="n">
        <f aca="false">IF(A50="",0,COUNTIF('Metric to Product'!$A:$A,A50))</f>
        <v>0</v>
      </c>
      <c r="G50" s="19"/>
    </row>
    <row r="51" customFormat="false" ht="15" hidden="false" customHeight="false" outlineLevel="0" collapsed="false">
      <c r="A51" s="18"/>
      <c r="B51" s="18"/>
      <c r="C51" s="16" t="str">
        <f aca="false">IF(A51="","",IFERROR(INDEX(Metrics!$B:$B,MATCH(A51,Metrics!$A:$A,0)),"ID not found"))</f>
        <v/>
      </c>
      <c r="D51" s="16" t="str">
        <f aca="false">IF(B51="","",IFERROR(INDEX(Fields!$B:$B,MATCH(B51,Fields!$A:$A,0)),"ID not found"))</f>
        <v/>
      </c>
      <c r="E51" s="19"/>
      <c r="F51" s="16" t="n">
        <f aca="false">IF(A51="",0,COUNTIF('Metric to Product'!$A:$A,A51))</f>
        <v>0</v>
      </c>
      <c r="G51" s="19"/>
    </row>
    <row r="52" customFormat="false" ht="15" hidden="false" customHeight="false" outlineLevel="0" collapsed="false">
      <c r="A52" s="18"/>
      <c r="B52" s="18"/>
      <c r="C52" s="16" t="str">
        <f aca="false">IF(A52="","",IFERROR(INDEX(Metrics!$B:$B,MATCH(A52,Metrics!$A:$A,0)),"ID not found"))</f>
        <v/>
      </c>
      <c r="D52" s="16" t="str">
        <f aca="false">IF(B52="","",IFERROR(INDEX(Fields!$B:$B,MATCH(B52,Fields!$A:$A,0)),"ID not found"))</f>
        <v/>
      </c>
      <c r="E52" s="19"/>
      <c r="F52" s="16" t="n">
        <f aca="false">IF(A52="",0,COUNTIF('Metric to Product'!$A:$A,A52))</f>
        <v>0</v>
      </c>
      <c r="G52" s="19"/>
    </row>
    <row r="53" customFormat="false" ht="15" hidden="false" customHeight="false" outlineLevel="0" collapsed="false">
      <c r="A53" s="18"/>
      <c r="B53" s="18"/>
      <c r="C53" s="16" t="str">
        <f aca="false">IF(A53="","",IFERROR(INDEX(Metrics!$B:$B,MATCH(A53,Metrics!$A:$A,0)),"ID not found"))</f>
        <v/>
      </c>
      <c r="D53" s="16" t="str">
        <f aca="false">IF(B53="","",IFERROR(INDEX(Fields!$B:$B,MATCH(B53,Fields!$A:$A,0)),"ID not found"))</f>
        <v/>
      </c>
      <c r="E53" s="19"/>
      <c r="F53" s="16" t="n">
        <f aca="false">IF(A53="",0,COUNTIF('Metric to Product'!$A:$A,A53))</f>
        <v>0</v>
      </c>
      <c r="G53" s="19"/>
    </row>
    <row r="54" customFormat="false" ht="15" hidden="false" customHeight="false" outlineLevel="0" collapsed="false">
      <c r="A54" s="18"/>
      <c r="B54" s="18"/>
      <c r="C54" s="16" t="str">
        <f aca="false">IF(A54="","",IFERROR(INDEX(Metrics!$B:$B,MATCH(A54,Metrics!$A:$A,0)),"ID not found"))</f>
        <v/>
      </c>
      <c r="D54" s="16" t="str">
        <f aca="false">IF(B54="","",IFERROR(INDEX(Fields!$B:$B,MATCH(B54,Fields!$A:$A,0)),"ID not found"))</f>
        <v/>
      </c>
      <c r="E54" s="19"/>
      <c r="F54" s="16" t="n">
        <f aca="false">IF(A54="",0,COUNTIF('Metric to Product'!$A:$A,A54))</f>
        <v>0</v>
      </c>
      <c r="G54" s="19"/>
    </row>
    <row r="55" customFormat="false" ht="15" hidden="false" customHeight="false" outlineLevel="0" collapsed="false">
      <c r="A55" s="18"/>
      <c r="B55" s="18"/>
      <c r="C55" s="16" t="str">
        <f aca="false">IF(A55="","",IFERROR(INDEX(Metrics!$B:$B,MATCH(A55,Metrics!$A:$A,0)),"ID not found"))</f>
        <v/>
      </c>
      <c r="D55" s="16" t="str">
        <f aca="false">IF(B55="","",IFERROR(INDEX(Fields!$B:$B,MATCH(B55,Fields!$A:$A,0)),"ID not found"))</f>
        <v/>
      </c>
      <c r="E55" s="19"/>
      <c r="F55" s="16" t="n">
        <f aca="false">IF(A55="",0,COUNTIF('Metric to Product'!$A:$A,A55))</f>
        <v>0</v>
      </c>
      <c r="G55" s="19"/>
    </row>
    <row r="56" customFormat="false" ht="15" hidden="false" customHeight="false" outlineLevel="0" collapsed="false">
      <c r="A56" s="18"/>
      <c r="B56" s="18"/>
      <c r="C56" s="16" t="str">
        <f aca="false">IF(A56="","",IFERROR(INDEX(Metrics!$B:$B,MATCH(A56,Metrics!$A:$A,0)),"ID not found"))</f>
        <v/>
      </c>
      <c r="D56" s="16" t="str">
        <f aca="false">IF(B56="","",IFERROR(INDEX(Fields!$B:$B,MATCH(B56,Fields!$A:$A,0)),"ID not found"))</f>
        <v/>
      </c>
      <c r="E56" s="19"/>
      <c r="F56" s="16" t="n">
        <f aca="false">IF(A56="",0,COUNTIF('Metric to Product'!$A:$A,A56))</f>
        <v>0</v>
      </c>
      <c r="G56" s="19"/>
    </row>
    <row r="57" customFormat="false" ht="15" hidden="false" customHeight="false" outlineLevel="0" collapsed="false">
      <c r="A57" s="18"/>
      <c r="B57" s="18"/>
      <c r="C57" s="16" t="str">
        <f aca="false">IF(A57="","",IFERROR(INDEX(Metrics!$B:$B,MATCH(A57,Metrics!$A:$A,0)),"ID not found"))</f>
        <v/>
      </c>
      <c r="D57" s="16" t="str">
        <f aca="false">IF(B57="","",IFERROR(INDEX(Fields!$B:$B,MATCH(B57,Fields!$A:$A,0)),"ID not found"))</f>
        <v/>
      </c>
      <c r="E57" s="19"/>
      <c r="F57" s="16" t="n">
        <f aca="false">IF(A57="",0,COUNTIF('Metric to Product'!$A:$A,A57))</f>
        <v>0</v>
      </c>
      <c r="G57" s="19"/>
    </row>
    <row r="58" customFormat="false" ht="15" hidden="false" customHeight="false" outlineLevel="0" collapsed="false">
      <c r="A58" s="18"/>
      <c r="B58" s="18"/>
      <c r="C58" s="16" t="str">
        <f aca="false">IF(A58="","",IFERROR(INDEX(Metrics!$B:$B,MATCH(A58,Metrics!$A:$A,0)),"ID not found"))</f>
        <v/>
      </c>
      <c r="D58" s="16" t="str">
        <f aca="false">IF(B58="","",IFERROR(INDEX(Fields!$B:$B,MATCH(B58,Fields!$A:$A,0)),"ID not found"))</f>
        <v/>
      </c>
      <c r="E58" s="19"/>
      <c r="F58" s="16" t="n">
        <f aca="false">IF(A58="",0,COUNTIF('Metric to Product'!$A:$A,A58))</f>
        <v>0</v>
      </c>
      <c r="G58" s="19"/>
    </row>
    <row r="59" customFormat="false" ht="15" hidden="false" customHeight="false" outlineLevel="0" collapsed="false">
      <c r="A59" s="18"/>
      <c r="B59" s="18"/>
      <c r="C59" s="16" t="str">
        <f aca="false">IF(A59="","",IFERROR(INDEX(Metrics!$B:$B,MATCH(A59,Metrics!$A:$A,0)),"ID not found"))</f>
        <v/>
      </c>
      <c r="D59" s="16" t="str">
        <f aca="false">IF(B59="","",IFERROR(INDEX(Fields!$B:$B,MATCH(B59,Fields!$A:$A,0)),"ID not found"))</f>
        <v/>
      </c>
      <c r="E59" s="19"/>
      <c r="F59" s="16" t="n">
        <f aca="false">IF(A59="",0,COUNTIF('Metric to Product'!$A:$A,A59))</f>
        <v>0</v>
      </c>
      <c r="G59" s="19"/>
    </row>
    <row r="60" customFormat="false" ht="15" hidden="false" customHeight="false" outlineLevel="0" collapsed="false">
      <c r="A60" s="18"/>
      <c r="B60" s="18"/>
      <c r="C60" s="16" t="str">
        <f aca="false">IF(A60="","",IFERROR(INDEX(Metrics!$B:$B,MATCH(A60,Metrics!$A:$A,0)),"ID not found"))</f>
        <v/>
      </c>
      <c r="D60" s="16" t="str">
        <f aca="false">IF(B60="","",IFERROR(INDEX(Fields!$B:$B,MATCH(B60,Fields!$A:$A,0)),"ID not found"))</f>
        <v/>
      </c>
      <c r="E60" s="19"/>
      <c r="F60" s="16" t="n">
        <f aca="false">IF(A60="",0,COUNTIF('Metric to Product'!$A:$A,A60))</f>
        <v>0</v>
      </c>
      <c r="G60" s="19"/>
    </row>
    <row r="61" customFormat="false" ht="15" hidden="false" customHeight="false" outlineLevel="0" collapsed="false">
      <c r="A61" s="18"/>
      <c r="B61" s="18"/>
      <c r="C61" s="16" t="str">
        <f aca="false">IF(A61="","",IFERROR(INDEX(Metrics!$B:$B,MATCH(A61,Metrics!$A:$A,0)),"ID not found"))</f>
        <v/>
      </c>
      <c r="D61" s="16" t="str">
        <f aca="false">IF(B61="","",IFERROR(INDEX(Fields!$B:$B,MATCH(B61,Fields!$A:$A,0)),"ID not found"))</f>
        <v/>
      </c>
      <c r="E61" s="19"/>
      <c r="F61" s="16" t="n">
        <f aca="false">IF(A61="",0,COUNTIF('Metric to Product'!$A:$A,A61))</f>
        <v>0</v>
      </c>
      <c r="G61" s="19"/>
    </row>
    <row r="62" customFormat="false" ht="15" hidden="false" customHeight="false" outlineLevel="0" collapsed="false">
      <c r="A62" s="18"/>
      <c r="B62" s="18"/>
      <c r="C62" s="16" t="str">
        <f aca="false">IF(A62="","",IFERROR(INDEX(Metrics!$B:$B,MATCH(A62,Metrics!$A:$A,0)),"ID not found"))</f>
        <v/>
      </c>
      <c r="D62" s="16" t="str">
        <f aca="false">IF(B62="","",IFERROR(INDEX(Fields!$B:$B,MATCH(B62,Fields!$A:$A,0)),"ID not found"))</f>
        <v/>
      </c>
      <c r="E62" s="19"/>
      <c r="F62" s="16" t="n">
        <f aca="false">IF(A62="",0,COUNTIF('Metric to Product'!$A:$A,A62))</f>
        <v>0</v>
      </c>
      <c r="G62" s="19"/>
    </row>
    <row r="63" customFormat="false" ht="15" hidden="false" customHeight="false" outlineLevel="0" collapsed="false">
      <c r="A63" s="18"/>
      <c r="B63" s="18"/>
      <c r="C63" s="16" t="str">
        <f aca="false">IF(A63="","",IFERROR(INDEX(Metrics!$B:$B,MATCH(A63,Metrics!$A:$A,0)),"ID not found"))</f>
        <v/>
      </c>
      <c r="D63" s="16" t="str">
        <f aca="false">IF(B63="","",IFERROR(INDEX(Fields!$B:$B,MATCH(B63,Fields!$A:$A,0)),"ID not found"))</f>
        <v/>
      </c>
      <c r="E63" s="19"/>
      <c r="F63" s="16" t="n">
        <f aca="false">IF(A63="",0,COUNTIF('Metric to Product'!$A:$A,A63))</f>
        <v>0</v>
      </c>
      <c r="G63" s="19"/>
    </row>
    <row r="64" customFormat="false" ht="15" hidden="false" customHeight="false" outlineLevel="0" collapsed="false">
      <c r="A64" s="18"/>
      <c r="B64" s="18"/>
      <c r="C64" s="16" t="str">
        <f aca="false">IF(A64="","",IFERROR(INDEX(Metrics!$B:$B,MATCH(A64,Metrics!$A:$A,0)),"ID not found"))</f>
        <v/>
      </c>
      <c r="D64" s="16" t="str">
        <f aca="false">IF(B64="","",IFERROR(INDEX(Fields!$B:$B,MATCH(B64,Fields!$A:$A,0)),"ID not found"))</f>
        <v/>
      </c>
      <c r="E64" s="19"/>
      <c r="F64" s="16" t="n">
        <f aca="false">IF(A64="",0,COUNTIF('Metric to Product'!$A:$A,A64))</f>
        <v>0</v>
      </c>
      <c r="G64" s="19"/>
    </row>
  </sheetData>
  <autoFilter ref="A4:G64"/>
  <conditionalFormatting sqref="C5:D64">
    <cfRule type="cellIs" priority="2" operator="equal" aboveAverage="0" equalAverage="0" bottom="0" percent="0" rank="0" text="" dxfId="11">
      <formula>"ID not found"</formula>
    </cfRule>
  </conditionalFormatting>
  <dataValidations count="1">
    <dataValidation allowBlank="true" errorStyle="stop" operator="between" showDropDown="false" showErrorMessage="false" showInputMessage="false" sqref="E5:E64" type="list">
      <formula1>"Start of clock,End of clock,Event counted,Exclusion,Attribution,Linkage,Dimension,Other"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F3A"/>
    <pageSetUpPr fitToPage="true"/>
  </sheetPr>
  <dimension ref="A1:Y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9" topLeftCell="A2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10"/>
    <col collapsed="false" customWidth="true" hidden="false" outlineLevel="0" max="4" min="4" style="0" width="13"/>
    <col collapsed="false" customWidth="true" hidden="false" outlineLevel="0" max="5" min="5" style="0" width="24"/>
    <col collapsed="false" customWidth="true" hidden="false" outlineLevel="0" max="6" min="6" style="0" width="22"/>
    <col collapsed="false" customWidth="true" hidden="false" outlineLevel="0" max="7" min="7" style="0" width="12"/>
    <col collapsed="false" customWidth="true" hidden="false" outlineLevel="0" max="9" min="8" style="0" width="11"/>
    <col collapsed="false" customWidth="true" hidden="false" outlineLevel="0" max="10" min="10" style="0" width="3"/>
    <col collapsed="false" customWidth="true" hidden="false" outlineLevel="0" max="11" min="11" style="0" width="11"/>
    <col collapsed="false" customWidth="true" hidden="false" outlineLevel="0" max="12" min="12" style="0" width="32"/>
    <col collapsed="false" customWidth="true" hidden="false" outlineLevel="0" max="13" min="13" style="0" width="12"/>
    <col collapsed="false" customWidth="true" hidden="false" outlineLevel="0" max="14" min="14" style="0" width="10"/>
    <col collapsed="false" customWidth="true" hidden="false" outlineLevel="0" max="15" min="15" style="0" width="8"/>
    <col collapsed="false" customWidth="true" hidden="false" outlineLevel="0" max="16" min="16" style="0" width="12"/>
    <col collapsed="false" customWidth="true" hidden="false" outlineLevel="0" max="18" min="17" style="0" width="3"/>
    <col collapsed="false" customWidth="true" hidden="false" outlineLevel="0" max="19" min="19" style="0" width="10"/>
    <col collapsed="false" customWidth="true" hidden="false" outlineLevel="0" max="20" min="20" style="0" width="30"/>
    <col collapsed="false" customWidth="true" hidden="false" outlineLevel="0" max="21" min="21" style="0" width="13"/>
    <col collapsed="false" customWidth="true" hidden="false" outlineLevel="0" max="22" min="22" style="0" width="15"/>
    <col collapsed="false" customWidth="true" hidden="false" outlineLevel="0" max="23" min="23" style="0" width="22"/>
    <col collapsed="false" customWidth="true" hidden="false" outlineLevel="0" max="24" min="24" style="0" width="8"/>
    <col collapsed="false" customWidth="true" hidden="false" outlineLevel="0" max="25" min="25" style="0" width="12"/>
  </cols>
  <sheetData>
    <row r="1" customFormat="false" ht="17.35" hidden="false" customHeight="false" outlineLevel="0" collapsed="false">
      <c r="A1" s="1" t="s">
        <v>15</v>
      </c>
    </row>
    <row r="2" customFormat="false" ht="15" hidden="false" customHeight="false" outlineLevel="0" collapsed="false">
      <c r="A2" s="2" t="s">
        <v>265</v>
      </c>
    </row>
    <row r="4" customFormat="false" ht="27.75" hidden="false" customHeight="true" outlineLevel="0" collapsed="false">
      <c r="A4" s="20" t="s">
        <v>5</v>
      </c>
      <c r="B4" s="20" t="s">
        <v>3</v>
      </c>
      <c r="C4" s="20" t="s">
        <v>9</v>
      </c>
      <c r="D4" s="20" t="s">
        <v>43</v>
      </c>
      <c r="E4" s="20" t="s">
        <v>11</v>
      </c>
      <c r="F4" s="20" t="s">
        <v>37</v>
      </c>
      <c r="G4" s="20" t="s">
        <v>39</v>
      </c>
      <c r="H4" s="20" t="s">
        <v>266</v>
      </c>
    </row>
    <row r="5" customFormat="false" ht="30" hidden="false" customHeight="true" outlineLevel="0" collapsed="false">
      <c r="A5" s="21" t="n">
        <f aca="false">COUNTA(Metrics!A5:A64)</f>
        <v>2</v>
      </c>
      <c r="B5" s="21" t="n">
        <f aca="false">COUNTA(Products!A5:A64)</f>
        <v>3</v>
      </c>
      <c r="C5" s="21" t="n">
        <f aca="false">COUNTA(Tables!A5:A64)</f>
        <v>5</v>
      </c>
      <c r="D5" s="21" t="n">
        <f aca="false">COUNTIF(Tables!C5:C64,"Team custom")</f>
        <v>2</v>
      </c>
      <c r="E5" s="21" t="n">
        <f aca="false">COUNTA(Fields!A5:A64)</f>
        <v>8</v>
      </c>
      <c r="F5" s="21" t="n">
        <f aca="false">COUNTIF(Fields!C5:C64,"Derived")</f>
        <v>2</v>
      </c>
      <c r="G5" s="21" t="n">
        <f aca="false">COUNTIF(Fields!I5:I64,"Issue")</f>
        <v>1</v>
      </c>
      <c r="H5" s="21" t="n">
        <f aca="false">COUNTIF(Metrics!G5:G64,"Draft")+COUNTIF(Metrics!G5:G64,"Under review")</f>
        <v>2</v>
      </c>
    </row>
    <row r="7" customFormat="false" ht="15" hidden="false" customHeight="false" outlineLevel="0" collapsed="false">
      <c r="A7" s="3" t="s">
        <v>41</v>
      </c>
      <c r="D7" s="22" t="s">
        <v>267</v>
      </c>
    </row>
    <row r="8" customFormat="false" ht="15" hidden="false" customHeight="false" outlineLevel="0" collapsed="false">
      <c r="A8" s="23" t="s">
        <v>145</v>
      </c>
      <c r="B8" s="23" t="s">
        <v>11</v>
      </c>
      <c r="C8" s="23" t="s">
        <v>9</v>
      </c>
      <c r="E8" s="23" t="s">
        <v>148</v>
      </c>
      <c r="F8" s="23" t="s">
        <v>11</v>
      </c>
      <c r="G8" s="23" t="s">
        <v>9</v>
      </c>
    </row>
    <row r="9" customFormat="false" ht="15" hidden="false" customHeight="false" outlineLevel="0" collapsed="false">
      <c r="A9" s="24" t="s">
        <v>224</v>
      </c>
      <c r="B9" s="25" t="n">
        <f aca="false">COUNTIF(Fields!$J$5:$J$64,A9)</f>
        <v>6</v>
      </c>
      <c r="C9" s="25" t="n">
        <f aca="false">COUNTIF(Tables!$I$5:$I$64,A9)</f>
        <v>3</v>
      </c>
      <c r="E9" s="24" t="s">
        <v>150</v>
      </c>
      <c r="F9" s="25" t="n">
        <f aca="false">COUNTIF(Fields!$K$5:$K$64,E9)</f>
        <v>6</v>
      </c>
      <c r="G9" s="25" t="n">
        <f aca="false">COUNTIF(Tables!$J$5:$J$64,E9)</f>
        <v>4</v>
      </c>
    </row>
    <row r="10" customFormat="false" ht="15" hidden="false" customHeight="false" outlineLevel="0" collapsed="false">
      <c r="A10" s="24" t="s">
        <v>147</v>
      </c>
      <c r="B10" s="25" t="n">
        <f aca="false">COUNTIF(Fields!$J$5:$J$64,A10)</f>
        <v>2</v>
      </c>
      <c r="C10" s="25" t="n">
        <f aca="false">COUNTIF(Tables!$I$5:$I$64,A10)</f>
        <v>1</v>
      </c>
      <c r="E10" s="24" t="s">
        <v>236</v>
      </c>
      <c r="F10" s="25" t="n">
        <f aca="false">COUNTIF(Fields!$K$5:$K$64,E10)</f>
        <v>0</v>
      </c>
      <c r="G10" s="25" t="n">
        <f aca="false">COUNTIF(Tables!$J$5:$J$64,E10)</f>
        <v>1</v>
      </c>
    </row>
    <row r="11" customFormat="false" ht="15" hidden="false" customHeight="false" outlineLevel="0" collapsed="false">
      <c r="A11" s="24" t="s">
        <v>235</v>
      </c>
      <c r="B11" s="25" t="n">
        <f aca="false">COUNTIF(Fields!$J$5:$J$64,A11)</f>
        <v>0</v>
      </c>
      <c r="C11" s="25" t="n">
        <f aca="false">COUNTIF(Tables!$I$5:$I$64,A11)</f>
        <v>1</v>
      </c>
      <c r="E11" s="24" t="s">
        <v>244</v>
      </c>
      <c r="F11" s="25" t="n">
        <f aca="false">COUNTIF(Fields!$K$5:$K$64,E11)</f>
        <v>1</v>
      </c>
      <c r="G11" s="25" t="n">
        <f aca="false">COUNTIF(Tables!$J$5:$J$64,E11)</f>
        <v>0</v>
      </c>
    </row>
    <row r="12" customFormat="false" ht="15" hidden="false" customHeight="false" outlineLevel="0" collapsed="false">
      <c r="A12" s="24" t="s">
        <v>268</v>
      </c>
      <c r="B12" s="25" t="n">
        <f aca="false">COUNTIF(Fields!$J$5:$J$64,A12)</f>
        <v>0</v>
      </c>
      <c r="C12" s="25" t="n">
        <f aca="false">COUNTIF(Tables!$I$5:$I$64,A12)</f>
        <v>0</v>
      </c>
      <c r="E12" s="24" t="s">
        <v>180</v>
      </c>
      <c r="F12" s="25" t="n">
        <f aca="false">COUNTIF(Fields!$K$5:$K$64,E12)</f>
        <v>1</v>
      </c>
      <c r="G12" s="25" t="n">
        <f aca="false">COUNTIF(Tables!$J$5:$J$64,E12)</f>
        <v>0</v>
      </c>
    </row>
    <row r="13" customFormat="false" ht="15" hidden="false" customHeight="false" outlineLevel="0" collapsed="false">
      <c r="A13" s="26" t="s">
        <v>269</v>
      </c>
      <c r="B13" s="25" t="n">
        <f aca="false">COUNTA(Fields!$A$5:$A$64)-SUM(B9:B12)</f>
        <v>0</v>
      </c>
      <c r="C13" s="25" t="n">
        <f aca="false">COUNTA(Tables!$A$5:$A$64)-SUM(C9:C12)</f>
        <v>0</v>
      </c>
      <c r="E13" s="24" t="s">
        <v>270</v>
      </c>
      <c r="F13" s="25" t="n">
        <f aca="false">COUNTIF(Fields!$K$5:$K$64,E13)</f>
        <v>0</v>
      </c>
      <c r="G13" s="25" t="n">
        <f aca="false">COUNTIF(Tables!$J$5:$J$64,E13)</f>
        <v>0</v>
      </c>
    </row>
    <row r="14" customFormat="false" ht="15" hidden="false" customHeight="false" outlineLevel="0" collapsed="false">
      <c r="E14" s="24" t="s">
        <v>271</v>
      </c>
      <c r="F14" s="25" t="n">
        <f aca="false">COUNTIF(Fields!$K$5:$K$64,E14)</f>
        <v>0</v>
      </c>
      <c r="G14" s="25" t="n">
        <f aca="false">COUNTIF(Tables!$J$5:$J$64,E14)</f>
        <v>0</v>
      </c>
    </row>
    <row r="15" customFormat="false" ht="15" hidden="false" customHeight="false" outlineLevel="0" collapsed="false">
      <c r="E15" s="24" t="s">
        <v>272</v>
      </c>
      <c r="F15" s="25" t="n">
        <f aca="false">COUNTIF(Fields!$K$5:$K$64,E15)</f>
        <v>0</v>
      </c>
      <c r="G15" s="25" t="n">
        <f aca="false">COUNTIF(Tables!$J$5:$J$64,E15)</f>
        <v>0</v>
      </c>
    </row>
    <row r="18" customFormat="false" ht="15" hidden="false" customHeight="false" outlineLevel="0" collapsed="false">
      <c r="A18" s="3" t="s">
        <v>273</v>
      </c>
      <c r="K18" s="3" t="s">
        <v>274</v>
      </c>
      <c r="S18" s="3" t="s">
        <v>275</v>
      </c>
    </row>
    <row r="19" customFormat="false" ht="30" hidden="false" customHeight="true" outlineLevel="0" collapsed="false">
      <c r="A19" s="27" t="s">
        <v>156</v>
      </c>
      <c r="B19" s="27" t="s">
        <v>159</v>
      </c>
      <c r="C19" s="27" t="s">
        <v>69</v>
      </c>
      <c r="D19" s="27" t="s">
        <v>276</v>
      </c>
      <c r="E19" s="27" t="s">
        <v>145</v>
      </c>
      <c r="F19" s="27" t="s">
        <v>148</v>
      </c>
      <c r="G19" s="27" t="s">
        <v>175</v>
      </c>
      <c r="H19" s="27" t="s">
        <v>184</v>
      </c>
      <c r="I19" s="27" t="s">
        <v>185</v>
      </c>
      <c r="K19" s="27" t="s">
        <v>84</v>
      </c>
      <c r="L19" s="27" t="s">
        <v>87</v>
      </c>
      <c r="M19" s="27" t="s">
        <v>102</v>
      </c>
      <c r="N19" s="27" t="s">
        <v>3</v>
      </c>
      <c r="O19" s="27" t="s">
        <v>11</v>
      </c>
      <c r="P19" s="27" t="s">
        <v>39</v>
      </c>
      <c r="S19" s="27" t="s">
        <v>123</v>
      </c>
      <c r="T19" s="27" t="s">
        <v>126</v>
      </c>
      <c r="U19" s="27" t="s">
        <v>129</v>
      </c>
      <c r="V19" s="27" t="s">
        <v>145</v>
      </c>
      <c r="W19" s="27" t="s">
        <v>148</v>
      </c>
      <c r="X19" s="27" t="s">
        <v>11</v>
      </c>
      <c r="Y19" s="27" t="s">
        <v>153</v>
      </c>
    </row>
    <row r="20" customFormat="false" ht="15" hidden="false" customHeight="false" outlineLevel="0" collapsed="false">
      <c r="A20" s="16" t="str">
        <f aca="false">IF(Fields!A5="","",Fields!A5)</f>
        <v>F-001</v>
      </c>
      <c r="B20" s="16" t="str">
        <f aca="false">IF(Fields!A5="","",Fields!B5)</f>
        <v>Requisition approved date</v>
      </c>
      <c r="C20" s="16" t="str">
        <f aca="false">IF(Fields!A5="","",Fields!C5)</f>
        <v>Raw</v>
      </c>
      <c r="D20" s="16" t="str">
        <f aca="false">IF(Fields!A5="","",Fields!F5)</f>
        <v>HRDW</v>
      </c>
      <c r="E20" s="16" t="str">
        <f aca="false">IF(Fields!A5="","",Fields!J5)</f>
        <v>Source tables</v>
      </c>
      <c r="F20" s="16" t="str">
        <f aca="false">IF(Fields!A5="","",Fields!K5)</f>
        <v>Keep as is</v>
      </c>
      <c r="G20" s="16" t="str">
        <f aca="false">IF(Fields!A5="","",Fields!I5)</f>
        <v>Clean</v>
      </c>
      <c r="H20" s="28" t="n">
        <f aca="false">IF(Fields!A5="","",Fields!M5)</f>
        <v>1</v>
      </c>
      <c r="I20" s="28" t="n">
        <f aca="false">IF(Fields!A5="","",Fields!N5)</f>
        <v>3</v>
      </c>
      <c r="K20" s="16" t="str">
        <f aca="false">IF(Metrics!A5="","",Metrics!A5)</f>
        <v>M-001</v>
      </c>
      <c r="L20" s="16" t="str">
        <f aca="false">IF(Metrics!A5="","",Metrics!B5)</f>
        <v>Cycle time (approved to accepted)</v>
      </c>
      <c r="M20" s="16" t="str">
        <f aca="false">IF(Metrics!A5="","",Metrics!G5)</f>
        <v>Draft</v>
      </c>
      <c r="N20" s="16" t="n">
        <f aca="false">IF(Metrics!A5="","",Metrics!I5)</f>
        <v>3</v>
      </c>
      <c r="O20" s="16" t="n">
        <f aca="false">IF(Metrics!A5="","",Metrics!J5)</f>
        <v>5</v>
      </c>
      <c r="P20" s="28" t="n">
        <f aca="false">IF(Metrics!A5="","",SUMPRODUCT(('Metric to Field'!$A$5:$A$64=Metrics!A5)*(IFERROR(INDEX(Fields!$I$5:$I$64,MATCH('Metric to Field'!$B$5:$B$64,Fields!$A$5:$A$64,0)),"")="Issue")))</f>
        <v>1</v>
      </c>
      <c r="S20" s="16" t="str">
        <f aca="false">IF(Tables!A5="","",Tables!A5)</f>
        <v>T-001</v>
      </c>
      <c r="T20" s="16" t="str">
        <f aca="false">IF(Tables!A5="","",Tables!B5)</f>
        <v>HRDW requisition table</v>
      </c>
      <c r="U20" s="16" t="str">
        <f aca="false">IF(Tables!A5="","",Tables!C5)</f>
        <v>HRDW</v>
      </c>
      <c r="V20" s="16" t="str">
        <f aca="false">IF(Tables!A5="","",Tables!I5)</f>
        <v>Source tables</v>
      </c>
      <c r="W20" s="16" t="str">
        <f aca="false">IF(Tables!A5="","",Tables!J5)</f>
        <v>Keep as is</v>
      </c>
      <c r="X20" s="16" t="n">
        <f aca="false">IF(Tables!A5="","",Tables!K5)</f>
        <v>3</v>
      </c>
      <c r="Y20" s="16" t="n">
        <f aca="false">IF(Tables!A5="","",Tables!L5)</f>
        <v>3</v>
      </c>
    </row>
    <row r="21" customFormat="false" ht="15" hidden="false" customHeight="false" outlineLevel="0" collapsed="false">
      <c r="A21" s="16" t="str">
        <f aca="false">IF(Fields!A6="","",Fields!A6)</f>
        <v>F-002</v>
      </c>
      <c r="B21" s="16" t="str">
        <f aca="false">IF(Fields!A6="","",Fields!B6)</f>
        <v>Offer accepted date</v>
      </c>
      <c r="C21" s="16" t="str">
        <f aca="false">IF(Fields!A6="","",Fields!C6)</f>
        <v>Raw</v>
      </c>
      <c r="D21" s="16" t="str">
        <f aca="false">IF(Fields!A6="","",Fields!F6)</f>
        <v>HRDW</v>
      </c>
      <c r="E21" s="16" t="str">
        <f aca="false">IF(Fields!A6="","",Fields!J6)</f>
        <v>Source tables</v>
      </c>
      <c r="F21" s="16" t="str">
        <f aca="false">IF(Fields!A6="","",Fields!K6)</f>
        <v>Keep as is</v>
      </c>
      <c r="G21" s="16" t="str">
        <f aca="false">IF(Fields!A6="","",Fields!I6)</f>
        <v>Clean</v>
      </c>
      <c r="H21" s="28" t="n">
        <f aca="false">IF(Fields!A6="","",Fields!M6)</f>
        <v>2</v>
      </c>
      <c r="I21" s="28" t="n">
        <f aca="false">IF(Fields!A6="","",Fields!N6)</f>
        <v>4</v>
      </c>
      <c r="K21" s="16" t="str">
        <f aca="false">IF(Metrics!A6="","",Metrics!A6)</f>
        <v>M-002</v>
      </c>
      <c r="L21" s="16" t="str">
        <f aca="false">IF(Metrics!A6="","",Metrics!B6)</f>
        <v>Hires by recruiter</v>
      </c>
      <c r="M21" s="16" t="str">
        <f aca="false">IF(Metrics!A6="","",Metrics!G6)</f>
        <v>Draft</v>
      </c>
      <c r="N21" s="16" t="n">
        <f aca="false">IF(Metrics!A6="","",Metrics!I6)</f>
        <v>1</v>
      </c>
      <c r="O21" s="16" t="n">
        <f aca="false">IF(Metrics!A6="","",Metrics!J6)</f>
        <v>2</v>
      </c>
      <c r="P21" s="28" t="n">
        <f aca="false">IF(Metrics!A6="","",SUMPRODUCT(('Metric to Field'!$A$5:$A$64=Metrics!A6)*(IFERROR(INDEX(Fields!$I$5:$I$64,MATCH('Metric to Field'!$B$5:$B$64,Fields!$A$5:$A$64,0)),"")="Issue")))</f>
        <v>0</v>
      </c>
      <c r="S21" s="16" t="str">
        <f aca="false">IF(Tables!A6="","",Tables!A6)</f>
        <v>T-002</v>
      </c>
      <c r="T21" s="16" t="str">
        <f aca="false">IF(Tables!A6="","",Tables!B6)</f>
        <v>HRDW requisition history table</v>
      </c>
      <c r="U21" s="16" t="str">
        <f aca="false">IF(Tables!A6="","",Tables!C6)</f>
        <v>HRDW</v>
      </c>
      <c r="V21" s="16" t="str">
        <f aca="false">IF(Tables!A6="","",Tables!I6)</f>
        <v>Source tables</v>
      </c>
      <c r="W21" s="16" t="str">
        <f aca="false">IF(Tables!A6="","",Tables!J6)</f>
        <v>Keep as is</v>
      </c>
      <c r="X21" s="16" t="n">
        <f aca="false">IF(Tables!A6="","",Tables!K6)</f>
        <v>2</v>
      </c>
      <c r="Y21" s="16" t="n">
        <f aca="false">IF(Tables!A6="","",Tables!L6)</f>
        <v>0</v>
      </c>
    </row>
    <row r="22" customFormat="false" ht="15" hidden="false" customHeight="false" outlineLevel="0" collapsed="false">
      <c r="A22" s="16" t="str">
        <f aca="false">IF(Fields!A7="","",Fields!A7)</f>
        <v>F-003</v>
      </c>
      <c r="B22" s="16" t="str">
        <f aca="false">IF(Fields!A7="","",Fields!B7)</f>
        <v>Evergreen flag</v>
      </c>
      <c r="C22" s="16" t="str">
        <f aca="false">IF(Fields!A7="","",Fields!C7)</f>
        <v>Raw</v>
      </c>
      <c r="D22" s="16" t="str">
        <f aca="false">IF(Fields!A7="","",Fields!F7)</f>
        <v>HRDW</v>
      </c>
      <c r="E22" s="16" t="str">
        <f aca="false">IF(Fields!A7="","",Fields!J7)</f>
        <v>Source tables</v>
      </c>
      <c r="F22" s="16" t="str">
        <f aca="false">IF(Fields!A7="","",Fields!K7)</f>
        <v>Fix upstream</v>
      </c>
      <c r="G22" s="16" t="str">
        <f aca="false">IF(Fields!A7="","",Fields!I7)</f>
        <v>Issue</v>
      </c>
      <c r="H22" s="28" t="n">
        <f aca="false">IF(Fields!A7="","",Fields!M7)</f>
        <v>1</v>
      </c>
      <c r="I22" s="28" t="n">
        <f aca="false">IF(Fields!A7="","",Fields!N7)</f>
        <v>3</v>
      </c>
      <c r="K22" s="16" t="str">
        <f aca="false">IF(Metrics!A7="","",Metrics!A7)</f>
        <v/>
      </c>
      <c r="L22" s="16" t="str">
        <f aca="false">IF(Metrics!A7="","",Metrics!B7)</f>
        <v/>
      </c>
      <c r="M22" s="16" t="str">
        <f aca="false">IF(Metrics!A7="","",Metrics!G7)</f>
        <v/>
      </c>
      <c r="N22" s="16" t="str">
        <f aca="false">IF(Metrics!A7="","",Metrics!I7)</f>
        <v/>
      </c>
      <c r="O22" s="16" t="str">
        <f aca="false">IF(Metrics!A7="","",Metrics!J7)</f>
        <v/>
      </c>
      <c r="P22" s="28" t="str">
        <f aca="false">IF(Metrics!A7="","",SUMPRODUCT(('Metric to Field'!$A$5:$A$64=Metrics!A7)*(IFERROR(INDEX(Fields!$I$5:$I$64,MATCH('Metric to Field'!$B$5:$B$64,Fields!$A$5:$A$64,0)),"")="Issue")))</f>
        <v/>
      </c>
      <c r="S22" s="16" t="str">
        <f aca="false">IF(Tables!A7="","",Tables!A7)</f>
        <v>T-003</v>
      </c>
      <c r="T22" s="16" t="str">
        <f aca="false">IF(Tables!A7="","",Tables!B7)</f>
        <v>HRDW offer table</v>
      </c>
      <c r="U22" s="16" t="str">
        <f aca="false">IF(Tables!A7="","",Tables!C7)</f>
        <v>HRDW</v>
      </c>
      <c r="V22" s="16" t="str">
        <f aca="false">IF(Tables!A7="","",Tables!I7)</f>
        <v>Source tables</v>
      </c>
      <c r="W22" s="16" t="str">
        <f aca="false">IF(Tables!A7="","",Tables!J7)</f>
        <v>Keep as is</v>
      </c>
      <c r="X22" s="16" t="n">
        <f aca="false">IF(Tables!A7="","",Tables!K7)</f>
        <v>1</v>
      </c>
      <c r="Y22" s="16" t="n">
        <f aca="false">IF(Tables!A7="","",Tables!L7)</f>
        <v>2</v>
      </c>
    </row>
    <row r="23" customFormat="false" ht="15" hidden="false" customHeight="false" outlineLevel="0" collapsed="false">
      <c r="A23" s="16" t="str">
        <f aca="false">IF(Fields!A8="","",Fields!A8)</f>
        <v>F-004</v>
      </c>
      <c r="B23" s="16" t="str">
        <f aca="false">IF(Fields!A8="","",Fields!B8)</f>
        <v>Requisition status</v>
      </c>
      <c r="C23" s="16" t="str">
        <f aca="false">IF(Fields!A8="","",Fields!C8)</f>
        <v>Raw</v>
      </c>
      <c r="D23" s="16" t="str">
        <f aca="false">IF(Fields!A8="","",Fields!F8)</f>
        <v>HRDW</v>
      </c>
      <c r="E23" s="16" t="str">
        <f aca="false">IF(Fields!A8="","",Fields!J8)</f>
        <v>Source tables</v>
      </c>
      <c r="F23" s="16" t="str">
        <f aca="false">IF(Fields!A8="","",Fields!K8)</f>
        <v>Keep as is</v>
      </c>
      <c r="G23" s="16" t="str">
        <f aca="false">IF(Fields!A8="","",Fields!I8)</f>
        <v>Clean</v>
      </c>
      <c r="H23" s="28" t="n">
        <f aca="false">IF(Fields!A8="","",Fields!M8)</f>
        <v>1</v>
      </c>
      <c r="I23" s="28" t="n">
        <f aca="false">IF(Fields!A8="","",Fields!N8)</f>
        <v>3</v>
      </c>
      <c r="K23" s="16" t="str">
        <f aca="false">IF(Metrics!A8="","",Metrics!A8)</f>
        <v/>
      </c>
      <c r="L23" s="16" t="str">
        <f aca="false">IF(Metrics!A8="","",Metrics!B8)</f>
        <v/>
      </c>
      <c r="M23" s="16" t="str">
        <f aca="false">IF(Metrics!A8="","",Metrics!G8)</f>
        <v/>
      </c>
      <c r="N23" s="16" t="str">
        <f aca="false">IF(Metrics!A8="","",Metrics!I8)</f>
        <v/>
      </c>
      <c r="O23" s="16" t="str">
        <f aca="false">IF(Metrics!A8="","",Metrics!J8)</f>
        <v/>
      </c>
      <c r="P23" s="28" t="str">
        <f aca="false">IF(Metrics!A8="","",SUMPRODUCT(('Metric to Field'!$A$5:$A$64=Metrics!A8)*(IFERROR(INDEX(Fields!$I$5:$I$64,MATCH('Metric to Field'!$B$5:$B$64,Fields!$A$5:$A$64,0)),"")="Issue")))</f>
        <v/>
      </c>
      <c r="S23" s="16" t="str">
        <f aca="false">IF(Tables!A8="","",Tables!A8)</f>
        <v>T-004</v>
      </c>
      <c r="T23" s="16" t="str">
        <f aca="false">IF(Tables!A8="","",Tables!B8)</f>
        <v>Requisition linkage table</v>
      </c>
      <c r="U23" s="16" t="str">
        <f aca="false">IF(Tables!A8="","",Tables!C8)</f>
        <v>Team custom</v>
      </c>
      <c r="V23" s="16" t="str">
        <f aca="false">IF(Tables!A8="","",Tables!I8)</f>
        <v>Business rules</v>
      </c>
      <c r="W23" s="16" t="str">
        <f aca="false">IF(Tables!A8="","",Tables!J8)</f>
        <v>Keep as is</v>
      </c>
      <c r="X23" s="16" t="n">
        <f aca="false">IF(Tables!A8="","",Tables!K8)</f>
        <v>1</v>
      </c>
      <c r="Y23" s="16" t="n">
        <f aca="false">IF(Tables!A8="","",Tables!L8)</f>
        <v>1</v>
      </c>
    </row>
    <row r="24" customFormat="false" ht="15" hidden="false" customHeight="false" outlineLevel="0" collapsed="false">
      <c r="A24" s="16" t="str">
        <f aca="false">IF(Fields!A9="","",Fields!A9)</f>
        <v>F-005</v>
      </c>
      <c r="B24" s="16" t="str">
        <f aca="false">IF(Fields!A9="","",Fields!B9)</f>
        <v>Original requisition link</v>
      </c>
      <c r="C24" s="16" t="str">
        <f aca="false">IF(Fields!A9="","",Fields!C9)</f>
        <v>Derived</v>
      </c>
      <c r="D24" s="16" t="str">
        <f aca="false">IF(Fields!A9="","",Fields!F9)</f>
        <v>Team custom</v>
      </c>
      <c r="E24" s="16" t="str">
        <f aca="false">IF(Fields!A9="","",Fields!J9)</f>
        <v>Business rules</v>
      </c>
      <c r="F24" s="16" t="str">
        <f aca="false">IF(Fields!A9="","",Fields!K9)</f>
        <v>Keep as is</v>
      </c>
      <c r="G24" s="16" t="str">
        <f aca="false">IF(Fields!A9="","",Fields!I9)</f>
        <v>Unknown</v>
      </c>
      <c r="H24" s="28" t="n">
        <f aca="false">IF(Fields!A9="","",Fields!M9)</f>
        <v>1</v>
      </c>
      <c r="I24" s="28" t="n">
        <f aca="false">IF(Fields!A9="","",Fields!N9)</f>
        <v>3</v>
      </c>
      <c r="K24" s="16" t="str">
        <f aca="false">IF(Metrics!A9="","",Metrics!A9)</f>
        <v/>
      </c>
      <c r="L24" s="16" t="str">
        <f aca="false">IF(Metrics!A9="","",Metrics!B9)</f>
        <v/>
      </c>
      <c r="M24" s="16" t="str">
        <f aca="false">IF(Metrics!A9="","",Metrics!G9)</f>
        <v/>
      </c>
      <c r="N24" s="16" t="str">
        <f aca="false">IF(Metrics!A9="","",Metrics!I9)</f>
        <v/>
      </c>
      <c r="O24" s="16" t="str">
        <f aca="false">IF(Metrics!A9="","",Metrics!J9)</f>
        <v/>
      </c>
      <c r="P24" s="28" t="str">
        <f aca="false">IF(Metrics!A9="","",SUMPRODUCT(('Metric to Field'!$A$5:$A$64=Metrics!A9)*(IFERROR(INDEX(Fields!$I$5:$I$64,MATCH('Metric to Field'!$B$5:$B$64,Fields!$A$5:$A$64,0)),"")="Issue")))</f>
        <v/>
      </c>
      <c r="S24" s="16" t="str">
        <f aca="false">IF(Tables!A9="","",Tables!A9)</f>
        <v>T-005</v>
      </c>
      <c r="T24" s="16" t="str">
        <f aca="false">IF(Tables!A9="","",Tables!B9)</f>
        <v>Certified application table</v>
      </c>
      <c r="U24" s="16" t="str">
        <f aca="false">IF(Tables!A9="","",Tables!C9)</f>
        <v>Team custom</v>
      </c>
      <c r="V24" s="16" t="str">
        <f aca="false">IF(Tables!A9="","",Tables!I9)</f>
        <v>Certified tables</v>
      </c>
      <c r="W24" s="16" t="str">
        <f aca="false">IF(Tables!A9="","",Tables!J9)</f>
        <v>Build</v>
      </c>
      <c r="X24" s="16" t="n">
        <f aca="false">IF(Tables!A9="","",Tables!K9)</f>
        <v>1</v>
      </c>
      <c r="Y24" s="16" t="n">
        <f aca="false">IF(Tables!A9="","",Tables!L9)</f>
        <v>1</v>
      </c>
    </row>
    <row r="25" customFormat="false" ht="15" hidden="false" customHeight="false" outlineLevel="0" collapsed="false">
      <c r="A25" s="16" t="str">
        <f aca="false">IF(Fields!A10="","",Fields!A10)</f>
        <v>F-006</v>
      </c>
      <c r="B25" s="16" t="str">
        <f aca="false">IF(Fields!A10="","",Fields!B10)</f>
        <v>Requisition transfer history</v>
      </c>
      <c r="C25" s="16" t="str">
        <f aca="false">IF(Fields!A10="","",Fields!C10)</f>
        <v>Raw</v>
      </c>
      <c r="D25" s="16" t="str">
        <f aca="false">IF(Fields!A10="","",Fields!F10)</f>
        <v>HRDW</v>
      </c>
      <c r="E25" s="16" t="str">
        <f aca="false">IF(Fields!A10="","",Fields!J10)</f>
        <v>Source tables</v>
      </c>
      <c r="F25" s="16" t="str">
        <f aca="false">IF(Fields!A10="","",Fields!K10)</f>
        <v>Keep as is</v>
      </c>
      <c r="G25" s="16" t="str">
        <f aca="false">IF(Fields!A10="","",Fields!I10)</f>
        <v>Unknown</v>
      </c>
      <c r="H25" s="28" t="n">
        <f aca="false">IF(Fields!A10="","",Fields!M10)</f>
        <v>0</v>
      </c>
      <c r="I25" s="28" t="n">
        <f aca="false">IF(Fields!A10="","",Fields!N10)</f>
        <v>0</v>
      </c>
      <c r="K25" s="16" t="str">
        <f aca="false">IF(Metrics!A10="","",Metrics!A10)</f>
        <v/>
      </c>
      <c r="L25" s="16" t="str">
        <f aca="false">IF(Metrics!A10="","",Metrics!B10)</f>
        <v/>
      </c>
      <c r="M25" s="16" t="str">
        <f aca="false">IF(Metrics!A10="","",Metrics!G10)</f>
        <v/>
      </c>
      <c r="N25" s="16" t="str">
        <f aca="false">IF(Metrics!A10="","",Metrics!I10)</f>
        <v/>
      </c>
      <c r="O25" s="16" t="str">
        <f aca="false">IF(Metrics!A10="","",Metrics!J10)</f>
        <v/>
      </c>
      <c r="P25" s="28" t="str">
        <f aca="false">IF(Metrics!A10="","",SUMPRODUCT(('Metric to Field'!$A$5:$A$64=Metrics!A10)*(IFERROR(INDEX(Fields!$I$5:$I$64,MATCH('Metric to Field'!$B$5:$B$64,Fields!$A$5:$A$64,0)),"")="Issue")))</f>
        <v/>
      </c>
      <c r="S25" s="16" t="str">
        <f aca="false">IF(Tables!A10="","",Tables!A10)</f>
        <v/>
      </c>
      <c r="T25" s="16" t="str">
        <f aca="false">IF(Tables!A10="","",Tables!B10)</f>
        <v/>
      </c>
      <c r="U25" s="16" t="str">
        <f aca="false">IF(Tables!A10="","",Tables!C10)</f>
        <v/>
      </c>
      <c r="V25" s="16" t="str">
        <f aca="false">IF(Tables!A10="","",Tables!I10)</f>
        <v/>
      </c>
      <c r="W25" s="16" t="str">
        <f aca="false">IF(Tables!A10="","",Tables!J10)</f>
        <v/>
      </c>
      <c r="X25" s="16" t="str">
        <f aca="false">IF(Tables!A10="","",Tables!K10)</f>
        <v/>
      </c>
      <c r="Y25" s="16" t="str">
        <f aca="false">IF(Tables!A10="","",Tables!L10)</f>
        <v/>
      </c>
    </row>
    <row r="26" customFormat="false" ht="15" hidden="false" customHeight="false" outlineLevel="0" collapsed="false">
      <c r="A26" s="16" t="str">
        <f aca="false">IF(Fields!A11="","",Fields!A11)</f>
        <v>F-007</v>
      </c>
      <c r="B26" s="16" t="str">
        <f aca="false">IF(Fields!A11="","",Fields!B11)</f>
        <v>Requisition owner history</v>
      </c>
      <c r="C26" s="16" t="str">
        <f aca="false">IF(Fields!A11="","",Fields!C11)</f>
        <v>Raw</v>
      </c>
      <c r="D26" s="16" t="str">
        <f aca="false">IF(Fields!A11="","",Fields!F11)</f>
        <v>HRDW</v>
      </c>
      <c r="E26" s="16" t="str">
        <f aca="false">IF(Fields!A11="","",Fields!J11)</f>
        <v>Source tables</v>
      </c>
      <c r="F26" s="16" t="str">
        <f aca="false">IF(Fields!A11="","",Fields!K11)</f>
        <v>Keep as is</v>
      </c>
      <c r="G26" s="16" t="str">
        <f aca="false">IF(Fields!A11="","",Fields!I11)</f>
        <v>Clean</v>
      </c>
      <c r="H26" s="28" t="n">
        <f aca="false">IF(Fields!A11="","",Fields!M11)</f>
        <v>0</v>
      </c>
      <c r="I26" s="28" t="n">
        <f aca="false">IF(Fields!A11="","",Fields!N11)</f>
        <v>0</v>
      </c>
      <c r="K26" s="16" t="str">
        <f aca="false">IF(Metrics!A11="","",Metrics!A11)</f>
        <v/>
      </c>
      <c r="L26" s="16" t="str">
        <f aca="false">IF(Metrics!A11="","",Metrics!B11)</f>
        <v/>
      </c>
      <c r="M26" s="16" t="str">
        <f aca="false">IF(Metrics!A11="","",Metrics!G11)</f>
        <v/>
      </c>
      <c r="N26" s="16" t="str">
        <f aca="false">IF(Metrics!A11="","",Metrics!I11)</f>
        <v/>
      </c>
      <c r="O26" s="16" t="str">
        <f aca="false">IF(Metrics!A11="","",Metrics!J11)</f>
        <v/>
      </c>
      <c r="P26" s="28" t="str">
        <f aca="false">IF(Metrics!A11="","",SUMPRODUCT(('Metric to Field'!$A$5:$A$64=Metrics!A11)*(IFERROR(INDEX(Fields!$I$5:$I$64,MATCH('Metric to Field'!$B$5:$B$64,Fields!$A$5:$A$64,0)),"")="Issue")))</f>
        <v/>
      </c>
      <c r="S26" s="16" t="str">
        <f aca="false">IF(Tables!A11="","",Tables!A11)</f>
        <v/>
      </c>
      <c r="T26" s="16" t="str">
        <f aca="false">IF(Tables!A11="","",Tables!B11)</f>
        <v/>
      </c>
      <c r="U26" s="16" t="str">
        <f aca="false">IF(Tables!A11="","",Tables!C11)</f>
        <v/>
      </c>
      <c r="V26" s="16" t="str">
        <f aca="false">IF(Tables!A11="","",Tables!I11)</f>
        <v/>
      </c>
      <c r="W26" s="16" t="str">
        <f aca="false">IF(Tables!A11="","",Tables!J11)</f>
        <v/>
      </c>
      <c r="X26" s="16" t="str">
        <f aca="false">IF(Tables!A11="","",Tables!K11)</f>
        <v/>
      </c>
      <c r="Y26" s="16" t="str">
        <f aca="false">IF(Tables!A11="","",Tables!L11)</f>
        <v/>
      </c>
    </row>
    <row r="27" customFormat="false" ht="15" hidden="false" customHeight="false" outlineLevel="0" collapsed="false">
      <c r="A27" s="16" t="str">
        <f aca="false">IF(Fields!A12="","",Fields!A12)</f>
        <v>F-008</v>
      </c>
      <c r="B27" s="16" t="str">
        <f aca="false">IF(Fields!A12="","",Fields!B12)</f>
        <v>Credited recruiter</v>
      </c>
      <c r="C27" s="16" t="str">
        <f aca="false">IF(Fields!A12="","",Fields!C12)</f>
        <v>Derived</v>
      </c>
      <c r="D27" s="16" t="str">
        <f aca="false">IF(Fields!A12="","",Fields!F12)</f>
        <v>Team custom</v>
      </c>
      <c r="E27" s="16" t="str">
        <f aca="false">IF(Fields!A12="","",Fields!J12)</f>
        <v>Business rules</v>
      </c>
      <c r="F27" s="16" t="str">
        <f aca="false">IF(Fields!A12="","",Fields!K12)</f>
        <v>Move to business rules</v>
      </c>
      <c r="G27" s="16" t="str">
        <f aca="false">IF(Fields!A12="","",Fields!I12)</f>
        <v>Unknown</v>
      </c>
      <c r="H27" s="28" t="n">
        <f aca="false">IF(Fields!A12="","",Fields!M12)</f>
        <v>1</v>
      </c>
      <c r="I27" s="28" t="n">
        <f aca="false">IF(Fields!A12="","",Fields!N12)</f>
        <v>1</v>
      </c>
      <c r="K27" s="16" t="str">
        <f aca="false">IF(Metrics!A12="","",Metrics!A12)</f>
        <v/>
      </c>
      <c r="L27" s="16" t="str">
        <f aca="false">IF(Metrics!A12="","",Metrics!B12)</f>
        <v/>
      </c>
      <c r="M27" s="16" t="str">
        <f aca="false">IF(Metrics!A12="","",Metrics!G12)</f>
        <v/>
      </c>
      <c r="N27" s="16" t="str">
        <f aca="false">IF(Metrics!A12="","",Metrics!I12)</f>
        <v/>
      </c>
      <c r="O27" s="16" t="str">
        <f aca="false">IF(Metrics!A12="","",Metrics!J12)</f>
        <v/>
      </c>
      <c r="P27" s="28" t="str">
        <f aca="false">IF(Metrics!A12="","",SUMPRODUCT(('Metric to Field'!$A$5:$A$64=Metrics!A12)*(IFERROR(INDEX(Fields!$I$5:$I$64,MATCH('Metric to Field'!$B$5:$B$64,Fields!$A$5:$A$64,0)),"")="Issue")))</f>
        <v/>
      </c>
      <c r="S27" s="16" t="str">
        <f aca="false">IF(Tables!A12="","",Tables!A12)</f>
        <v/>
      </c>
      <c r="T27" s="16" t="str">
        <f aca="false">IF(Tables!A12="","",Tables!B12)</f>
        <v/>
      </c>
      <c r="U27" s="16" t="str">
        <f aca="false">IF(Tables!A12="","",Tables!C12)</f>
        <v/>
      </c>
      <c r="V27" s="16" t="str">
        <f aca="false">IF(Tables!A12="","",Tables!I12)</f>
        <v/>
      </c>
      <c r="W27" s="16" t="str">
        <f aca="false">IF(Tables!A12="","",Tables!J12)</f>
        <v/>
      </c>
      <c r="X27" s="16" t="str">
        <f aca="false">IF(Tables!A12="","",Tables!K12)</f>
        <v/>
      </c>
      <c r="Y27" s="16" t="str">
        <f aca="false">IF(Tables!A12="","",Tables!L12)</f>
        <v/>
      </c>
    </row>
    <row r="28" customFormat="false" ht="15" hidden="false" customHeight="false" outlineLevel="0" collapsed="false">
      <c r="A28" s="16" t="str">
        <f aca="false">IF(Fields!A13="","",Fields!A13)</f>
        <v/>
      </c>
      <c r="B28" s="16" t="str">
        <f aca="false">IF(Fields!A13="","",Fields!B13)</f>
        <v/>
      </c>
      <c r="C28" s="16" t="str">
        <f aca="false">IF(Fields!A13="","",Fields!C13)</f>
        <v/>
      </c>
      <c r="D28" s="16" t="str">
        <f aca="false">IF(Fields!A13="","",Fields!F13)</f>
        <v/>
      </c>
      <c r="E28" s="16" t="str">
        <f aca="false">IF(Fields!A13="","",Fields!J13)</f>
        <v/>
      </c>
      <c r="F28" s="16" t="str">
        <f aca="false">IF(Fields!A13="","",Fields!K13)</f>
        <v/>
      </c>
      <c r="G28" s="16" t="str">
        <f aca="false">IF(Fields!A13="","",Fields!I13)</f>
        <v/>
      </c>
      <c r="H28" s="28" t="str">
        <f aca="false">IF(Fields!A13="","",Fields!M13)</f>
        <v/>
      </c>
      <c r="I28" s="28" t="str">
        <f aca="false">IF(Fields!A13="","",Fields!N13)</f>
        <v/>
      </c>
      <c r="K28" s="16" t="str">
        <f aca="false">IF(Metrics!A13="","",Metrics!A13)</f>
        <v/>
      </c>
      <c r="L28" s="16" t="str">
        <f aca="false">IF(Metrics!A13="","",Metrics!B13)</f>
        <v/>
      </c>
      <c r="M28" s="16" t="str">
        <f aca="false">IF(Metrics!A13="","",Metrics!G13)</f>
        <v/>
      </c>
      <c r="N28" s="16" t="str">
        <f aca="false">IF(Metrics!A13="","",Metrics!I13)</f>
        <v/>
      </c>
      <c r="O28" s="16" t="str">
        <f aca="false">IF(Metrics!A13="","",Metrics!J13)</f>
        <v/>
      </c>
      <c r="P28" s="28" t="str">
        <f aca="false">IF(Metrics!A13="","",SUMPRODUCT(('Metric to Field'!$A$5:$A$64=Metrics!A13)*(IFERROR(INDEX(Fields!$I$5:$I$64,MATCH('Metric to Field'!$B$5:$B$64,Fields!$A$5:$A$64,0)),"")="Issue")))</f>
        <v/>
      </c>
      <c r="S28" s="16" t="str">
        <f aca="false">IF(Tables!A13="","",Tables!A13)</f>
        <v/>
      </c>
      <c r="T28" s="16" t="str">
        <f aca="false">IF(Tables!A13="","",Tables!B13)</f>
        <v/>
      </c>
      <c r="U28" s="16" t="str">
        <f aca="false">IF(Tables!A13="","",Tables!C13)</f>
        <v/>
      </c>
      <c r="V28" s="16" t="str">
        <f aca="false">IF(Tables!A13="","",Tables!I13)</f>
        <v/>
      </c>
      <c r="W28" s="16" t="str">
        <f aca="false">IF(Tables!A13="","",Tables!J13)</f>
        <v/>
      </c>
      <c r="X28" s="16" t="str">
        <f aca="false">IF(Tables!A13="","",Tables!K13)</f>
        <v/>
      </c>
      <c r="Y28" s="16" t="str">
        <f aca="false">IF(Tables!A13="","",Tables!L13)</f>
        <v/>
      </c>
    </row>
    <row r="29" customFormat="false" ht="15" hidden="false" customHeight="false" outlineLevel="0" collapsed="false">
      <c r="A29" s="16" t="str">
        <f aca="false">IF(Fields!A14="","",Fields!A14)</f>
        <v/>
      </c>
      <c r="B29" s="16" t="str">
        <f aca="false">IF(Fields!A14="","",Fields!B14)</f>
        <v/>
      </c>
      <c r="C29" s="16" t="str">
        <f aca="false">IF(Fields!A14="","",Fields!C14)</f>
        <v/>
      </c>
      <c r="D29" s="16" t="str">
        <f aca="false">IF(Fields!A14="","",Fields!F14)</f>
        <v/>
      </c>
      <c r="E29" s="16" t="str">
        <f aca="false">IF(Fields!A14="","",Fields!J14)</f>
        <v/>
      </c>
      <c r="F29" s="16" t="str">
        <f aca="false">IF(Fields!A14="","",Fields!K14)</f>
        <v/>
      </c>
      <c r="G29" s="16" t="str">
        <f aca="false">IF(Fields!A14="","",Fields!I14)</f>
        <v/>
      </c>
      <c r="H29" s="28" t="str">
        <f aca="false">IF(Fields!A14="","",Fields!M14)</f>
        <v/>
      </c>
      <c r="I29" s="28" t="str">
        <f aca="false">IF(Fields!A14="","",Fields!N14)</f>
        <v/>
      </c>
      <c r="K29" s="16" t="str">
        <f aca="false">IF(Metrics!A14="","",Metrics!A14)</f>
        <v/>
      </c>
      <c r="L29" s="16" t="str">
        <f aca="false">IF(Metrics!A14="","",Metrics!B14)</f>
        <v/>
      </c>
      <c r="M29" s="16" t="str">
        <f aca="false">IF(Metrics!A14="","",Metrics!G14)</f>
        <v/>
      </c>
      <c r="N29" s="16" t="str">
        <f aca="false">IF(Metrics!A14="","",Metrics!I14)</f>
        <v/>
      </c>
      <c r="O29" s="16" t="str">
        <f aca="false">IF(Metrics!A14="","",Metrics!J14)</f>
        <v/>
      </c>
      <c r="P29" s="28" t="str">
        <f aca="false">IF(Metrics!A14="","",SUMPRODUCT(('Metric to Field'!$A$5:$A$64=Metrics!A14)*(IFERROR(INDEX(Fields!$I$5:$I$64,MATCH('Metric to Field'!$B$5:$B$64,Fields!$A$5:$A$64,0)),"")="Issue")))</f>
        <v/>
      </c>
      <c r="S29" s="16" t="str">
        <f aca="false">IF(Tables!A14="","",Tables!A14)</f>
        <v/>
      </c>
      <c r="T29" s="16" t="str">
        <f aca="false">IF(Tables!A14="","",Tables!B14)</f>
        <v/>
      </c>
      <c r="U29" s="16" t="str">
        <f aca="false">IF(Tables!A14="","",Tables!C14)</f>
        <v/>
      </c>
      <c r="V29" s="16" t="str">
        <f aca="false">IF(Tables!A14="","",Tables!I14)</f>
        <v/>
      </c>
      <c r="W29" s="16" t="str">
        <f aca="false">IF(Tables!A14="","",Tables!J14)</f>
        <v/>
      </c>
      <c r="X29" s="16" t="str">
        <f aca="false">IF(Tables!A14="","",Tables!K14)</f>
        <v/>
      </c>
      <c r="Y29" s="16" t="str">
        <f aca="false">IF(Tables!A14="","",Tables!L14)</f>
        <v/>
      </c>
    </row>
    <row r="30" customFormat="false" ht="15" hidden="false" customHeight="false" outlineLevel="0" collapsed="false">
      <c r="A30" s="16" t="str">
        <f aca="false">IF(Fields!A15="","",Fields!A15)</f>
        <v/>
      </c>
      <c r="B30" s="16" t="str">
        <f aca="false">IF(Fields!A15="","",Fields!B15)</f>
        <v/>
      </c>
      <c r="C30" s="16" t="str">
        <f aca="false">IF(Fields!A15="","",Fields!C15)</f>
        <v/>
      </c>
      <c r="D30" s="16" t="str">
        <f aca="false">IF(Fields!A15="","",Fields!F15)</f>
        <v/>
      </c>
      <c r="E30" s="16" t="str">
        <f aca="false">IF(Fields!A15="","",Fields!J15)</f>
        <v/>
      </c>
      <c r="F30" s="16" t="str">
        <f aca="false">IF(Fields!A15="","",Fields!K15)</f>
        <v/>
      </c>
      <c r="G30" s="16" t="str">
        <f aca="false">IF(Fields!A15="","",Fields!I15)</f>
        <v/>
      </c>
      <c r="H30" s="28" t="str">
        <f aca="false">IF(Fields!A15="","",Fields!M15)</f>
        <v/>
      </c>
      <c r="I30" s="28" t="str">
        <f aca="false">IF(Fields!A15="","",Fields!N15)</f>
        <v/>
      </c>
      <c r="K30" s="16" t="str">
        <f aca="false">IF(Metrics!A15="","",Metrics!A15)</f>
        <v/>
      </c>
      <c r="L30" s="16" t="str">
        <f aca="false">IF(Metrics!A15="","",Metrics!B15)</f>
        <v/>
      </c>
      <c r="M30" s="16" t="str">
        <f aca="false">IF(Metrics!A15="","",Metrics!G15)</f>
        <v/>
      </c>
      <c r="N30" s="16" t="str">
        <f aca="false">IF(Metrics!A15="","",Metrics!I15)</f>
        <v/>
      </c>
      <c r="O30" s="16" t="str">
        <f aca="false">IF(Metrics!A15="","",Metrics!J15)</f>
        <v/>
      </c>
      <c r="P30" s="28" t="str">
        <f aca="false">IF(Metrics!A15="","",SUMPRODUCT(('Metric to Field'!$A$5:$A$64=Metrics!A15)*(IFERROR(INDEX(Fields!$I$5:$I$64,MATCH('Metric to Field'!$B$5:$B$64,Fields!$A$5:$A$64,0)),"")="Issue")))</f>
        <v/>
      </c>
      <c r="S30" s="16" t="str">
        <f aca="false">IF(Tables!A15="","",Tables!A15)</f>
        <v/>
      </c>
      <c r="T30" s="16" t="str">
        <f aca="false">IF(Tables!A15="","",Tables!B15)</f>
        <v/>
      </c>
      <c r="U30" s="16" t="str">
        <f aca="false">IF(Tables!A15="","",Tables!C15)</f>
        <v/>
      </c>
      <c r="V30" s="16" t="str">
        <f aca="false">IF(Tables!A15="","",Tables!I15)</f>
        <v/>
      </c>
      <c r="W30" s="16" t="str">
        <f aca="false">IF(Tables!A15="","",Tables!J15)</f>
        <v/>
      </c>
      <c r="X30" s="16" t="str">
        <f aca="false">IF(Tables!A15="","",Tables!K15)</f>
        <v/>
      </c>
      <c r="Y30" s="16" t="str">
        <f aca="false">IF(Tables!A15="","",Tables!L15)</f>
        <v/>
      </c>
    </row>
    <row r="31" customFormat="false" ht="15" hidden="false" customHeight="false" outlineLevel="0" collapsed="false">
      <c r="A31" s="16" t="str">
        <f aca="false">IF(Fields!A16="","",Fields!A16)</f>
        <v/>
      </c>
      <c r="B31" s="16" t="str">
        <f aca="false">IF(Fields!A16="","",Fields!B16)</f>
        <v/>
      </c>
      <c r="C31" s="16" t="str">
        <f aca="false">IF(Fields!A16="","",Fields!C16)</f>
        <v/>
      </c>
      <c r="D31" s="16" t="str">
        <f aca="false">IF(Fields!A16="","",Fields!F16)</f>
        <v/>
      </c>
      <c r="E31" s="16" t="str">
        <f aca="false">IF(Fields!A16="","",Fields!J16)</f>
        <v/>
      </c>
      <c r="F31" s="16" t="str">
        <f aca="false">IF(Fields!A16="","",Fields!K16)</f>
        <v/>
      </c>
      <c r="G31" s="16" t="str">
        <f aca="false">IF(Fields!A16="","",Fields!I16)</f>
        <v/>
      </c>
      <c r="H31" s="28" t="str">
        <f aca="false">IF(Fields!A16="","",Fields!M16)</f>
        <v/>
      </c>
      <c r="I31" s="28" t="str">
        <f aca="false">IF(Fields!A16="","",Fields!N16)</f>
        <v/>
      </c>
      <c r="K31" s="16" t="str">
        <f aca="false">IF(Metrics!A16="","",Metrics!A16)</f>
        <v/>
      </c>
      <c r="L31" s="16" t="str">
        <f aca="false">IF(Metrics!A16="","",Metrics!B16)</f>
        <v/>
      </c>
      <c r="M31" s="16" t="str">
        <f aca="false">IF(Metrics!A16="","",Metrics!G16)</f>
        <v/>
      </c>
      <c r="N31" s="16" t="str">
        <f aca="false">IF(Metrics!A16="","",Metrics!I16)</f>
        <v/>
      </c>
      <c r="O31" s="16" t="str">
        <f aca="false">IF(Metrics!A16="","",Metrics!J16)</f>
        <v/>
      </c>
      <c r="P31" s="28" t="str">
        <f aca="false">IF(Metrics!A16="","",SUMPRODUCT(('Metric to Field'!$A$5:$A$64=Metrics!A16)*(IFERROR(INDEX(Fields!$I$5:$I$64,MATCH('Metric to Field'!$B$5:$B$64,Fields!$A$5:$A$64,0)),"")="Issue")))</f>
        <v/>
      </c>
      <c r="S31" s="16" t="str">
        <f aca="false">IF(Tables!A16="","",Tables!A16)</f>
        <v/>
      </c>
      <c r="T31" s="16" t="str">
        <f aca="false">IF(Tables!A16="","",Tables!B16)</f>
        <v/>
      </c>
      <c r="U31" s="16" t="str">
        <f aca="false">IF(Tables!A16="","",Tables!C16)</f>
        <v/>
      </c>
      <c r="V31" s="16" t="str">
        <f aca="false">IF(Tables!A16="","",Tables!I16)</f>
        <v/>
      </c>
      <c r="W31" s="16" t="str">
        <f aca="false">IF(Tables!A16="","",Tables!J16)</f>
        <v/>
      </c>
      <c r="X31" s="16" t="str">
        <f aca="false">IF(Tables!A16="","",Tables!K16)</f>
        <v/>
      </c>
      <c r="Y31" s="16" t="str">
        <f aca="false">IF(Tables!A16="","",Tables!L16)</f>
        <v/>
      </c>
    </row>
    <row r="32" customFormat="false" ht="15" hidden="false" customHeight="false" outlineLevel="0" collapsed="false">
      <c r="A32" s="16" t="str">
        <f aca="false">IF(Fields!A17="","",Fields!A17)</f>
        <v/>
      </c>
      <c r="B32" s="16" t="str">
        <f aca="false">IF(Fields!A17="","",Fields!B17)</f>
        <v/>
      </c>
      <c r="C32" s="16" t="str">
        <f aca="false">IF(Fields!A17="","",Fields!C17)</f>
        <v/>
      </c>
      <c r="D32" s="16" t="str">
        <f aca="false">IF(Fields!A17="","",Fields!F17)</f>
        <v/>
      </c>
      <c r="E32" s="16" t="str">
        <f aca="false">IF(Fields!A17="","",Fields!J17)</f>
        <v/>
      </c>
      <c r="F32" s="16" t="str">
        <f aca="false">IF(Fields!A17="","",Fields!K17)</f>
        <v/>
      </c>
      <c r="G32" s="16" t="str">
        <f aca="false">IF(Fields!A17="","",Fields!I17)</f>
        <v/>
      </c>
      <c r="H32" s="28" t="str">
        <f aca="false">IF(Fields!A17="","",Fields!M17)</f>
        <v/>
      </c>
      <c r="I32" s="28" t="str">
        <f aca="false">IF(Fields!A17="","",Fields!N17)</f>
        <v/>
      </c>
      <c r="K32" s="16" t="str">
        <f aca="false">IF(Metrics!A17="","",Metrics!A17)</f>
        <v/>
      </c>
      <c r="L32" s="16" t="str">
        <f aca="false">IF(Metrics!A17="","",Metrics!B17)</f>
        <v/>
      </c>
      <c r="M32" s="16" t="str">
        <f aca="false">IF(Metrics!A17="","",Metrics!G17)</f>
        <v/>
      </c>
      <c r="N32" s="16" t="str">
        <f aca="false">IF(Metrics!A17="","",Metrics!I17)</f>
        <v/>
      </c>
      <c r="O32" s="16" t="str">
        <f aca="false">IF(Metrics!A17="","",Metrics!J17)</f>
        <v/>
      </c>
      <c r="P32" s="28" t="str">
        <f aca="false">IF(Metrics!A17="","",SUMPRODUCT(('Metric to Field'!$A$5:$A$64=Metrics!A17)*(IFERROR(INDEX(Fields!$I$5:$I$64,MATCH('Metric to Field'!$B$5:$B$64,Fields!$A$5:$A$64,0)),"")="Issue")))</f>
        <v/>
      </c>
      <c r="S32" s="16" t="str">
        <f aca="false">IF(Tables!A17="","",Tables!A17)</f>
        <v/>
      </c>
      <c r="T32" s="16" t="str">
        <f aca="false">IF(Tables!A17="","",Tables!B17)</f>
        <v/>
      </c>
      <c r="U32" s="16" t="str">
        <f aca="false">IF(Tables!A17="","",Tables!C17)</f>
        <v/>
      </c>
      <c r="V32" s="16" t="str">
        <f aca="false">IF(Tables!A17="","",Tables!I17)</f>
        <v/>
      </c>
      <c r="W32" s="16" t="str">
        <f aca="false">IF(Tables!A17="","",Tables!J17)</f>
        <v/>
      </c>
      <c r="X32" s="16" t="str">
        <f aca="false">IF(Tables!A17="","",Tables!K17)</f>
        <v/>
      </c>
      <c r="Y32" s="16" t="str">
        <f aca="false">IF(Tables!A17="","",Tables!L17)</f>
        <v/>
      </c>
    </row>
    <row r="33" customFormat="false" ht="15" hidden="false" customHeight="false" outlineLevel="0" collapsed="false">
      <c r="A33" s="16" t="str">
        <f aca="false">IF(Fields!A18="","",Fields!A18)</f>
        <v/>
      </c>
      <c r="B33" s="16" t="str">
        <f aca="false">IF(Fields!A18="","",Fields!B18)</f>
        <v/>
      </c>
      <c r="C33" s="16" t="str">
        <f aca="false">IF(Fields!A18="","",Fields!C18)</f>
        <v/>
      </c>
      <c r="D33" s="16" t="str">
        <f aca="false">IF(Fields!A18="","",Fields!F18)</f>
        <v/>
      </c>
      <c r="E33" s="16" t="str">
        <f aca="false">IF(Fields!A18="","",Fields!J18)</f>
        <v/>
      </c>
      <c r="F33" s="16" t="str">
        <f aca="false">IF(Fields!A18="","",Fields!K18)</f>
        <v/>
      </c>
      <c r="G33" s="16" t="str">
        <f aca="false">IF(Fields!A18="","",Fields!I18)</f>
        <v/>
      </c>
      <c r="H33" s="28" t="str">
        <f aca="false">IF(Fields!A18="","",Fields!M18)</f>
        <v/>
      </c>
      <c r="I33" s="28" t="str">
        <f aca="false">IF(Fields!A18="","",Fields!N18)</f>
        <v/>
      </c>
      <c r="K33" s="16" t="str">
        <f aca="false">IF(Metrics!A18="","",Metrics!A18)</f>
        <v/>
      </c>
      <c r="L33" s="16" t="str">
        <f aca="false">IF(Metrics!A18="","",Metrics!B18)</f>
        <v/>
      </c>
      <c r="M33" s="16" t="str">
        <f aca="false">IF(Metrics!A18="","",Metrics!G18)</f>
        <v/>
      </c>
      <c r="N33" s="16" t="str">
        <f aca="false">IF(Metrics!A18="","",Metrics!I18)</f>
        <v/>
      </c>
      <c r="O33" s="16" t="str">
        <f aca="false">IF(Metrics!A18="","",Metrics!J18)</f>
        <v/>
      </c>
      <c r="P33" s="28" t="str">
        <f aca="false">IF(Metrics!A18="","",SUMPRODUCT(('Metric to Field'!$A$5:$A$64=Metrics!A18)*(IFERROR(INDEX(Fields!$I$5:$I$64,MATCH('Metric to Field'!$B$5:$B$64,Fields!$A$5:$A$64,0)),"")="Issue")))</f>
        <v/>
      </c>
      <c r="S33" s="16" t="str">
        <f aca="false">IF(Tables!A18="","",Tables!A18)</f>
        <v/>
      </c>
      <c r="T33" s="16" t="str">
        <f aca="false">IF(Tables!A18="","",Tables!B18)</f>
        <v/>
      </c>
      <c r="U33" s="16" t="str">
        <f aca="false">IF(Tables!A18="","",Tables!C18)</f>
        <v/>
      </c>
      <c r="V33" s="16" t="str">
        <f aca="false">IF(Tables!A18="","",Tables!I18)</f>
        <v/>
      </c>
      <c r="W33" s="16" t="str">
        <f aca="false">IF(Tables!A18="","",Tables!J18)</f>
        <v/>
      </c>
      <c r="X33" s="16" t="str">
        <f aca="false">IF(Tables!A18="","",Tables!K18)</f>
        <v/>
      </c>
      <c r="Y33" s="16" t="str">
        <f aca="false">IF(Tables!A18="","",Tables!L18)</f>
        <v/>
      </c>
    </row>
    <row r="34" customFormat="false" ht="15" hidden="false" customHeight="false" outlineLevel="0" collapsed="false">
      <c r="A34" s="16" t="str">
        <f aca="false">IF(Fields!A19="","",Fields!A19)</f>
        <v/>
      </c>
      <c r="B34" s="16" t="str">
        <f aca="false">IF(Fields!A19="","",Fields!B19)</f>
        <v/>
      </c>
      <c r="C34" s="16" t="str">
        <f aca="false">IF(Fields!A19="","",Fields!C19)</f>
        <v/>
      </c>
      <c r="D34" s="16" t="str">
        <f aca="false">IF(Fields!A19="","",Fields!F19)</f>
        <v/>
      </c>
      <c r="E34" s="16" t="str">
        <f aca="false">IF(Fields!A19="","",Fields!J19)</f>
        <v/>
      </c>
      <c r="F34" s="16" t="str">
        <f aca="false">IF(Fields!A19="","",Fields!K19)</f>
        <v/>
      </c>
      <c r="G34" s="16" t="str">
        <f aca="false">IF(Fields!A19="","",Fields!I19)</f>
        <v/>
      </c>
      <c r="H34" s="28" t="str">
        <f aca="false">IF(Fields!A19="","",Fields!M19)</f>
        <v/>
      </c>
      <c r="I34" s="28" t="str">
        <f aca="false">IF(Fields!A19="","",Fields!N19)</f>
        <v/>
      </c>
      <c r="K34" s="16" t="str">
        <f aca="false">IF(Metrics!A19="","",Metrics!A19)</f>
        <v/>
      </c>
      <c r="L34" s="16" t="str">
        <f aca="false">IF(Metrics!A19="","",Metrics!B19)</f>
        <v/>
      </c>
      <c r="M34" s="16" t="str">
        <f aca="false">IF(Metrics!A19="","",Metrics!G19)</f>
        <v/>
      </c>
      <c r="N34" s="16" t="str">
        <f aca="false">IF(Metrics!A19="","",Metrics!I19)</f>
        <v/>
      </c>
      <c r="O34" s="16" t="str">
        <f aca="false">IF(Metrics!A19="","",Metrics!J19)</f>
        <v/>
      </c>
      <c r="P34" s="28" t="str">
        <f aca="false">IF(Metrics!A19="","",SUMPRODUCT(('Metric to Field'!$A$5:$A$64=Metrics!A19)*(IFERROR(INDEX(Fields!$I$5:$I$64,MATCH('Metric to Field'!$B$5:$B$64,Fields!$A$5:$A$64,0)),"")="Issue")))</f>
        <v/>
      </c>
      <c r="S34" s="16" t="str">
        <f aca="false">IF(Tables!A19="","",Tables!A19)</f>
        <v/>
      </c>
      <c r="T34" s="16" t="str">
        <f aca="false">IF(Tables!A19="","",Tables!B19)</f>
        <v/>
      </c>
      <c r="U34" s="16" t="str">
        <f aca="false">IF(Tables!A19="","",Tables!C19)</f>
        <v/>
      </c>
      <c r="V34" s="16" t="str">
        <f aca="false">IF(Tables!A19="","",Tables!I19)</f>
        <v/>
      </c>
      <c r="W34" s="16" t="str">
        <f aca="false">IF(Tables!A19="","",Tables!J19)</f>
        <v/>
      </c>
      <c r="X34" s="16" t="str">
        <f aca="false">IF(Tables!A19="","",Tables!K19)</f>
        <v/>
      </c>
      <c r="Y34" s="16" t="str">
        <f aca="false">IF(Tables!A19="","",Tables!L19)</f>
        <v/>
      </c>
    </row>
    <row r="35" customFormat="false" ht="15" hidden="false" customHeight="false" outlineLevel="0" collapsed="false">
      <c r="A35" s="16" t="str">
        <f aca="false">IF(Fields!A20="","",Fields!A20)</f>
        <v/>
      </c>
      <c r="B35" s="16" t="str">
        <f aca="false">IF(Fields!A20="","",Fields!B20)</f>
        <v/>
      </c>
      <c r="C35" s="16" t="str">
        <f aca="false">IF(Fields!A20="","",Fields!C20)</f>
        <v/>
      </c>
      <c r="D35" s="16" t="str">
        <f aca="false">IF(Fields!A20="","",Fields!F20)</f>
        <v/>
      </c>
      <c r="E35" s="16" t="str">
        <f aca="false">IF(Fields!A20="","",Fields!J20)</f>
        <v/>
      </c>
      <c r="F35" s="16" t="str">
        <f aca="false">IF(Fields!A20="","",Fields!K20)</f>
        <v/>
      </c>
      <c r="G35" s="16" t="str">
        <f aca="false">IF(Fields!A20="","",Fields!I20)</f>
        <v/>
      </c>
      <c r="H35" s="28" t="str">
        <f aca="false">IF(Fields!A20="","",Fields!M20)</f>
        <v/>
      </c>
      <c r="I35" s="28" t="str">
        <f aca="false">IF(Fields!A20="","",Fields!N20)</f>
        <v/>
      </c>
      <c r="K35" s="16" t="str">
        <f aca="false">IF(Metrics!A20="","",Metrics!A20)</f>
        <v/>
      </c>
      <c r="L35" s="16" t="str">
        <f aca="false">IF(Metrics!A20="","",Metrics!B20)</f>
        <v/>
      </c>
      <c r="M35" s="16" t="str">
        <f aca="false">IF(Metrics!A20="","",Metrics!G20)</f>
        <v/>
      </c>
      <c r="N35" s="16" t="str">
        <f aca="false">IF(Metrics!A20="","",Metrics!I20)</f>
        <v/>
      </c>
      <c r="O35" s="16" t="str">
        <f aca="false">IF(Metrics!A20="","",Metrics!J20)</f>
        <v/>
      </c>
      <c r="P35" s="28" t="str">
        <f aca="false">IF(Metrics!A20="","",SUMPRODUCT(('Metric to Field'!$A$5:$A$64=Metrics!A20)*(IFERROR(INDEX(Fields!$I$5:$I$64,MATCH('Metric to Field'!$B$5:$B$64,Fields!$A$5:$A$64,0)),"")="Issue")))</f>
        <v/>
      </c>
      <c r="S35" s="16" t="str">
        <f aca="false">IF(Tables!A20="","",Tables!A20)</f>
        <v/>
      </c>
      <c r="T35" s="16" t="str">
        <f aca="false">IF(Tables!A20="","",Tables!B20)</f>
        <v/>
      </c>
      <c r="U35" s="16" t="str">
        <f aca="false">IF(Tables!A20="","",Tables!C20)</f>
        <v/>
      </c>
      <c r="V35" s="16" t="str">
        <f aca="false">IF(Tables!A20="","",Tables!I20)</f>
        <v/>
      </c>
      <c r="W35" s="16" t="str">
        <f aca="false">IF(Tables!A20="","",Tables!J20)</f>
        <v/>
      </c>
      <c r="X35" s="16" t="str">
        <f aca="false">IF(Tables!A20="","",Tables!K20)</f>
        <v/>
      </c>
      <c r="Y35" s="16" t="str">
        <f aca="false">IF(Tables!A20="","",Tables!L20)</f>
        <v/>
      </c>
    </row>
    <row r="36" customFormat="false" ht="15" hidden="false" customHeight="false" outlineLevel="0" collapsed="false">
      <c r="A36" s="16" t="str">
        <f aca="false">IF(Fields!A21="","",Fields!A21)</f>
        <v/>
      </c>
      <c r="B36" s="16" t="str">
        <f aca="false">IF(Fields!A21="","",Fields!B21)</f>
        <v/>
      </c>
      <c r="C36" s="16" t="str">
        <f aca="false">IF(Fields!A21="","",Fields!C21)</f>
        <v/>
      </c>
      <c r="D36" s="16" t="str">
        <f aca="false">IF(Fields!A21="","",Fields!F21)</f>
        <v/>
      </c>
      <c r="E36" s="16" t="str">
        <f aca="false">IF(Fields!A21="","",Fields!J21)</f>
        <v/>
      </c>
      <c r="F36" s="16" t="str">
        <f aca="false">IF(Fields!A21="","",Fields!K21)</f>
        <v/>
      </c>
      <c r="G36" s="16" t="str">
        <f aca="false">IF(Fields!A21="","",Fields!I21)</f>
        <v/>
      </c>
      <c r="H36" s="28" t="str">
        <f aca="false">IF(Fields!A21="","",Fields!M21)</f>
        <v/>
      </c>
      <c r="I36" s="28" t="str">
        <f aca="false">IF(Fields!A21="","",Fields!N21)</f>
        <v/>
      </c>
      <c r="K36" s="16" t="str">
        <f aca="false">IF(Metrics!A21="","",Metrics!A21)</f>
        <v/>
      </c>
      <c r="L36" s="16" t="str">
        <f aca="false">IF(Metrics!A21="","",Metrics!B21)</f>
        <v/>
      </c>
      <c r="M36" s="16" t="str">
        <f aca="false">IF(Metrics!A21="","",Metrics!G21)</f>
        <v/>
      </c>
      <c r="N36" s="16" t="str">
        <f aca="false">IF(Metrics!A21="","",Metrics!I21)</f>
        <v/>
      </c>
      <c r="O36" s="16" t="str">
        <f aca="false">IF(Metrics!A21="","",Metrics!J21)</f>
        <v/>
      </c>
      <c r="P36" s="28" t="str">
        <f aca="false">IF(Metrics!A21="","",SUMPRODUCT(('Metric to Field'!$A$5:$A$64=Metrics!A21)*(IFERROR(INDEX(Fields!$I$5:$I$64,MATCH('Metric to Field'!$B$5:$B$64,Fields!$A$5:$A$64,0)),"")="Issue")))</f>
        <v/>
      </c>
      <c r="S36" s="16" t="str">
        <f aca="false">IF(Tables!A21="","",Tables!A21)</f>
        <v/>
      </c>
      <c r="T36" s="16" t="str">
        <f aca="false">IF(Tables!A21="","",Tables!B21)</f>
        <v/>
      </c>
      <c r="U36" s="16" t="str">
        <f aca="false">IF(Tables!A21="","",Tables!C21)</f>
        <v/>
      </c>
      <c r="V36" s="16" t="str">
        <f aca="false">IF(Tables!A21="","",Tables!I21)</f>
        <v/>
      </c>
      <c r="W36" s="16" t="str">
        <f aca="false">IF(Tables!A21="","",Tables!J21)</f>
        <v/>
      </c>
      <c r="X36" s="16" t="str">
        <f aca="false">IF(Tables!A21="","",Tables!K21)</f>
        <v/>
      </c>
      <c r="Y36" s="16" t="str">
        <f aca="false">IF(Tables!A21="","",Tables!L21)</f>
        <v/>
      </c>
    </row>
    <row r="37" customFormat="false" ht="15" hidden="false" customHeight="false" outlineLevel="0" collapsed="false">
      <c r="A37" s="16" t="str">
        <f aca="false">IF(Fields!A22="","",Fields!A22)</f>
        <v/>
      </c>
      <c r="B37" s="16" t="str">
        <f aca="false">IF(Fields!A22="","",Fields!B22)</f>
        <v/>
      </c>
      <c r="C37" s="16" t="str">
        <f aca="false">IF(Fields!A22="","",Fields!C22)</f>
        <v/>
      </c>
      <c r="D37" s="16" t="str">
        <f aca="false">IF(Fields!A22="","",Fields!F22)</f>
        <v/>
      </c>
      <c r="E37" s="16" t="str">
        <f aca="false">IF(Fields!A22="","",Fields!J22)</f>
        <v/>
      </c>
      <c r="F37" s="16" t="str">
        <f aca="false">IF(Fields!A22="","",Fields!K22)</f>
        <v/>
      </c>
      <c r="G37" s="16" t="str">
        <f aca="false">IF(Fields!A22="","",Fields!I22)</f>
        <v/>
      </c>
      <c r="H37" s="28" t="str">
        <f aca="false">IF(Fields!A22="","",Fields!M22)</f>
        <v/>
      </c>
      <c r="I37" s="28" t="str">
        <f aca="false">IF(Fields!A22="","",Fields!N22)</f>
        <v/>
      </c>
      <c r="K37" s="16" t="str">
        <f aca="false">IF(Metrics!A22="","",Metrics!A22)</f>
        <v/>
      </c>
      <c r="L37" s="16" t="str">
        <f aca="false">IF(Metrics!A22="","",Metrics!B22)</f>
        <v/>
      </c>
      <c r="M37" s="16" t="str">
        <f aca="false">IF(Metrics!A22="","",Metrics!G22)</f>
        <v/>
      </c>
      <c r="N37" s="16" t="str">
        <f aca="false">IF(Metrics!A22="","",Metrics!I22)</f>
        <v/>
      </c>
      <c r="O37" s="16" t="str">
        <f aca="false">IF(Metrics!A22="","",Metrics!J22)</f>
        <v/>
      </c>
      <c r="P37" s="28" t="str">
        <f aca="false">IF(Metrics!A22="","",SUMPRODUCT(('Metric to Field'!$A$5:$A$64=Metrics!A22)*(IFERROR(INDEX(Fields!$I$5:$I$64,MATCH('Metric to Field'!$B$5:$B$64,Fields!$A$5:$A$64,0)),"")="Issue")))</f>
        <v/>
      </c>
      <c r="S37" s="16" t="str">
        <f aca="false">IF(Tables!A22="","",Tables!A22)</f>
        <v/>
      </c>
      <c r="T37" s="16" t="str">
        <f aca="false">IF(Tables!A22="","",Tables!B22)</f>
        <v/>
      </c>
      <c r="U37" s="16" t="str">
        <f aca="false">IF(Tables!A22="","",Tables!C22)</f>
        <v/>
      </c>
      <c r="V37" s="16" t="str">
        <f aca="false">IF(Tables!A22="","",Tables!I22)</f>
        <v/>
      </c>
      <c r="W37" s="16" t="str">
        <f aca="false">IF(Tables!A22="","",Tables!J22)</f>
        <v/>
      </c>
      <c r="X37" s="16" t="str">
        <f aca="false">IF(Tables!A22="","",Tables!K22)</f>
        <v/>
      </c>
      <c r="Y37" s="16" t="str">
        <f aca="false">IF(Tables!A22="","",Tables!L22)</f>
        <v/>
      </c>
    </row>
    <row r="38" customFormat="false" ht="15" hidden="false" customHeight="false" outlineLevel="0" collapsed="false">
      <c r="A38" s="16" t="str">
        <f aca="false">IF(Fields!A23="","",Fields!A23)</f>
        <v/>
      </c>
      <c r="B38" s="16" t="str">
        <f aca="false">IF(Fields!A23="","",Fields!B23)</f>
        <v/>
      </c>
      <c r="C38" s="16" t="str">
        <f aca="false">IF(Fields!A23="","",Fields!C23)</f>
        <v/>
      </c>
      <c r="D38" s="16" t="str">
        <f aca="false">IF(Fields!A23="","",Fields!F23)</f>
        <v/>
      </c>
      <c r="E38" s="16" t="str">
        <f aca="false">IF(Fields!A23="","",Fields!J23)</f>
        <v/>
      </c>
      <c r="F38" s="16" t="str">
        <f aca="false">IF(Fields!A23="","",Fields!K23)</f>
        <v/>
      </c>
      <c r="G38" s="16" t="str">
        <f aca="false">IF(Fields!A23="","",Fields!I23)</f>
        <v/>
      </c>
      <c r="H38" s="28" t="str">
        <f aca="false">IF(Fields!A23="","",Fields!M23)</f>
        <v/>
      </c>
      <c r="I38" s="28" t="str">
        <f aca="false">IF(Fields!A23="","",Fields!N23)</f>
        <v/>
      </c>
      <c r="K38" s="16" t="str">
        <f aca="false">IF(Metrics!A23="","",Metrics!A23)</f>
        <v/>
      </c>
      <c r="L38" s="16" t="str">
        <f aca="false">IF(Metrics!A23="","",Metrics!B23)</f>
        <v/>
      </c>
      <c r="M38" s="16" t="str">
        <f aca="false">IF(Metrics!A23="","",Metrics!G23)</f>
        <v/>
      </c>
      <c r="N38" s="16" t="str">
        <f aca="false">IF(Metrics!A23="","",Metrics!I23)</f>
        <v/>
      </c>
      <c r="O38" s="16" t="str">
        <f aca="false">IF(Metrics!A23="","",Metrics!J23)</f>
        <v/>
      </c>
      <c r="P38" s="28" t="str">
        <f aca="false">IF(Metrics!A23="","",SUMPRODUCT(('Metric to Field'!$A$5:$A$64=Metrics!A23)*(IFERROR(INDEX(Fields!$I$5:$I$64,MATCH('Metric to Field'!$B$5:$B$64,Fields!$A$5:$A$64,0)),"")="Issue")))</f>
        <v/>
      </c>
      <c r="S38" s="16" t="str">
        <f aca="false">IF(Tables!A23="","",Tables!A23)</f>
        <v/>
      </c>
      <c r="T38" s="16" t="str">
        <f aca="false">IF(Tables!A23="","",Tables!B23)</f>
        <v/>
      </c>
      <c r="U38" s="16" t="str">
        <f aca="false">IF(Tables!A23="","",Tables!C23)</f>
        <v/>
      </c>
      <c r="V38" s="16" t="str">
        <f aca="false">IF(Tables!A23="","",Tables!I23)</f>
        <v/>
      </c>
      <c r="W38" s="16" t="str">
        <f aca="false">IF(Tables!A23="","",Tables!J23)</f>
        <v/>
      </c>
      <c r="X38" s="16" t="str">
        <f aca="false">IF(Tables!A23="","",Tables!K23)</f>
        <v/>
      </c>
      <c r="Y38" s="16" t="str">
        <f aca="false">IF(Tables!A23="","",Tables!L23)</f>
        <v/>
      </c>
    </row>
    <row r="39" customFormat="false" ht="15" hidden="false" customHeight="false" outlineLevel="0" collapsed="false">
      <c r="A39" s="16" t="str">
        <f aca="false">IF(Fields!A24="","",Fields!A24)</f>
        <v/>
      </c>
      <c r="B39" s="16" t="str">
        <f aca="false">IF(Fields!A24="","",Fields!B24)</f>
        <v/>
      </c>
      <c r="C39" s="16" t="str">
        <f aca="false">IF(Fields!A24="","",Fields!C24)</f>
        <v/>
      </c>
      <c r="D39" s="16" t="str">
        <f aca="false">IF(Fields!A24="","",Fields!F24)</f>
        <v/>
      </c>
      <c r="E39" s="16" t="str">
        <f aca="false">IF(Fields!A24="","",Fields!J24)</f>
        <v/>
      </c>
      <c r="F39" s="16" t="str">
        <f aca="false">IF(Fields!A24="","",Fields!K24)</f>
        <v/>
      </c>
      <c r="G39" s="16" t="str">
        <f aca="false">IF(Fields!A24="","",Fields!I24)</f>
        <v/>
      </c>
      <c r="H39" s="28" t="str">
        <f aca="false">IF(Fields!A24="","",Fields!M24)</f>
        <v/>
      </c>
      <c r="I39" s="28" t="str">
        <f aca="false">IF(Fields!A24="","",Fields!N24)</f>
        <v/>
      </c>
      <c r="K39" s="16" t="str">
        <f aca="false">IF(Metrics!A24="","",Metrics!A24)</f>
        <v/>
      </c>
      <c r="L39" s="16" t="str">
        <f aca="false">IF(Metrics!A24="","",Metrics!B24)</f>
        <v/>
      </c>
      <c r="M39" s="16" t="str">
        <f aca="false">IF(Metrics!A24="","",Metrics!G24)</f>
        <v/>
      </c>
      <c r="N39" s="16" t="str">
        <f aca="false">IF(Metrics!A24="","",Metrics!I24)</f>
        <v/>
      </c>
      <c r="O39" s="16" t="str">
        <f aca="false">IF(Metrics!A24="","",Metrics!J24)</f>
        <v/>
      </c>
      <c r="P39" s="28" t="str">
        <f aca="false">IF(Metrics!A24="","",SUMPRODUCT(('Metric to Field'!$A$5:$A$64=Metrics!A24)*(IFERROR(INDEX(Fields!$I$5:$I$64,MATCH('Metric to Field'!$B$5:$B$64,Fields!$A$5:$A$64,0)),"")="Issue")))</f>
        <v/>
      </c>
      <c r="S39" s="16" t="str">
        <f aca="false">IF(Tables!A24="","",Tables!A24)</f>
        <v/>
      </c>
      <c r="T39" s="16" t="str">
        <f aca="false">IF(Tables!A24="","",Tables!B24)</f>
        <v/>
      </c>
      <c r="U39" s="16" t="str">
        <f aca="false">IF(Tables!A24="","",Tables!C24)</f>
        <v/>
      </c>
      <c r="V39" s="16" t="str">
        <f aca="false">IF(Tables!A24="","",Tables!I24)</f>
        <v/>
      </c>
      <c r="W39" s="16" t="str">
        <f aca="false">IF(Tables!A24="","",Tables!J24)</f>
        <v/>
      </c>
      <c r="X39" s="16" t="str">
        <f aca="false">IF(Tables!A24="","",Tables!K24)</f>
        <v/>
      </c>
      <c r="Y39" s="16" t="str">
        <f aca="false">IF(Tables!A24="","",Tables!L24)</f>
        <v/>
      </c>
    </row>
    <row r="40" customFormat="false" ht="15" hidden="false" customHeight="false" outlineLevel="0" collapsed="false">
      <c r="A40" s="16" t="str">
        <f aca="false">IF(Fields!A25="","",Fields!A25)</f>
        <v/>
      </c>
      <c r="B40" s="16" t="str">
        <f aca="false">IF(Fields!A25="","",Fields!B25)</f>
        <v/>
      </c>
      <c r="C40" s="16" t="str">
        <f aca="false">IF(Fields!A25="","",Fields!C25)</f>
        <v/>
      </c>
      <c r="D40" s="16" t="str">
        <f aca="false">IF(Fields!A25="","",Fields!F25)</f>
        <v/>
      </c>
      <c r="E40" s="16" t="str">
        <f aca="false">IF(Fields!A25="","",Fields!J25)</f>
        <v/>
      </c>
      <c r="F40" s="16" t="str">
        <f aca="false">IF(Fields!A25="","",Fields!K25)</f>
        <v/>
      </c>
      <c r="G40" s="16" t="str">
        <f aca="false">IF(Fields!A25="","",Fields!I25)</f>
        <v/>
      </c>
      <c r="H40" s="28" t="str">
        <f aca="false">IF(Fields!A25="","",Fields!M25)</f>
        <v/>
      </c>
      <c r="I40" s="28" t="str">
        <f aca="false">IF(Fields!A25="","",Fields!N25)</f>
        <v/>
      </c>
      <c r="K40" s="16" t="str">
        <f aca="false">IF(Metrics!A25="","",Metrics!A25)</f>
        <v/>
      </c>
      <c r="L40" s="16" t="str">
        <f aca="false">IF(Metrics!A25="","",Metrics!B25)</f>
        <v/>
      </c>
      <c r="M40" s="16" t="str">
        <f aca="false">IF(Metrics!A25="","",Metrics!G25)</f>
        <v/>
      </c>
      <c r="N40" s="16" t="str">
        <f aca="false">IF(Metrics!A25="","",Metrics!I25)</f>
        <v/>
      </c>
      <c r="O40" s="16" t="str">
        <f aca="false">IF(Metrics!A25="","",Metrics!J25)</f>
        <v/>
      </c>
      <c r="P40" s="28" t="str">
        <f aca="false">IF(Metrics!A25="","",SUMPRODUCT(('Metric to Field'!$A$5:$A$64=Metrics!A25)*(IFERROR(INDEX(Fields!$I$5:$I$64,MATCH('Metric to Field'!$B$5:$B$64,Fields!$A$5:$A$64,0)),"")="Issue")))</f>
        <v/>
      </c>
      <c r="S40" s="16" t="str">
        <f aca="false">IF(Tables!A25="","",Tables!A25)</f>
        <v/>
      </c>
      <c r="T40" s="16" t="str">
        <f aca="false">IF(Tables!A25="","",Tables!B25)</f>
        <v/>
      </c>
      <c r="U40" s="16" t="str">
        <f aca="false">IF(Tables!A25="","",Tables!C25)</f>
        <v/>
      </c>
      <c r="V40" s="16" t="str">
        <f aca="false">IF(Tables!A25="","",Tables!I25)</f>
        <v/>
      </c>
      <c r="W40" s="16" t="str">
        <f aca="false">IF(Tables!A25="","",Tables!J25)</f>
        <v/>
      </c>
      <c r="X40" s="16" t="str">
        <f aca="false">IF(Tables!A25="","",Tables!K25)</f>
        <v/>
      </c>
      <c r="Y40" s="16" t="str">
        <f aca="false">IF(Tables!A25="","",Tables!L25)</f>
        <v/>
      </c>
    </row>
    <row r="41" customFormat="false" ht="15" hidden="false" customHeight="false" outlineLevel="0" collapsed="false">
      <c r="A41" s="16" t="str">
        <f aca="false">IF(Fields!A26="","",Fields!A26)</f>
        <v/>
      </c>
      <c r="B41" s="16" t="str">
        <f aca="false">IF(Fields!A26="","",Fields!B26)</f>
        <v/>
      </c>
      <c r="C41" s="16" t="str">
        <f aca="false">IF(Fields!A26="","",Fields!C26)</f>
        <v/>
      </c>
      <c r="D41" s="16" t="str">
        <f aca="false">IF(Fields!A26="","",Fields!F26)</f>
        <v/>
      </c>
      <c r="E41" s="16" t="str">
        <f aca="false">IF(Fields!A26="","",Fields!J26)</f>
        <v/>
      </c>
      <c r="F41" s="16" t="str">
        <f aca="false">IF(Fields!A26="","",Fields!K26)</f>
        <v/>
      </c>
      <c r="G41" s="16" t="str">
        <f aca="false">IF(Fields!A26="","",Fields!I26)</f>
        <v/>
      </c>
      <c r="H41" s="28" t="str">
        <f aca="false">IF(Fields!A26="","",Fields!M26)</f>
        <v/>
      </c>
      <c r="I41" s="28" t="str">
        <f aca="false">IF(Fields!A26="","",Fields!N26)</f>
        <v/>
      </c>
      <c r="K41" s="16" t="str">
        <f aca="false">IF(Metrics!A26="","",Metrics!A26)</f>
        <v/>
      </c>
      <c r="L41" s="16" t="str">
        <f aca="false">IF(Metrics!A26="","",Metrics!B26)</f>
        <v/>
      </c>
      <c r="M41" s="16" t="str">
        <f aca="false">IF(Metrics!A26="","",Metrics!G26)</f>
        <v/>
      </c>
      <c r="N41" s="16" t="str">
        <f aca="false">IF(Metrics!A26="","",Metrics!I26)</f>
        <v/>
      </c>
      <c r="O41" s="16" t="str">
        <f aca="false">IF(Metrics!A26="","",Metrics!J26)</f>
        <v/>
      </c>
      <c r="P41" s="28" t="str">
        <f aca="false">IF(Metrics!A26="","",SUMPRODUCT(('Metric to Field'!$A$5:$A$64=Metrics!A26)*(IFERROR(INDEX(Fields!$I$5:$I$64,MATCH('Metric to Field'!$B$5:$B$64,Fields!$A$5:$A$64,0)),"")="Issue")))</f>
        <v/>
      </c>
      <c r="S41" s="16" t="str">
        <f aca="false">IF(Tables!A26="","",Tables!A26)</f>
        <v/>
      </c>
      <c r="T41" s="16" t="str">
        <f aca="false">IF(Tables!A26="","",Tables!B26)</f>
        <v/>
      </c>
      <c r="U41" s="16" t="str">
        <f aca="false">IF(Tables!A26="","",Tables!C26)</f>
        <v/>
      </c>
      <c r="V41" s="16" t="str">
        <f aca="false">IF(Tables!A26="","",Tables!I26)</f>
        <v/>
      </c>
      <c r="W41" s="16" t="str">
        <f aca="false">IF(Tables!A26="","",Tables!J26)</f>
        <v/>
      </c>
      <c r="X41" s="16" t="str">
        <f aca="false">IF(Tables!A26="","",Tables!K26)</f>
        <v/>
      </c>
      <c r="Y41" s="16" t="str">
        <f aca="false">IF(Tables!A26="","",Tables!L26)</f>
        <v/>
      </c>
    </row>
    <row r="42" customFormat="false" ht="15" hidden="false" customHeight="false" outlineLevel="0" collapsed="false">
      <c r="A42" s="16" t="str">
        <f aca="false">IF(Fields!A27="","",Fields!A27)</f>
        <v/>
      </c>
      <c r="B42" s="16" t="str">
        <f aca="false">IF(Fields!A27="","",Fields!B27)</f>
        <v/>
      </c>
      <c r="C42" s="16" t="str">
        <f aca="false">IF(Fields!A27="","",Fields!C27)</f>
        <v/>
      </c>
      <c r="D42" s="16" t="str">
        <f aca="false">IF(Fields!A27="","",Fields!F27)</f>
        <v/>
      </c>
      <c r="E42" s="16" t="str">
        <f aca="false">IF(Fields!A27="","",Fields!J27)</f>
        <v/>
      </c>
      <c r="F42" s="16" t="str">
        <f aca="false">IF(Fields!A27="","",Fields!K27)</f>
        <v/>
      </c>
      <c r="G42" s="16" t="str">
        <f aca="false">IF(Fields!A27="","",Fields!I27)</f>
        <v/>
      </c>
      <c r="H42" s="28" t="str">
        <f aca="false">IF(Fields!A27="","",Fields!M27)</f>
        <v/>
      </c>
      <c r="I42" s="28" t="str">
        <f aca="false">IF(Fields!A27="","",Fields!N27)</f>
        <v/>
      </c>
      <c r="K42" s="16" t="str">
        <f aca="false">IF(Metrics!A27="","",Metrics!A27)</f>
        <v/>
      </c>
      <c r="L42" s="16" t="str">
        <f aca="false">IF(Metrics!A27="","",Metrics!B27)</f>
        <v/>
      </c>
      <c r="M42" s="16" t="str">
        <f aca="false">IF(Metrics!A27="","",Metrics!G27)</f>
        <v/>
      </c>
      <c r="N42" s="16" t="str">
        <f aca="false">IF(Metrics!A27="","",Metrics!I27)</f>
        <v/>
      </c>
      <c r="O42" s="16" t="str">
        <f aca="false">IF(Metrics!A27="","",Metrics!J27)</f>
        <v/>
      </c>
      <c r="P42" s="28" t="str">
        <f aca="false">IF(Metrics!A27="","",SUMPRODUCT(('Metric to Field'!$A$5:$A$64=Metrics!A27)*(IFERROR(INDEX(Fields!$I$5:$I$64,MATCH('Metric to Field'!$B$5:$B$64,Fields!$A$5:$A$64,0)),"")="Issue")))</f>
        <v/>
      </c>
      <c r="S42" s="16" t="str">
        <f aca="false">IF(Tables!A27="","",Tables!A27)</f>
        <v/>
      </c>
      <c r="T42" s="16" t="str">
        <f aca="false">IF(Tables!A27="","",Tables!B27)</f>
        <v/>
      </c>
      <c r="U42" s="16" t="str">
        <f aca="false">IF(Tables!A27="","",Tables!C27)</f>
        <v/>
      </c>
      <c r="V42" s="16" t="str">
        <f aca="false">IF(Tables!A27="","",Tables!I27)</f>
        <v/>
      </c>
      <c r="W42" s="16" t="str">
        <f aca="false">IF(Tables!A27="","",Tables!J27)</f>
        <v/>
      </c>
      <c r="X42" s="16" t="str">
        <f aca="false">IF(Tables!A27="","",Tables!K27)</f>
        <v/>
      </c>
      <c r="Y42" s="16" t="str">
        <f aca="false">IF(Tables!A27="","",Tables!L27)</f>
        <v/>
      </c>
    </row>
    <row r="43" customFormat="false" ht="15" hidden="false" customHeight="false" outlineLevel="0" collapsed="false">
      <c r="A43" s="16" t="str">
        <f aca="false">IF(Fields!A28="","",Fields!A28)</f>
        <v/>
      </c>
      <c r="B43" s="16" t="str">
        <f aca="false">IF(Fields!A28="","",Fields!B28)</f>
        <v/>
      </c>
      <c r="C43" s="16" t="str">
        <f aca="false">IF(Fields!A28="","",Fields!C28)</f>
        <v/>
      </c>
      <c r="D43" s="16" t="str">
        <f aca="false">IF(Fields!A28="","",Fields!F28)</f>
        <v/>
      </c>
      <c r="E43" s="16" t="str">
        <f aca="false">IF(Fields!A28="","",Fields!J28)</f>
        <v/>
      </c>
      <c r="F43" s="16" t="str">
        <f aca="false">IF(Fields!A28="","",Fields!K28)</f>
        <v/>
      </c>
      <c r="G43" s="16" t="str">
        <f aca="false">IF(Fields!A28="","",Fields!I28)</f>
        <v/>
      </c>
      <c r="H43" s="28" t="str">
        <f aca="false">IF(Fields!A28="","",Fields!M28)</f>
        <v/>
      </c>
      <c r="I43" s="28" t="str">
        <f aca="false">IF(Fields!A28="","",Fields!N28)</f>
        <v/>
      </c>
      <c r="K43" s="16" t="str">
        <f aca="false">IF(Metrics!A28="","",Metrics!A28)</f>
        <v/>
      </c>
      <c r="L43" s="16" t="str">
        <f aca="false">IF(Metrics!A28="","",Metrics!B28)</f>
        <v/>
      </c>
      <c r="M43" s="16" t="str">
        <f aca="false">IF(Metrics!A28="","",Metrics!G28)</f>
        <v/>
      </c>
      <c r="N43" s="16" t="str">
        <f aca="false">IF(Metrics!A28="","",Metrics!I28)</f>
        <v/>
      </c>
      <c r="O43" s="16" t="str">
        <f aca="false">IF(Metrics!A28="","",Metrics!J28)</f>
        <v/>
      </c>
      <c r="P43" s="28" t="str">
        <f aca="false">IF(Metrics!A28="","",SUMPRODUCT(('Metric to Field'!$A$5:$A$64=Metrics!A28)*(IFERROR(INDEX(Fields!$I$5:$I$64,MATCH('Metric to Field'!$B$5:$B$64,Fields!$A$5:$A$64,0)),"")="Issue")))</f>
        <v/>
      </c>
      <c r="S43" s="16" t="str">
        <f aca="false">IF(Tables!A28="","",Tables!A28)</f>
        <v/>
      </c>
      <c r="T43" s="16" t="str">
        <f aca="false">IF(Tables!A28="","",Tables!B28)</f>
        <v/>
      </c>
      <c r="U43" s="16" t="str">
        <f aca="false">IF(Tables!A28="","",Tables!C28)</f>
        <v/>
      </c>
      <c r="V43" s="16" t="str">
        <f aca="false">IF(Tables!A28="","",Tables!I28)</f>
        <v/>
      </c>
      <c r="W43" s="16" t="str">
        <f aca="false">IF(Tables!A28="","",Tables!J28)</f>
        <v/>
      </c>
      <c r="X43" s="16" t="str">
        <f aca="false">IF(Tables!A28="","",Tables!K28)</f>
        <v/>
      </c>
      <c r="Y43" s="16" t="str">
        <f aca="false">IF(Tables!A28="","",Tables!L28)</f>
        <v/>
      </c>
    </row>
    <row r="44" customFormat="false" ht="15" hidden="false" customHeight="false" outlineLevel="0" collapsed="false">
      <c r="A44" s="16" t="str">
        <f aca="false">IF(Fields!A29="","",Fields!A29)</f>
        <v/>
      </c>
      <c r="B44" s="16" t="str">
        <f aca="false">IF(Fields!A29="","",Fields!B29)</f>
        <v/>
      </c>
      <c r="C44" s="16" t="str">
        <f aca="false">IF(Fields!A29="","",Fields!C29)</f>
        <v/>
      </c>
      <c r="D44" s="16" t="str">
        <f aca="false">IF(Fields!A29="","",Fields!F29)</f>
        <v/>
      </c>
      <c r="E44" s="16" t="str">
        <f aca="false">IF(Fields!A29="","",Fields!J29)</f>
        <v/>
      </c>
      <c r="F44" s="16" t="str">
        <f aca="false">IF(Fields!A29="","",Fields!K29)</f>
        <v/>
      </c>
      <c r="G44" s="16" t="str">
        <f aca="false">IF(Fields!A29="","",Fields!I29)</f>
        <v/>
      </c>
      <c r="H44" s="28" t="str">
        <f aca="false">IF(Fields!A29="","",Fields!M29)</f>
        <v/>
      </c>
      <c r="I44" s="28" t="str">
        <f aca="false">IF(Fields!A29="","",Fields!N29)</f>
        <v/>
      </c>
      <c r="K44" s="16" t="str">
        <f aca="false">IF(Metrics!A29="","",Metrics!A29)</f>
        <v/>
      </c>
      <c r="L44" s="16" t="str">
        <f aca="false">IF(Metrics!A29="","",Metrics!B29)</f>
        <v/>
      </c>
      <c r="M44" s="16" t="str">
        <f aca="false">IF(Metrics!A29="","",Metrics!G29)</f>
        <v/>
      </c>
      <c r="N44" s="16" t="str">
        <f aca="false">IF(Metrics!A29="","",Metrics!I29)</f>
        <v/>
      </c>
      <c r="O44" s="16" t="str">
        <f aca="false">IF(Metrics!A29="","",Metrics!J29)</f>
        <v/>
      </c>
      <c r="P44" s="28" t="str">
        <f aca="false">IF(Metrics!A29="","",SUMPRODUCT(('Metric to Field'!$A$5:$A$64=Metrics!A29)*(IFERROR(INDEX(Fields!$I$5:$I$64,MATCH('Metric to Field'!$B$5:$B$64,Fields!$A$5:$A$64,0)),"")="Issue")))</f>
        <v/>
      </c>
      <c r="S44" s="16" t="str">
        <f aca="false">IF(Tables!A29="","",Tables!A29)</f>
        <v/>
      </c>
      <c r="T44" s="16" t="str">
        <f aca="false">IF(Tables!A29="","",Tables!B29)</f>
        <v/>
      </c>
      <c r="U44" s="16" t="str">
        <f aca="false">IF(Tables!A29="","",Tables!C29)</f>
        <v/>
      </c>
      <c r="V44" s="16" t="str">
        <f aca="false">IF(Tables!A29="","",Tables!I29)</f>
        <v/>
      </c>
      <c r="W44" s="16" t="str">
        <f aca="false">IF(Tables!A29="","",Tables!J29)</f>
        <v/>
      </c>
      <c r="X44" s="16" t="str">
        <f aca="false">IF(Tables!A29="","",Tables!K29)</f>
        <v/>
      </c>
      <c r="Y44" s="16" t="str">
        <f aca="false">IF(Tables!A29="","",Tables!L29)</f>
        <v/>
      </c>
    </row>
    <row r="45" customFormat="false" ht="15" hidden="false" customHeight="false" outlineLevel="0" collapsed="false">
      <c r="A45" s="16" t="str">
        <f aca="false">IF(Fields!A30="","",Fields!A30)</f>
        <v/>
      </c>
      <c r="B45" s="16" t="str">
        <f aca="false">IF(Fields!A30="","",Fields!B30)</f>
        <v/>
      </c>
      <c r="C45" s="16" t="str">
        <f aca="false">IF(Fields!A30="","",Fields!C30)</f>
        <v/>
      </c>
      <c r="D45" s="16" t="str">
        <f aca="false">IF(Fields!A30="","",Fields!F30)</f>
        <v/>
      </c>
      <c r="E45" s="16" t="str">
        <f aca="false">IF(Fields!A30="","",Fields!J30)</f>
        <v/>
      </c>
      <c r="F45" s="16" t="str">
        <f aca="false">IF(Fields!A30="","",Fields!K30)</f>
        <v/>
      </c>
      <c r="G45" s="16" t="str">
        <f aca="false">IF(Fields!A30="","",Fields!I30)</f>
        <v/>
      </c>
      <c r="H45" s="28" t="str">
        <f aca="false">IF(Fields!A30="","",Fields!M30)</f>
        <v/>
      </c>
      <c r="I45" s="28" t="str">
        <f aca="false">IF(Fields!A30="","",Fields!N30)</f>
        <v/>
      </c>
      <c r="K45" s="16" t="str">
        <f aca="false">IF(Metrics!A30="","",Metrics!A30)</f>
        <v/>
      </c>
      <c r="L45" s="16" t="str">
        <f aca="false">IF(Metrics!A30="","",Metrics!B30)</f>
        <v/>
      </c>
      <c r="M45" s="16" t="str">
        <f aca="false">IF(Metrics!A30="","",Metrics!G30)</f>
        <v/>
      </c>
      <c r="N45" s="16" t="str">
        <f aca="false">IF(Metrics!A30="","",Metrics!I30)</f>
        <v/>
      </c>
      <c r="O45" s="16" t="str">
        <f aca="false">IF(Metrics!A30="","",Metrics!J30)</f>
        <v/>
      </c>
      <c r="P45" s="28" t="str">
        <f aca="false">IF(Metrics!A30="","",SUMPRODUCT(('Metric to Field'!$A$5:$A$64=Metrics!A30)*(IFERROR(INDEX(Fields!$I$5:$I$64,MATCH('Metric to Field'!$B$5:$B$64,Fields!$A$5:$A$64,0)),"")="Issue")))</f>
        <v/>
      </c>
      <c r="S45" s="16" t="str">
        <f aca="false">IF(Tables!A30="","",Tables!A30)</f>
        <v/>
      </c>
      <c r="T45" s="16" t="str">
        <f aca="false">IF(Tables!A30="","",Tables!B30)</f>
        <v/>
      </c>
      <c r="U45" s="16" t="str">
        <f aca="false">IF(Tables!A30="","",Tables!C30)</f>
        <v/>
      </c>
      <c r="V45" s="16" t="str">
        <f aca="false">IF(Tables!A30="","",Tables!I30)</f>
        <v/>
      </c>
      <c r="W45" s="16" t="str">
        <f aca="false">IF(Tables!A30="","",Tables!J30)</f>
        <v/>
      </c>
      <c r="X45" s="16" t="str">
        <f aca="false">IF(Tables!A30="","",Tables!K30)</f>
        <v/>
      </c>
      <c r="Y45" s="16" t="str">
        <f aca="false">IF(Tables!A30="","",Tables!L30)</f>
        <v/>
      </c>
    </row>
    <row r="46" customFormat="false" ht="15" hidden="false" customHeight="false" outlineLevel="0" collapsed="false">
      <c r="A46" s="16" t="str">
        <f aca="false">IF(Fields!A31="","",Fields!A31)</f>
        <v/>
      </c>
      <c r="B46" s="16" t="str">
        <f aca="false">IF(Fields!A31="","",Fields!B31)</f>
        <v/>
      </c>
      <c r="C46" s="16" t="str">
        <f aca="false">IF(Fields!A31="","",Fields!C31)</f>
        <v/>
      </c>
      <c r="D46" s="16" t="str">
        <f aca="false">IF(Fields!A31="","",Fields!F31)</f>
        <v/>
      </c>
      <c r="E46" s="16" t="str">
        <f aca="false">IF(Fields!A31="","",Fields!J31)</f>
        <v/>
      </c>
      <c r="F46" s="16" t="str">
        <f aca="false">IF(Fields!A31="","",Fields!K31)</f>
        <v/>
      </c>
      <c r="G46" s="16" t="str">
        <f aca="false">IF(Fields!A31="","",Fields!I31)</f>
        <v/>
      </c>
      <c r="H46" s="28" t="str">
        <f aca="false">IF(Fields!A31="","",Fields!M31)</f>
        <v/>
      </c>
      <c r="I46" s="28" t="str">
        <f aca="false">IF(Fields!A31="","",Fields!N31)</f>
        <v/>
      </c>
      <c r="K46" s="16" t="str">
        <f aca="false">IF(Metrics!A31="","",Metrics!A31)</f>
        <v/>
      </c>
      <c r="L46" s="16" t="str">
        <f aca="false">IF(Metrics!A31="","",Metrics!B31)</f>
        <v/>
      </c>
      <c r="M46" s="16" t="str">
        <f aca="false">IF(Metrics!A31="","",Metrics!G31)</f>
        <v/>
      </c>
      <c r="N46" s="16" t="str">
        <f aca="false">IF(Metrics!A31="","",Metrics!I31)</f>
        <v/>
      </c>
      <c r="O46" s="16" t="str">
        <f aca="false">IF(Metrics!A31="","",Metrics!J31)</f>
        <v/>
      </c>
      <c r="P46" s="28" t="str">
        <f aca="false">IF(Metrics!A31="","",SUMPRODUCT(('Metric to Field'!$A$5:$A$64=Metrics!A31)*(IFERROR(INDEX(Fields!$I$5:$I$64,MATCH('Metric to Field'!$B$5:$B$64,Fields!$A$5:$A$64,0)),"")="Issue")))</f>
        <v/>
      </c>
      <c r="S46" s="16" t="str">
        <f aca="false">IF(Tables!A31="","",Tables!A31)</f>
        <v/>
      </c>
      <c r="T46" s="16" t="str">
        <f aca="false">IF(Tables!A31="","",Tables!B31)</f>
        <v/>
      </c>
      <c r="U46" s="16" t="str">
        <f aca="false">IF(Tables!A31="","",Tables!C31)</f>
        <v/>
      </c>
      <c r="V46" s="16" t="str">
        <f aca="false">IF(Tables!A31="","",Tables!I31)</f>
        <v/>
      </c>
      <c r="W46" s="16" t="str">
        <f aca="false">IF(Tables!A31="","",Tables!J31)</f>
        <v/>
      </c>
      <c r="X46" s="16" t="str">
        <f aca="false">IF(Tables!A31="","",Tables!K31)</f>
        <v/>
      </c>
      <c r="Y46" s="16" t="str">
        <f aca="false">IF(Tables!A31="","",Tables!L31)</f>
        <v/>
      </c>
    </row>
    <row r="47" customFormat="false" ht="15" hidden="false" customHeight="false" outlineLevel="0" collapsed="false">
      <c r="A47" s="16" t="str">
        <f aca="false">IF(Fields!A32="","",Fields!A32)</f>
        <v/>
      </c>
      <c r="B47" s="16" t="str">
        <f aca="false">IF(Fields!A32="","",Fields!B32)</f>
        <v/>
      </c>
      <c r="C47" s="16" t="str">
        <f aca="false">IF(Fields!A32="","",Fields!C32)</f>
        <v/>
      </c>
      <c r="D47" s="16" t="str">
        <f aca="false">IF(Fields!A32="","",Fields!F32)</f>
        <v/>
      </c>
      <c r="E47" s="16" t="str">
        <f aca="false">IF(Fields!A32="","",Fields!J32)</f>
        <v/>
      </c>
      <c r="F47" s="16" t="str">
        <f aca="false">IF(Fields!A32="","",Fields!K32)</f>
        <v/>
      </c>
      <c r="G47" s="16" t="str">
        <f aca="false">IF(Fields!A32="","",Fields!I32)</f>
        <v/>
      </c>
      <c r="H47" s="28" t="str">
        <f aca="false">IF(Fields!A32="","",Fields!M32)</f>
        <v/>
      </c>
      <c r="I47" s="28" t="str">
        <f aca="false">IF(Fields!A32="","",Fields!N32)</f>
        <v/>
      </c>
      <c r="K47" s="16" t="str">
        <f aca="false">IF(Metrics!A32="","",Metrics!A32)</f>
        <v/>
      </c>
      <c r="L47" s="16" t="str">
        <f aca="false">IF(Metrics!A32="","",Metrics!B32)</f>
        <v/>
      </c>
      <c r="M47" s="16" t="str">
        <f aca="false">IF(Metrics!A32="","",Metrics!G32)</f>
        <v/>
      </c>
      <c r="N47" s="16" t="str">
        <f aca="false">IF(Metrics!A32="","",Metrics!I32)</f>
        <v/>
      </c>
      <c r="O47" s="16" t="str">
        <f aca="false">IF(Metrics!A32="","",Metrics!J32)</f>
        <v/>
      </c>
      <c r="P47" s="28" t="str">
        <f aca="false">IF(Metrics!A32="","",SUMPRODUCT(('Metric to Field'!$A$5:$A$64=Metrics!A32)*(IFERROR(INDEX(Fields!$I$5:$I$64,MATCH('Metric to Field'!$B$5:$B$64,Fields!$A$5:$A$64,0)),"")="Issue")))</f>
        <v/>
      </c>
      <c r="S47" s="16" t="str">
        <f aca="false">IF(Tables!A32="","",Tables!A32)</f>
        <v/>
      </c>
      <c r="T47" s="16" t="str">
        <f aca="false">IF(Tables!A32="","",Tables!B32)</f>
        <v/>
      </c>
      <c r="U47" s="16" t="str">
        <f aca="false">IF(Tables!A32="","",Tables!C32)</f>
        <v/>
      </c>
      <c r="V47" s="16" t="str">
        <f aca="false">IF(Tables!A32="","",Tables!I32)</f>
        <v/>
      </c>
      <c r="W47" s="16" t="str">
        <f aca="false">IF(Tables!A32="","",Tables!J32)</f>
        <v/>
      </c>
      <c r="X47" s="16" t="str">
        <f aca="false">IF(Tables!A32="","",Tables!K32)</f>
        <v/>
      </c>
      <c r="Y47" s="16" t="str">
        <f aca="false">IF(Tables!A32="","",Tables!L32)</f>
        <v/>
      </c>
    </row>
    <row r="48" customFormat="false" ht="15" hidden="false" customHeight="false" outlineLevel="0" collapsed="false">
      <c r="A48" s="16" t="str">
        <f aca="false">IF(Fields!A33="","",Fields!A33)</f>
        <v/>
      </c>
      <c r="B48" s="16" t="str">
        <f aca="false">IF(Fields!A33="","",Fields!B33)</f>
        <v/>
      </c>
      <c r="C48" s="16" t="str">
        <f aca="false">IF(Fields!A33="","",Fields!C33)</f>
        <v/>
      </c>
      <c r="D48" s="16" t="str">
        <f aca="false">IF(Fields!A33="","",Fields!F33)</f>
        <v/>
      </c>
      <c r="E48" s="16" t="str">
        <f aca="false">IF(Fields!A33="","",Fields!J33)</f>
        <v/>
      </c>
      <c r="F48" s="16" t="str">
        <f aca="false">IF(Fields!A33="","",Fields!K33)</f>
        <v/>
      </c>
      <c r="G48" s="16" t="str">
        <f aca="false">IF(Fields!A33="","",Fields!I33)</f>
        <v/>
      </c>
      <c r="H48" s="28" t="str">
        <f aca="false">IF(Fields!A33="","",Fields!M33)</f>
        <v/>
      </c>
      <c r="I48" s="28" t="str">
        <f aca="false">IF(Fields!A33="","",Fields!N33)</f>
        <v/>
      </c>
      <c r="K48" s="16" t="str">
        <f aca="false">IF(Metrics!A33="","",Metrics!A33)</f>
        <v/>
      </c>
      <c r="L48" s="16" t="str">
        <f aca="false">IF(Metrics!A33="","",Metrics!B33)</f>
        <v/>
      </c>
      <c r="M48" s="16" t="str">
        <f aca="false">IF(Metrics!A33="","",Metrics!G33)</f>
        <v/>
      </c>
      <c r="N48" s="16" t="str">
        <f aca="false">IF(Metrics!A33="","",Metrics!I33)</f>
        <v/>
      </c>
      <c r="O48" s="16" t="str">
        <f aca="false">IF(Metrics!A33="","",Metrics!J33)</f>
        <v/>
      </c>
      <c r="P48" s="28" t="str">
        <f aca="false">IF(Metrics!A33="","",SUMPRODUCT(('Metric to Field'!$A$5:$A$64=Metrics!A33)*(IFERROR(INDEX(Fields!$I$5:$I$64,MATCH('Metric to Field'!$B$5:$B$64,Fields!$A$5:$A$64,0)),"")="Issue")))</f>
        <v/>
      </c>
      <c r="S48" s="16" t="str">
        <f aca="false">IF(Tables!A33="","",Tables!A33)</f>
        <v/>
      </c>
      <c r="T48" s="16" t="str">
        <f aca="false">IF(Tables!A33="","",Tables!B33)</f>
        <v/>
      </c>
      <c r="U48" s="16" t="str">
        <f aca="false">IF(Tables!A33="","",Tables!C33)</f>
        <v/>
      </c>
      <c r="V48" s="16" t="str">
        <f aca="false">IF(Tables!A33="","",Tables!I33)</f>
        <v/>
      </c>
      <c r="W48" s="16" t="str">
        <f aca="false">IF(Tables!A33="","",Tables!J33)</f>
        <v/>
      </c>
      <c r="X48" s="16" t="str">
        <f aca="false">IF(Tables!A33="","",Tables!K33)</f>
        <v/>
      </c>
      <c r="Y48" s="16" t="str">
        <f aca="false">IF(Tables!A33="","",Tables!L33)</f>
        <v/>
      </c>
    </row>
    <row r="49" customFormat="false" ht="15" hidden="false" customHeight="false" outlineLevel="0" collapsed="false">
      <c r="A49" s="16" t="str">
        <f aca="false">IF(Fields!A34="","",Fields!A34)</f>
        <v/>
      </c>
      <c r="B49" s="16" t="str">
        <f aca="false">IF(Fields!A34="","",Fields!B34)</f>
        <v/>
      </c>
      <c r="C49" s="16" t="str">
        <f aca="false">IF(Fields!A34="","",Fields!C34)</f>
        <v/>
      </c>
      <c r="D49" s="16" t="str">
        <f aca="false">IF(Fields!A34="","",Fields!F34)</f>
        <v/>
      </c>
      <c r="E49" s="16" t="str">
        <f aca="false">IF(Fields!A34="","",Fields!J34)</f>
        <v/>
      </c>
      <c r="F49" s="16" t="str">
        <f aca="false">IF(Fields!A34="","",Fields!K34)</f>
        <v/>
      </c>
      <c r="G49" s="16" t="str">
        <f aca="false">IF(Fields!A34="","",Fields!I34)</f>
        <v/>
      </c>
      <c r="H49" s="28" t="str">
        <f aca="false">IF(Fields!A34="","",Fields!M34)</f>
        <v/>
      </c>
      <c r="I49" s="28" t="str">
        <f aca="false">IF(Fields!A34="","",Fields!N34)</f>
        <v/>
      </c>
      <c r="K49" s="16" t="str">
        <f aca="false">IF(Metrics!A34="","",Metrics!A34)</f>
        <v/>
      </c>
      <c r="L49" s="16" t="str">
        <f aca="false">IF(Metrics!A34="","",Metrics!B34)</f>
        <v/>
      </c>
      <c r="M49" s="16" t="str">
        <f aca="false">IF(Metrics!A34="","",Metrics!G34)</f>
        <v/>
      </c>
      <c r="N49" s="16" t="str">
        <f aca="false">IF(Metrics!A34="","",Metrics!I34)</f>
        <v/>
      </c>
      <c r="O49" s="16" t="str">
        <f aca="false">IF(Metrics!A34="","",Metrics!J34)</f>
        <v/>
      </c>
      <c r="P49" s="28" t="str">
        <f aca="false">IF(Metrics!A34="","",SUMPRODUCT(('Metric to Field'!$A$5:$A$64=Metrics!A34)*(IFERROR(INDEX(Fields!$I$5:$I$64,MATCH('Metric to Field'!$B$5:$B$64,Fields!$A$5:$A$64,0)),"")="Issue")))</f>
        <v/>
      </c>
      <c r="S49" s="16" t="str">
        <f aca="false">IF(Tables!A34="","",Tables!A34)</f>
        <v/>
      </c>
      <c r="T49" s="16" t="str">
        <f aca="false">IF(Tables!A34="","",Tables!B34)</f>
        <v/>
      </c>
      <c r="U49" s="16" t="str">
        <f aca="false">IF(Tables!A34="","",Tables!C34)</f>
        <v/>
      </c>
      <c r="V49" s="16" t="str">
        <f aca="false">IF(Tables!A34="","",Tables!I34)</f>
        <v/>
      </c>
      <c r="W49" s="16" t="str">
        <f aca="false">IF(Tables!A34="","",Tables!J34)</f>
        <v/>
      </c>
      <c r="X49" s="16" t="str">
        <f aca="false">IF(Tables!A34="","",Tables!K34)</f>
        <v/>
      </c>
      <c r="Y49" s="16" t="str">
        <f aca="false">IF(Tables!A34="","",Tables!L34)</f>
        <v/>
      </c>
    </row>
    <row r="50" customFormat="false" ht="15" hidden="false" customHeight="false" outlineLevel="0" collapsed="false">
      <c r="A50" s="16" t="str">
        <f aca="false">IF(Fields!A35="","",Fields!A35)</f>
        <v/>
      </c>
      <c r="B50" s="16" t="str">
        <f aca="false">IF(Fields!A35="","",Fields!B35)</f>
        <v/>
      </c>
      <c r="C50" s="16" t="str">
        <f aca="false">IF(Fields!A35="","",Fields!C35)</f>
        <v/>
      </c>
      <c r="D50" s="16" t="str">
        <f aca="false">IF(Fields!A35="","",Fields!F35)</f>
        <v/>
      </c>
      <c r="E50" s="16" t="str">
        <f aca="false">IF(Fields!A35="","",Fields!J35)</f>
        <v/>
      </c>
      <c r="F50" s="16" t="str">
        <f aca="false">IF(Fields!A35="","",Fields!K35)</f>
        <v/>
      </c>
      <c r="G50" s="16" t="str">
        <f aca="false">IF(Fields!A35="","",Fields!I35)</f>
        <v/>
      </c>
      <c r="H50" s="28" t="str">
        <f aca="false">IF(Fields!A35="","",Fields!M35)</f>
        <v/>
      </c>
      <c r="I50" s="28" t="str">
        <f aca="false">IF(Fields!A35="","",Fields!N35)</f>
        <v/>
      </c>
      <c r="K50" s="16" t="str">
        <f aca="false">IF(Metrics!A35="","",Metrics!A35)</f>
        <v/>
      </c>
      <c r="L50" s="16" t="str">
        <f aca="false">IF(Metrics!A35="","",Metrics!B35)</f>
        <v/>
      </c>
      <c r="M50" s="16" t="str">
        <f aca="false">IF(Metrics!A35="","",Metrics!G35)</f>
        <v/>
      </c>
      <c r="N50" s="16" t="str">
        <f aca="false">IF(Metrics!A35="","",Metrics!I35)</f>
        <v/>
      </c>
      <c r="O50" s="16" t="str">
        <f aca="false">IF(Metrics!A35="","",Metrics!J35)</f>
        <v/>
      </c>
      <c r="P50" s="28" t="str">
        <f aca="false">IF(Metrics!A35="","",SUMPRODUCT(('Metric to Field'!$A$5:$A$64=Metrics!A35)*(IFERROR(INDEX(Fields!$I$5:$I$64,MATCH('Metric to Field'!$B$5:$B$64,Fields!$A$5:$A$64,0)),"")="Issue")))</f>
        <v/>
      </c>
      <c r="S50" s="16" t="str">
        <f aca="false">IF(Tables!A35="","",Tables!A35)</f>
        <v/>
      </c>
      <c r="T50" s="16" t="str">
        <f aca="false">IF(Tables!A35="","",Tables!B35)</f>
        <v/>
      </c>
      <c r="U50" s="16" t="str">
        <f aca="false">IF(Tables!A35="","",Tables!C35)</f>
        <v/>
      </c>
      <c r="V50" s="16" t="str">
        <f aca="false">IF(Tables!A35="","",Tables!I35)</f>
        <v/>
      </c>
      <c r="W50" s="16" t="str">
        <f aca="false">IF(Tables!A35="","",Tables!J35)</f>
        <v/>
      </c>
      <c r="X50" s="16" t="str">
        <f aca="false">IF(Tables!A35="","",Tables!K35)</f>
        <v/>
      </c>
      <c r="Y50" s="16" t="str">
        <f aca="false">IF(Tables!A35="","",Tables!L35)</f>
        <v/>
      </c>
    </row>
    <row r="51" customFormat="false" ht="15" hidden="false" customHeight="false" outlineLevel="0" collapsed="false">
      <c r="A51" s="16" t="str">
        <f aca="false">IF(Fields!A36="","",Fields!A36)</f>
        <v/>
      </c>
      <c r="B51" s="16" t="str">
        <f aca="false">IF(Fields!A36="","",Fields!B36)</f>
        <v/>
      </c>
      <c r="C51" s="16" t="str">
        <f aca="false">IF(Fields!A36="","",Fields!C36)</f>
        <v/>
      </c>
      <c r="D51" s="16" t="str">
        <f aca="false">IF(Fields!A36="","",Fields!F36)</f>
        <v/>
      </c>
      <c r="E51" s="16" t="str">
        <f aca="false">IF(Fields!A36="","",Fields!J36)</f>
        <v/>
      </c>
      <c r="F51" s="16" t="str">
        <f aca="false">IF(Fields!A36="","",Fields!K36)</f>
        <v/>
      </c>
      <c r="G51" s="16" t="str">
        <f aca="false">IF(Fields!A36="","",Fields!I36)</f>
        <v/>
      </c>
      <c r="H51" s="28" t="str">
        <f aca="false">IF(Fields!A36="","",Fields!M36)</f>
        <v/>
      </c>
      <c r="I51" s="28" t="str">
        <f aca="false">IF(Fields!A36="","",Fields!N36)</f>
        <v/>
      </c>
      <c r="K51" s="16" t="str">
        <f aca="false">IF(Metrics!A36="","",Metrics!A36)</f>
        <v/>
      </c>
      <c r="L51" s="16" t="str">
        <f aca="false">IF(Metrics!A36="","",Metrics!B36)</f>
        <v/>
      </c>
      <c r="M51" s="16" t="str">
        <f aca="false">IF(Metrics!A36="","",Metrics!G36)</f>
        <v/>
      </c>
      <c r="N51" s="16" t="str">
        <f aca="false">IF(Metrics!A36="","",Metrics!I36)</f>
        <v/>
      </c>
      <c r="O51" s="16" t="str">
        <f aca="false">IF(Metrics!A36="","",Metrics!J36)</f>
        <v/>
      </c>
      <c r="P51" s="28" t="str">
        <f aca="false">IF(Metrics!A36="","",SUMPRODUCT(('Metric to Field'!$A$5:$A$64=Metrics!A36)*(IFERROR(INDEX(Fields!$I$5:$I$64,MATCH('Metric to Field'!$B$5:$B$64,Fields!$A$5:$A$64,0)),"")="Issue")))</f>
        <v/>
      </c>
      <c r="S51" s="16" t="str">
        <f aca="false">IF(Tables!A36="","",Tables!A36)</f>
        <v/>
      </c>
      <c r="T51" s="16" t="str">
        <f aca="false">IF(Tables!A36="","",Tables!B36)</f>
        <v/>
      </c>
      <c r="U51" s="16" t="str">
        <f aca="false">IF(Tables!A36="","",Tables!C36)</f>
        <v/>
      </c>
      <c r="V51" s="16" t="str">
        <f aca="false">IF(Tables!A36="","",Tables!I36)</f>
        <v/>
      </c>
      <c r="W51" s="16" t="str">
        <f aca="false">IF(Tables!A36="","",Tables!J36)</f>
        <v/>
      </c>
      <c r="X51" s="16" t="str">
        <f aca="false">IF(Tables!A36="","",Tables!K36)</f>
        <v/>
      </c>
      <c r="Y51" s="16" t="str">
        <f aca="false">IF(Tables!A36="","",Tables!L36)</f>
        <v/>
      </c>
    </row>
    <row r="52" customFormat="false" ht="15" hidden="false" customHeight="false" outlineLevel="0" collapsed="false">
      <c r="A52" s="16" t="str">
        <f aca="false">IF(Fields!A37="","",Fields!A37)</f>
        <v/>
      </c>
      <c r="B52" s="16" t="str">
        <f aca="false">IF(Fields!A37="","",Fields!B37)</f>
        <v/>
      </c>
      <c r="C52" s="16" t="str">
        <f aca="false">IF(Fields!A37="","",Fields!C37)</f>
        <v/>
      </c>
      <c r="D52" s="16" t="str">
        <f aca="false">IF(Fields!A37="","",Fields!F37)</f>
        <v/>
      </c>
      <c r="E52" s="16" t="str">
        <f aca="false">IF(Fields!A37="","",Fields!J37)</f>
        <v/>
      </c>
      <c r="F52" s="16" t="str">
        <f aca="false">IF(Fields!A37="","",Fields!K37)</f>
        <v/>
      </c>
      <c r="G52" s="16" t="str">
        <f aca="false">IF(Fields!A37="","",Fields!I37)</f>
        <v/>
      </c>
      <c r="H52" s="28" t="str">
        <f aca="false">IF(Fields!A37="","",Fields!M37)</f>
        <v/>
      </c>
      <c r="I52" s="28" t="str">
        <f aca="false">IF(Fields!A37="","",Fields!N37)</f>
        <v/>
      </c>
      <c r="K52" s="16" t="str">
        <f aca="false">IF(Metrics!A37="","",Metrics!A37)</f>
        <v/>
      </c>
      <c r="L52" s="16" t="str">
        <f aca="false">IF(Metrics!A37="","",Metrics!B37)</f>
        <v/>
      </c>
      <c r="M52" s="16" t="str">
        <f aca="false">IF(Metrics!A37="","",Metrics!G37)</f>
        <v/>
      </c>
      <c r="N52" s="16" t="str">
        <f aca="false">IF(Metrics!A37="","",Metrics!I37)</f>
        <v/>
      </c>
      <c r="O52" s="16" t="str">
        <f aca="false">IF(Metrics!A37="","",Metrics!J37)</f>
        <v/>
      </c>
      <c r="P52" s="28" t="str">
        <f aca="false">IF(Metrics!A37="","",SUMPRODUCT(('Metric to Field'!$A$5:$A$64=Metrics!A37)*(IFERROR(INDEX(Fields!$I$5:$I$64,MATCH('Metric to Field'!$B$5:$B$64,Fields!$A$5:$A$64,0)),"")="Issue")))</f>
        <v/>
      </c>
      <c r="S52" s="16" t="str">
        <f aca="false">IF(Tables!A37="","",Tables!A37)</f>
        <v/>
      </c>
      <c r="T52" s="16" t="str">
        <f aca="false">IF(Tables!A37="","",Tables!B37)</f>
        <v/>
      </c>
      <c r="U52" s="16" t="str">
        <f aca="false">IF(Tables!A37="","",Tables!C37)</f>
        <v/>
      </c>
      <c r="V52" s="16" t="str">
        <f aca="false">IF(Tables!A37="","",Tables!I37)</f>
        <v/>
      </c>
      <c r="W52" s="16" t="str">
        <f aca="false">IF(Tables!A37="","",Tables!J37)</f>
        <v/>
      </c>
      <c r="X52" s="16" t="str">
        <f aca="false">IF(Tables!A37="","",Tables!K37)</f>
        <v/>
      </c>
      <c r="Y52" s="16" t="str">
        <f aca="false">IF(Tables!A37="","",Tables!L37)</f>
        <v/>
      </c>
    </row>
    <row r="53" customFormat="false" ht="15" hidden="false" customHeight="false" outlineLevel="0" collapsed="false">
      <c r="A53" s="16" t="str">
        <f aca="false">IF(Fields!A38="","",Fields!A38)</f>
        <v/>
      </c>
      <c r="B53" s="16" t="str">
        <f aca="false">IF(Fields!A38="","",Fields!B38)</f>
        <v/>
      </c>
      <c r="C53" s="16" t="str">
        <f aca="false">IF(Fields!A38="","",Fields!C38)</f>
        <v/>
      </c>
      <c r="D53" s="16" t="str">
        <f aca="false">IF(Fields!A38="","",Fields!F38)</f>
        <v/>
      </c>
      <c r="E53" s="16" t="str">
        <f aca="false">IF(Fields!A38="","",Fields!J38)</f>
        <v/>
      </c>
      <c r="F53" s="16" t="str">
        <f aca="false">IF(Fields!A38="","",Fields!K38)</f>
        <v/>
      </c>
      <c r="G53" s="16" t="str">
        <f aca="false">IF(Fields!A38="","",Fields!I38)</f>
        <v/>
      </c>
      <c r="H53" s="28" t="str">
        <f aca="false">IF(Fields!A38="","",Fields!M38)</f>
        <v/>
      </c>
      <c r="I53" s="28" t="str">
        <f aca="false">IF(Fields!A38="","",Fields!N38)</f>
        <v/>
      </c>
      <c r="K53" s="16" t="str">
        <f aca="false">IF(Metrics!A38="","",Metrics!A38)</f>
        <v/>
      </c>
      <c r="L53" s="16" t="str">
        <f aca="false">IF(Metrics!A38="","",Metrics!B38)</f>
        <v/>
      </c>
      <c r="M53" s="16" t="str">
        <f aca="false">IF(Metrics!A38="","",Metrics!G38)</f>
        <v/>
      </c>
      <c r="N53" s="16" t="str">
        <f aca="false">IF(Metrics!A38="","",Metrics!I38)</f>
        <v/>
      </c>
      <c r="O53" s="16" t="str">
        <f aca="false">IF(Metrics!A38="","",Metrics!J38)</f>
        <v/>
      </c>
      <c r="P53" s="28" t="str">
        <f aca="false">IF(Metrics!A38="","",SUMPRODUCT(('Metric to Field'!$A$5:$A$64=Metrics!A38)*(IFERROR(INDEX(Fields!$I$5:$I$64,MATCH('Metric to Field'!$B$5:$B$64,Fields!$A$5:$A$64,0)),"")="Issue")))</f>
        <v/>
      </c>
      <c r="S53" s="16" t="str">
        <f aca="false">IF(Tables!A38="","",Tables!A38)</f>
        <v/>
      </c>
      <c r="T53" s="16" t="str">
        <f aca="false">IF(Tables!A38="","",Tables!B38)</f>
        <v/>
      </c>
      <c r="U53" s="16" t="str">
        <f aca="false">IF(Tables!A38="","",Tables!C38)</f>
        <v/>
      </c>
      <c r="V53" s="16" t="str">
        <f aca="false">IF(Tables!A38="","",Tables!I38)</f>
        <v/>
      </c>
      <c r="W53" s="16" t="str">
        <f aca="false">IF(Tables!A38="","",Tables!J38)</f>
        <v/>
      </c>
      <c r="X53" s="16" t="str">
        <f aca="false">IF(Tables!A38="","",Tables!K38)</f>
        <v/>
      </c>
      <c r="Y53" s="16" t="str">
        <f aca="false">IF(Tables!A38="","",Tables!L38)</f>
        <v/>
      </c>
    </row>
    <row r="54" customFormat="false" ht="15" hidden="false" customHeight="false" outlineLevel="0" collapsed="false">
      <c r="A54" s="16" t="str">
        <f aca="false">IF(Fields!A39="","",Fields!A39)</f>
        <v/>
      </c>
      <c r="B54" s="16" t="str">
        <f aca="false">IF(Fields!A39="","",Fields!B39)</f>
        <v/>
      </c>
      <c r="C54" s="16" t="str">
        <f aca="false">IF(Fields!A39="","",Fields!C39)</f>
        <v/>
      </c>
      <c r="D54" s="16" t="str">
        <f aca="false">IF(Fields!A39="","",Fields!F39)</f>
        <v/>
      </c>
      <c r="E54" s="16" t="str">
        <f aca="false">IF(Fields!A39="","",Fields!J39)</f>
        <v/>
      </c>
      <c r="F54" s="16" t="str">
        <f aca="false">IF(Fields!A39="","",Fields!K39)</f>
        <v/>
      </c>
      <c r="G54" s="16" t="str">
        <f aca="false">IF(Fields!A39="","",Fields!I39)</f>
        <v/>
      </c>
      <c r="H54" s="28" t="str">
        <f aca="false">IF(Fields!A39="","",Fields!M39)</f>
        <v/>
      </c>
      <c r="I54" s="28" t="str">
        <f aca="false">IF(Fields!A39="","",Fields!N39)</f>
        <v/>
      </c>
      <c r="K54" s="16" t="str">
        <f aca="false">IF(Metrics!A39="","",Metrics!A39)</f>
        <v/>
      </c>
      <c r="L54" s="16" t="str">
        <f aca="false">IF(Metrics!A39="","",Metrics!B39)</f>
        <v/>
      </c>
      <c r="M54" s="16" t="str">
        <f aca="false">IF(Metrics!A39="","",Metrics!G39)</f>
        <v/>
      </c>
      <c r="N54" s="16" t="str">
        <f aca="false">IF(Metrics!A39="","",Metrics!I39)</f>
        <v/>
      </c>
      <c r="O54" s="16" t="str">
        <f aca="false">IF(Metrics!A39="","",Metrics!J39)</f>
        <v/>
      </c>
      <c r="P54" s="28" t="str">
        <f aca="false">IF(Metrics!A39="","",SUMPRODUCT(('Metric to Field'!$A$5:$A$64=Metrics!A39)*(IFERROR(INDEX(Fields!$I$5:$I$64,MATCH('Metric to Field'!$B$5:$B$64,Fields!$A$5:$A$64,0)),"")="Issue")))</f>
        <v/>
      </c>
      <c r="S54" s="16" t="str">
        <f aca="false">IF(Tables!A39="","",Tables!A39)</f>
        <v/>
      </c>
      <c r="T54" s="16" t="str">
        <f aca="false">IF(Tables!A39="","",Tables!B39)</f>
        <v/>
      </c>
      <c r="U54" s="16" t="str">
        <f aca="false">IF(Tables!A39="","",Tables!C39)</f>
        <v/>
      </c>
      <c r="V54" s="16" t="str">
        <f aca="false">IF(Tables!A39="","",Tables!I39)</f>
        <v/>
      </c>
      <c r="W54" s="16" t="str">
        <f aca="false">IF(Tables!A39="","",Tables!J39)</f>
        <v/>
      </c>
      <c r="X54" s="16" t="str">
        <f aca="false">IF(Tables!A39="","",Tables!K39)</f>
        <v/>
      </c>
      <c r="Y54" s="16" t="str">
        <f aca="false">IF(Tables!A39="","",Tables!L39)</f>
        <v/>
      </c>
    </row>
    <row r="55" customFormat="false" ht="15" hidden="false" customHeight="false" outlineLevel="0" collapsed="false">
      <c r="A55" s="16" t="str">
        <f aca="false">IF(Fields!A40="","",Fields!A40)</f>
        <v/>
      </c>
      <c r="B55" s="16" t="str">
        <f aca="false">IF(Fields!A40="","",Fields!B40)</f>
        <v/>
      </c>
      <c r="C55" s="16" t="str">
        <f aca="false">IF(Fields!A40="","",Fields!C40)</f>
        <v/>
      </c>
      <c r="D55" s="16" t="str">
        <f aca="false">IF(Fields!A40="","",Fields!F40)</f>
        <v/>
      </c>
      <c r="E55" s="16" t="str">
        <f aca="false">IF(Fields!A40="","",Fields!J40)</f>
        <v/>
      </c>
      <c r="F55" s="16" t="str">
        <f aca="false">IF(Fields!A40="","",Fields!K40)</f>
        <v/>
      </c>
      <c r="G55" s="16" t="str">
        <f aca="false">IF(Fields!A40="","",Fields!I40)</f>
        <v/>
      </c>
      <c r="H55" s="28" t="str">
        <f aca="false">IF(Fields!A40="","",Fields!M40)</f>
        <v/>
      </c>
      <c r="I55" s="28" t="str">
        <f aca="false">IF(Fields!A40="","",Fields!N40)</f>
        <v/>
      </c>
      <c r="K55" s="16" t="str">
        <f aca="false">IF(Metrics!A40="","",Metrics!A40)</f>
        <v/>
      </c>
      <c r="L55" s="16" t="str">
        <f aca="false">IF(Metrics!A40="","",Metrics!B40)</f>
        <v/>
      </c>
      <c r="M55" s="16" t="str">
        <f aca="false">IF(Metrics!A40="","",Metrics!G40)</f>
        <v/>
      </c>
      <c r="N55" s="16" t="str">
        <f aca="false">IF(Metrics!A40="","",Metrics!I40)</f>
        <v/>
      </c>
      <c r="O55" s="16" t="str">
        <f aca="false">IF(Metrics!A40="","",Metrics!J40)</f>
        <v/>
      </c>
      <c r="P55" s="28" t="str">
        <f aca="false">IF(Metrics!A40="","",SUMPRODUCT(('Metric to Field'!$A$5:$A$64=Metrics!A40)*(IFERROR(INDEX(Fields!$I$5:$I$64,MATCH('Metric to Field'!$B$5:$B$64,Fields!$A$5:$A$64,0)),"")="Issue")))</f>
        <v/>
      </c>
      <c r="S55" s="16" t="str">
        <f aca="false">IF(Tables!A40="","",Tables!A40)</f>
        <v/>
      </c>
      <c r="T55" s="16" t="str">
        <f aca="false">IF(Tables!A40="","",Tables!B40)</f>
        <v/>
      </c>
      <c r="U55" s="16" t="str">
        <f aca="false">IF(Tables!A40="","",Tables!C40)</f>
        <v/>
      </c>
      <c r="V55" s="16" t="str">
        <f aca="false">IF(Tables!A40="","",Tables!I40)</f>
        <v/>
      </c>
      <c r="W55" s="16" t="str">
        <f aca="false">IF(Tables!A40="","",Tables!J40)</f>
        <v/>
      </c>
      <c r="X55" s="16" t="str">
        <f aca="false">IF(Tables!A40="","",Tables!K40)</f>
        <v/>
      </c>
      <c r="Y55" s="16" t="str">
        <f aca="false">IF(Tables!A40="","",Tables!L40)</f>
        <v/>
      </c>
    </row>
    <row r="56" customFormat="false" ht="15" hidden="false" customHeight="false" outlineLevel="0" collapsed="false">
      <c r="A56" s="16" t="str">
        <f aca="false">IF(Fields!A41="","",Fields!A41)</f>
        <v/>
      </c>
      <c r="B56" s="16" t="str">
        <f aca="false">IF(Fields!A41="","",Fields!B41)</f>
        <v/>
      </c>
      <c r="C56" s="16" t="str">
        <f aca="false">IF(Fields!A41="","",Fields!C41)</f>
        <v/>
      </c>
      <c r="D56" s="16" t="str">
        <f aca="false">IF(Fields!A41="","",Fields!F41)</f>
        <v/>
      </c>
      <c r="E56" s="16" t="str">
        <f aca="false">IF(Fields!A41="","",Fields!J41)</f>
        <v/>
      </c>
      <c r="F56" s="16" t="str">
        <f aca="false">IF(Fields!A41="","",Fields!K41)</f>
        <v/>
      </c>
      <c r="G56" s="16" t="str">
        <f aca="false">IF(Fields!A41="","",Fields!I41)</f>
        <v/>
      </c>
      <c r="H56" s="28" t="str">
        <f aca="false">IF(Fields!A41="","",Fields!M41)</f>
        <v/>
      </c>
      <c r="I56" s="28" t="str">
        <f aca="false">IF(Fields!A41="","",Fields!N41)</f>
        <v/>
      </c>
      <c r="K56" s="16" t="str">
        <f aca="false">IF(Metrics!A41="","",Metrics!A41)</f>
        <v/>
      </c>
      <c r="L56" s="16" t="str">
        <f aca="false">IF(Metrics!A41="","",Metrics!B41)</f>
        <v/>
      </c>
      <c r="M56" s="16" t="str">
        <f aca="false">IF(Metrics!A41="","",Metrics!G41)</f>
        <v/>
      </c>
      <c r="N56" s="16" t="str">
        <f aca="false">IF(Metrics!A41="","",Metrics!I41)</f>
        <v/>
      </c>
      <c r="O56" s="16" t="str">
        <f aca="false">IF(Metrics!A41="","",Metrics!J41)</f>
        <v/>
      </c>
      <c r="P56" s="28" t="str">
        <f aca="false">IF(Metrics!A41="","",SUMPRODUCT(('Metric to Field'!$A$5:$A$64=Metrics!A41)*(IFERROR(INDEX(Fields!$I$5:$I$64,MATCH('Metric to Field'!$B$5:$B$64,Fields!$A$5:$A$64,0)),"")="Issue")))</f>
        <v/>
      </c>
      <c r="S56" s="16" t="str">
        <f aca="false">IF(Tables!A41="","",Tables!A41)</f>
        <v/>
      </c>
      <c r="T56" s="16" t="str">
        <f aca="false">IF(Tables!A41="","",Tables!B41)</f>
        <v/>
      </c>
      <c r="U56" s="16" t="str">
        <f aca="false">IF(Tables!A41="","",Tables!C41)</f>
        <v/>
      </c>
      <c r="V56" s="16" t="str">
        <f aca="false">IF(Tables!A41="","",Tables!I41)</f>
        <v/>
      </c>
      <c r="W56" s="16" t="str">
        <f aca="false">IF(Tables!A41="","",Tables!J41)</f>
        <v/>
      </c>
      <c r="X56" s="16" t="str">
        <f aca="false">IF(Tables!A41="","",Tables!K41)</f>
        <v/>
      </c>
      <c r="Y56" s="16" t="str">
        <f aca="false">IF(Tables!A41="","",Tables!L41)</f>
        <v/>
      </c>
    </row>
    <row r="57" customFormat="false" ht="15" hidden="false" customHeight="false" outlineLevel="0" collapsed="false">
      <c r="A57" s="16" t="str">
        <f aca="false">IF(Fields!A42="","",Fields!A42)</f>
        <v/>
      </c>
      <c r="B57" s="16" t="str">
        <f aca="false">IF(Fields!A42="","",Fields!B42)</f>
        <v/>
      </c>
      <c r="C57" s="16" t="str">
        <f aca="false">IF(Fields!A42="","",Fields!C42)</f>
        <v/>
      </c>
      <c r="D57" s="16" t="str">
        <f aca="false">IF(Fields!A42="","",Fields!F42)</f>
        <v/>
      </c>
      <c r="E57" s="16" t="str">
        <f aca="false">IF(Fields!A42="","",Fields!J42)</f>
        <v/>
      </c>
      <c r="F57" s="16" t="str">
        <f aca="false">IF(Fields!A42="","",Fields!K42)</f>
        <v/>
      </c>
      <c r="G57" s="16" t="str">
        <f aca="false">IF(Fields!A42="","",Fields!I42)</f>
        <v/>
      </c>
      <c r="H57" s="28" t="str">
        <f aca="false">IF(Fields!A42="","",Fields!M42)</f>
        <v/>
      </c>
      <c r="I57" s="28" t="str">
        <f aca="false">IF(Fields!A42="","",Fields!N42)</f>
        <v/>
      </c>
      <c r="K57" s="16" t="str">
        <f aca="false">IF(Metrics!A42="","",Metrics!A42)</f>
        <v/>
      </c>
      <c r="L57" s="16" t="str">
        <f aca="false">IF(Metrics!A42="","",Metrics!B42)</f>
        <v/>
      </c>
      <c r="M57" s="16" t="str">
        <f aca="false">IF(Metrics!A42="","",Metrics!G42)</f>
        <v/>
      </c>
      <c r="N57" s="16" t="str">
        <f aca="false">IF(Metrics!A42="","",Metrics!I42)</f>
        <v/>
      </c>
      <c r="O57" s="16" t="str">
        <f aca="false">IF(Metrics!A42="","",Metrics!J42)</f>
        <v/>
      </c>
      <c r="P57" s="28" t="str">
        <f aca="false">IF(Metrics!A42="","",SUMPRODUCT(('Metric to Field'!$A$5:$A$64=Metrics!A42)*(IFERROR(INDEX(Fields!$I$5:$I$64,MATCH('Metric to Field'!$B$5:$B$64,Fields!$A$5:$A$64,0)),"")="Issue")))</f>
        <v/>
      </c>
      <c r="S57" s="16" t="str">
        <f aca="false">IF(Tables!A42="","",Tables!A42)</f>
        <v/>
      </c>
      <c r="T57" s="16" t="str">
        <f aca="false">IF(Tables!A42="","",Tables!B42)</f>
        <v/>
      </c>
      <c r="U57" s="16" t="str">
        <f aca="false">IF(Tables!A42="","",Tables!C42)</f>
        <v/>
      </c>
      <c r="V57" s="16" t="str">
        <f aca="false">IF(Tables!A42="","",Tables!I42)</f>
        <v/>
      </c>
      <c r="W57" s="16" t="str">
        <f aca="false">IF(Tables!A42="","",Tables!J42)</f>
        <v/>
      </c>
      <c r="X57" s="16" t="str">
        <f aca="false">IF(Tables!A42="","",Tables!K42)</f>
        <v/>
      </c>
      <c r="Y57" s="16" t="str">
        <f aca="false">IF(Tables!A42="","",Tables!L42)</f>
        <v/>
      </c>
    </row>
    <row r="58" customFormat="false" ht="15" hidden="false" customHeight="false" outlineLevel="0" collapsed="false">
      <c r="A58" s="16" t="str">
        <f aca="false">IF(Fields!A43="","",Fields!A43)</f>
        <v/>
      </c>
      <c r="B58" s="16" t="str">
        <f aca="false">IF(Fields!A43="","",Fields!B43)</f>
        <v/>
      </c>
      <c r="C58" s="16" t="str">
        <f aca="false">IF(Fields!A43="","",Fields!C43)</f>
        <v/>
      </c>
      <c r="D58" s="16" t="str">
        <f aca="false">IF(Fields!A43="","",Fields!F43)</f>
        <v/>
      </c>
      <c r="E58" s="16" t="str">
        <f aca="false">IF(Fields!A43="","",Fields!J43)</f>
        <v/>
      </c>
      <c r="F58" s="16" t="str">
        <f aca="false">IF(Fields!A43="","",Fields!K43)</f>
        <v/>
      </c>
      <c r="G58" s="16" t="str">
        <f aca="false">IF(Fields!A43="","",Fields!I43)</f>
        <v/>
      </c>
      <c r="H58" s="28" t="str">
        <f aca="false">IF(Fields!A43="","",Fields!M43)</f>
        <v/>
      </c>
      <c r="I58" s="28" t="str">
        <f aca="false">IF(Fields!A43="","",Fields!N43)</f>
        <v/>
      </c>
      <c r="K58" s="16" t="str">
        <f aca="false">IF(Metrics!A43="","",Metrics!A43)</f>
        <v/>
      </c>
      <c r="L58" s="16" t="str">
        <f aca="false">IF(Metrics!A43="","",Metrics!B43)</f>
        <v/>
      </c>
      <c r="M58" s="16" t="str">
        <f aca="false">IF(Metrics!A43="","",Metrics!G43)</f>
        <v/>
      </c>
      <c r="N58" s="16" t="str">
        <f aca="false">IF(Metrics!A43="","",Metrics!I43)</f>
        <v/>
      </c>
      <c r="O58" s="16" t="str">
        <f aca="false">IF(Metrics!A43="","",Metrics!J43)</f>
        <v/>
      </c>
      <c r="P58" s="28" t="str">
        <f aca="false">IF(Metrics!A43="","",SUMPRODUCT(('Metric to Field'!$A$5:$A$64=Metrics!A43)*(IFERROR(INDEX(Fields!$I$5:$I$64,MATCH('Metric to Field'!$B$5:$B$64,Fields!$A$5:$A$64,0)),"")="Issue")))</f>
        <v/>
      </c>
      <c r="S58" s="16" t="str">
        <f aca="false">IF(Tables!A43="","",Tables!A43)</f>
        <v/>
      </c>
      <c r="T58" s="16" t="str">
        <f aca="false">IF(Tables!A43="","",Tables!B43)</f>
        <v/>
      </c>
      <c r="U58" s="16" t="str">
        <f aca="false">IF(Tables!A43="","",Tables!C43)</f>
        <v/>
      </c>
      <c r="V58" s="16" t="str">
        <f aca="false">IF(Tables!A43="","",Tables!I43)</f>
        <v/>
      </c>
      <c r="W58" s="16" t="str">
        <f aca="false">IF(Tables!A43="","",Tables!J43)</f>
        <v/>
      </c>
      <c r="X58" s="16" t="str">
        <f aca="false">IF(Tables!A43="","",Tables!K43)</f>
        <v/>
      </c>
      <c r="Y58" s="16" t="str">
        <f aca="false">IF(Tables!A43="","",Tables!L43)</f>
        <v/>
      </c>
    </row>
    <row r="59" customFormat="false" ht="15" hidden="false" customHeight="false" outlineLevel="0" collapsed="false">
      <c r="A59" s="16" t="str">
        <f aca="false">IF(Fields!A44="","",Fields!A44)</f>
        <v/>
      </c>
      <c r="B59" s="16" t="str">
        <f aca="false">IF(Fields!A44="","",Fields!B44)</f>
        <v/>
      </c>
      <c r="C59" s="16" t="str">
        <f aca="false">IF(Fields!A44="","",Fields!C44)</f>
        <v/>
      </c>
      <c r="D59" s="16" t="str">
        <f aca="false">IF(Fields!A44="","",Fields!F44)</f>
        <v/>
      </c>
      <c r="E59" s="16" t="str">
        <f aca="false">IF(Fields!A44="","",Fields!J44)</f>
        <v/>
      </c>
      <c r="F59" s="16" t="str">
        <f aca="false">IF(Fields!A44="","",Fields!K44)</f>
        <v/>
      </c>
      <c r="G59" s="16" t="str">
        <f aca="false">IF(Fields!A44="","",Fields!I44)</f>
        <v/>
      </c>
      <c r="H59" s="28" t="str">
        <f aca="false">IF(Fields!A44="","",Fields!M44)</f>
        <v/>
      </c>
      <c r="I59" s="28" t="str">
        <f aca="false">IF(Fields!A44="","",Fields!N44)</f>
        <v/>
      </c>
      <c r="K59" s="16" t="str">
        <f aca="false">IF(Metrics!A44="","",Metrics!A44)</f>
        <v/>
      </c>
      <c r="L59" s="16" t="str">
        <f aca="false">IF(Metrics!A44="","",Metrics!B44)</f>
        <v/>
      </c>
      <c r="M59" s="16" t="str">
        <f aca="false">IF(Metrics!A44="","",Metrics!G44)</f>
        <v/>
      </c>
      <c r="N59" s="16" t="str">
        <f aca="false">IF(Metrics!A44="","",Metrics!I44)</f>
        <v/>
      </c>
      <c r="O59" s="16" t="str">
        <f aca="false">IF(Metrics!A44="","",Metrics!J44)</f>
        <v/>
      </c>
      <c r="P59" s="28" t="str">
        <f aca="false">IF(Metrics!A44="","",SUMPRODUCT(('Metric to Field'!$A$5:$A$64=Metrics!A44)*(IFERROR(INDEX(Fields!$I$5:$I$64,MATCH('Metric to Field'!$B$5:$B$64,Fields!$A$5:$A$64,0)),"")="Issue")))</f>
        <v/>
      </c>
      <c r="S59" s="16" t="str">
        <f aca="false">IF(Tables!A44="","",Tables!A44)</f>
        <v/>
      </c>
      <c r="T59" s="16" t="str">
        <f aca="false">IF(Tables!A44="","",Tables!B44)</f>
        <v/>
      </c>
      <c r="U59" s="16" t="str">
        <f aca="false">IF(Tables!A44="","",Tables!C44)</f>
        <v/>
      </c>
      <c r="V59" s="16" t="str">
        <f aca="false">IF(Tables!A44="","",Tables!I44)</f>
        <v/>
      </c>
      <c r="W59" s="16" t="str">
        <f aca="false">IF(Tables!A44="","",Tables!J44)</f>
        <v/>
      </c>
      <c r="X59" s="16" t="str">
        <f aca="false">IF(Tables!A44="","",Tables!K44)</f>
        <v/>
      </c>
      <c r="Y59" s="16" t="str">
        <f aca="false">IF(Tables!A44="","",Tables!L44)</f>
        <v/>
      </c>
    </row>
    <row r="60" customFormat="false" ht="15" hidden="false" customHeight="false" outlineLevel="0" collapsed="false">
      <c r="A60" s="16" t="str">
        <f aca="false">IF(Fields!A45="","",Fields!A45)</f>
        <v/>
      </c>
      <c r="B60" s="16" t="str">
        <f aca="false">IF(Fields!A45="","",Fields!B45)</f>
        <v/>
      </c>
      <c r="C60" s="16" t="str">
        <f aca="false">IF(Fields!A45="","",Fields!C45)</f>
        <v/>
      </c>
      <c r="D60" s="16" t="str">
        <f aca="false">IF(Fields!A45="","",Fields!F45)</f>
        <v/>
      </c>
      <c r="E60" s="16" t="str">
        <f aca="false">IF(Fields!A45="","",Fields!J45)</f>
        <v/>
      </c>
      <c r="F60" s="16" t="str">
        <f aca="false">IF(Fields!A45="","",Fields!K45)</f>
        <v/>
      </c>
      <c r="G60" s="16" t="str">
        <f aca="false">IF(Fields!A45="","",Fields!I45)</f>
        <v/>
      </c>
      <c r="H60" s="28" t="str">
        <f aca="false">IF(Fields!A45="","",Fields!M45)</f>
        <v/>
      </c>
      <c r="I60" s="28" t="str">
        <f aca="false">IF(Fields!A45="","",Fields!N45)</f>
        <v/>
      </c>
      <c r="K60" s="16" t="str">
        <f aca="false">IF(Metrics!A45="","",Metrics!A45)</f>
        <v/>
      </c>
      <c r="L60" s="16" t="str">
        <f aca="false">IF(Metrics!A45="","",Metrics!B45)</f>
        <v/>
      </c>
      <c r="M60" s="16" t="str">
        <f aca="false">IF(Metrics!A45="","",Metrics!G45)</f>
        <v/>
      </c>
      <c r="N60" s="16" t="str">
        <f aca="false">IF(Metrics!A45="","",Metrics!I45)</f>
        <v/>
      </c>
      <c r="O60" s="16" t="str">
        <f aca="false">IF(Metrics!A45="","",Metrics!J45)</f>
        <v/>
      </c>
      <c r="P60" s="28" t="str">
        <f aca="false">IF(Metrics!A45="","",SUMPRODUCT(('Metric to Field'!$A$5:$A$64=Metrics!A45)*(IFERROR(INDEX(Fields!$I$5:$I$64,MATCH('Metric to Field'!$B$5:$B$64,Fields!$A$5:$A$64,0)),"")="Issue")))</f>
        <v/>
      </c>
      <c r="S60" s="16" t="str">
        <f aca="false">IF(Tables!A45="","",Tables!A45)</f>
        <v/>
      </c>
      <c r="T60" s="16" t="str">
        <f aca="false">IF(Tables!A45="","",Tables!B45)</f>
        <v/>
      </c>
      <c r="U60" s="16" t="str">
        <f aca="false">IF(Tables!A45="","",Tables!C45)</f>
        <v/>
      </c>
      <c r="V60" s="16" t="str">
        <f aca="false">IF(Tables!A45="","",Tables!I45)</f>
        <v/>
      </c>
      <c r="W60" s="16" t="str">
        <f aca="false">IF(Tables!A45="","",Tables!J45)</f>
        <v/>
      </c>
      <c r="X60" s="16" t="str">
        <f aca="false">IF(Tables!A45="","",Tables!K45)</f>
        <v/>
      </c>
      <c r="Y60" s="16" t="str">
        <f aca="false">IF(Tables!A45="","",Tables!L45)</f>
        <v/>
      </c>
    </row>
    <row r="61" customFormat="false" ht="15" hidden="false" customHeight="false" outlineLevel="0" collapsed="false">
      <c r="A61" s="16" t="str">
        <f aca="false">IF(Fields!A46="","",Fields!A46)</f>
        <v/>
      </c>
      <c r="B61" s="16" t="str">
        <f aca="false">IF(Fields!A46="","",Fields!B46)</f>
        <v/>
      </c>
      <c r="C61" s="16" t="str">
        <f aca="false">IF(Fields!A46="","",Fields!C46)</f>
        <v/>
      </c>
      <c r="D61" s="16" t="str">
        <f aca="false">IF(Fields!A46="","",Fields!F46)</f>
        <v/>
      </c>
      <c r="E61" s="16" t="str">
        <f aca="false">IF(Fields!A46="","",Fields!J46)</f>
        <v/>
      </c>
      <c r="F61" s="16" t="str">
        <f aca="false">IF(Fields!A46="","",Fields!K46)</f>
        <v/>
      </c>
      <c r="G61" s="16" t="str">
        <f aca="false">IF(Fields!A46="","",Fields!I46)</f>
        <v/>
      </c>
      <c r="H61" s="28" t="str">
        <f aca="false">IF(Fields!A46="","",Fields!M46)</f>
        <v/>
      </c>
      <c r="I61" s="28" t="str">
        <f aca="false">IF(Fields!A46="","",Fields!N46)</f>
        <v/>
      </c>
      <c r="K61" s="16" t="str">
        <f aca="false">IF(Metrics!A46="","",Metrics!A46)</f>
        <v/>
      </c>
      <c r="L61" s="16" t="str">
        <f aca="false">IF(Metrics!A46="","",Metrics!B46)</f>
        <v/>
      </c>
      <c r="M61" s="16" t="str">
        <f aca="false">IF(Metrics!A46="","",Metrics!G46)</f>
        <v/>
      </c>
      <c r="N61" s="16" t="str">
        <f aca="false">IF(Metrics!A46="","",Metrics!I46)</f>
        <v/>
      </c>
      <c r="O61" s="16" t="str">
        <f aca="false">IF(Metrics!A46="","",Metrics!J46)</f>
        <v/>
      </c>
      <c r="P61" s="28" t="str">
        <f aca="false">IF(Metrics!A46="","",SUMPRODUCT(('Metric to Field'!$A$5:$A$64=Metrics!A46)*(IFERROR(INDEX(Fields!$I$5:$I$64,MATCH('Metric to Field'!$B$5:$B$64,Fields!$A$5:$A$64,0)),"")="Issue")))</f>
        <v/>
      </c>
      <c r="S61" s="16" t="str">
        <f aca="false">IF(Tables!A46="","",Tables!A46)</f>
        <v/>
      </c>
      <c r="T61" s="16" t="str">
        <f aca="false">IF(Tables!A46="","",Tables!B46)</f>
        <v/>
      </c>
      <c r="U61" s="16" t="str">
        <f aca="false">IF(Tables!A46="","",Tables!C46)</f>
        <v/>
      </c>
      <c r="V61" s="16" t="str">
        <f aca="false">IF(Tables!A46="","",Tables!I46)</f>
        <v/>
      </c>
      <c r="W61" s="16" t="str">
        <f aca="false">IF(Tables!A46="","",Tables!J46)</f>
        <v/>
      </c>
      <c r="X61" s="16" t="str">
        <f aca="false">IF(Tables!A46="","",Tables!K46)</f>
        <v/>
      </c>
      <c r="Y61" s="16" t="str">
        <f aca="false">IF(Tables!A46="","",Tables!L46)</f>
        <v/>
      </c>
    </row>
    <row r="62" customFormat="false" ht="15" hidden="false" customHeight="false" outlineLevel="0" collapsed="false">
      <c r="A62" s="16" t="str">
        <f aca="false">IF(Fields!A47="","",Fields!A47)</f>
        <v/>
      </c>
      <c r="B62" s="16" t="str">
        <f aca="false">IF(Fields!A47="","",Fields!B47)</f>
        <v/>
      </c>
      <c r="C62" s="16" t="str">
        <f aca="false">IF(Fields!A47="","",Fields!C47)</f>
        <v/>
      </c>
      <c r="D62" s="16" t="str">
        <f aca="false">IF(Fields!A47="","",Fields!F47)</f>
        <v/>
      </c>
      <c r="E62" s="16" t="str">
        <f aca="false">IF(Fields!A47="","",Fields!J47)</f>
        <v/>
      </c>
      <c r="F62" s="16" t="str">
        <f aca="false">IF(Fields!A47="","",Fields!K47)</f>
        <v/>
      </c>
      <c r="G62" s="16" t="str">
        <f aca="false">IF(Fields!A47="","",Fields!I47)</f>
        <v/>
      </c>
      <c r="H62" s="28" t="str">
        <f aca="false">IF(Fields!A47="","",Fields!M47)</f>
        <v/>
      </c>
      <c r="I62" s="28" t="str">
        <f aca="false">IF(Fields!A47="","",Fields!N47)</f>
        <v/>
      </c>
      <c r="K62" s="16" t="str">
        <f aca="false">IF(Metrics!A47="","",Metrics!A47)</f>
        <v/>
      </c>
      <c r="L62" s="16" t="str">
        <f aca="false">IF(Metrics!A47="","",Metrics!B47)</f>
        <v/>
      </c>
      <c r="M62" s="16" t="str">
        <f aca="false">IF(Metrics!A47="","",Metrics!G47)</f>
        <v/>
      </c>
      <c r="N62" s="16" t="str">
        <f aca="false">IF(Metrics!A47="","",Metrics!I47)</f>
        <v/>
      </c>
      <c r="O62" s="16" t="str">
        <f aca="false">IF(Metrics!A47="","",Metrics!J47)</f>
        <v/>
      </c>
      <c r="P62" s="28" t="str">
        <f aca="false">IF(Metrics!A47="","",SUMPRODUCT(('Metric to Field'!$A$5:$A$64=Metrics!A47)*(IFERROR(INDEX(Fields!$I$5:$I$64,MATCH('Metric to Field'!$B$5:$B$64,Fields!$A$5:$A$64,0)),"")="Issue")))</f>
        <v/>
      </c>
      <c r="S62" s="16" t="str">
        <f aca="false">IF(Tables!A47="","",Tables!A47)</f>
        <v/>
      </c>
      <c r="T62" s="16" t="str">
        <f aca="false">IF(Tables!A47="","",Tables!B47)</f>
        <v/>
      </c>
      <c r="U62" s="16" t="str">
        <f aca="false">IF(Tables!A47="","",Tables!C47)</f>
        <v/>
      </c>
      <c r="V62" s="16" t="str">
        <f aca="false">IF(Tables!A47="","",Tables!I47)</f>
        <v/>
      </c>
      <c r="W62" s="16" t="str">
        <f aca="false">IF(Tables!A47="","",Tables!J47)</f>
        <v/>
      </c>
      <c r="X62" s="16" t="str">
        <f aca="false">IF(Tables!A47="","",Tables!K47)</f>
        <v/>
      </c>
      <c r="Y62" s="16" t="str">
        <f aca="false">IF(Tables!A47="","",Tables!L47)</f>
        <v/>
      </c>
    </row>
    <row r="63" customFormat="false" ht="15" hidden="false" customHeight="false" outlineLevel="0" collapsed="false">
      <c r="A63" s="16" t="str">
        <f aca="false">IF(Fields!A48="","",Fields!A48)</f>
        <v/>
      </c>
      <c r="B63" s="16" t="str">
        <f aca="false">IF(Fields!A48="","",Fields!B48)</f>
        <v/>
      </c>
      <c r="C63" s="16" t="str">
        <f aca="false">IF(Fields!A48="","",Fields!C48)</f>
        <v/>
      </c>
      <c r="D63" s="16" t="str">
        <f aca="false">IF(Fields!A48="","",Fields!F48)</f>
        <v/>
      </c>
      <c r="E63" s="16" t="str">
        <f aca="false">IF(Fields!A48="","",Fields!J48)</f>
        <v/>
      </c>
      <c r="F63" s="16" t="str">
        <f aca="false">IF(Fields!A48="","",Fields!K48)</f>
        <v/>
      </c>
      <c r="G63" s="16" t="str">
        <f aca="false">IF(Fields!A48="","",Fields!I48)</f>
        <v/>
      </c>
      <c r="H63" s="28" t="str">
        <f aca="false">IF(Fields!A48="","",Fields!M48)</f>
        <v/>
      </c>
      <c r="I63" s="28" t="str">
        <f aca="false">IF(Fields!A48="","",Fields!N48)</f>
        <v/>
      </c>
      <c r="K63" s="16" t="str">
        <f aca="false">IF(Metrics!A48="","",Metrics!A48)</f>
        <v/>
      </c>
      <c r="L63" s="16" t="str">
        <f aca="false">IF(Metrics!A48="","",Metrics!B48)</f>
        <v/>
      </c>
      <c r="M63" s="16" t="str">
        <f aca="false">IF(Metrics!A48="","",Metrics!G48)</f>
        <v/>
      </c>
      <c r="N63" s="16" t="str">
        <f aca="false">IF(Metrics!A48="","",Metrics!I48)</f>
        <v/>
      </c>
      <c r="O63" s="16" t="str">
        <f aca="false">IF(Metrics!A48="","",Metrics!J48)</f>
        <v/>
      </c>
      <c r="P63" s="28" t="str">
        <f aca="false">IF(Metrics!A48="","",SUMPRODUCT(('Metric to Field'!$A$5:$A$64=Metrics!A48)*(IFERROR(INDEX(Fields!$I$5:$I$64,MATCH('Metric to Field'!$B$5:$B$64,Fields!$A$5:$A$64,0)),"")="Issue")))</f>
        <v/>
      </c>
      <c r="S63" s="16" t="str">
        <f aca="false">IF(Tables!A48="","",Tables!A48)</f>
        <v/>
      </c>
      <c r="T63" s="16" t="str">
        <f aca="false">IF(Tables!A48="","",Tables!B48)</f>
        <v/>
      </c>
      <c r="U63" s="16" t="str">
        <f aca="false">IF(Tables!A48="","",Tables!C48)</f>
        <v/>
      </c>
      <c r="V63" s="16" t="str">
        <f aca="false">IF(Tables!A48="","",Tables!I48)</f>
        <v/>
      </c>
      <c r="W63" s="16" t="str">
        <f aca="false">IF(Tables!A48="","",Tables!J48)</f>
        <v/>
      </c>
      <c r="X63" s="16" t="str">
        <f aca="false">IF(Tables!A48="","",Tables!K48)</f>
        <v/>
      </c>
      <c r="Y63" s="16" t="str">
        <f aca="false">IF(Tables!A48="","",Tables!L48)</f>
        <v/>
      </c>
    </row>
    <row r="64" customFormat="false" ht="15" hidden="false" customHeight="false" outlineLevel="0" collapsed="false">
      <c r="A64" s="16" t="str">
        <f aca="false">IF(Fields!A49="","",Fields!A49)</f>
        <v/>
      </c>
      <c r="B64" s="16" t="str">
        <f aca="false">IF(Fields!A49="","",Fields!B49)</f>
        <v/>
      </c>
      <c r="C64" s="16" t="str">
        <f aca="false">IF(Fields!A49="","",Fields!C49)</f>
        <v/>
      </c>
      <c r="D64" s="16" t="str">
        <f aca="false">IF(Fields!A49="","",Fields!F49)</f>
        <v/>
      </c>
      <c r="E64" s="16" t="str">
        <f aca="false">IF(Fields!A49="","",Fields!J49)</f>
        <v/>
      </c>
      <c r="F64" s="16" t="str">
        <f aca="false">IF(Fields!A49="","",Fields!K49)</f>
        <v/>
      </c>
      <c r="G64" s="16" t="str">
        <f aca="false">IF(Fields!A49="","",Fields!I49)</f>
        <v/>
      </c>
      <c r="H64" s="28" t="str">
        <f aca="false">IF(Fields!A49="","",Fields!M49)</f>
        <v/>
      </c>
      <c r="I64" s="28" t="str">
        <f aca="false">IF(Fields!A49="","",Fields!N49)</f>
        <v/>
      </c>
      <c r="K64" s="16" t="str">
        <f aca="false">IF(Metrics!A49="","",Metrics!A49)</f>
        <v/>
      </c>
      <c r="L64" s="16" t="str">
        <f aca="false">IF(Metrics!A49="","",Metrics!B49)</f>
        <v/>
      </c>
      <c r="M64" s="16" t="str">
        <f aca="false">IF(Metrics!A49="","",Metrics!G49)</f>
        <v/>
      </c>
      <c r="N64" s="16" t="str">
        <f aca="false">IF(Metrics!A49="","",Metrics!I49)</f>
        <v/>
      </c>
      <c r="O64" s="16" t="str">
        <f aca="false">IF(Metrics!A49="","",Metrics!J49)</f>
        <v/>
      </c>
      <c r="P64" s="28" t="str">
        <f aca="false">IF(Metrics!A49="","",SUMPRODUCT(('Metric to Field'!$A$5:$A$64=Metrics!A49)*(IFERROR(INDEX(Fields!$I$5:$I$64,MATCH('Metric to Field'!$B$5:$B$64,Fields!$A$5:$A$64,0)),"")="Issue")))</f>
        <v/>
      </c>
      <c r="S64" s="16" t="str">
        <f aca="false">IF(Tables!A49="","",Tables!A49)</f>
        <v/>
      </c>
      <c r="T64" s="16" t="str">
        <f aca="false">IF(Tables!A49="","",Tables!B49)</f>
        <v/>
      </c>
      <c r="U64" s="16" t="str">
        <f aca="false">IF(Tables!A49="","",Tables!C49)</f>
        <v/>
      </c>
      <c r="V64" s="16" t="str">
        <f aca="false">IF(Tables!A49="","",Tables!I49)</f>
        <v/>
      </c>
      <c r="W64" s="16" t="str">
        <f aca="false">IF(Tables!A49="","",Tables!J49)</f>
        <v/>
      </c>
      <c r="X64" s="16" t="str">
        <f aca="false">IF(Tables!A49="","",Tables!K49)</f>
        <v/>
      </c>
      <c r="Y64" s="16" t="str">
        <f aca="false">IF(Tables!A49="","",Tables!L49)</f>
        <v/>
      </c>
    </row>
    <row r="65" customFormat="false" ht="15" hidden="false" customHeight="false" outlineLevel="0" collapsed="false">
      <c r="A65" s="16" t="str">
        <f aca="false">IF(Fields!A50="","",Fields!A50)</f>
        <v/>
      </c>
      <c r="B65" s="16" t="str">
        <f aca="false">IF(Fields!A50="","",Fields!B50)</f>
        <v/>
      </c>
      <c r="C65" s="16" t="str">
        <f aca="false">IF(Fields!A50="","",Fields!C50)</f>
        <v/>
      </c>
      <c r="D65" s="16" t="str">
        <f aca="false">IF(Fields!A50="","",Fields!F50)</f>
        <v/>
      </c>
      <c r="E65" s="16" t="str">
        <f aca="false">IF(Fields!A50="","",Fields!J50)</f>
        <v/>
      </c>
      <c r="F65" s="16" t="str">
        <f aca="false">IF(Fields!A50="","",Fields!K50)</f>
        <v/>
      </c>
      <c r="G65" s="16" t="str">
        <f aca="false">IF(Fields!A50="","",Fields!I50)</f>
        <v/>
      </c>
      <c r="H65" s="28" t="str">
        <f aca="false">IF(Fields!A50="","",Fields!M50)</f>
        <v/>
      </c>
      <c r="I65" s="28" t="str">
        <f aca="false">IF(Fields!A50="","",Fields!N50)</f>
        <v/>
      </c>
      <c r="K65" s="16" t="str">
        <f aca="false">IF(Metrics!A50="","",Metrics!A50)</f>
        <v/>
      </c>
      <c r="L65" s="16" t="str">
        <f aca="false">IF(Metrics!A50="","",Metrics!B50)</f>
        <v/>
      </c>
      <c r="M65" s="16" t="str">
        <f aca="false">IF(Metrics!A50="","",Metrics!G50)</f>
        <v/>
      </c>
      <c r="N65" s="16" t="str">
        <f aca="false">IF(Metrics!A50="","",Metrics!I50)</f>
        <v/>
      </c>
      <c r="O65" s="16" t="str">
        <f aca="false">IF(Metrics!A50="","",Metrics!J50)</f>
        <v/>
      </c>
      <c r="P65" s="28" t="str">
        <f aca="false">IF(Metrics!A50="","",SUMPRODUCT(('Metric to Field'!$A$5:$A$64=Metrics!A50)*(IFERROR(INDEX(Fields!$I$5:$I$64,MATCH('Metric to Field'!$B$5:$B$64,Fields!$A$5:$A$64,0)),"")="Issue")))</f>
        <v/>
      </c>
      <c r="S65" s="16" t="str">
        <f aca="false">IF(Tables!A50="","",Tables!A50)</f>
        <v/>
      </c>
      <c r="T65" s="16" t="str">
        <f aca="false">IF(Tables!A50="","",Tables!B50)</f>
        <v/>
      </c>
      <c r="U65" s="16" t="str">
        <f aca="false">IF(Tables!A50="","",Tables!C50)</f>
        <v/>
      </c>
      <c r="V65" s="16" t="str">
        <f aca="false">IF(Tables!A50="","",Tables!I50)</f>
        <v/>
      </c>
      <c r="W65" s="16" t="str">
        <f aca="false">IF(Tables!A50="","",Tables!J50)</f>
        <v/>
      </c>
      <c r="X65" s="16" t="str">
        <f aca="false">IF(Tables!A50="","",Tables!K50)</f>
        <v/>
      </c>
      <c r="Y65" s="16" t="str">
        <f aca="false">IF(Tables!A50="","",Tables!L50)</f>
        <v/>
      </c>
    </row>
    <row r="66" customFormat="false" ht="15" hidden="false" customHeight="false" outlineLevel="0" collapsed="false">
      <c r="A66" s="16" t="str">
        <f aca="false">IF(Fields!A51="","",Fields!A51)</f>
        <v/>
      </c>
      <c r="B66" s="16" t="str">
        <f aca="false">IF(Fields!A51="","",Fields!B51)</f>
        <v/>
      </c>
      <c r="C66" s="16" t="str">
        <f aca="false">IF(Fields!A51="","",Fields!C51)</f>
        <v/>
      </c>
      <c r="D66" s="16" t="str">
        <f aca="false">IF(Fields!A51="","",Fields!F51)</f>
        <v/>
      </c>
      <c r="E66" s="16" t="str">
        <f aca="false">IF(Fields!A51="","",Fields!J51)</f>
        <v/>
      </c>
      <c r="F66" s="16" t="str">
        <f aca="false">IF(Fields!A51="","",Fields!K51)</f>
        <v/>
      </c>
      <c r="G66" s="16" t="str">
        <f aca="false">IF(Fields!A51="","",Fields!I51)</f>
        <v/>
      </c>
      <c r="H66" s="28" t="str">
        <f aca="false">IF(Fields!A51="","",Fields!M51)</f>
        <v/>
      </c>
      <c r="I66" s="28" t="str">
        <f aca="false">IF(Fields!A51="","",Fields!N51)</f>
        <v/>
      </c>
      <c r="K66" s="16" t="str">
        <f aca="false">IF(Metrics!A51="","",Metrics!A51)</f>
        <v/>
      </c>
      <c r="L66" s="16" t="str">
        <f aca="false">IF(Metrics!A51="","",Metrics!B51)</f>
        <v/>
      </c>
      <c r="M66" s="16" t="str">
        <f aca="false">IF(Metrics!A51="","",Metrics!G51)</f>
        <v/>
      </c>
      <c r="N66" s="16" t="str">
        <f aca="false">IF(Metrics!A51="","",Metrics!I51)</f>
        <v/>
      </c>
      <c r="O66" s="16" t="str">
        <f aca="false">IF(Metrics!A51="","",Metrics!J51)</f>
        <v/>
      </c>
      <c r="P66" s="28" t="str">
        <f aca="false">IF(Metrics!A51="","",SUMPRODUCT(('Metric to Field'!$A$5:$A$64=Metrics!A51)*(IFERROR(INDEX(Fields!$I$5:$I$64,MATCH('Metric to Field'!$B$5:$B$64,Fields!$A$5:$A$64,0)),"")="Issue")))</f>
        <v/>
      </c>
      <c r="S66" s="16" t="str">
        <f aca="false">IF(Tables!A51="","",Tables!A51)</f>
        <v/>
      </c>
      <c r="T66" s="16" t="str">
        <f aca="false">IF(Tables!A51="","",Tables!B51)</f>
        <v/>
      </c>
      <c r="U66" s="16" t="str">
        <f aca="false">IF(Tables!A51="","",Tables!C51)</f>
        <v/>
      </c>
      <c r="V66" s="16" t="str">
        <f aca="false">IF(Tables!A51="","",Tables!I51)</f>
        <v/>
      </c>
      <c r="W66" s="16" t="str">
        <f aca="false">IF(Tables!A51="","",Tables!J51)</f>
        <v/>
      </c>
      <c r="X66" s="16" t="str">
        <f aca="false">IF(Tables!A51="","",Tables!K51)</f>
        <v/>
      </c>
      <c r="Y66" s="16" t="str">
        <f aca="false">IF(Tables!A51="","",Tables!L51)</f>
        <v/>
      </c>
    </row>
    <row r="67" customFormat="false" ht="15" hidden="false" customHeight="false" outlineLevel="0" collapsed="false">
      <c r="A67" s="16" t="str">
        <f aca="false">IF(Fields!A52="","",Fields!A52)</f>
        <v/>
      </c>
      <c r="B67" s="16" t="str">
        <f aca="false">IF(Fields!A52="","",Fields!B52)</f>
        <v/>
      </c>
      <c r="C67" s="16" t="str">
        <f aca="false">IF(Fields!A52="","",Fields!C52)</f>
        <v/>
      </c>
      <c r="D67" s="16" t="str">
        <f aca="false">IF(Fields!A52="","",Fields!F52)</f>
        <v/>
      </c>
      <c r="E67" s="16" t="str">
        <f aca="false">IF(Fields!A52="","",Fields!J52)</f>
        <v/>
      </c>
      <c r="F67" s="16" t="str">
        <f aca="false">IF(Fields!A52="","",Fields!K52)</f>
        <v/>
      </c>
      <c r="G67" s="16" t="str">
        <f aca="false">IF(Fields!A52="","",Fields!I52)</f>
        <v/>
      </c>
      <c r="H67" s="28" t="str">
        <f aca="false">IF(Fields!A52="","",Fields!M52)</f>
        <v/>
      </c>
      <c r="I67" s="28" t="str">
        <f aca="false">IF(Fields!A52="","",Fields!N52)</f>
        <v/>
      </c>
      <c r="K67" s="16" t="str">
        <f aca="false">IF(Metrics!A52="","",Metrics!A52)</f>
        <v/>
      </c>
      <c r="L67" s="16" t="str">
        <f aca="false">IF(Metrics!A52="","",Metrics!B52)</f>
        <v/>
      </c>
      <c r="M67" s="16" t="str">
        <f aca="false">IF(Metrics!A52="","",Metrics!G52)</f>
        <v/>
      </c>
      <c r="N67" s="16" t="str">
        <f aca="false">IF(Metrics!A52="","",Metrics!I52)</f>
        <v/>
      </c>
      <c r="O67" s="16" t="str">
        <f aca="false">IF(Metrics!A52="","",Metrics!J52)</f>
        <v/>
      </c>
      <c r="P67" s="28" t="str">
        <f aca="false">IF(Metrics!A52="","",SUMPRODUCT(('Metric to Field'!$A$5:$A$64=Metrics!A52)*(IFERROR(INDEX(Fields!$I$5:$I$64,MATCH('Metric to Field'!$B$5:$B$64,Fields!$A$5:$A$64,0)),"")="Issue")))</f>
        <v/>
      </c>
      <c r="S67" s="16" t="str">
        <f aca="false">IF(Tables!A52="","",Tables!A52)</f>
        <v/>
      </c>
      <c r="T67" s="16" t="str">
        <f aca="false">IF(Tables!A52="","",Tables!B52)</f>
        <v/>
      </c>
      <c r="U67" s="16" t="str">
        <f aca="false">IF(Tables!A52="","",Tables!C52)</f>
        <v/>
      </c>
      <c r="V67" s="16" t="str">
        <f aca="false">IF(Tables!A52="","",Tables!I52)</f>
        <v/>
      </c>
      <c r="W67" s="16" t="str">
        <f aca="false">IF(Tables!A52="","",Tables!J52)</f>
        <v/>
      </c>
      <c r="X67" s="16" t="str">
        <f aca="false">IF(Tables!A52="","",Tables!K52)</f>
        <v/>
      </c>
      <c r="Y67" s="16" t="str">
        <f aca="false">IF(Tables!A52="","",Tables!L52)</f>
        <v/>
      </c>
    </row>
    <row r="68" customFormat="false" ht="15" hidden="false" customHeight="false" outlineLevel="0" collapsed="false">
      <c r="A68" s="16" t="str">
        <f aca="false">IF(Fields!A53="","",Fields!A53)</f>
        <v/>
      </c>
      <c r="B68" s="16" t="str">
        <f aca="false">IF(Fields!A53="","",Fields!B53)</f>
        <v/>
      </c>
      <c r="C68" s="16" t="str">
        <f aca="false">IF(Fields!A53="","",Fields!C53)</f>
        <v/>
      </c>
      <c r="D68" s="16" t="str">
        <f aca="false">IF(Fields!A53="","",Fields!F53)</f>
        <v/>
      </c>
      <c r="E68" s="16" t="str">
        <f aca="false">IF(Fields!A53="","",Fields!J53)</f>
        <v/>
      </c>
      <c r="F68" s="16" t="str">
        <f aca="false">IF(Fields!A53="","",Fields!K53)</f>
        <v/>
      </c>
      <c r="G68" s="16" t="str">
        <f aca="false">IF(Fields!A53="","",Fields!I53)</f>
        <v/>
      </c>
      <c r="H68" s="28" t="str">
        <f aca="false">IF(Fields!A53="","",Fields!M53)</f>
        <v/>
      </c>
      <c r="I68" s="28" t="str">
        <f aca="false">IF(Fields!A53="","",Fields!N53)</f>
        <v/>
      </c>
      <c r="K68" s="16" t="str">
        <f aca="false">IF(Metrics!A53="","",Metrics!A53)</f>
        <v/>
      </c>
      <c r="L68" s="16" t="str">
        <f aca="false">IF(Metrics!A53="","",Metrics!B53)</f>
        <v/>
      </c>
      <c r="M68" s="16" t="str">
        <f aca="false">IF(Metrics!A53="","",Metrics!G53)</f>
        <v/>
      </c>
      <c r="N68" s="16" t="str">
        <f aca="false">IF(Metrics!A53="","",Metrics!I53)</f>
        <v/>
      </c>
      <c r="O68" s="16" t="str">
        <f aca="false">IF(Metrics!A53="","",Metrics!J53)</f>
        <v/>
      </c>
      <c r="P68" s="28" t="str">
        <f aca="false">IF(Metrics!A53="","",SUMPRODUCT(('Metric to Field'!$A$5:$A$64=Metrics!A53)*(IFERROR(INDEX(Fields!$I$5:$I$64,MATCH('Metric to Field'!$B$5:$B$64,Fields!$A$5:$A$64,0)),"")="Issue")))</f>
        <v/>
      </c>
      <c r="S68" s="16" t="str">
        <f aca="false">IF(Tables!A53="","",Tables!A53)</f>
        <v/>
      </c>
      <c r="T68" s="16" t="str">
        <f aca="false">IF(Tables!A53="","",Tables!B53)</f>
        <v/>
      </c>
      <c r="U68" s="16" t="str">
        <f aca="false">IF(Tables!A53="","",Tables!C53)</f>
        <v/>
      </c>
      <c r="V68" s="16" t="str">
        <f aca="false">IF(Tables!A53="","",Tables!I53)</f>
        <v/>
      </c>
      <c r="W68" s="16" t="str">
        <f aca="false">IF(Tables!A53="","",Tables!J53)</f>
        <v/>
      </c>
      <c r="X68" s="16" t="str">
        <f aca="false">IF(Tables!A53="","",Tables!K53)</f>
        <v/>
      </c>
      <c r="Y68" s="16" t="str">
        <f aca="false">IF(Tables!A53="","",Tables!L53)</f>
        <v/>
      </c>
    </row>
    <row r="69" customFormat="false" ht="15" hidden="false" customHeight="false" outlineLevel="0" collapsed="false">
      <c r="A69" s="16" t="str">
        <f aca="false">IF(Fields!A54="","",Fields!A54)</f>
        <v/>
      </c>
      <c r="B69" s="16" t="str">
        <f aca="false">IF(Fields!A54="","",Fields!B54)</f>
        <v/>
      </c>
      <c r="C69" s="16" t="str">
        <f aca="false">IF(Fields!A54="","",Fields!C54)</f>
        <v/>
      </c>
      <c r="D69" s="16" t="str">
        <f aca="false">IF(Fields!A54="","",Fields!F54)</f>
        <v/>
      </c>
      <c r="E69" s="16" t="str">
        <f aca="false">IF(Fields!A54="","",Fields!J54)</f>
        <v/>
      </c>
      <c r="F69" s="16" t="str">
        <f aca="false">IF(Fields!A54="","",Fields!K54)</f>
        <v/>
      </c>
      <c r="G69" s="16" t="str">
        <f aca="false">IF(Fields!A54="","",Fields!I54)</f>
        <v/>
      </c>
      <c r="H69" s="28" t="str">
        <f aca="false">IF(Fields!A54="","",Fields!M54)</f>
        <v/>
      </c>
      <c r="I69" s="28" t="str">
        <f aca="false">IF(Fields!A54="","",Fields!N54)</f>
        <v/>
      </c>
      <c r="K69" s="16" t="str">
        <f aca="false">IF(Metrics!A54="","",Metrics!A54)</f>
        <v/>
      </c>
      <c r="L69" s="16" t="str">
        <f aca="false">IF(Metrics!A54="","",Metrics!B54)</f>
        <v/>
      </c>
      <c r="M69" s="16" t="str">
        <f aca="false">IF(Metrics!A54="","",Metrics!G54)</f>
        <v/>
      </c>
      <c r="N69" s="16" t="str">
        <f aca="false">IF(Metrics!A54="","",Metrics!I54)</f>
        <v/>
      </c>
      <c r="O69" s="16" t="str">
        <f aca="false">IF(Metrics!A54="","",Metrics!J54)</f>
        <v/>
      </c>
      <c r="P69" s="28" t="str">
        <f aca="false">IF(Metrics!A54="","",SUMPRODUCT(('Metric to Field'!$A$5:$A$64=Metrics!A54)*(IFERROR(INDEX(Fields!$I$5:$I$64,MATCH('Metric to Field'!$B$5:$B$64,Fields!$A$5:$A$64,0)),"")="Issue")))</f>
        <v/>
      </c>
      <c r="S69" s="16" t="str">
        <f aca="false">IF(Tables!A54="","",Tables!A54)</f>
        <v/>
      </c>
      <c r="T69" s="16" t="str">
        <f aca="false">IF(Tables!A54="","",Tables!B54)</f>
        <v/>
      </c>
      <c r="U69" s="16" t="str">
        <f aca="false">IF(Tables!A54="","",Tables!C54)</f>
        <v/>
      </c>
      <c r="V69" s="16" t="str">
        <f aca="false">IF(Tables!A54="","",Tables!I54)</f>
        <v/>
      </c>
      <c r="W69" s="16" t="str">
        <f aca="false">IF(Tables!A54="","",Tables!J54)</f>
        <v/>
      </c>
      <c r="X69" s="16" t="str">
        <f aca="false">IF(Tables!A54="","",Tables!K54)</f>
        <v/>
      </c>
      <c r="Y69" s="16" t="str">
        <f aca="false">IF(Tables!A54="","",Tables!L54)</f>
        <v/>
      </c>
    </row>
    <row r="70" customFormat="false" ht="15" hidden="false" customHeight="false" outlineLevel="0" collapsed="false">
      <c r="A70" s="16" t="str">
        <f aca="false">IF(Fields!A55="","",Fields!A55)</f>
        <v/>
      </c>
      <c r="B70" s="16" t="str">
        <f aca="false">IF(Fields!A55="","",Fields!B55)</f>
        <v/>
      </c>
      <c r="C70" s="16" t="str">
        <f aca="false">IF(Fields!A55="","",Fields!C55)</f>
        <v/>
      </c>
      <c r="D70" s="16" t="str">
        <f aca="false">IF(Fields!A55="","",Fields!F55)</f>
        <v/>
      </c>
      <c r="E70" s="16" t="str">
        <f aca="false">IF(Fields!A55="","",Fields!J55)</f>
        <v/>
      </c>
      <c r="F70" s="16" t="str">
        <f aca="false">IF(Fields!A55="","",Fields!K55)</f>
        <v/>
      </c>
      <c r="G70" s="16" t="str">
        <f aca="false">IF(Fields!A55="","",Fields!I55)</f>
        <v/>
      </c>
      <c r="H70" s="28" t="str">
        <f aca="false">IF(Fields!A55="","",Fields!M55)</f>
        <v/>
      </c>
      <c r="I70" s="28" t="str">
        <f aca="false">IF(Fields!A55="","",Fields!N55)</f>
        <v/>
      </c>
      <c r="K70" s="16" t="str">
        <f aca="false">IF(Metrics!A55="","",Metrics!A55)</f>
        <v/>
      </c>
      <c r="L70" s="16" t="str">
        <f aca="false">IF(Metrics!A55="","",Metrics!B55)</f>
        <v/>
      </c>
      <c r="M70" s="16" t="str">
        <f aca="false">IF(Metrics!A55="","",Metrics!G55)</f>
        <v/>
      </c>
      <c r="N70" s="16" t="str">
        <f aca="false">IF(Metrics!A55="","",Metrics!I55)</f>
        <v/>
      </c>
      <c r="O70" s="16" t="str">
        <f aca="false">IF(Metrics!A55="","",Metrics!J55)</f>
        <v/>
      </c>
      <c r="P70" s="28" t="str">
        <f aca="false">IF(Metrics!A55="","",SUMPRODUCT(('Metric to Field'!$A$5:$A$64=Metrics!A55)*(IFERROR(INDEX(Fields!$I$5:$I$64,MATCH('Metric to Field'!$B$5:$B$64,Fields!$A$5:$A$64,0)),"")="Issue")))</f>
        <v/>
      </c>
      <c r="S70" s="16" t="str">
        <f aca="false">IF(Tables!A55="","",Tables!A55)</f>
        <v/>
      </c>
      <c r="T70" s="16" t="str">
        <f aca="false">IF(Tables!A55="","",Tables!B55)</f>
        <v/>
      </c>
      <c r="U70" s="16" t="str">
        <f aca="false">IF(Tables!A55="","",Tables!C55)</f>
        <v/>
      </c>
      <c r="V70" s="16" t="str">
        <f aca="false">IF(Tables!A55="","",Tables!I55)</f>
        <v/>
      </c>
      <c r="W70" s="16" t="str">
        <f aca="false">IF(Tables!A55="","",Tables!J55)</f>
        <v/>
      </c>
      <c r="X70" s="16" t="str">
        <f aca="false">IF(Tables!A55="","",Tables!K55)</f>
        <v/>
      </c>
      <c r="Y70" s="16" t="str">
        <f aca="false">IF(Tables!A55="","",Tables!L55)</f>
        <v/>
      </c>
    </row>
    <row r="71" customFormat="false" ht="15" hidden="false" customHeight="false" outlineLevel="0" collapsed="false">
      <c r="A71" s="16" t="str">
        <f aca="false">IF(Fields!A56="","",Fields!A56)</f>
        <v/>
      </c>
      <c r="B71" s="16" t="str">
        <f aca="false">IF(Fields!A56="","",Fields!B56)</f>
        <v/>
      </c>
      <c r="C71" s="16" t="str">
        <f aca="false">IF(Fields!A56="","",Fields!C56)</f>
        <v/>
      </c>
      <c r="D71" s="16" t="str">
        <f aca="false">IF(Fields!A56="","",Fields!F56)</f>
        <v/>
      </c>
      <c r="E71" s="16" t="str">
        <f aca="false">IF(Fields!A56="","",Fields!J56)</f>
        <v/>
      </c>
      <c r="F71" s="16" t="str">
        <f aca="false">IF(Fields!A56="","",Fields!K56)</f>
        <v/>
      </c>
      <c r="G71" s="16" t="str">
        <f aca="false">IF(Fields!A56="","",Fields!I56)</f>
        <v/>
      </c>
      <c r="H71" s="28" t="str">
        <f aca="false">IF(Fields!A56="","",Fields!M56)</f>
        <v/>
      </c>
      <c r="I71" s="28" t="str">
        <f aca="false">IF(Fields!A56="","",Fields!N56)</f>
        <v/>
      </c>
      <c r="K71" s="16" t="str">
        <f aca="false">IF(Metrics!A56="","",Metrics!A56)</f>
        <v/>
      </c>
      <c r="L71" s="16" t="str">
        <f aca="false">IF(Metrics!A56="","",Metrics!B56)</f>
        <v/>
      </c>
      <c r="M71" s="16" t="str">
        <f aca="false">IF(Metrics!A56="","",Metrics!G56)</f>
        <v/>
      </c>
      <c r="N71" s="16" t="str">
        <f aca="false">IF(Metrics!A56="","",Metrics!I56)</f>
        <v/>
      </c>
      <c r="O71" s="16" t="str">
        <f aca="false">IF(Metrics!A56="","",Metrics!J56)</f>
        <v/>
      </c>
      <c r="P71" s="28" t="str">
        <f aca="false">IF(Metrics!A56="","",SUMPRODUCT(('Metric to Field'!$A$5:$A$64=Metrics!A56)*(IFERROR(INDEX(Fields!$I$5:$I$64,MATCH('Metric to Field'!$B$5:$B$64,Fields!$A$5:$A$64,0)),"")="Issue")))</f>
        <v/>
      </c>
      <c r="S71" s="16" t="str">
        <f aca="false">IF(Tables!A56="","",Tables!A56)</f>
        <v/>
      </c>
      <c r="T71" s="16" t="str">
        <f aca="false">IF(Tables!A56="","",Tables!B56)</f>
        <v/>
      </c>
      <c r="U71" s="16" t="str">
        <f aca="false">IF(Tables!A56="","",Tables!C56)</f>
        <v/>
      </c>
      <c r="V71" s="16" t="str">
        <f aca="false">IF(Tables!A56="","",Tables!I56)</f>
        <v/>
      </c>
      <c r="W71" s="16" t="str">
        <f aca="false">IF(Tables!A56="","",Tables!J56)</f>
        <v/>
      </c>
      <c r="X71" s="16" t="str">
        <f aca="false">IF(Tables!A56="","",Tables!K56)</f>
        <v/>
      </c>
      <c r="Y71" s="16" t="str">
        <f aca="false">IF(Tables!A56="","",Tables!L56)</f>
        <v/>
      </c>
    </row>
    <row r="72" customFormat="false" ht="15" hidden="false" customHeight="false" outlineLevel="0" collapsed="false">
      <c r="A72" s="16" t="str">
        <f aca="false">IF(Fields!A57="","",Fields!A57)</f>
        <v/>
      </c>
      <c r="B72" s="16" t="str">
        <f aca="false">IF(Fields!A57="","",Fields!B57)</f>
        <v/>
      </c>
      <c r="C72" s="16" t="str">
        <f aca="false">IF(Fields!A57="","",Fields!C57)</f>
        <v/>
      </c>
      <c r="D72" s="16" t="str">
        <f aca="false">IF(Fields!A57="","",Fields!F57)</f>
        <v/>
      </c>
      <c r="E72" s="16" t="str">
        <f aca="false">IF(Fields!A57="","",Fields!J57)</f>
        <v/>
      </c>
      <c r="F72" s="16" t="str">
        <f aca="false">IF(Fields!A57="","",Fields!K57)</f>
        <v/>
      </c>
      <c r="G72" s="16" t="str">
        <f aca="false">IF(Fields!A57="","",Fields!I57)</f>
        <v/>
      </c>
      <c r="H72" s="28" t="str">
        <f aca="false">IF(Fields!A57="","",Fields!M57)</f>
        <v/>
      </c>
      <c r="I72" s="28" t="str">
        <f aca="false">IF(Fields!A57="","",Fields!N57)</f>
        <v/>
      </c>
      <c r="K72" s="16" t="str">
        <f aca="false">IF(Metrics!A57="","",Metrics!A57)</f>
        <v/>
      </c>
      <c r="L72" s="16" t="str">
        <f aca="false">IF(Metrics!A57="","",Metrics!B57)</f>
        <v/>
      </c>
      <c r="M72" s="16" t="str">
        <f aca="false">IF(Metrics!A57="","",Metrics!G57)</f>
        <v/>
      </c>
      <c r="N72" s="16" t="str">
        <f aca="false">IF(Metrics!A57="","",Metrics!I57)</f>
        <v/>
      </c>
      <c r="O72" s="16" t="str">
        <f aca="false">IF(Metrics!A57="","",Metrics!J57)</f>
        <v/>
      </c>
      <c r="P72" s="28" t="str">
        <f aca="false">IF(Metrics!A57="","",SUMPRODUCT(('Metric to Field'!$A$5:$A$64=Metrics!A57)*(IFERROR(INDEX(Fields!$I$5:$I$64,MATCH('Metric to Field'!$B$5:$B$64,Fields!$A$5:$A$64,0)),"")="Issue")))</f>
        <v/>
      </c>
      <c r="S72" s="16" t="str">
        <f aca="false">IF(Tables!A57="","",Tables!A57)</f>
        <v/>
      </c>
      <c r="T72" s="16" t="str">
        <f aca="false">IF(Tables!A57="","",Tables!B57)</f>
        <v/>
      </c>
      <c r="U72" s="16" t="str">
        <f aca="false">IF(Tables!A57="","",Tables!C57)</f>
        <v/>
      </c>
      <c r="V72" s="16" t="str">
        <f aca="false">IF(Tables!A57="","",Tables!I57)</f>
        <v/>
      </c>
      <c r="W72" s="16" t="str">
        <f aca="false">IF(Tables!A57="","",Tables!J57)</f>
        <v/>
      </c>
      <c r="X72" s="16" t="str">
        <f aca="false">IF(Tables!A57="","",Tables!K57)</f>
        <v/>
      </c>
      <c r="Y72" s="16" t="str">
        <f aca="false">IF(Tables!A57="","",Tables!L57)</f>
        <v/>
      </c>
    </row>
    <row r="73" customFormat="false" ht="15" hidden="false" customHeight="false" outlineLevel="0" collapsed="false">
      <c r="A73" s="16" t="str">
        <f aca="false">IF(Fields!A58="","",Fields!A58)</f>
        <v/>
      </c>
      <c r="B73" s="16" t="str">
        <f aca="false">IF(Fields!A58="","",Fields!B58)</f>
        <v/>
      </c>
      <c r="C73" s="16" t="str">
        <f aca="false">IF(Fields!A58="","",Fields!C58)</f>
        <v/>
      </c>
      <c r="D73" s="16" t="str">
        <f aca="false">IF(Fields!A58="","",Fields!F58)</f>
        <v/>
      </c>
      <c r="E73" s="16" t="str">
        <f aca="false">IF(Fields!A58="","",Fields!J58)</f>
        <v/>
      </c>
      <c r="F73" s="16" t="str">
        <f aca="false">IF(Fields!A58="","",Fields!K58)</f>
        <v/>
      </c>
      <c r="G73" s="16" t="str">
        <f aca="false">IF(Fields!A58="","",Fields!I58)</f>
        <v/>
      </c>
      <c r="H73" s="28" t="str">
        <f aca="false">IF(Fields!A58="","",Fields!M58)</f>
        <v/>
      </c>
      <c r="I73" s="28" t="str">
        <f aca="false">IF(Fields!A58="","",Fields!N58)</f>
        <v/>
      </c>
      <c r="K73" s="16" t="str">
        <f aca="false">IF(Metrics!A58="","",Metrics!A58)</f>
        <v/>
      </c>
      <c r="L73" s="16" t="str">
        <f aca="false">IF(Metrics!A58="","",Metrics!B58)</f>
        <v/>
      </c>
      <c r="M73" s="16" t="str">
        <f aca="false">IF(Metrics!A58="","",Metrics!G58)</f>
        <v/>
      </c>
      <c r="N73" s="16" t="str">
        <f aca="false">IF(Metrics!A58="","",Metrics!I58)</f>
        <v/>
      </c>
      <c r="O73" s="16" t="str">
        <f aca="false">IF(Metrics!A58="","",Metrics!J58)</f>
        <v/>
      </c>
      <c r="P73" s="28" t="str">
        <f aca="false">IF(Metrics!A58="","",SUMPRODUCT(('Metric to Field'!$A$5:$A$64=Metrics!A58)*(IFERROR(INDEX(Fields!$I$5:$I$64,MATCH('Metric to Field'!$B$5:$B$64,Fields!$A$5:$A$64,0)),"")="Issue")))</f>
        <v/>
      </c>
      <c r="S73" s="16" t="str">
        <f aca="false">IF(Tables!A58="","",Tables!A58)</f>
        <v/>
      </c>
      <c r="T73" s="16" t="str">
        <f aca="false">IF(Tables!A58="","",Tables!B58)</f>
        <v/>
      </c>
      <c r="U73" s="16" t="str">
        <f aca="false">IF(Tables!A58="","",Tables!C58)</f>
        <v/>
      </c>
      <c r="V73" s="16" t="str">
        <f aca="false">IF(Tables!A58="","",Tables!I58)</f>
        <v/>
      </c>
      <c r="W73" s="16" t="str">
        <f aca="false">IF(Tables!A58="","",Tables!J58)</f>
        <v/>
      </c>
      <c r="X73" s="16" t="str">
        <f aca="false">IF(Tables!A58="","",Tables!K58)</f>
        <v/>
      </c>
      <c r="Y73" s="16" t="str">
        <f aca="false">IF(Tables!A58="","",Tables!L58)</f>
        <v/>
      </c>
    </row>
    <row r="74" customFormat="false" ht="15" hidden="false" customHeight="false" outlineLevel="0" collapsed="false">
      <c r="A74" s="16" t="str">
        <f aca="false">IF(Fields!A59="","",Fields!A59)</f>
        <v/>
      </c>
      <c r="B74" s="16" t="str">
        <f aca="false">IF(Fields!A59="","",Fields!B59)</f>
        <v/>
      </c>
      <c r="C74" s="16" t="str">
        <f aca="false">IF(Fields!A59="","",Fields!C59)</f>
        <v/>
      </c>
      <c r="D74" s="16" t="str">
        <f aca="false">IF(Fields!A59="","",Fields!F59)</f>
        <v/>
      </c>
      <c r="E74" s="16" t="str">
        <f aca="false">IF(Fields!A59="","",Fields!J59)</f>
        <v/>
      </c>
      <c r="F74" s="16" t="str">
        <f aca="false">IF(Fields!A59="","",Fields!K59)</f>
        <v/>
      </c>
      <c r="G74" s="16" t="str">
        <f aca="false">IF(Fields!A59="","",Fields!I59)</f>
        <v/>
      </c>
      <c r="H74" s="28" t="str">
        <f aca="false">IF(Fields!A59="","",Fields!M59)</f>
        <v/>
      </c>
      <c r="I74" s="28" t="str">
        <f aca="false">IF(Fields!A59="","",Fields!N59)</f>
        <v/>
      </c>
      <c r="K74" s="16" t="str">
        <f aca="false">IF(Metrics!A59="","",Metrics!A59)</f>
        <v/>
      </c>
      <c r="L74" s="16" t="str">
        <f aca="false">IF(Metrics!A59="","",Metrics!B59)</f>
        <v/>
      </c>
      <c r="M74" s="16" t="str">
        <f aca="false">IF(Metrics!A59="","",Metrics!G59)</f>
        <v/>
      </c>
      <c r="N74" s="16" t="str">
        <f aca="false">IF(Metrics!A59="","",Metrics!I59)</f>
        <v/>
      </c>
      <c r="O74" s="16" t="str">
        <f aca="false">IF(Metrics!A59="","",Metrics!J59)</f>
        <v/>
      </c>
      <c r="P74" s="28" t="str">
        <f aca="false">IF(Metrics!A59="","",SUMPRODUCT(('Metric to Field'!$A$5:$A$64=Metrics!A59)*(IFERROR(INDEX(Fields!$I$5:$I$64,MATCH('Metric to Field'!$B$5:$B$64,Fields!$A$5:$A$64,0)),"")="Issue")))</f>
        <v/>
      </c>
      <c r="S74" s="16" t="str">
        <f aca="false">IF(Tables!A59="","",Tables!A59)</f>
        <v/>
      </c>
      <c r="T74" s="16" t="str">
        <f aca="false">IF(Tables!A59="","",Tables!B59)</f>
        <v/>
      </c>
      <c r="U74" s="16" t="str">
        <f aca="false">IF(Tables!A59="","",Tables!C59)</f>
        <v/>
      </c>
      <c r="V74" s="16" t="str">
        <f aca="false">IF(Tables!A59="","",Tables!I59)</f>
        <v/>
      </c>
      <c r="W74" s="16" t="str">
        <f aca="false">IF(Tables!A59="","",Tables!J59)</f>
        <v/>
      </c>
      <c r="X74" s="16" t="str">
        <f aca="false">IF(Tables!A59="","",Tables!K59)</f>
        <v/>
      </c>
      <c r="Y74" s="16" t="str">
        <f aca="false">IF(Tables!A59="","",Tables!L59)</f>
        <v/>
      </c>
    </row>
    <row r="75" customFormat="false" ht="15" hidden="false" customHeight="false" outlineLevel="0" collapsed="false">
      <c r="A75" s="16" t="str">
        <f aca="false">IF(Fields!A60="","",Fields!A60)</f>
        <v/>
      </c>
      <c r="B75" s="16" t="str">
        <f aca="false">IF(Fields!A60="","",Fields!B60)</f>
        <v/>
      </c>
      <c r="C75" s="16" t="str">
        <f aca="false">IF(Fields!A60="","",Fields!C60)</f>
        <v/>
      </c>
      <c r="D75" s="16" t="str">
        <f aca="false">IF(Fields!A60="","",Fields!F60)</f>
        <v/>
      </c>
      <c r="E75" s="16" t="str">
        <f aca="false">IF(Fields!A60="","",Fields!J60)</f>
        <v/>
      </c>
      <c r="F75" s="16" t="str">
        <f aca="false">IF(Fields!A60="","",Fields!K60)</f>
        <v/>
      </c>
      <c r="G75" s="16" t="str">
        <f aca="false">IF(Fields!A60="","",Fields!I60)</f>
        <v/>
      </c>
      <c r="H75" s="28" t="str">
        <f aca="false">IF(Fields!A60="","",Fields!M60)</f>
        <v/>
      </c>
      <c r="I75" s="28" t="str">
        <f aca="false">IF(Fields!A60="","",Fields!N60)</f>
        <v/>
      </c>
      <c r="K75" s="16" t="str">
        <f aca="false">IF(Metrics!A60="","",Metrics!A60)</f>
        <v/>
      </c>
      <c r="L75" s="16" t="str">
        <f aca="false">IF(Metrics!A60="","",Metrics!B60)</f>
        <v/>
      </c>
      <c r="M75" s="16" t="str">
        <f aca="false">IF(Metrics!A60="","",Metrics!G60)</f>
        <v/>
      </c>
      <c r="N75" s="16" t="str">
        <f aca="false">IF(Metrics!A60="","",Metrics!I60)</f>
        <v/>
      </c>
      <c r="O75" s="16" t="str">
        <f aca="false">IF(Metrics!A60="","",Metrics!J60)</f>
        <v/>
      </c>
      <c r="P75" s="28" t="str">
        <f aca="false">IF(Metrics!A60="","",SUMPRODUCT(('Metric to Field'!$A$5:$A$64=Metrics!A60)*(IFERROR(INDEX(Fields!$I$5:$I$64,MATCH('Metric to Field'!$B$5:$B$64,Fields!$A$5:$A$64,0)),"")="Issue")))</f>
        <v/>
      </c>
      <c r="S75" s="16" t="str">
        <f aca="false">IF(Tables!A60="","",Tables!A60)</f>
        <v/>
      </c>
      <c r="T75" s="16" t="str">
        <f aca="false">IF(Tables!A60="","",Tables!B60)</f>
        <v/>
      </c>
      <c r="U75" s="16" t="str">
        <f aca="false">IF(Tables!A60="","",Tables!C60)</f>
        <v/>
      </c>
      <c r="V75" s="16" t="str">
        <f aca="false">IF(Tables!A60="","",Tables!I60)</f>
        <v/>
      </c>
      <c r="W75" s="16" t="str">
        <f aca="false">IF(Tables!A60="","",Tables!J60)</f>
        <v/>
      </c>
      <c r="X75" s="16" t="str">
        <f aca="false">IF(Tables!A60="","",Tables!K60)</f>
        <v/>
      </c>
      <c r="Y75" s="16" t="str">
        <f aca="false">IF(Tables!A60="","",Tables!L60)</f>
        <v/>
      </c>
    </row>
    <row r="76" customFormat="false" ht="15" hidden="false" customHeight="false" outlineLevel="0" collapsed="false">
      <c r="A76" s="16" t="str">
        <f aca="false">IF(Fields!A61="","",Fields!A61)</f>
        <v/>
      </c>
      <c r="B76" s="16" t="str">
        <f aca="false">IF(Fields!A61="","",Fields!B61)</f>
        <v/>
      </c>
      <c r="C76" s="16" t="str">
        <f aca="false">IF(Fields!A61="","",Fields!C61)</f>
        <v/>
      </c>
      <c r="D76" s="16" t="str">
        <f aca="false">IF(Fields!A61="","",Fields!F61)</f>
        <v/>
      </c>
      <c r="E76" s="16" t="str">
        <f aca="false">IF(Fields!A61="","",Fields!J61)</f>
        <v/>
      </c>
      <c r="F76" s="16" t="str">
        <f aca="false">IF(Fields!A61="","",Fields!K61)</f>
        <v/>
      </c>
      <c r="G76" s="16" t="str">
        <f aca="false">IF(Fields!A61="","",Fields!I61)</f>
        <v/>
      </c>
      <c r="H76" s="28" t="str">
        <f aca="false">IF(Fields!A61="","",Fields!M61)</f>
        <v/>
      </c>
      <c r="I76" s="28" t="str">
        <f aca="false">IF(Fields!A61="","",Fields!N61)</f>
        <v/>
      </c>
      <c r="K76" s="16" t="str">
        <f aca="false">IF(Metrics!A61="","",Metrics!A61)</f>
        <v/>
      </c>
      <c r="L76" s="16" t="str">
        <f aca="false">IF(Metrics!A61="","",Metrics!B61)</f>
        <v/>
      </c>
      <c r="M76" s="16" t="str">
        <f aca="false">IF(Metrics!A61="","",Metrics!G61)</f>
        <v/>
      </c>
      <c r="N76" s="16" t="str">
        <f aca="false">IF(Metrics!A61="","",Metrics!I61)</f>
        <v/>
      </c>
      <c r="O76" s="16" t="str">
        <f aca="false">IF(Metrics!A61="","",Metrics!J61)</f>
        <v/>
      </c>
      <c r="P76" s="28" t="str">
        <f aca="false">IF(Metrics!A61="","",SUMPRODUCT(('Metric to Field'!$A$5:$A$64=Metrics!A61)*(IFERROR(INDEX(Fields!$I$5:$I$64,MATCH('Metric to Field'!$B$5:$B$64,Fields!$A$5:$A$64,0)),"")="Issue")))</f>
        <v/>
      </c>
      <c r="S76" s="16" t="str">
        <f aca="false">IF(Tables!A61="","",Tables!A61)</f>
        <v/>
      </c>
      <c r="T76" s="16" t="str">
        <f aca="false">IF(Tables!A61="","",Tables!B61)</f>
        <v/>
      </c>
      <c r="U76" s="16" t="str">
        <f aca="false">IF(Tables!A61="","",Tables!C61)</f>
        <v/>
      </c>
      <c r="V76" s="16" t="str">
        <f aca="false">IF(Tables!A61="","",Tables!I61)</f>
        <v/>
      </c>
      <c r="W76" s="16" t="str">
        <f aca="false">IF(Tables!A61="","",Tables!J61)</f>
        <v/>
      </c>
      <c r="X76" s="16" t="str">
        <f aca="false">IF(Tables!A61="","",Tables!K61)</f>
        <v/>
      </c>
      <c r="Y76" s="16" t="str">
        <f aca="false">IF(Tables!A61="","",Tables!L61)</f>
        <v/>
      </c>
    </row>
    <row r="77" customFormat="false" ht="15" hidden="false" customHeight="false" outlineLevel="0" collapsed="false">
      <c r="A77" s="16" t="str">
        <f aca="false">IF(Fields!A62="","",Fields!A62)</f>
        <v/>
      </c>
      <c r="B77" s="16" t="str">
        <f aca="false">IF(Fields!A62="","",Fields!B62)</f>
        <v/>
      </c>
      <c r="C77" s="16" t="str">
        <f aca="false">IF(Fields!A62="","",Fields!C62)</f>
        <v/>
      </c>
      <c r="D77" s="16" t="str">
        <f aca="false">IF(Fields!A62="","",Fields!F62)</f>
        <v/>
      </c>
      <c r="E77" s="16" t="str">
        <f aca="false">IF(Fields!A62="","",Fields!J62)</f>
        <v/>
      </c>
      <c r="F77" s="16" t="str">
        <f aca="false">IF(Fields!A62="","",Fields!K62)</f>
        <v/>
      </c>
      <c r="G77" s="16" t="str">
        <f aca="false">IF(Fields!A62="","",Fields!I62)</f>
        <v/>
      </c>
      <c r="H77" s="28" t="str">
        <f aca="false">IF(Fields!A62="","",Fields!M62)</f>
        <v/>
      </c>
      <c r="I77" s="28" t="str">
        <f aca="false">IF(Fields!A62="","",Fields!N62)</f>
        <v/>
      </c>
      <c r="K77" s="16" t="str">
        <f aca="false">IF(Metrics!A62="","",Metrics!A62)</f>
        <v/>
      </c>
      <c r="L77" s="16" t="str">
        <f aca="false">IF(Metrics!A62="","",Metrics!B62)</f>
        <v/>
      </c>
      <c r="M77" s="16" t="str">
        <f aca="false">IF(Metrics!A62="","",Metrics!G62)</f>
        <v/>
      </c>
      <c r="N77" s="16" t="str">
        <f aca="false">IF(Metrics!A62="","",Metrics!I62)</f>
        <v/>
      </c>
      <c r="O77" s="16" t="str">
        <f aca="false">IF(Metrics!A62="","",Metrics!J62)</f>
        <v/>
      </c>
      <c r="P77" s="28" t="str">
        <f aca="false">IF(Metrics!A62="","",SUMPRODUCT(('Metric to Field'!$A$5:$A$64=Metrics!A62)*(IFERROR(INDEX(Fields!$I$5:$I$64,MATCH('Metric to Field'!$B$5:$B$64,Fields!$A$5:$A$64,0)),"")="Issue")))</f>
        <v/>
      </c>
      <c r="S77" s="16" t="str">
        <f aca="false">IF(Tables!A62="","",Tables!A62)</f>
        <v/>
      </c>
      <c r="T77" s="16" t="str">
        <f aca="false">IF(Tables!A62="","",Tables!B62)</f>
        <v/>
      </c>
      <c r="U77" s="16" t="str">
        <f aca="false">IF(Tables!A62="","",Tables!C62)</f>
        <v/>
      </c>
      <c r="V77" s="16" t="str">
        <f aca="false">IF(Tables!A62="","",Tables!I62)</f>
        <v/>
      </c>
      <c r="W77" s="16" t="str">
        <f aca="false">IF(Tables!A62="","",Tables!J62)</f>
        <v/>
      </c>
      <c r="X77" s="16" t="str">
        <f aca="false">IF(Tables!A62="","",Tables!K62)</f>
        <v/>
      </c>
      <c r="Y77" s="16" t="str">
        <f aca="false">IF(Tables!A62="","",Tables!L62)</f>
        <v/>
      </c>
    </row>
    <row r="78" customFormat="false" ht="15" hidden="false" customHeight="false" outlineLevel="0" collapsed="false">
      <c r="A78" s="16" t="str">
        <f aca="false">IF(Fields!A63="","",Fields!A63)</f>
        <v/>
      </c>
      <c r="B78" s="16" t="str">
        <f aca="false">IF(Fields!A63="","",Fields!B63)</f>
        <v/>
      </c>
      <c r="C78" s="16" t="str">
        <f aca="false">IF(Fields!A63="","",Fields!C63)</f>
        <v/>
      </c>
      <c r="D78" s="16" t="str">
        <f aca="false">IF(Fields!A63="","",Fields!F63)</f>
        <v/>
      </c>
      <c r="E78" s="16" t="str">
        <f aca="false">IF(Fields!A63="","",Fields!J63)</f>
        <v/>
      </c>
      <c r="F78" s="16" t="str">
        <f aca="false">IF(Fields!A63="","",Fields!K63)</f>
        <v/>
      </c>
      <c r="G78" s="16" t="str">
        <f aca="false">IF(Fields!A63="","",Fields!I63)</f>
        <v/>
      </c>
      <c r="H78" s="28" t="str">
        <f aca="false">IF(Fields!A63="","",Fields!M63)</f>
        <v/>
      </c>
      <c r="I78" s="28" t="str">
        <f aca="false">IF(Fields!A63="","",Fields!N63)</f>
        <v/>
      </c>
      <c r="K78" s="16" t="str">
        <f aca="false">IF(Metrics!A63="","",Metrics!A63)</f>
        <v/>
      </c>
      <c r="L78" s="16" t="str">
        <f aca="false">IF(Metrics!A63="","",Metrics!B63)</f>
        <v/>
      </c>
      <c r="M78" s="16" t="str">
        <f aca="false">IF(Metrics!A63="","",Metrics!G63)</f>
        <v/>
      </c>
      <c r="N78" s="16" t="str">
        <f aca="false">IF(Metrics!A63="","",Metrics!I63)</f>
        <v/>
      </c>
      <c r="O78" s="16" t="str">
        <f aca="false">IF(Metrics!A63="","",Metrics!J63)</f>
        <v/>
      </c>
      <c r="P78" s="28" t="str">
        <f aca="false">IF(Metrics!A63="","",SUMPRODUCT(('Metric to Field'!$A$5:$A$64=Metrics!A63)*(IFERROR(INDEX(Fields!$I$5:$I$64,MATCH('Metric to Field'!$B$5:$B$64,Fields!$A$5:$A$64,0)),"")="Issue")))</f>
        <v/>
      </c>
      <c r="S78" s="16" t="str">
        <f aca="false">IF(Tables!A63="","",Tables!A63)</f>
        <v/>
      </c>
      <c r="T78" s="16" t="str">
        <f aca="false">IF(Tables!A63="","",Tables!B63)</f>
        <v/>
      </c>
      <c r="U78" s="16" t="str">
        <f aca="false">IF(Tables!A63="","",Tables!C63)</f>
        <v/>
      </c>
      <c r="V78" s="16" t="str">
        <f aca="false">IF(Tables!A63="","",Tables!I63)</f>
        <v/>
      </c>
      <c r="W78" s="16" t="str">
        <f aca="false">IF(Tables!A63="","",Tables!J63)</f>
        <v/>
      </c>
      <c r="X78" s="16" t="str">
        <f aca="false">IF(Tables!A63="","",Tables!K63)</f>
        <v/>
      </c>
      <c r="Y78" s="16" t="str">
        <f aca="false">IF(Tables!A63="","",Tables!L63)</f>
        <v/>
      </c>
    </row>
    <row r="79" customFormat="false" ht="15" hidden="false" customHeight="false" outlineLevel="0" collapsed="false">
      <c r="A79" s="16" t="str">
        <f aca="false">IF(Fields!A64="","",Fields!A64)</f>
        <v/>
      </c>
      <c r="B79" s="16" t="str">
        <f aca="false">IF(Fields!A64="","",Fields!B64)</f>
        <v/>
      </c>
      <c r="C79" s="16" t="str">
        <f aca="false">IF(Fields!A64="","",Fields!C64)</f>
        <v/>
      </c>
      <c r="D79" s="16" t="str">
        <f aca="false">IF(Fields!A64="","",Fields!F64)</f>
        <v/>
      </c>
      <c r="E79" s="16" t="str">
        <f aca="false">IF(Fields!A64="","",Fields!J64)</f>
        <v/>
      </c>
      <c r="F79" s="16" t="str">
        <f aca="false">IF(Fields!A64="","",Fields!K64)</f>
        <v/>
      </c>
      <c r="G79" s="16" t="str">
        <f aca="false">IF(Fields!A64="","",Fields!I64)</f>
        <v/>
      </c>
      <c r="H79" s="28" t="str">
        <f aca="false">IF(Fields!A64="","",Fields!M64)</f>
        <v/>
      </c>
      <c r="I79" s="28" t="str">
        <f aca="false">IF(Fields!A64="","",Fields!N64)</f>
        <v/>
      </c>
      <c r="K79" s="16" t="str">
        <f aca="false">IF(Metrics!A64="","",Metrics!A64)</f>
        <v/>
      </c>
      <c r="L79" s="16" t="str">
        <f aca="false">IF(Metrics!A64="","",Metrics!B64)</f>
        <v/>
      </c>
      <c r="M79" s="16" t="str">
        <f aca="false">IF(Metrics!A64="","",Metrics!G64)</f>
        <v/>
      </c>
      <c r="N79" s="16" t="str">
        <f aca="false">IF(Metrics!A64="","",Metrics!I64)</f>
        <v/>
      </c>
      <c r="O79" s="16" t="str">
        <f aca="false">IF(Metrics!A64="","",Metrics!J64)</f>
        <v/>
      </c>
      <c r="P79" s="28" t="str">
        <f aca="false">IF(Metrics!A64="","",SUMPRODUCT(('Metric to Field'!$A$5:$A$64=Metrics!A64)*(IFERROR(INDEX(Fields!$I$5:$I$64,MATCH('Metric to Field'!$B$5:$B$64,Fields!$A$5:$A$64,0)),"")="Issue")))</f>
        <v/>
      </c>
      <c r="S79" s="16" t="str">
        <f aca="false">IF(Tables!A64="","",Tables!A64)</f>
        <v/>
      </c>
      <c r="T79" s="16" t="str">
        <f aca="false">IF(Tables!A64="","",Tables!B64)</f>
        <v/>
      </c>
      <c r="U79" s="16" t="str">
        <f aca="false">IF(Tables!A64="","",Tables!C64)</f>
        <v/>
      </c>
      <c r="V79" s="16" t="str">
        <f aca="false">IF(Tables!A64="","",Tables!I64)</f>
        <v/>
      </c>
      <c r="W79" s="16" t="str">
        <f aca="false">IF(Tables!A64="","",Tables!J64)</f>
        <v/>
      </c>
      <c r="X79" s="16" t="str">
        <f aca="false">IF(Tables!A64="","",Tables!K64)</f>
        <v/>
      </c>
      <c r="Y79" s="16" t="str">
        <f aca="false">IF(Tables!A64="","",Tables!L64)</f>
        <v/>
      </c>
    </row>
  </sheetData>
  <autoFilter ref="A19:I79"/>
  <conditionalFormatting sqref="F9:G15">
    <cfRule type="cellIs" priority="2" operator="greaterThan" aboveAverage="0" equalAverage="0" bottom="0" percent="0" rank="0" text="" dxfId="16">
      <formula>0</formula>
    </cfRule>
  </conditionalFormatting>
  <conditionalFormatting sqref="B13:C13">
    <cfRule type="cellIs" priority="3" operator="greaterThan" aboveAverage="0" equalAverage="0" bottom="0" percent="0" rank="0" text="" dxfId="15">
      <formula>0</formula>
    </cfRule>
  </conditionalFormatting>
  <conditionalFormatting sqref="G20:G79">
    <cfRule type="cellIs" priority="4" operator="equal" aboveAverage="0" equalAverage="0" bottom="0" percent="0" rank="0" text="" dxfId="11">
      <formula>"Issue"</formula>
    </cfRule>
  </conditionalFormatting>
  <conditionalFormatting sqref="F20:F79">
    <cfRule type="cellIs" priority="5" operator="equal" aboveAverage="0" equalAverage="0" bottom="0" percent="0" rank="0" text="" dxfId="11">
      <formula>"Retire"</formula>
    </cfRule>
    <cfRule type="cellIs" priority="6" operator="equal" aboveAverage="0" equalAverage="0" bottom="0" percent="0" rank="0" text="" dxfId="15">
      <formula>"Fix upstream"</formula>
    </cfRule>
    <cfRule type="cellIs" priority="7" operator="equal" aboveAverage="0" equalAverage="0" bottom="0" percent="0" rank="0" text="" dxfId="16">
      <formula>"Move to business rules"</formula>
    </cfRule>
  </conditionalFormatting>
  <conditionalFormatting sqref="H20:I79">
    <cfRule type="cellIs" priority="8" operator="greaterThanOrEqual" aboveAverage="0" equalAverage="0" bottom="0" percent="0" rank="0" text="" dxfId="17">
      <formula>2</formula>
    </cfRule>
  </conditionalFormatting>
  <conditionalFormatting sqref="P20:P79">
    <cfRule type="cellIs" priority="9" operator="greaterThan" aboveAverage="0" equalAverage="0" bottom="0" percent="0" rank="0" text="" dxfId="11">
      <formula>0</formula>
    </cfRule>
  </conditionalFormatting>
  <conditionalFormatting sqref="U20:U79">
    <cfRule type="cellIs" priority="10" operator="equal" aboveAverage="0" equalAverage="0" bottom="0" percent="0" rank="0" text="" dxfId="16">
      <formula>"Team custom"</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2026-10-07T16:05:11Z</dcterms:created>
  <dc:creator>openpyxl</dc:creator>
  <dc:description/>
  <dc:language>en-US</dc:language>
  <cp:lastModifiedBy/>
  <dcterms:modified xsi:type="dcterms:W3CDTF">2026-10-07T16:05:12Z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